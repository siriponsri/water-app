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shboard" sheetId="1" r:id="rId5"/>
    <sheet state="visible" name="prw-pw" sheetId="2" r:id="rId6"/>
    <sheet state="visible" name="wfi-pus" sheetId="3" r:id="rId7"/>
    <sheet state="hidden" name="_rpp2_registry" sheetId="4" r:id="rId8"/>
    <sheet state="visible" name="Backup prw-pw" sheetId="5" r:id="rId9"/>
    <sheet state="visible" name="Backup wfi-pus" sheetId="6" r:id="rId10"/>
    <sheet state="visible" name="database" sheetId="7" r:id="rId11"/>
    <sheet state="visible" name="ลงรูป" sheetId="8" r:id="rId12"/>
    <sheet state="hidden" name="allData" sheetId="9" r:id="rId13"/>
  </sheets>
  <definedNames>
    <definedName hidden="1" localSheetId="5" name="_xlnm._FilterDatabase">'Backup wfi-pus'!$A$1:$T$308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tc={93dbade5-134b-42cd-96ca-f7c28bb57171}</author>
  </authors>
  <commentList>
    <comment authorId="0" xr:uid="{93dbade5-134b-42cd-96ca-f7c28bb57171}" ref="C445">
      <text>
        <t xml:space="preserve">[Threaded comment]
 Your version of Excel allows you to read this threaded comment; however, any edits to it will get removed if the file is opened in a newer version of Excel. Learn more: https://go.microsoft.com/fwlink/?linkid=870924
Comment:
	ไม่มีในแผนเก็บ
</t>
      </text>
    </comment>
  </commentList>
</comments>
</file>

<file path=xl/sharedStrings.xml><?xml version="1.0" encoding="utf-8"?>
<sst xmlns="http://schemas.openxmlformats.org/spreadsheetml/2006/main" count="16152" uniqueCount="1040">
  <si>
    <t>WATER TESTING QUALITY DASHBOARD</t>
  </si>
  <si>
    <t>FILTERS</t>
  </si>
  <si>
    <t>Record Type:</t>
  </si>
  <si>
    <t>PQ1-2/OCL</t>
  </si>
  <si>
    <t>Water Type:</t>
  </si>
  <si>
    <t>PRW</t>
  </si>
  <si>
    <t>Location:</t>
  </si>
  <si>
    <t>AFTER RO SYSTEM NO.12 SV15</t>
  </si>
  <si>
    <t>Result:</t>
  </si>
  <si>
    <t>FAILED</t>
  </si>
  <si>
    <t>METRICS</t>
  </si>
  <si>
    <t>Total Tests</t>
  </si>
  <si>
    <t>worksheetNo</t>
  </si>
  <si>
    <t>Passed</t>
  </si>
  <si>
    <t>Failed</t>
  </si>
  <si>
    <t>samplingDate</t>
  </si>
  <si>
    <t>rpp2Sheet</t>
  </si>
  <si>
    <t>samplingPoint</t>
  </si>
  <si>
    <t>sourceSheet</t>
  </si>
  <si>
    <t>samplingTag</t>
  </si>
  <si>
    <t>updatedAt</t>
  </si>
  <si>
    <t>recordStatus</t>
  </si>
  <si>
    <t>WT-26-0073</t>
  </si>
  <si>
    <t>records_pw_prw</t>
  </si>
  <si>
    <t>prw-pw</t>
  </si>
  <si>
    <t>2026-06-10T01:27:43.887Z</t>
  </si>
  <si>
    <t>WT-26-0074</t>
  </si>
  <si>
    <t>2026-07-10T09:03:33.159Z</t>
  </si>
  <si>
    <t>WT-26-0075</t>
  </si>
  <si>
    <t>worksheet No.</t>
  </si>
  <si>
    <t>2026-07-10T09:03:37.983Z</t>
  </si>
  <si>
    <t>WT-26-0076</t>
  </si>
  <si>
    <t>worksheetCreate</t>
  </si>
  <si>
    <t>2026-06-10T06:41:12.687Z</t>
  </si>
  <si>
    <t>WT-26-0077</t>
  </si>
  <si>
    <t>2026-08-07T01:39:51.882Z</t>
  </si>
  <si>
    <t>WT-26-0078</t>
  </si>
  <si>
    <t>noLocation</t>
  </si>
  <si>
    <t>Pass Rate</t>
  </si>
  <si>
    <t>2026-06-10T06:41:19.852Z</t>
  </si>
  <si>
    <t>WT-26-0079</t>
  </si>
  <si>
    <t>building</t>
  </si>
  <si>
    <t>2026-06-10T06:41:23.742Z</t>
  </si>
  <si>
    <t>WT-26-0080</t>
  </si>
  <si>
    <t>2026-06-11T03:43:51.141Z</t>
  </si>
  <si>
    <t>location</t>
  </si>
  <si>
    <t>WT-26-0081</t>
  </si>
  <si>
    <t>waterType</t>
  </si>
  <si>
    <t>Record Type</t>
  </si>
  <si>
    <t>performedDate</t>
  </si>
  <si>
    <t>2026-07-10T09:03:42.399Z</t>
  </si>
  <si>
    <t>WT-26-0070</t>
  </si>
  <si>
    <t>determinedDate</t>
  </si>
  <si>
    <t>2026-07-10T09:03:27.694Z</t>
  </si>
  <si>
    <t>result1</t>
  </si>
  <si>
    <t>WT-26-0071</t>
  </si>
  <si>
    <t>PQ1-2/OLD</t>
  </si>
  <si>
    <t>result2</t>
  </si>
  <si>
    <t>2026-06-09T08:57:15.207Z</t>
  </si>
  <si>
    <t>Routine</t>
  </si>
  <si>
    <t>WT-26-0072</t>
  </si>
  <si>
    <t>resultAvg</t>
  </si>
  <si>
    <t>Water Type</t>
  </si>
  <si>
    <t>2026-06-09T08:22:33.895Z</t>
  </si>
  <si>
    <t>qualityEvent</t>
  </si>
  <si>
    <t>WT-26-0082</t>
  </si>
  <si>
    <t>PW</t>
  </si>
  <si>
    <t>2026-06-15T02:31:42.832Z</t>
  </si>
  <si>
    <t>RO water</t>
  </si>
  <si>
    <t>comment</t>
  </si>
  <si>
    <t>WP-26-0080</t>
  </si>
  <si>
    <t>Location</t>
  </si>
  <si>
    <t>records_wfi</t>
  </si>
  <si>
    <t>wfi-pus</t>
  </si>
  <si>
    <t>criteria</t>
  </si>
  <si>
    <t>2026-06-09T08:23:25.858Z</t>
  </si>
  <si>
    <t>AFTER RO SYSTEM NO.12 SV14</t>
  </si>
  <si>
    <t>WP-26-0081</t>
  </si>
  <si>
    <t>statusResult</t>
  </si>
  <si>
    <t>2026-06-11T08:30:51.397Z</t>
  </si>
  <si>
    <t>ALCOHOL STORAGE</t>
  </si>
  <si>
    <t>WP-26-0082</t>
  </si>
  <si>
    <t>AUTOCLAVE</t>
  </si>
  <si>
    <t>2026-06-11T08:30:54.491Z</t>
  </si>
  <si>
    <t>Exclude</t>
  </si>
  <si>
    <t>WP-26-0083</t>
  </si>
  <si>
    <t>After Cartridge filter 5 µm (B10)</t>
  </si>
  <si>
    <t>2026-06-11T08:30:58.356Z</t>
  </si>
  <si>
    <t>WP-26-0084</t>
  </si>
  <si>
    <t>After Cartridge filter 5 µm (B12)</t>
  </si>
  <si>
    <t>status</t>
  </si>
  <si>
    <t>2026-06-11T08:31:01.536Z</t>
  </si>
  <si>
    <t>WP-26-0085</t>
  </si>
  <si>
    <t>2026-06-16T08:15:29.390Z</t>
  </si>
  <si>
    <t>After Cartridge filter 5 µm (B16)</t>
  </si>
  <si>
    <t>WP-26-0086</t>
  </si>
  <si>
    <t>After Chlorine circulation tank (B10)</t>
  </si>
  <si>
    <t>2026-06-16T08:15:36.840Z</t>
  </si>
  <si>
    <t>syncStatus</t>
  </si>
  <si>
    <t>WP-26-0087</t>
  </si>
  <si>
    <t>After Chlorine circulation tank (B16)</t>
  </si>
  <si>
    <t>2026-07-11T07:27:11.060Z</t>
  </si>
  <si>
    <t>WP-26-0088</t>
  </si>
  <si>
    <t>After EDI (B10)</t>
  </si>
  <si>
    <t>2026-06-22T04:13:44.890Z</t>
  </si>
  <si>
    <t>WP-26-0089</t>
  </si>
  <si>
    <t>After EDI (B12)</t>
  </si>
  <si>
    <t>2026-06-22T04:13:48.948Z</t>
  </si>
  <si>
    <t>WT-26-0083</t>
  </si>
  <si>
    <t>After EDI (B16)</t>
  </si>
  <si>
    <t>2026-07-10T09:03:46.752Z</t>
  </si>
  <si>
    <t>WP-26-0090</t>
  </si>
  <si>
    <t>After Pump</t>
  </si>
  <si>
    <t>2026-06-22T04:13:52.875Z</t>
  </si>
  <si>
    <t>After RO (Before EDI) (B10)</t>
  </si>
  <si>
    <t>WT-26-0084</t>
  </si>
  <si>
    <t>2026-06-29T01:52:08.209Z</t>
  </si>
  <si>
    <t>After RO (Before EDI) (B12)</t>
  </si>
  <si>
    <t>WT-26-0085</t>
  </si>
  <si>
    <t>OSD28</t>
  </si>
  <si>
    <t>2026-06-22T04:11:48.300Z</t>
  </si>
  <si>
    <t>WP-26-0091</t>
  </si>
  <si>
    <t>Month</t>
  </si>
  <si>
    <t>2026-06-22T04:13:56.648Z</t>
  </si>
  <si>
    <t>WP-26-0092</t>
  </si>
  <si>
    <t>2026-07-11T07:27:15.431Z</t>
  </si>
  <si>
    <t>WT-26-0086</t>
  </si>
  <si>
    <t>2026-06-29T01:52:13.052Z</t>
  </si>
  <si>
    <t>WT-26-0087</t>
  </si>
  <si>
    <t>2026-06-29T01:52:16.238Z</t>
  </si>
  <si>
    <t>WP-26-0093</t>
  </si>
  <si>
    <t>2026-06-29T01:53:58.125Z</t>
  </si>
  <si>
    <t>WP-26-0094</t>
  </si>
  <si>
    <t>2026-06-29T01:54:02.837Z</t>
  </si>
  <si>
    <t>WP-26-0095</t>
  </si>
  <si>
    <t>2026-07-01T02:37:29.084Z</t>
  </si>
  <si>
    <t>WT-26-0088</t>
  </si>
  <si>
    <t>2026-06-29T01:52:20.545Z</t>
  </si>
  <si>
    <t>WT-26-0089</t>
  </si>
  <si>
    <t>2026-07-10T09:03:50.633Z</t>
  </si>
  <si>
    <t>WT-26-0090</t>
  </si>
  <si>
    <t>2026-07-10T09:03:54.756Z</t>
  </si>
  <si>
    <t>WT-26-0091</t>
  </si>
  <si>
    <t>Status</t>
  </si>
  <si>
    <t>Count</t>
  </si>
  <si>
    <t>2026-07-06T09:05:29.253Z</t>
  </si>
  <si>
    <t>WP-26-0096</t>
  </si>
  <si>
    <t>2026-07-01T02:37:34.237Z</t>
  </si>
  <si>
    <t>WP-26-0097</t>
  </si>
  <si>
    <t>2026-07-11T07:27:19.117Z</t>
  </si>
  <si>
    <t>PERFORMANCE BY RECORD TYPE</t>
  </si>
  <si>
    <t>WP-26-0098</t>
  </si>
  <si>
    <t>worksheet  No.</t>
  </si>
  <si>
    <t>2026-07-06T07:54:12.431Z</t>
  </si>
  <si>
    <t>WP-26-0099</t>
  </si>
  <si>
    <t>2026-07-06T07:54:21.692Z</t>
  </si>
  <si>
    <t>Total</t>
  </si>
  <si>
    <t>WP-26-0100</t>
  </si>
  <si>
    <t>Speacial</t>
  </si>
  <si>
    <t>Pass %</t>
  </si>
  <si>
    <t>2026-07-06T07:54:28.195Z</t>
  </si>
  <si>
    <t>WT-26-0092</t>
  </si>
  <si>
    <t>2026-07-10T09:03:58.883Z</t>
  </si>
  <si>
    <t>WT-26-0093</t>
  </si>
  <si>
    <t>2026-08-07T01:39:55.514Z</t>
  </si>
  <si>
    <t>WP-26-0101</t>
  </si>
  <si>
    <t>2026-07-09T07:22:09.089Z</t>
  </si>
  <si>
    <t>WP-26-0102</t>
  </si>
  <si>
    <t>2026-07-11T07:27:23.475Z</t>
  </si>
  <si>
    <t>WP-26-0103</t>
  </si>
  <si>
    <t>2026-07-09T07:22:18.395Z</t>
  </si>
  <si>
    <t>WT-26-0094</t>
  </si>
  <si>
    <t>2026-07-08T07:01:19.994Z</t>
  </si>
  <si>
    <t>WT-26-0095</t>
  </si>
  <si>
    <t>2026-07-06T09:05:47.975Z</t>
  </si>
  <si>
    <t>WP-26-0104</t>
  </si>
  <si>
    <t>2026-07-06T07:54:51.772Z</t>
  </si>
  <si>
    <t>WT-26-0096</t>
  </si>
  <si>
    <t>TOP LOCATIONS BY PASS RATE</t>
  </si>
  <si>
    <t>2026-07-08T07:01:23.379Z</t>
  </si>
  <si>
    <t>Building 10</t>
  </si>
  <si>
    <t>WT-26-0098</t>
  </si>
  <si>
    <t>2026-07-08T07:23:07.638Z</t>
  </si>
  <si>
    <t>WT-26-0099</t>
  </si>
  <si>
    <t>2026-07-14T10:08:04.496Z</t>
  </si>
  <si>
    <t>WP-26-0105</t>
  </si>
  <si>
    <t>2026-07-11T07:27:27.484Z</t>
  </si>
  <si>
    <t>WP-26-0106</t>
  </si>
  <si>
    <t>2026-07-11T07:27:33.311Z</t>
  </si>
  <si>
    <t>WP-26-0107</t>
  </si>
  <si>
    <t>2026-07-16T09:35:49.214Z</t>
  </si>
  <si>
    <t>WP-26-0108</t>
  </si>
  <si>
    <t>2026-07-16T09:35:55.125Z</t>
  </si>
  <si>
    <t>WT-26-0100</t>
  </si>
  <si>
    <t>2026-07-14T10:08:09.779Z</t>
  </si>
  <si>
    <t>WP-26-0109</t>
  </si>
  <si>
    <t>2026-07-16T09:36:02.044Z</t>
  </si>
  <si>
    <t>WET GRANULATION-5</t>
  </si>
  <si>
    <t>WT-26-0101</t>
  </si>
  <si>
    <t>2026-07-21T10:42:22.121Z</t>
  </si>
  <si>
    <t>WT-26-0102</t>
  </si>
  <si>
    <t>2026-07-18T08:13:31.617Z</t>
  </si>
  <si>
    <t>WP-26-0110</t>
  </si>
  <si>
    <t>WET GRANULATION-2</t>
  </si>
  <si>
    <t>2026-07-18T08:12:24.315Z</t>
  </si>
  <si>
    <t>WP-26-0111</t>
  </si>
  <si>
    <t>TOOL WASHING</t>
  </si>
  <si>
    <t>2026-07-21T09:59:31.211Z</t>
  </si>
  <si>
    <t>WP-26-0112</t>
  </si>
  <si>
    <t>2026-07-21T09:59:35.626Z</t>
  </si>
  <si>
    <t>WASHING</t>
  </si>
  <si>
    <t>CIP SKID-1 FOR BIN WASHING-1</t>
  </si>
  <si>
    <t>CIP SKID-2 FOR BIN WASHING-1</t>
  </si>
  <si>
    <t>BINDER PREPARATION</t>
  </si>
  <si>
    <t>IPQC-2</t>
  </si>
  <si>
    <t>WATER TYPE PERFORMANCE</t>
  </si>
  <si>
    <t>WP-26-0113</t>
  </si>
  <si>
    <t>2026-07-21T09:59:41.337Z</t>
  </si>
  <si>
    <t>WP-26-0114</t>
  </si>
  <si>
    <t>2026-07-21T09:59:46.234Z</t>
  </si>
  <si>
    <t>WT-26-0103</t>
  </si>
  <si>
    <t>2026-07-22T12:03:20.388Z</t>
  </si>
  <si>
    <t>WT-26-0104</t>
  </si>
  <si>
    <t>2026-07-22T12:03:26.305Z</t>
  </si>
  <si>
    <t>WT-26-0105</t>
  </si>
  <si>
    <t>WFI06</t>
  </si>
  <si>
    <t>2026-07-22T12:03:31.687Z</t>
  </si>
  <si>
    <t>เก็บเพิ่มจาก oos
PW-M-2-26-001</t>
  </si>
  <si>
    <t>WP-26-0115</t>
  </si>
  <si>
    <t>2026-07-27T01:24:27.999Z</t>
  </si>
  <si>
    <t>WP-26-0116</t>
  </si>
  <si>
    <t>2026-07-27T01:24:33.374Z</t>
  </si>
  <si>
    <t>WT-26-0106</t>
  </si>
  <si>
    <t>2026-07-27T01:17:10.486Z</t>
  </si>
  <si>
    <t>WT-26-0107</t>
  </si>
  <si>
    <t>2026-08-07T01:40:01.847Z</t>
  </si>
  <si>
    <t>WT-26-0108</t>
  </si>
  <si>
    <t>2026-07-21T10:42:44.097Z</t>
  </si>
  <si>
    <t>WT-26-0109</t>
  </si>
  <si>
    <t>2026-07-31T04:32:58.878Z</t>
  </si>
  <si>
    <t>WP-26-0117</t>
  </si>
  <si>
    <t>2026-08-07T02:26:16.444Z</t>
  </si>
  <si>
    <t>WP-26-0118</t>
  </si>
  <si>
    <t>2026-08-07T02:26:20.012Z</t>
  </si>
  <si>
    <t>WT-26-0110</t>
  </si>
  <si>
    <t>2026-07-27T01:23:25.444Z</t>
  </si>
  <si>
    <t>WT-26-0111</t>
  </si>
  <si>
    <t>2026-07-27T03:16:43.781Z</t>
  </si>
  <si>
    <t>WT-26-0112</t>
  </si>
  <si>
    <t>2026-07-31T04:33:07.344Z</t>
  </si>
  <si>
    <t>WT-26-0113</t>
  </si>
  <si>
    <t>2026-07-27T01:23:28.140Z</t>
  </si>
  <si>
    <t>WP-26-0119</t>
  </si>
  <si>
    <t>2026-08-07T02:26:23.490Z</t>
  </si>
  <si>
    <t>WT-26-0114</t>
  </si>
  <si>
    <t>2026-07-31T04:33:03.708Z</t>
  </si>
  <si>
    <t>WT-26-0115</t>
  </si>
  <si>
    <t>2026-08-07T01:40:06.348Z</t>
  </si>
  <si>
    <t>WT-26-0116</t>
  </si>
  <si>
    <t>2026-08-07T01:40:10.363Z</t>
  </si>
  <si>
    <t>WT-26-0117</t>
  </si>
  <si>
    <t>2026-08-07T01:40:13.788Z</t>
  </si>
  <si>
    <t>WT-26-0118</t>
  </si>
  <si>
    <t>2026-08-07T01:40:17.323Z</t>
  </si>
  <si>
    <t>WT-26-0119</t>
  </si>
  <si>
    <t>2026-08-07T01:40:21.383Z</t>
  </si>
  <si>
    <t>WT-26-0120</t>
  </si>
  <si>
    <t>2026-08-07T01:40:25.014Z</t>
  </si>
  <si>
    <t>WT-26-0121</t>
  </si>
  <si>
    <t>2026-08-11T08:39:46.539Z</t>
  </si>
  <si>
    <t>WT-26-0122</t>
  </si>
  <si>
    <t>2026-08-11T08:39:51.186Z</t>
  </si>
  <si>
    <t>WT-26-0123</t>
  </si>
  <si>
    <t>2026-08-07T01:40:36.042Z</t>
  </si>
  <si>
    <t>WT-26-0124</t>
  </si>
  <si>
    <t>2026-08-14T01:30:26.635Z</t>
  </si>
  <si>
    <t>WT-26-0125</t>
  </si>
  <si>
    <t>2026-08-11T08:40:00.477Z</t>
  </si>
  <si>
    <t>WT-26-0126</t>
  </si>
  <si>
    <t>2026-08-11T08:40:06.111Z</t>
  </si>
  <si>
    <t>WT-26-0127</t>
  </si>
  <si>
    <t>2026-08-11T08:40:10.395Z</t>
  </si>
  <si>
    <t>WP-26-0120</t>
  </si>
  <si>
    <t>2026-08-12T08:18:35.937Z</t>
  </si>
  <si>
    <t>WP-26-0121</t>
  </si>
  <si>
    <t>2026-08-12T08:18:40.372Z</t>
  </si>
  <si>
    <t>WP-26-0122</t>
  </si>
  <si>
    <t>2026-08-12T08:18:43.663Z</t>
  </si>
  <si>
    <t>WP-26-0123</t>
  </si>
  <si>
    <t>2026-08-12T08:18:47.237Z</t>
  </si>
  <si>
    <t>WP-26-0124</t>
  </si>
  <si>
    <t>2026-08-12T08:18:50.911Z</t>
  </si>
  <si>
    <t>PQ3-Day4</t>
  </si>
  <si>
    <t>WT-26-0128</t>
  </si>
  <si>
    <t>2026-08-11T08:40:12.937Z</t>
  </si>
  <si>
    <t>WP-26-0125</t>
  </si>
  <si>
    <t>2026-08-15T08:14:01.736Z</t>
  </si>
  <si>
    <t>WP-26-0126</t>
  </si>
  <si>
    <t>2026-08-12T08:18:55.663Z</t>
  </si>
  <si>
    <t>WT-26-0129</t>
  </si>
  <si>
    <t>2026-08-15T08:11:38.410Z</t>
  </si>
  <si>
    <t>WT-26-0130</t>
  </si>
  <si>
    <t>2026-08-15T08:11:42.632Z</t>
  </si>
  <si>
    <t>WT-26-0131</t>
  </si>
  <si>
    <t>synced</t>
  </si>
  <si>
    <t>2026-08-15T08:11:46.749Z</t>
  </si>
  <si>
    <t>WT-26-0132</t>
  </si>
  <si>
    <t>2026-08-21T09:34:10.066Z</t>
  </si>
  <si>
    <t>WT-26-0133</t>
  </si>
  <si>
    <t>2026-08-21T09:34:13.317Z</t>
  </si>
  <si>
    <t>WT-26-0134</t>
  </si>
  <si>
    <t>2026-08-15T08:11:54.045Z</t>
  </si>
  <si>
    <t>WP-26-0127</t>
  </si>
  <si>
    <t>2026-08-29T08:10:48.715Z</t>
  </si>
  <si>
    <t>WP-26-0128</t>
  </si>
  <si>
    <t>2026-08-15T08:14:07.228Z</t>
  </si>
  <si>
    <t>WT-26-0135</t>
  </si>
  <si>
    <t>2026-08-17T06:17:44.764Z</t>
  </si>
  <si>
    <t>WP-26-0129</t>
  </si>
  <si>
    <t>2026-08-29T08:10:51.738Z</t>
  </si>
  <si>
    <t>WP-26-0130</t>
  </si>
  <si>
    <t>2026-08-20T09:14:03.330Z</t>
  </si>
  <si>
    <t>WP-26-0131</t>
  </si>
  <si>
    <t>2026-08-20T09:14:05.850Z</t>
  </si>
  <si>
    <t>WP-26-0132</t>
  </si>
  <si>
    <t>2026-08-29T08:10:56.083Z</t>
  </si>
  <si>
    <t>WP-26-0133</t>
  </si>
  <si>
    <t>Building 16</t>
  </si>
  <si>
    <t>2026-08-21T09:46:23.386Z</t>
  </si>
  <si>
    <t>WT-26-0136</t>
  </si>
  <si>
    <t>2026-08-21T09:34:15.933Z</t>
  </si>
  <si>
    <t>WT-26-0137</t>
  </si>
  <si>
    <t>2026-08-21T09:34:19.238Z</t>
  </si>
  <si>
    <t>WT-26-0138</t>
  </si>
  <si>
    <t>2026-08-26T02:17:13.295Z</t>
  </si>
  <si>
    <t>WT-26-0139</t>
  </si>
  <si>
    <t>2026-08-26T02:17:18.180Z</t>
  </si>
  <si>
    <t>WT-26-0140</t>
  </si>
  <si>
    <t>2026-08-29T08:11:55.792Z</t>
  </si>
  <si>
    <t>WT-26-0141</t>
  </si>
  <si>
    <t>2026-08-29T08:11:59.716Z</t>
  </si>
  <si>
    <t>WP-26-0134</t>
  </si>
  <si>
    <t>2026-09-03T02:24:14.148Z</t>
  </si>
  <si>
    <t>WP-26-0135</t>
  </si>
  <si>
    <t>2026-08-29T08:11:01.731Z</t>
  </si>
  <si>
    <t>WP-26-0136</t>
  </si>
  <si>
    <t>2026-08-29T08:11:04.100Z</t>
  </si>
  <si>
    <t>WP-26-0137</t>
  </si>
  <si>
    <t>2026-09-03T02:24:19.340Z</t>
  </si>
  <si>
    <t>GOSD01</t>
  </si>
  <si>
    <t>WP-26-0138</t>
  </si>
  <si>
    <t>2026-08-29T08:11:09.602Z</t>
  </si>
  <si>
    <t>WT-26-0142</t>
  </si>
  <si>
    <t>2026-09-01T10:01:44.346Z</t>
  </si>
  <si>
    <t>WT-26-0143</t>
  </si>
  <si>
    <t>2026-09-01T10:01:48.176Z</t>
  </si>
  <si>
    <t>WT-26-0144</t>
  </si>
  <si>
    <t>2026-09-01T10:01:52.774Z</t>
  </si>
  <si>
    <t>WP-26-0139</t>
  </si>
  <si>
    <t>2026-09-03T02:24:22.264Z</t>
  </si>
  <si>
    <t>WP-26-0140</t>
  </si>
  <si>
    <t>2026-09-03T02:24:25.651Z</t>
  </si>
  <si>
    <t>WP-26-0141</t>
  </si>
  <si>
    <t>2026-09-03T02:24:29.003Z</t>
  </si>
  <si>
    <t>PQ3-Week3</t>
  </si>
  <si>
    <t>WFI09</t>
  </si>
  <si>
    <t>GOSD03</t>
  </si>
  <si>
    <t>WFI10</t>
  </si>
  <si>
    <t>GOSD04</t>
  </si>
  <si>
    <t>PQ3-Day5</t>
  </si>
  <si>
    <t>V12-4</t>
  </si>
  <si>
    <t>Pre PQ3/WFI</t>
  </si>
  <si>
    <t>WFI11</t>
  </si>
  <si>
    <t>OLD29</t>
  </si>
  <si>
    <t>GOSD05</t>
  </si>
  <si>
    <t>PQ3-Week1</t>
  </si>
  <si>
    <t>NA</t>
  </si>
  <si>
    <t>GWFI01</t>
  </si>
  <si>
    <t>WP-26-0001</t>
  </si>
  <si>
    <t>PQ3-Day1</t>
  </si>
  <si>
    <t>GOSD06</t>
  </si>
  <si>
    <t>pending</t>
  </si>
  <si>
    <t>SV213.01</t>
  </si>
  <si>
    <t>GWFI02</t>
  </si>
  <si>
    <t>WT-26-0001</t>
  </si>
  <si>
    <t>GOSD07</t>
  </si>
  <si>
    <t>complete</t>
  </si>
  <si>
    <t>SV217.01</t>
  </si>
  <si>
    <t>GWFI03</t>
  </si>
  <si>
    <t>OLD30</t>
  </si>
  <si>
    <t>GOSD08</t>
  </si>
  <si>
    <t>WFI03</t>
  </si>
  <si>
    <t>SV216.02</t>
  </si>
  <si>
    <t>OLD26</t>
  </si>
  <si>
    <t>OSD13</t>
  </si>
  <si>
    <t>WFI04</t>
  </si>
  <si>
    <t>SV216.04</t>
  </si>
  <si>
    <t>WFI05</t>
  </si>
  <si>
    <t>OSD14</t>
  </si>
  <si>
    <t>OLD24</t>
  </si>
  <si>
    <t>WFI</t>
  </si>
  <si>
    <t>OSD15</t>
  </si>
  <si>
    <t>WP-26-0002</t>
  </si>
  <si>
    <t>WFI01</t>
  </si>
  <si>
    <t>PQ3-Day2</t>
  </si>
  <si>
    <t>OLD25</t>
  </si>
  <si>
    <t>OSD16</t>
  </si>
  <si>
    <t>WFI02</t>
  </si>
  <si>
    <t>SV216.03</t>
  </si>
  <si>
    <t>OLD22</t>
  </si>
  <si>
    <t>OSD17</t>
  </si>
  <si>
    <t>POU HE216.03</t>
  </si>
  <si>
    <t>PQ3-Day3</t>
  </si>
  <si>
    <t>OLD27</t>
  </si>
  <si>
    <t>OSD18</t>
  </si>
  <si>
    <t>SV216.06</t>
  </si>
  <si>
    <t>WFI07</t>
  </si>
  <si>
    <t>OSD19</t>
  </si>
  <si>
    <t>WFI08</t>
  </si>
  <si>
    <t>OLD21</t>
  </si>
  <si>
    <t>WP-26-0003</t>
  </si>
  <si>
    <t>OSD20</t>
  </si>
  <si>
    <t>OLD28</t>
  </si>
  <si>
    <t>OSD21</t>
  </si>
  <si>
    <t>SV216.05</t>
  </si>
  <si>
    <t>OSD41</t>
  </si>
  <si>
    <t>SV216.10</t>
  </si>
  <si>
    <t>OLD23</t>
  </si>
  <si>
    <t>OSD42</t>
  </si>
  <si>
    <t>WP-26-0004</t>
  </si>
  <si>
    <t>GOLD07</t>
  </si>
  <si>
    <t>BU19-14</t>
  </si>
  <si>
    <t>Building 19</t>
  </si>
  <si>
    <t>POU HE216.01</t>
  </si>
  <si>
    <t>GOLD03</t>
  </si>
  <si>
    <t>GOLD05</t>
  </si>
  <si>
    <t>PQ3-Week4</t>
  </si>
  <si>
    <t>Building 12</t>
  </si>
  <si>
    <t>GOLD06</t>
  </si>
  <si>
    <t>ข้างถัง</t>
  </si>
  <si>
    <t>GOLD04</t>
  </si>
  <si>
    <t>POU HE216.02</t>
  </si>
  <si>
    <t>GOLD02</t>
  </si>
  <si>
    <t>OLD06</t>
  </si>
  <si>
    <t>GOLD01</t>
  </si>
  <si>
    <t>OLD07</t>
  </si>
  <si>
    <t>WP-26-0005</t>
  </si>
  <si>
    <t>OCL02</t>
  </si>
  <si>
    <t>IR: 1100003786</t>
  </si>
  <si>
    <t>OLD08</t>
  </si>
  <si>
    <t>WT-26-0002</t>
  </si>
  <si>
    <t>OCL01</t>
  </si>
  <si>
    <t>POU HE216.04</t>
  </si>
  <si>
    <t>OLD09</t>
  </si>
  <si>
    <t>OCL04</t>
  </si>
  <si>
    <t>OLD11</t>
  </si>
  <si>
    <t>POU HE216.05</t>
  </si>
  <si>
    <t>OCL05</t>
  </si>
  <si>
    <t>OLD16</t>
  </si>
  <si>
    <t>OCL03</t>
  </si>
  <si>
    <t>OLD18</t>
  </si>
  <si>
    <t>OCL22</t>
  </si>
  <si>
    <t>WP-26-0006</t>
  </si>
  <si>
    <t>OLD32</t>
  </si>
  <si>
    <t>GOCL08</t>
  </si>
  <si>
    <t>OLD33</t>
  </si>
  <si>
    <t>GOCL03</t>
  </si>
  <si>
    <t>GOCL05</t>
  </si>
  <si>
    <t>GOCL04</t>
  </si>
  <si>
    <t>GOCL07</t>
  </si>
  <si>
    <t>GOCL02</t>
  </si>
  <si>
    <t>GOCL01</t>
  </si>
  <si>
    <t>OCL13</t>
  </si>
  <si>
    <t>WP-26-0007</t>
  </si>
  <si>
    <t>OCL14</t>
  </si>
  <si>
    <t>WT-26-0003</t>
  </si>
  <si>
    <t>OSD12</t>
  </si>
  <si>
    <t>WT-26-0004</t>
  </si>
  <si>
    <t>OCL15</t>
  </si>
  <si>
    <t>OSD11</t>
  </si>
  <si>
    <t>COMMU: WFI-M-2-26-001</t>
  </si>
  <si>
    <t>OCL17</t>
  </si>
  <si>
    <t>OSD09</t>
  </si>
  <si>
    <t>OCL21</t>
  </si>
  <si>
    <t>COMMU: PW-M-2-26-005</t>
  </si>
  <si>
    <t>OSD07</t>
  </si>
  <si>
    <t>OCL23</t>
  </si>
  <si>
    <t>WP-26-0008</t>
  </si>
  <si>
    <t>OSD27</t>
  </si>
  <si>
    <t>OSD06</t>
  </si>
  <si>
    <t>OSD10</t>
  </si>
  <si>
    <t>OSD01</t>
  </si>
  <si>
    <t>OSD08</t>
  </si>
  <si>
    <t>OSD02</t>
  </si>
  <si>
    <t>OSD03</t>
  </si>
  <si>
    <t>OSD04</t>
  </si>
  <si>
    <t>OSD05</t>
  </si>
  <si>
    <t>COMMU : PW-M-2-26-002</t>
  </si>
  <si>
    <t>OSD34</t>
  </si>
  <si>
    <t>OSD35</t>
  </si>
  <si>
    <t>PQ3-Week2</t>
  </si>
  <si>
    <t>WT-26-0005</t>
  </si>
  <si>
    <t>OSD43</t>
  </si>
  <si>
    <t>WP-26-0010</t>
  </si>
  <si>
    <t>OOS 69-ANF3-016</t>
  </si>
  <si>
    <t>WP-26-0009</t>
  </si>
  <si>
    <t>OLD15</t>
  </si>
  <si>
    <t>WT-26-0006</t>
  </si>
  <si>
    <t>OLD31</t>
  </si>
  <si>
    <t>WP-26-0012</t>
  </si>
  <si>
    <t>OLD12</t>
  </si>
  <si>
    <t>IR: 1100003879</t>
  </si>
  <si>
    <t>เก็บไม่ได้</t>
  </si>
  <si>
    <t>OLD14</t>
  </si>
  <si>
    <t>OLD13</t>
  </si>
  <si>
    <t>WP-26-0013</t>
  </si>
  <si>
    <t>OLD05</t>
  </si>
  <si>
    <t>OLD04</t>
  </si>
  <si>
    <t>OLD03</t>
  </si>
  <si>
    <t>WP-26-0014</t>
  </si>
  <si>
    <t>OSD36</t>
  </si>
  <si>
    <t>WT-26-0007</t>
  </si>
  <si>
    <t>OSD40</t>
  </si>
  <si>
    <t>WP-26-0015</t>
  </si>
  <si>
    <t>OSD39</t>
  </si>
  <si>
    <t>WP-26-0016</t>
  </si>
  <si>
    <t>OSD37</t>
  </si>
  <si>
    <t>OSD38</t>
  </si>
  <si>
    <t>OSD25</t>
  </si>
  <si>
    <t>OSD24</t>
  </si>
  <si>
    <t>WP-26-0017</t>
  </si>
  <si>
    <t>OSD31</t>
  </si>
  <si>
    <t>OSD30</t>
  </si>
  <si>
    <t>WP-26-0018</t>
  </si>
  <si>
    <t>OSD26</t>
  </si>
  <si>
    <t>OSD23</t>
  </si>
  <si>
    <t>OSD22</t>
  </si>
  <si>
    <t>WP-26-0019</t>
  </si>
  <si>
    <t>OSD33</t>
  </si>
  <si>
    <t>OSD32</t>
  </si>
  <si>
    <t>WP-26-0020</t>
  </si>
  <si>
    <t>OSD29</t>
  </si>
  <si>
    <t>WP-26-0021</t>
  </si>
  <si>
    <t>OLD19</t>
  </si>
  <si>
    <t>WT-26-0009</t>
  </si>
  <si>
    <t>OLD17</t>
  </si>
  <si>
    <t>OLD34</t>
  </si>
  <si>
    <t>OLD20</t>
  </si>
  <si>
    <t>OLD01</t>
  </si>
  <si>
    <t>OLD10</t>
  </si>
  <si>
    <t>WP-26-0022</t>
  </si>
  <si>
    <t>OLD02</t>
  </si>
  <si>
    <t>WP-26-0023</t>
  </si>
  <si>
    <t>OCL09</t>
  </si>
  <si>
    <t>WP-26-0024</t>
  </si>
  <si>
    <t>OCL10</t>
  </si>
  <si>
    <t>COMMU: PW-M-2-26-003</t>
  </si>
  <si>
    <t>OCL11</t>
  </si>
  <si>
    <t>OCL24</t>
  </si>
  <si>
    <t>WP-26-0025</t>
  </si>
  <si>
    <t>WT-26-0010</t>
  </si>
  <si>
    <t>OCL12</t>
  </si>
  <si>
    <t>OCL08</t>
  </si>
  <si>
    <t>OCL19</t>
  </si>
  <si>
    <t>OCL20</t>
  </si>
  <si>
    <t>WP-26-0030</t>
  </si>
  <si>
    <t>OCL18</t>
  </si>
  <si>
    <t>OCL06</t>
  </si>
  <si>
    <t>OCL16</t>
  </si>
  <si>
    <t>OCL07</t>
  </si>
  <si>
    <t>WP-26-0026</t>
  </si>
  <si>
    <t>WP-26-0027</t>
  </si>
  <si>
    <t>WP-26-0028</t>
  </si>
  <si>
    <t>WT-26-0011</t>
  </si>
  <si>
    <t>WP-26-0029</t>
  </si>
  <si>
    <t>B11</t>
  </si>
  <si>
    <t>WP-26-0032</t>
  </si>
  <si>
    <t>WP-26-0031</t>
  </si>
  <si>
    <t>WP-26-0046</t>
  </si>
  <si>
    <t>GOSD02</t>
  </si>
  <si>
    <t>WP-26-0045</t>
  </si>
  <si>
    <t>COMMU: PW-M-2-26-004</t>
  </si>
  <si>
    <t>WT-26-0012</t>
  </si>
  <si>
    <t>WT-26-0013</t>
  </si>
  <si>
    <t>Special</t>
  </si>
  <si>
    <t>shutdown 36 hr. (ช.)</t>
  </si>
  <si>
    <t>WP-26-0033</t>
  </si>
  <si>
    <t>shutdown 36 hr.</t>
  </si>
  <si>
    <t>WT-26-0014</t>
  </si>
  <si>
    <t>WP-26-0034</t>
  </si>
  <si>
    <t>WP-26-0035</t>
  </si>
  <si>
    <t>WP-26-0036</t>
  </si>
  <si>
    <t>WT-26-0015</t>
  </si>
  <si>
    <t>WP-26-0037</t>
  </si>
  <si>
    <t>WP-26-0038</t>
  </si>
  <si>
    <t>WP-26-0039</t>
  </si>
  <si>
    <t>WP-26-0040</t>
  </si>
  <si>
    <t>error</t>
  </si>
  <si>
    <t>WT-26-0016</t>
  </si>
  <si>
    <t>WP-26-0041</t>
  </si>
  <si>
    <t>WP-26-0042</t>
  </si>
  <si>
    <t>WP-26-0043</t>
  </si>
  <si>
    <t>WP-26-0044</t>
  </si>
  <si>
    <t>WP-26-0047</t>
  </si>
  <si>
    <t>WT-26-0017</t>
  </si>
  <si>
    <t>WP-26-0049</t>
  </si>
  <si>
    <t>WP-26-0048</t>
  </si>
  <si>
    <t>WP-26-0050</t>
  </si>
  <si>
    <t>WP-26-0051</t>
  </si>
  <si>
    <t>WP-26-0052</t>
  </si>
  <si>
    <t>waterSystem</t>
  </si>
  <si>
    <t>Criteria</t>
  </si>
  <si>
    <t>Unit</t>
  </si>
  <si>
    <t>Spec</t>
  </si>
  <si>
    <t>SV-14</t>
  </si>
  <si>
    <t>PROCESS WATER (B19)</t>
  </si>
  <si>
    <t>GENERATION SYSTEM</t>
  </si>
  <si>
    <t>cfu/ml</t>
  </si>
  <si>
    <t>BU19-15</t>
  </si>
  <si>
    <t>SV-15</t>
  </si>
  <si>
    <t>VB-05(10)</t>
  </si>
  <si>
    <t>WATER SYSTEM (B10)</t>
  </si>
  <si>
    <t>V50-60(10)</t>
  </si>
  <si>
    <t>Before Cartridge filter 5 µm (B10)</t>
  </si>
  <si>
    <t>WT-26-0018</t>
  </si>
  <si>
    <t>cfu/100ml</t>
  </si>
  <si>
    <t>V50-61(10)</t>
  </si>
  <si>
    <t>V50-11C(10)</t>
  </si>
  <si>
    <t>V50-39(10)</t>
  </si>
  <si>
    <t>SV113.01</t>
  </si>
  <si>
    <t>After Storage tank (B10)</t>
  </si>
  <si>
    <t>WT-26-0019</t>
  </si>
  <si>
    <t>SV115.02</t>
  </si>
  <si>
    <t>After UV (B10)</t>
  </si>
  <si>
    <t>SV117.01</t>
  </si>
  <si>
    <t>Return loop (B10)</t>
  </si>
  <si>
    <t>SV116.15</t>
  </si>
  <si>
    <t>10-4-012</t>
  </si>
  <si>
    <t>DISTRIBUTION LOOP SYSTEM</t>
  </si>
  <si>
    <t>SV116.16</t>
  </si>
  <si>
    <t>WIP SKID-3 FOR GRANULATION POTENT</t>
  </si>
  <si>
    <t>WP-26-0053</t>
  </si>
  <si>
    <t>SV116.17</t>
  </si>
  <si>
    <t>SV116.18</t>
  </si>
  <si>
    <t>WIP SKID-1 FOR GRANULATION NON POTENT</t>
  </si>
  <si>
    <t>SV116.19</t>
  </si>
  <si>
    <t>WIP SKID-2 FOR GRANULATION NON POTENT</t>
  </si>
  <si>
    <t>DV116.18</t>
  </si>
  <si>
    <t>10-3-111</t>
  </si>
  <si>
    <t>DV116.16</t>
  </si>
  <si>
    <t>10-3-107</t>
  </si>
  <si>
    <t>SV116.11</t>
  </si>
  <si>
    <t>DV116.14</t>
  </si>
  <si>
    <t>10-3-086</t>
  </si>
  <si>
    <t>WP-26-0054</t>
  </si>
  <si>
    <t>SV116.09</t>
  </si>
  <si>
    <t>10-3-078</t>
  </si>
  <si>
    <t>DV116.13</t>
  </si>
  <si>
    <t>DV116.12</t>
  </si>
  <si>
    <t>DV116.25</t>
  </si>
  <si>
    <t>TOOL WASHING-P</t>
  </si>
  <si>
    <t>10-3-171</t>
  </si>
  <si>
    <t>DV116.24</t>
  </si>
  <si>
    <t>WET GRANULATION 1-P</t>
  </si>
  <si>
    <t>10-3-163</t>
  </si>
  <si>
    <t>DV116.23</t>
  </si>
  <si>
    <t>BINDER PREPARATION-P</t>
  </si>
  <si>
    <t>10-3-159</t>
  </si>
  <si>
    <t>DV116.21</t>
  </si>
  <si>
    <t>WASHING-P</t>
  </si>
  <si>
    <t>10-3-152</t>
  </si>
  <si>
    <t>DV116.22</t>
  </si>
  <si>
    <t>WP-26-0055</t>
  </si>
  <si>
    <t>SV116.13</t>
  </si>
  <si>
    <t>DV116.20</t>
  </si>
  <si>
    <t>IPQC-1-P</t>
  </si>
  <si>
    <t>10-3-149</t>
  </si>
  <si>
    <t>DV116.19</t>
  </si>
  <si>
    <t>COATING SOLUTION PREP.-P</t>
  </si>
  <si>
    <t>10-3-143</t>
  </si>
  <si>
    <t>SV116.12</t>
  </si>
  <si>
    <t>COATING-P</t>
  </si>
  <si>
    <t>10-3-144</t>
  </si>
  <si>
    <t>SV116.05</t>
  </si>
  <si>
    <t>COATING ROOM-3</t>
  </si>
  <si>
    <t>10-3-062</t>
  </si>
  <si>
    <t>SV116.04</t>
  </si>
  <si>
    <t>COATING ROOM-2</t>
  </si>
  <si>
    <t>10-3-061</t>
  </si>
  <si>
    <t>DV116.09</t>
  </si>
  <si>
    <t>COATING SOLUTION PREP.-2</t>
  </si>
  <si>
    <t>10-3-060</t>
  </si>
  <si>
    <t>DV116.08</t>
  </si>
  <si>
    <t>COATING SOLUTION PREP.-1</t>
  </si>
  <si>
    <t>10-3-059</t>
  </si>
  <si>
    <t>SV116.03</t>
  </si>
  <si>
    <t>COATING ROOM-1</t>
  </si>
  <si>
    <t>10-3-058</t>
  </si>
  <si>
    <t>WP-26-0056</t>
  </si>
  <si>
    <t>DV116.17</t>
  </si>
  <si>
    <t>10-3-117</t>
  </si>
  <si>
    <t>DV116.15</t>
  </si>
  <si>
    <t>10-3-104</t>
  </si>
  <si>
    <t>SV116.08</t>
  </si>
  <si>
    <t>COATING ROOM-6</t>
  </si>
  <si>
    <t>10-3-067</t>
  </si>
  <si>
    <t>DV116.11</t>
  </si>
  <si>
    <t>COATING SOLUTION PREP.-4</t>
  </si>
  <si>
    <t>10-3-066</t>
  </si>
  <si>
    <t>DV116.10</t>
  </si>
  <si>
    <t>COATING SOLUTION PREP.-3</t>
  </si>
  <si>
    <t>10-3-065</t>
  </si>
  <si>
    <t>COMMU : PW-M-2-26-007</t>
  </si>
  <si>
    <t>SV116.07</t>
  </si>
  <si>
    <t>COATING ROOM-5</t>
  </si>
  <si>
    <t>10-3-064</t>
  </si>
  <si>
    <t>SV116.06</t>
  </si>
  <si>
    <t>COATING ROOM-4</t>
  </si>
  <si>
    <t>10-3-063</t>
  </si>
  <si>
    <t>SV116.02</t>
  </si>
  <si>
    <t>SKID FOR BIN WASHING-2</t>
  </si>
  <si>
    <t>10-2-037</t>
  </si>
  <si>
    <t>SV116.01</t>
  </si>
  <si>
    <t>INSTRUMENT-1</t>
  </si>
  <si>
    <t>10-2-021</t>
  </si>
  <si>
    <t>DV116.03</t>
  </si>
  <si>
    <t>SAMPLE PREPARATION</t>
  </si>
  <si>
    <t>10-2-034</t>
  </si>
  <si>
    <t>DV116.06</t>
  </si>
  <si>
    <t>DV116.07</t>
  </si>
  <si>
    <t>GLASS-WARE WASHING</t>
  </si>
  <si>
    <t>10-2-032</t>
  </si>
  <si>
    <t>DV116.05</t>
  </si>
  <si>
    <t>DV116.04</t>
  </si>
  <si>
    <t>SKID FOR BIN WASHING-1</t>
  </si>
  <si>
    <t>DV116.02</t>
  </si>
  <si>
    <t>10-1-115</t>
  </si>
  <si>
    <t>DV116.01</t>
  </si>
  <si>
    <t>10-1-057</t>
  </si>
  <si>
    <t>DV116.26</t>
  </si>
  <si>
    <t>WATER SYSTEM ROOM</t>
  </si>
  <si>
    <t>WP-26-0057</t>
  </si>
  <si>
    <t>10-4-015</t>
  </si>
  <si>
    <t>VB-05 (12)</t>
  </si>
  <si>
    <t>After Chlorine circulation tank</t>
  </si>
  <si>
    <t>WATER SYSTEM (B12)</t>
  </si>
  <si>
    <t>V50-61 (12)</t>
  </si>
  <si>
    <t>V50-11C (12)</t>
  </si>
  <si>
    <t>V50-39 (12)</t>
  </si>
  <si>
    <t>SV133.01</t>
  </si>
  <si>
    <t>After Storage tank (B12)</t>
  </si>
  <si>
    <t>SV135.02</t>
  </si>
  <si>
    <t>After UV (B12)</t>
  </si>
  <si>
    <t>SV137.01</t>
  </si>
  <si>
    <t>Return loop (B12)</t>
  </si>
  <si>
    <t>DV136.17</t>
  </si>
  <si>
    <t>12-2-065</t>
  </si>
  <si>
    <t>SV136.16</t>
  </si>
  <si>
    <t>CIP 2</t>
  </si>
  <si>
    <t>12-2-057</t>
  </si>
  <si>
    <t>SV136.12</t>
  </si>
  <si>
    <t>CIP 1</t>
  </si>
  <si>
    <t>12-2-036</t>
  </si>
  <si>
    <t>SV136.07</t>
  </si>
  <si>
    <t>SYRUP PREPARATION</t>
  </si>
  <si>
    <t>WP-26-0058</t>
  </si>
  <si>
    <t>12-2-034</t>
  </si>
  <si>
    <t>SV136.06</t>
  </si>
  <si>
    <t>SV136.09</t>
  </si>
  <si>
    <t>MFG 1</t>
  </si>
  <si>
    <t>12-2-039</t>
  </si>
  <si>
    <t>SV136.10</t>
  </si>
  <si>
    <t>MFG 2</t>
  </si>
  <si>
    <t>12-2-041</t>
  </si>
  <si>
    <t>SV136.11</t>
  </si>
  <si>
    <t>MFG 3</t>
  </si>
  <si>
    <t>12-2-043</t>
  </si>
  <si>
    <t>SV136.13</t>
  </si>
  <si>
    <t>SV136.15</t>
  </si>
  <si>
    <t>CIP 3</t>
  </si>
  <si>
    <t>12-2-055</t>
  </si>
  <si>
    <t>SV136.08</t>
  </si>
  <si>
    <t>WT-26-0020</t>
  </si>
  <si>
    <t>SV136.03</t>
  </si>
  <si>
    <t>CAMPHORATED OPIUM TINCTURE</t>
  </si>
  <si>
    <t>WP-26-0059</t>
  </si>
  <si>
    <t>12-2-032</t>
  </si>
  <si>
    <t>SV136.05</t>
  </si>
  <si>
    <t>SV136.04</t>
  </si>
  <si>
    <t>OPIUM TINCTURE</t>
  </si>
  <si>
    <t>12-2-030</t>
  </si>
  <si>
    <t>DV136.02</t>
  </si>
  <si>
    <t>12-2-028</t>
  </si>
  <si>
    <t>SV136.14</t>
  </si>
  <si>
    <t>MFG 4</t>
  </si>
  <si>
    <t>12-2-045</t>
  </si>
  <si>
    <t>DV136.03</t>
  </si>
  <si>
    <t>IPQC</t>
  </si>
  <si>
    <t>12-2-053</t>
  </si>
  <si>
    <t>SV136.02</t>
  </si>
  <si>
    <t>LIQUORICE EXTRACT</t>
  </si>
  <si>
    <t>12-2-024</t>
  </si>
  <si>
    <t>DV136.01</t>
  </si>
  <si>
    <t>SUGAR TRANSFERRING</t>
  </si>
  <si>
    <t>12-1-035</t>
  </si>
  <si>
    <t>DV136.16</t>
  </si>
  <si>
    <t>12-1-064</t>
  </si>
  <si>
    <t>DV136.15</t>
  </si>
  <si>
    <t>GLASSWARE WASHING 2</t>
  </si>
  <si>
    <t>12-3-078</t>
  </si>
  <si>
    <t>DV136.13</t>
  </si>
  <si>
    <t>STERILIZATION</t>
  </si>
  <si>
    <t>12-3-057</t>
  </si>
  <si>
    <t>SV136.18</t>
  </si>
  <si>
    <t>12-3-059</t>
  </si>
  <si>
    <t>DV136.11</t>
  </si>
  <si>
    <t>DV136.12</t>
  </si>
  <si>
    <t>MEDIA PREPARATION</t>
  </si>
  <si>
    <t>12-3-056</t>
  </si>
  <si>
    <t>DV136.10</t>
  </si>
  <si>
    <t>DV136.14</t>
  </si>
  <si>
    <t>DECONTAMINATION</t>
  </si>
  <si>
    <t>12-3-074</t>
  </si>
  <si>
    <t>DV136.18</t>
  </si>
  <si>
    <t>GLASSWARE WASHING 1</t>
  </si>
  <si>
    <t>12-3-037</t>
  </si>
  <si>
    <t>DV136.05</t>
  </si>
  <si>
    <t>DV136.06</t>
  </si>
  <si>
    <t>DV136.07</t>
  </si>
  <si>
    <t>INSTRUMENT 7</t>
  </si>
  <si>
    <t>12-3-039</t>
  </si>
  <si>
    <t>DV136.08</t>
  </si>
  <si>
    <t>12-3-042</t>
  </si>
  <si>
    <t>DV136.09</t>
  </si>
  <si>
    <t>DV136.04</t>
  </si>
  <si>
    <t>12-2-077</t>
  </si>
  <si>
    <t>VB-05 (16)</t>
  </si>
  <si>
    <t>WATER SYSTEM (B16)</t>
  </si>
  <si>
    <t>V50-61 (16)</t>
  </si>
  <si>
    <t>V50-11C (16)</t>
  </si>
  <si>
    <t>After RO (Before EDI) (B16)</t>
  </si>
  <si>
    <t>V50-39 (16)</t>
  </si>
  <si>
    <t>SV123.01</t>
  </si>
  <si>
    <t>After Storage tank (B16)</t>
  </si>
  <si>
    <t>GOCL06</t>
  </si>
  <si>
    <t>SV125.01</t>
  </si>
  <si>
    <t>SV125.02</t>
  </si>
  <si>
    <t>After UV (B16)</t>
  </si>
  <si>
    <t>SV127.01</t>
  </si>
  <si>
    <t>Return loop (B16)</t>
  </si>
  <si>
    <t>DV126.02</t>
  </si>
  <si>
    <t>16-1-082</t>
  </si>
  <si>
    <t>DV126.01</t>
  </si>
  <si>
    <t>SV126.02</t>
  </si>
  <si>
    <t>CIP/SIP (EQUIPMENT REQUIREMENT – 200L)</t>
  </si>
  <si>
    <t>16-1-098</t>
  </si>
  <si>
    <t>DV126.03</t>
  </si>
  <si>
    <t>CIP/SIP (SINK WASHING)</t>
  </si>
  <si>
    <t>SV126.01</t>
  </si>
  <si>
    <t>LINEN WASHING</t>
  </si>
  <si>
    <t>16-1-092</t>
  </si>
  <si>
    <t>SV126.06</t>
  </si>
  <si>
    <t>16-3-067</t>
  </si>
  <si>
    <t>SV126.21</t>
  </si>
  <si>
    <t>CIP 1 (EQUIPMENT REQUIREMENT)</t>
  </si>
  <si>
    <t>16-3-090</t>
  </si>
  <si>
    <t>DV126.09</t>
  </si>
  <si>
    <t>CIP 1 (ZINK WASHING)</t>
  </si>
  <si>
    <t>DV126.10</t>
  </si>
  <si>
    <t>16-3-069</t>
  </si>
  <si>
    <t>DV126.06</t>
  </si>
  <si>
    <t>COMMU : PW-M-2-26-006</t>
  </si>
  <si>
    <t>SV126.10</t>
  </si>
  <si>
    <t>MFG 3 (1200L)</t>
  </si>
  <si>
    <t>16-3-071</t>
  </si>
  <si>
    <t>SV126.09</t>
  </si>
  <si>
    <t>MFG 3 (5000L)</t>
  </si>
  <si>
    <t>SV126.19</t>
  </si>
  <si>
    <t>CIP 2 (EQUIPMENT REQUIREMENT)</t>
  </si>
  <si>
    <t>16-3-087</t>
  </si>
  <si>
    <t>DV126.11</t>
  </si>
  <si>
    <t>MFG 4 (5000L)</t>
  </si>
  <si>
    <t>16-3-073</t>
  </si>
  <si>
    <t>SV126.14</t>
  </si>
  <si>
    <t>MFG 4 (400L)</t>
  </si>
  <si>
    <t>SV126.18</t>
  </si>
  <si>
    <t>CIP 3 (EQUIPMENT REQUIREMENT)</t>
  </si>
  <si>
    <t>16-3-085</t>
  </si>
  <si>
    <t>WT-26-0021</t>
  </si>
  <si>
    <t>SV126.15</t>
  </si>
  <si>
    <t>MFG 5 PROCESS (2000L)</t>
  </si>
  <si>
    <t>16-3-075</t>
  </si>
  <si>
    <t>DV126.08</t>
  </si>
  <si>
    <t>MFG 6</t>
  </si>
  <si>
    <t>16-3-077</t>
  </si>
  <si>
    <t>DV126.07</t>
  </si>
  <si>
    <t>SV126.05</t>
  </si>
  <si>
    <t>16-3-049</t>
  </si>
  <si>
    <t>DV126.05</t>
  </si>
  <si>
    <t>16-3-054</t>
  </si>
  <si>
    <t>SV126.03</t>
  </si>
  <si>
    <t>WATER SYSTEM (WFI)</t>
  </si>
  <si>
    <t>16-2-010</t>
  </si>
  <si>
    <t>SV126.04</t>
  </si>
  <si>
    <t>WATER SYSTEM (PSG)</t>
  </si>
  <si>
    <t>DV126.04</t>
  </si>
  <si>
    <t>WATER SYSTEM (PW)</t>
  </si>
  <si>
    <t>AFTER WFI GENERATOR</t>
  </si>
  <si>
    <t>WP-26-0061</t>
  </si>
  <si>
    <t>AFTER STORAGE TANK</t>
  </si>
  <si>
    <t>RETURN LOOP</t>
  </si>
  <si>
    <t>COMPOUNDING-01</t>
  </si>
  <si>
    <t>16-1-107</t>
  </si>
  <si>
    <t>WASHING/TUNNEL-02</t>
  </si>
  <si>
    <t>16-1-096</t>
  </si>
  <si>
    <t>DISINFECTANT PREPARATION</t>
  </si>
  <si>
    <t>16-1-110</t>
  </si>
  <si>
    <t>WP-26-0062</t>
  </si>
  <si>
    <t>CIP/SIP</t>
  </si>
  <si>
    <t>WASHING/TUNNEL-01</t>
  </si>
  <si>
    <t>16-1-105</t>
  </si>
  <si>
    <t>COMPOUNDING-02</t>
  </si>
  <si>
    <t>16-1-114</t>
  </si>
  <si>
    <t>GPUS01</t>
  </si>
  <si>
    <t>V12-14</t>
  </si>
  <si>
    <t>After PUS Generator</t>
  </si>
  <si>
    <t>PUS</t>
  </si>
  <si>
    <t>PUS01</t>
  </si>
  <si>
    <t>BV319.33</t>
  </si>
  <si>
    <t>TERMINAL STERILIZER-01</t>
  </si>
  <si>
    <t>16-1-061</t>
  </si>
  <si>
    <t>PUS02</t>
  </si>
  <si>
    <t>BV319.56</t>
  </si>
  <si>
    <t>TERMINAL STERILIZER-02</t>
  </si>
  <si>
    <t>16-1-050</t>
  </si>
  <si>
    <t>PUS03</t>
  </si>
  <si>
    <t>BV319.57</t>
  </si>
  <si>
    <t>FILTRATION-01</t>
  </si>
  <si>
    <t>16-1-083</t>
  </si>
  <si>
    <t>WP-26-0063</t>
  </si>
  <si>
    <t>PUS04</t>
  </si>
  <si>
    <t>BV319.58</t>
  </si>
  <si>
    <t>PUS05</t>
  </si>
  <si>
    <t>BV319.59</t>
  </si>
  <si>
    <t>CIP / SIP</t>
  </si>
  <si>
    <t>PUS06</t>
  </si>
  <si>
    <t>BV319.60</t>
  </si>
  <si>
    <t>COMPONENT PREPARATION</t>
  </si>
  <si>
    <t>16-1-111</t>
  </si>
  <si>
    <t>PUS07</t>
  </si>
  <si>
    <t>BV319.55</t>
  </si>
  <si>
    <t>PUS08</t>
  </si>
  <si>
    <t>BV319.45</t>
  </si>
  <si>
    <t>FILTRATION-02</t>
  </si>
  <si>
    <t>16-1-077</t>
  </si>
  <si>
    <t>WT-26-0022</t>
  </si>
  <si>
    <t>WP-26-0064</t>
  </si>
  <si>
    <t>https://drive.google.com/drive/folders/1ee7LRvItfyxSZzd-Q-yVXdDGrdT5co9o</t>
  </si>
  <si>
    <t>Column 1</t>
  </si>
  <si>
    <t>COMMU : TS-M-2-26-001</t>
  </si>
  <si>
    <t>WP-26-0065</t>
  </si>
  <si>
    <t>WP-26-0066</t>
  </si>
  <si>
    <t>COMMU :  PW-M-2-26-008</t>
  </si>
  <si>
    <t>WP-26-0067</t>
  </si>
  <si>
    <t>WT-26-0023</t>
  </si>
  <si>
    <t>WP-26-0068</t>
  </si>
  <si>
    <t>COMMU: TS-M-2-26-002</t>
  </si>
  <si>
    <t xml:space="preserve"> </t>
  </si>
  <si>
    <t>WP-26-0069</t>
  </si>
  <si>
    <t>WP-26-0070</t>
  </si>
  <si>
    <t>WT-26-0024</t>
  </si>
  <si>
    <t>WP-26-0071</t>
  </si>
  <si>
    <t>WP-26-0072</t>
  </si>
  <si>
    <t>WT-26-0025</t>
  </si>
  <si>
    <t>WT-26-0026</t>
  </si>
  <si>
    <t>WP-26-0073</t>
  </si>
  <si>
    <t>WP-26-0074</t>
  </si>
  <si>
    <t>WP-26-0075</t>
  </si>
  <si>
    <t>WP-26-0076</t>
  </si>
  <si>
    <t>WP-26-0077</t>
  </si>
  <si>
    <t>WT-26-0027</t>
  </si>
  <si>
    <t>WP-26-0078</t>
  </si>
  <si>
    <t>w/o-Tube</t>
  </si>
  <si>
    <t>with-tube</t>
  </si>
  <si>
    <t>WT-26-0097</t>
  </si>
  <si>
    <t>WP-26-0079</t>
  </si>
  <si>
    <t>IR: 1100003933</t>
  </si>
  <si>
    <t>GOCL0A</t>
  </si>
  <si>
    <t>V50-60(16)</t>
  </si>
  <si>
    <t>BEFORE CARTRIDGE FILTER 5 MCM</t>
  </si>
  <si>
    <t>WT-26-0028</t>
  </si>
  <si>
    <t>WT-26-0029</t>
  </si>
  <si>
    <t>WT-26-0030</t>
  </si>
  <si>
    <t>WT-26-0031</t>
  </si>
  <si>
    <t>ไม่มีตรวจ (Already checked log book)</t>
  </si>
  <si>
    <t>WT-26-0032</t>
  </si>
  <si>
    <t>WT-26-0033</t>
  </si>
  <si>
    <t>BU11</t>
  </si>
  <si>
    <t>shutdown 36 hr. (เช้า)</t>
  </si>
  <si>
    <t>ไม่สายยาง</t>
  </si>
  <si>
    <t>WT-26-0034</t>
  </si>
  <si>
    <t>IR: 1100003940</t>
  </si>
  <si>
    <t>WT-26-0042</t>
  </si>
  <si>
    <t>WT-26-0035</t>
  </si>
  <si>
    <t>WT-26-0036</t>
  </si>
  <si>
    <t>WT-26-0037</t>
  </si>
  <si>
    <t>WT-26-0038</t>
  </si>
  <si>
    <t>WT-26-0039</t>
  </si>
  <si>
    <t>WT-26-0040</t>
  </si>
  <si>
    <t>WT-26-0041</t>
  </si>
  <si>
    <t>WT-26-0045</t>
  </si>
  <si>
    <t>SV14</t>
  </si>
  <si>
    <t>B.19</t>
  </si>
  <si>
    <t>WT-26-0046</t>
  </si>
  <si>
    <t>Commu: PW-M-2-26-009</t>
  </si>
  <si>
    <t>WT-26-0047</t>
  </si>
  <si>
    <t>WT-26-0048</t>
  </si>
  <si>
    <t>WT-26-0049</t>
  </si>
  <si>
    <t>Commu: PW-M-2-26-010</t>
  </si>
  <si>
    <t>WT-26-0050</t>
  </si>
  <si>
    <t>Building 11</t>
  </si>
  <si>
    <t>WT-26-0053</t>
  </si>
  <si>
    <t>WT-26-0054</t>
  </si>
  <si>
    <t>WT-26-0055</t>
  </si>
  <si>
    <t>WT-26-0056</t>
  </si>
  <si>
    <t>WT-26-0057</t>
  </si>
  <si>
    <t>Commu: PW-M-2-26-011</t>
  </si>
  <si>
    <t>Commu: PW-M-2-26-012</t>
  </si>
  <si>
    <t>WT-26-0058</t>
  </si>
  <si>
    <t>WT-26-0059</t>
  </si>
  <si>
    <t>WT-26-0061</t>
  </si>
  <si>
    <t>Commu: PW-M-2-26-013</t>
  </si>
  <si>
    <t>WT-26-0062</t>
  </si>
  <si>
    <t>WT-26-0063</t>
  </si>
  <si>
    <t>WT-26-0064</t>
  </si>
  <si>
    <t>WT-26-0065</t>
  </si>
  <si>
    <t>WT-26-0066</t>
  </si>
  <si>
    <t>WT-26-0067</t>
  </si>
  <si>
    <t>WT-26-0069</t>
  </si>
  <si>
    <t>เก็บเพิ่มจาก oos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</si>
</sst>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  &quot;dd&quot;-&quot;mmm&quot;-&quot;yyyy"/>
    <numFmt numFmtId="165" formatCode="yyyy-mm"/>
    <numFmt numFmtId="166" formatCode="yyyy-m"/>
    <numFmt numFmtId="167" formatCode="dd&quot;--&quot;mmm&quot;--&quot;yyyy"/>
  </numFmts>
  <fonts count="20">
    <font>
      <sz val="10.0"/>
      <color rgb="FF000000"/>
      <name val="Arial"/>
      <scheme val="minor"/>
    </font>
    <font>
      <b/>
      <sz val="18.0"/>
      <color rgb="FFFFFFFF"/>
      <name val="Arial"/>
      <scheme val="minor"/>
    </font>
    <font>
      <b/>
      <sz val="11.0"/>
      <color theme="1"/>
      <name val="Arial"/>
      <scheme val="minor"/>
    </font>
    <font>
      <color theme="1"/>
      <name val="Arial"/>
      <scheme val="minor"/>
    </font>
    <font>
      <b/>
      <color theme="1"/>
      <name val="Arial"/>
      <scheme val="minor"/>
    </font>
    <font>
      <b/>
      <sz val="14.0"/>
      <color theme="1"/>
      <name val="Arial"/>
      <scheme val="minor"/>
    </font>
    <font>
      <b/>
      <sz val="14.0"/>
      <color rgb="FF2E7D32"/>
      <name val="Arial"/>
      <scheme val="minor"/>
    </font>
    <font>
      <b/>
      <color rgb="FF000000"/>
      <name val="Roboto"/>
    </font>
    <font>
      <color rgb="FF000000"/>
      <name val="Roboto"/>
    </font>
    <font>
      <b/>
      <color rgb="FF000000"/>
      <name val="Arial"/>
      <scheme val="minor"/>
    </font>
    <font>
      <b/>
      <sz val="14.0"/>
      <color rgb="FFC62828"/>
      <name val="Arial"/>
      <scheme val="minor"/>
    </font>
    <font>
      <b/>
      <sz val="14.0"/>
      <color rgb="FFE65100"/>
      <name val="Arial"/>
      <scheme val="minor"/>
    </font>
    <font>
      <color rgb="FF000000"/>
      <name val="Arial"/>
      <scheme val="minor"/>
    </font>
    <font>
      <color rgb="FF434343"/>
      <name val="Roboto"/>
    </font>
    <font>
      <b/>
      <sz val="9.0"/>
      <color theme="1"/>
      <name val="Arial"/>
      <scheme val="minor"/>
    </font>
    <font>
      <color theme="5"/>
      <name val="Arial"/>
      <scheme val="minor"/>
    </font>
    <font>
      <color theme="1"/>
      <name val="Roboto"/>
    </font>
    <font>
      <color rgb="FF11734B"/>
      <name val="Roboto"/>
    </font>
    <font>
      <color rgb="FF000000"/>
    </font>
    <font>
      <strike/>
      <color rgb="FF434343"/>
      <name val="Roboto"/>
    </font>
  </fonts>
  <fills count="28">
    <fill>
      <patternFill patternType="none"/>
    </fill>
    <fill>
      <patternFill patternType="lightGray"/>
    </fill>
    <fill>
      <patternFill patternType="solid">
        <fgColor rgb="FF1A237E"/>
        <bgColor rgb="FF1A237E"/>
      </patternFill>
    </fill>
    <fill>
      <patternFill patternType="solid">
        <fgColor rgb="FFF5F5F5"/>
        <bgColor rgb="FFF5F5F5"/>
      </patternFill>
    </fill>
    <fill>
      <patternFill patternType="solid">
        <fgColor rgb="FFFFFACD"/>
        <bgColor rgb="FFFFFACD"/>
      </patternFill>
    </fill>
    <fill>
      <patternFill patternType="solid">
        <fgColor rgb="FFE3F2FD"/>
        <bgColor rgb="FFE3F2FD"/>
      </patternFill>
    </fill>
    <fill>
      <patternFill patternType="solid">
        <fgColor rgb="FFE8F5E9"/>
        <bgColor rgb="FFE8F5E9"/>
      </patternFill>
    </fill>
    <fill>
      <patternFill patternType="solid">
        <fgColor rgb="FFFFEBEE"/>
        <bgColor rgb="FFFFEBEE"/>
      </patternFill>
    </fill>
    <fill>
      <patternFill patternType="solid">
        <fgColor rgb="FFD9D9D9"/>
        <bgColor rgb="FFD9D9D9"/>
      </patternFill>
    </fill>
    <fill>
      <patternFill patternType="solid">
        <fgColor rgb="FFFFF3E0"/>
        <bgColor rgb="FFFFF3E0"/>
      </patternFill>
    </fill>
    <fill>
      <patternFill patternType="solid">
        <fgColor rgb="FFF3E5F5"/>
        <bgColor rgb="FFF3E5F5"/>
      </patternFill>
    </fill>
    <fill>
      <patternFill patternType="solid">
        <fgColor rgb="FFF8F9FA"/>
        <bgColor rgb="FFF8F9FA"/>
      </patternFill>
    </fill>
    <fill>
      <patternFill patternType="solid">
        <fgColor rgb="FFFFFFFF"/>
        <bgColor rgb="FFFFFFFF"/>
      </patternFill>
    </fill>
    <fill>
      <patternFill patternType="solid">
        <fgColor theme="0"/>
        <bgColor theme="0"/>
      </patternFill>
    </fill>
    <fill>
      <patternFill patternType="solid">
        <fgColor rgb="FFF6F8F9"/>
        <bgColor rgb="FFF6F8F9"/>
      </patternFill>
    </fill>
    <fill>
      <patternFill patternType="solid">
        <fgColor rgb="FFFCE5CD"/>
        <bgColor rgb="FFFCE5CD"/>
      </patternFill>
    </fill>
    <fill>
      <patternFill patternType="solid">
        <fgColor rgb="FFFF9900"/>
        <bgColor rgb="FFFF9900"/>
      </patternFill>
    </fill>
    <fill>
      <patternFill patternType="solid">
        <fgColor rgb="FFEA9999"/>
        <bgColor rgb="FFEA9999"/>
      </patternFill>
    </fill>
    <fill>
      <patternFill patternType="solid">
        <fgColor rgb="FFE06666"/>
        <bgColor rgb="FFE06666"/>
      </patternFill>
    </fill>
    <fill>
      <patternFill patternType="solid">
        <fgColor rgb="FFFFF2CC"/>
        <bgColor rgb="FFFFF2CC"/>
      </patternFill>
    </fill>
    <fill>
      <patternFill patternType="solid">
        <fgColor rgb="FFF0EEE9"/>
        <bgColor rgb="FFF0EEE9"/>
      </patternFill>
    </fill>
    <fill>
      <patternFill patternType="solid">
        <fgColor rgb="FFFFFF00"/>
        <bgColor rgb="FFFFFF00"/>
      </patternFill>
    </fill>
    <fill>
      <patternFill patternType="solid">
        <fgColor rgb="FF00FFFF"/>
        <bgColor rgb="FF00FFFF"/>
      </patternFill>
    </fill>
    <fill>
      <patternFill patternType="solid">
        <fgColor rgb="FFF4CCCC"/>
        <bgColor rgb="FFF4CCCC"/>
      </patternFill>
    </fill>
    <fill>
      <patternFill patternType="solid">
        <fgColor rgb="FFE6B8AF"/>
        <bgColor rgb="FFE6B8AF"/>
      </patternFill>
    </fill>
    <fill>
      <patternFill patternType="solid">
        <fgColor rgb="FFFF00FF"/>
        <bgColor rgb="FFFF00FF"/>
      </patternFill>
    </fill>
    <fill>
      <patternFill patternType="solid">
        <fgColor rgb="FF00FF00"/>
        <bgColor rgb="FF00FF00"/>
      </patternFill>
    </fill>
    <fill>
      <patternFill patternType="solid">
        <fgColor theme="8"/>
        <bgColor theme="8"/>
      </patternFill>
    </fill>
  </fills>
  <borders count="23">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B4B3AF"/>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FFFFFF"/>
      </left>
      <right style="thin">
        <color rgb="FFB4B3AF"/>
      </right>
      <top style="thin">
        <color rgb="FFFFFFFF"/>
      </top>
      <bottom style="thin">
        <color rgb="FFFFFFFF"/>
      </bottom>
    </border>
    <border>
      <right style="thin">
        <color rgb="FFFFFFFF"/>
      </right>
      <top style="thin">
        <color rgb="FFFFFFFF"/>
      </top>
      <bottom style="thin">
        <color rgb="FFB4B3AF"/>
      </bottom>
    </border>
    <border>
      <left style="thin">
        <color rgb="FFFFFFFF"/>
      </left>
      <right style="thin">
        <color rgb="FFFFFFFF"/>
      </right>
      <top style="thin">
        <color rgb="FFFFFFFF"/>
      </top>
      <bottom style="thin">
        <color rgb="FFB4B3AF"/>
      </bottom>
    </border>
    <border>
      <left style="thin">
        <color rgb="FFFFFFFF"/>
      </left>
      <right style="thin">
        <color rgb="FFB4B3AF"/>
      </right>
      <top style="thin">
        <color rgb="FFFFFFFF"/>
      </top>
      <bottom style="thin">
        <color rgb="FFB4B3AF"/>
      </bottom>
    </border>
    <border>
      <left style="thin">
        <color rgb="FFF8F9FA"/>
      </left>
      <right style="thin">
        <color rgb="FFF8F9FA"/>
      </right>
      <top style="thin">
        <color rgb="FFF8F9FA"/>
      </top>
      <bottom style="thin">
        <color rgb="FFFFFFFF"/>
      </bottom>
    </border>
    <border>
      <right style="thin">
        <color rgb="FFF8F9FA"/>
      </right>
      <top style="thin">
        <color rgb="FFF8F9FA"/>
      </top>
      <bottom style="thin">
        <color rgb="FFB4B3AF"/>
      </bottom>
    </border>
    <border>
      <left style="thin">
        <color rgb="FFF8F9FA"/>
      </left>
      <right style="thin">
        <color rgb="FFF8F9FA"/>
      </right>
      <top style="thin">
        <color rgb="FFF8F9FA"/>
      </top>
      <bottom style="thin">
        <color rgb="FFB4B3AF"/>
      </bottom>
    </border>
    <border>
      <left style="thin">
        <color rgb="FFF8F9FA"/>
      </left>
      <right style="thin">
        <color rgb="FFB4B3AF"/>
      </right>
      <top style="thin">
        <color rgb="FFF8F9FA"/>
      </top>
      <bottom style="thin">
        <color rgb="FFB4B3AF"/>
      </bottom>
    </border>
    <border>
      <left style="thin">
        <color rgb="FFB4B3AF"/>
      </left>
      <right style="thin">
        <color rgb="FFF0EEE9"/>
      </right>
      <top style="thin">
        <color rgb="FFB4B3AF"/>
      </top>
      <bottom style="thin">
        <color rgb="FFB4B3AF"/>
      </bottom>
    </border>
    <border>
      <left style="thin">
        <color rgb="FFF0EEE9"/>
      </left>
      <right style="thin">
        <color rgb="FFF0EEE9"/>
      </right>
      <top style="thin">
        <color rgb="FFB4B3AF"/>
      </top>
      <bottom style="thin">
        <color rgb="FFB4B3AF"/>
      </bottom>
    </border>
    <border>
      <left style="thin">
        <color rgb="FFF0EEE9"/>
      </left>
      <right style="thin">
        <color rgb="FFB4B3AF"/>
      </right>
      <top style="thin">
        <color rgb="FFB4B3AF"/>
      </top>
      <bottom style="thin">
        <color rgb="FFB4B3AF"/>
      </bottom>
    </border>
  </borders>
  <cellStyleXfs count="1">
    <xf borderId="0" fillId="0" fontId="0" numFmtId="0" applyAlignment="1" applyFont="1"/>
  </cellStyleXfs>
  <cellXfs count="218">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readingOrder="0"/>
    </xf>
    <xf borderId="0" fillId="3" fontId="3" numFmtId="0" xfId="0" applyFill="1" applyFont="1"/>
    <xf borderId="0" fillId="0" fontId="4" numFmtId="0" xfId="0" applyAlignment="1" applyFont="1">
      <alignment readingOrder="0"/>
    </xf>
    <xf borderId="0" fillId="4" fontId="4" numFmtId="0" xfId="0" applyAlignment="1" applyFill="1" applyFont="1">
      <alignment readingOrder="0"/>
    </xf>
    <xf borderId="0" fillId="5" fontId="4" numFmtId="0" xfId="0" applyAlignment="1" applyFill="1" applyFont="1">
      <alignment readingOrder="0"/>
    </xf>
    <xf borderId="0" fillId="5" fontId="5" numFmtId="0" xfId="0" applyAlignment="1" applyFill="1" applyFont="1">
      <alignment readingOrder="0"/>
    </xf>
    <xf borderId="0" fillId="6" fontId="4" numFmtId="0" xfId="0" applyAlignment="1" applyFill="1" applyFont="1">
      <alignment readingOrder="0"/>
    </xf>
    <xf borderId="0" fillId="6" fontId="6" numFmtId="0" xfId="0" applyAlignment="1" applyFill="1" applyFont="1">
      <alignment readingOrder="0"/>
    </xf>
    <xf borderId="0" fillId="0" fontId="3" numFmtId="0" xfId="0" applyAlignment="1" applyFont="1">
      <alignment readingOrder="0"/>
    </xf>
    <xf borderId="0" fillId="0" fontId="7" numFmtId="0" xfId="0" applyAlignment="1" applyFont="1">
      <alignment horizontal="left" readingOrder="0" shrinkToFit="0" vertical="center" wrapText="0"/>
    </xf>
    <xf borderId="0" fillId="7" fontId="4" numFmtId="0" xfId="0" applyAlignment="1" applyFill="1" applyFont="1">
      <alignment readingOrder="0"/>
    </xf>
    <xf borderId="0" fillId="0" fontId="8" numFmtId="0" xfId="0" applyAlignment="1" applyFont="1">
      <alignment horizontal="left" readingOrder="0" shrinkToFit="0" vertical="center" wrapText="0"/>
    </xf>
    <xf borderId="0" fillId="0" fontId="9" numFmtId="0" xfId="0" applyAlignment="1" applyFont="1">
      <alignment horizontal="left" readingOrder="0" shrinkToFit="0" vertical="center" wrapText="0"/>
    </xf>
    <xf borderId="0" fillId="7" fontId="10" numFmtId="0" xfId="0" applyAlignment="1" applyFill="1" applyFont="1">
      <alignment readingOrder="0"/>
    </xf>
    <xf borderId="0" fillId="8" fontId="7" numFmtId="0" xfId="0" applyAlignment="1" applyFill="1" applyFont="1">
      <alignment horizontal="left" readingOrder="0" shrinkToFit="0" vertical="center" wrapText="0"/>
    </xf>
    <xf borderId="0" fillId="9" fontId="4" numFmtId="0" xfId="0" applyAlignment="1" applyFill="1" applyFont="1">
      <alignment readingOrder="0"/>
    </xf>
    <xf borderId="0" fillId="9" fontId="11" numFmtId="10" xfId="0" applyAlignment="1" applyFill="1" applyFont="1" applyNumberFormat="1">
      <alignment readingOrder="0"/>
    </xf>
    <xf borderId="0" fillId="10" fontId="4" numFmtId="0" xfId="0" applyAlignment="1" applyFill="1" applyFont="1">
      <alignment readingOrder="0"/>
    </xf>
    <xf borderId="0" fillId="0" fontId="3" numFmtId="0" xfId="0" applyAlignment="1" applyFont="1">
      <alignment readingOrder="0"/>
    </xf>
    <xf borderId="0" fillId="0" fontId="7" numFmtId="49" xfId="0" applyAlignment="1" applyFont="1" applyNumberFormat="1">
      <alignment horizontal="left" readingOrder="0" shrinkToFit="0" vertical="center" wrapText="0"/>
    </xf>
    <xf borderId="0" fillId="0" fontId="7" numFmtId="0" xfId="0" applyAlignment="1" applyFont="1">
      <alignment horizontal="left" readingOrder="0" shrinkToFit="0" vertical="center" wrapText="0"/>
    </xf>
    <xf borderId="0" fillId="0" fontId="7" numFmtId="0" xfId="0" applyAlignment="1" applyFont="1">
      <alignment horizontal="left" readingOrder="0" shrinkToFit="0" vertical="center" wrapText="0"/>
    </xf>
    <xf borderId="0" fillId="0" fontId="9" numFmtId="0" xfId="0" applyAlignment="1" applyFont="1">
      <alignment horizontal="left" readingOrder="0" shrinkToFit="0" vertical="center" wrapText="0"/>
    </xf>
    <xf borderId="0" fillId="0" fontId="12" numFmtId="0" xfId="0" applyFont="1"/>
    <xf borderId="0" fillId="0" fontId="3" numFmtId="164" xfId="0" applyAlignment="1" applyFont="1" applyNumberFormat="1">
      <alignment readingOrder="0" shrinkToFit="0" vertical="center" wrapText="0"/>
    </xf>
    <xf borderId="0" fillId="11" fontId="13" numFmtId="49" xfId="0" applyAlignment="1" applyFill="1" applyFont="1" applyNumberFormat="1">
      <alignment shrinkToFit="0" vertical="center" wrapText="0"/>
    </xf>
    <xf borderId="0" fillId="0" fontId="3" numFmtId="165" xfId="0" applyAlignment="1" applyFont="1" applyNumberFormat="1">
      <alignment readingOrder="0"/>
    </xf>
    <xf borderId="0" fillId="0" fontId="3" numFmtId="166" xfId="0" applyAlignment="1" applyFont="1" applyNumberFormat="1">
      <alignment readingOrder="0"/>
    </xf>
    <xf borderId="0" fillId="3" fontId="4" numFmtId="0" xfId="0" applyAlignment="1" applyFill="1" applyFont="1">
      <alignment readingOrder="0"/>
    </xf>
    <xf borderId="0" fillId="10" fontId="14" numFmtId="0" xfId="0" applyAlignment="1" applyFill="1" applyFont="1">
      <alignment readingOrder="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6" fontId="3" numFmtId="0" xfId="0" applyAlignment="1" applyFill="1" applyFont="1">
      <alignment readingOrder="0"/>
    </xf>
    <xf borderId="0" fillId="0" fontId="3" numFmtId="0" xfId="0" applyAlignment="1" applyFont="1">
      <alignment readingOrder="0" shrinkToFit="0" vertical="center" wrapText="0"/>
    </xf>
    <xf borderId="0" fillId="6" fontId="3" numFmtId="0" xfId="0" applyAlignment="1" applyFill="1" applyFont="1">
      <alignment readingOrder="0"/>
    </xf>
    <xf borderId="0" fillId="6" fontId="4" numFmtId="0" xfId="0" applyAlignment="1" applyFill="1" applyFont="1">
      <alignment readingOrder="0"/>
    </xf>
    <xf borderId="0" fillId="0" fontId="3" numFmtId="0" xfId="0" applyAlignment="1" applyFont="1">
      <alignment horizontal="center" readingOrder="0" shrinkToFit="0" vertical="center" wrapText="0"/>
    </xf>
    <xf borderId="0" fillId="0" fontId="3" numFmtId="49" xfId="0" applyAlignment="1" applyFont="1" applyNumberFormat="1">
      <alignment readingOrder="0" shrinkToFit="0" vertical="center" wrapText="0"/>
    </xf>
    <xf borderId="0" fillId="0" fontId="3" numFmtId="49" xfId="0" applyAlignment="1" applyFont="1" applyNumberFormat="1">
      <alignment shrinkToFit="0" vertical="center" wrapText="0"/>
    </xf>
    <xf borderId="0" fillId="5" fontId="14" numFmtId="0" xfId="0" applyAlignment="1" applyFill="1" applyFont="1">
      <alignment readingOrder="0"/>
    </xf>
    <xf borderId="0" fillId="0" fontId="7" numFmtId="49" xfId="0" applyAlignment="1" applyFont="1" applyNumberFormat="1">
      <alignment horizontal="left" readingOrder="0" shrinkToFit="0" vertical="center" wrapText="0"/>
    </xf>
    <xf borderId="0" fillId="0" fontId="3" numFmtId="167" xfId="0" applyAlignment="1" applyFont="1" applyNumberFormat="1">
      <alignment readingOrder="0" shrinkToFit="0" vertical="center" wrapText="0"/>
    </xf>
    <xf borderId="0" fillId="6" fontId="14" numFmtId="0" xfId="0" applyAlignment="1" applyFill="1" applyFont="1">
      <alignment readingOrder="0"/>
    </xf>
    <xf borderId="0" fillId="7" fontId="3" numFmtId="0" xfId="0" applyAlignment="1" applyFill="1" applyFont="1">
      <alignment readingOrder="0"/>
    </xf>
    <xf borderId="0" fillId="7" fontId="3" numFmtId="0" xfId="0" applyAlignment="1" applyFill="1" applyFont="1">
      <alignment readingOrder="0"/>
    </xf>
    <xf borderId="0" fillId="7" fontId="4" numFmtId="0" xfId="0" applyAlignment="1" applyFill="1" applyFont="1">
      <alignment readingOrder="0"/>
    </xf>
    <xf borderId="0" fillId="12" fontId="13" numFmtId="49" xfId="0" applyAlignment="1" applyFill="1" applyFont="1" applyNumberForma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3" numFmtId="164" xfId="0" applyAlignment="1" applyFont="1" applyNumberFormat="1">
      <alignment readingOrder="0" shrinkToFit="0" vertical="center" wrapText="0"/>
    </xf>
    <xf borderId="0" fillId="13" fontId="13" numFmtId="49" xfId="0" applyAlignment="1" applyFill="1" applyFont="1" applyNumberFormat="1">
      <alignment shrinkToFit="0" vertical="center" wrapText="0"/>
    </xf>
    <xf borderId="0" fillId="12" fontId="3" numFmtId="0" xfId="0" applyAlignment="1" applyFill="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1"/>
    </xf>
    <xf borderId="0" fillId="0" fontId="3" numFmtId="0" xfId="0" applyAlignment="1" applyFont="1">
      <alignment horizontal="center" shrinkToFit="0" vertical="center" wrapText="0"/>
    </xf>
    <xf borderId="0" fillId="0" fontId="3" numFmtId="49" xfId="0" applyAlignment="1" applyFont="1" applyNumberFormat="1">
      <alignment shrinkToFit="0" vertical="center" wrapText="0"/>
    </xf>
    <xf borderId="0" fillId="12" fontId="13" numFmtId="49" xfId="0" applyAlignment="1" applyFill="1" applyFont="1" applyNumberFormat="1">
      <alignment shrinkToFit="0" vertical="center" wrapText="0"/>
    </xf>
    <xf borderId="0" fillId="0" fontId="3" numFmtId="0" xfId="0" applyAlignment="1" applyFont="1">
      <alignment shrinkToFit="0" vertical="center" wrapText="0"/>
    </xf>
    <xf borderId="0" fillId="0" fontId="3" numFmtId="167" xfId="0" applyAlignment="1" applyFont="1" applyNumberFormat="1">
      <alignment shrinkToFit="0" vertical="center" wrapText="0"/>
    </xf>
    <xf borderId="0" fillId="0" fontId="3" numFmtId="49" xfId="0" applyAlignment="1" applyFont="1" applyNumberFormat="1">
      <alignment readingOrder="0" shrinkToFit="0" vertical="center" wrapText="0"/>
    </xf>
    <xf borderId="0" fillId="14" fontId="3" numFmtId="164" xfId="0" applyAlignment="1" applyFill="1" applyFont="1" applyNumberFormat="1">
      <alignment readingOrder="0" shrinkToFit="0" vertical="center" wrapText="0"/>
    </xf>
    <xf borderId="0" fillId="14" fontId="13" numFmtId="49" xfId="0" applyAlignment="1" applyFill="1" applyFont="1" applyNumberFormat="1">
      <alignment readingOrder="0" shrinkToFit="0" vertical="center" wrapText="0"/>
    </xf>
    <xf borderId="0" fillId="14" fontId="3" numFmtId="0" xfId="0" applyAlignment="1" applyFill="1" applyFont="1">
      <alignment readingOrder="0" shrinkToFit="0" vertical="center" wrapText="0"/>
    </xf>
    <xf borderId="0" fillId="14" fontId="3" numFmtId="0" xfId="0" applyAlignment="1" applyFill="1" applyFont="1">
      <alignment readingOrder="0" shrinkToFit="0" vertical="center" wrapText="0"/>
    </xf>
    <xf borderId="0" fillId="14" fontId="3" numFmtId="49" xfId="0" applyAlignment="1" applyFill="1" applyFont="1" applyNumberFormat="1">
      <alignment readingOrder="0" shrinkToFit="0" vertical="center" wrapText="0"/>
    </xf>
    <xf borderId="0" fillId="14" fontId="3" numFmtId="49" xfId="0" applyAlignment="1" applyFill="1" applyFont="1" applyNumberFormat="1">
      <alignment shrinkToFit="0" vertical="center" wrapText="0"/>
    </xf>
    <xf borderId="0" fillId="14" fontId="3" numFmtId="167" xfId="0" applyAlignment="1" applyFill="1" applyFont="1" applyNumberFormat="1">
      <alignment readingOrder="0" shrinkToFit="0" vertical="center" wrapText="0"/>
    </xf>
    <xf borderId="0" fillId="14" fontId="3" numFmtId="0" xfId="0" applyAlignment="1" applyFill="1" applyFont="1">
      <alignment readingOrder="0" shrinkToFit="0" vertical="center" wrapText="1"/>
    </xf>
    <xf borderId="0" fillId="14" fontId="3" numFmtId="0" xfId="0" applyAlignment="1" applyFill="1" applyFont="1">
      <alignment shrinkToFit="0" vertical="center" wrapText="0"/>
    </xf>
    <xf borderId="0" fillId="14" fontId="3" numFmtId="0" xfId="0" applyAlignment="1" applyFill="1" applyFont="1">
      <alignment horizontal="center" readingOrder="0" shrinkToFit="0" vertical="center" wrapText="0"/>
    </xf>
    <xf borderId="0" fillId="14" fontId="3" numFmtId="0" xfId="0" applyFill="1" applyFont="1"/>
    <xf borderId="0" fillId="12" fontId="13" numFmtId="0" xfId="0" applyAlignment="1" applyFill="1" applyFont="1">
      <alignment readingOrder="0" shrinkToFit="0" vertical="center" wrapText="0"/>
    </xf>
    <xf borderId="0" fillId="15" fontId="3" numFmtId="164" xfId="0" applyAlignment="1" applyFill="1" applyFont="1" applyNumberFormat="1">
      <alignment readingOrder="0" shrinkToFit="0" vertical="center" wrapText="0"/>
    </xf>
    <xf borderId="0" fillId="15" fontId="13" numFmtId="49" xfId="0" applyAlignment="1" applyFill="1" applyFont="1" applyNumberFormat="1">
      <alignment shrinkToFit="0" vertical="center" wrapText="0"/>
    </xf>
    <xf borderId="0" fillId="15" fontId="3" numFmtId="0" xfId="0" applyAlignment="1" applyFill="1" applyFont="1">
      <alignment readingOrder="0" shrinkToFit="0" vertical="center" wrapText="0"/>
    </xf>
    <xf borderId="0" fillId="13" fontId="3" numFmtId="0" xfId="0" applyAlignment="1" applyFill="1" applyFont="1">
      <alignment readingOrder="0" shrinkToFit="0" vertical="center" wrapText="0"/>
    </xf>
    <xf borderId="0" fillId="13" fontId="3" numFmtId="0" xfId="0" applyAlignment="1" applyFill="1" applyFont="1">
      <alignment readingOrder="0" shrinkToFit="0" vertical="center" wrapText="0"/>
    </xf>
    <xf borderId="0" fillId="13" fontId="3" numFmtId="0" xfId="0" applyAlignment="1" applyFill="1" applyFont="1">
      <alignment horizontal="center" readingOrder="0" shrinkToFit="0" vertical="center" wrapText="0"/>
    </xf>
    <xf borderId="0" fillId="13" fontId="3" numFmtId="49" xfId="0" applyAlignment="1" applyFill="1" applyFont="1" applyNumberFormat="1">
      <alignment readingOrder="0" shrinkToFit="0" vertical="center" wrapText="0"/>
    </xf>
    <xf borderId="0" fillId="13" fontId="3" numFmtId="49" xfId="0" applyAlignment="1" applyFill="1" applyFont="1" applyNumberFormat="1">
      <alignment shrinkToFit="0" vertical="center" wrapText="0"/>
    </xf>
    <xf borderId="0" fillId="13" fontId="3" numFmtId="167" xfId="0" applyAlignment="1" applyFill="1" applyFont="1" applyNumberFormat="1">
      <alignment readingOrder="0" shrinkToFit="0" vertical="center" wrapText="0"/>
    </xf>
    <xf borderId="0" fillId="13" fontId="3" numFmtId="164" xfId="0" applyAlignment="1" applyFill="1" applyFont="1" applyNumberFormat="1">
      <alignment readingOrder="0" shrinkToFit="0" vertical="center" wrapText="0"/>
    </xf>
    <xf borderId="0" fillId="13" fontId="3" numFmtId="0" xfId="0" applyAlignment="1" applyFill="1" applyFont="1">
      <alignment readingOrder="0" shrinkToFit="0" vertical="center" wrapText="0"/>
    </xf>
    <xf borderId="0" fillId="13" fontId="3" numFmtId="0" xfId="0" applyAlignment="1" applyFill="1" applyFont="1">
      <alignment shrinkToFit="0" vertical="center" wrapText="0"/>
    </xf>
    <xf borderId="0" fillId="13" fontId="3" numFmtId="0" xfId="0" applyAlignment="1" applyFill="1" applyFont="1">
      <alignment readingOrder="0" shrinkToFit="0" vertical="center" wrapText="0"/>
    </xf>
    <xf borderId="0" fillId="13" fontId="3" numFmtId="0" xfId="0" applyFill="1" applyFont="1"/>
    <xf borderId="0" fillId="11" fontId="13" numFmtId="49" xfId="0" applyAlignment="1" applyFill="1" applyFont="1" applyNumberFormat="1">
      <alignment readingOrder="0" shrinkToFit="0" vertical="center" wrapText="0"/>
    </xf>
    <xf borderId="0" fillId="0" fontId="3" numFmtId="0" xfId="0" applyAlignment="1" applyFont="1">
      <alignment horizontal="center" readingOrder="0" shrinkToFit="0" vertical="center" wrapText="1"/>
    </xf>
    <xf borderId="0" fillId="11" fontId="13" numFmtId="49" xfId="0" applyAlignment="1" applyFill="1" applyFont="1" applyNumberFormat="1">
      <alignment readingOrder="0" shrinkToFit="0" vertical="center" wrapText="0"/>
    </xf>
    <xf borderId="0" fillId="16" fontId="3" numFmtId="164" xfId="0" applyAlignment="1" applyFill="1" applyFont="1" applyNumberFormat="1">
      <alignment readingOrder="0" shrinkToFit="0" vertical="center" wrapText="0"/>
    </xf>
    <xf borderId="0" fillId="16" fontId="13" numFmtId="49" xfId="0" applyAlignment="1" applyFill="1" applyFont="1" applyNumberFormat="1">
      <alignment readingOrder="0" shrinkToFit="0" vertical="center" wrapText="0"/>
    </xf>
    <xf borderId="0" fillId="16" fontId="3" numFmtId="0" xfId="0" applyAlignment="1" applyFill="1" applyFont="1">
      <alignment readingOrder="0" shrinkToFit="0" vertical="center" wrapText="0"/>
    </xf>
    <xf borderId="0" fillId="14" fontId="3" numFmtId="0" xfId="0" applyAlignment="1" applyFill="1" applyFont="1">
      <alignment readingOrder="0" shrinkToFit="0" vertical="center" wrapText="0"/>
    </xf>
    <xf borderId="0" fillId="13" fontId="13" numFmtId="49" xfId="0" applyAlignment="1" applyFill="1" applyFont="1" applyNumberFormat="1">
      <alignment readingOrder="0" shrinkToFit="0" vertical="center" wrapText="0"/>
    </xf>
    <xf borderId="0" fillId="17" fontId="3" numFmtId="0" xfId="0" applyAlignment="1" applyFill="1" applyFont="1">
      <alignment readingOrder="0" shrinkToFit="0" vertical="center" wrapText="0"/>
    </xf>
    <xf borderId="0" fillId="18" fontId="3" numFmtId="0" xfId="0" applyAlignment="1" applyFill="1" applyFont="1">
      <alignment readingOrder="0" shrinkToFit="0" vertical="center" wrapText="0"/>
    </xf>
    <xf borderId="0" fillId="0" fontId="15" numFmtId="0" xfId="0" applyAlignment="1" applyFont="1">
      <alignment readingOrder="0" shrinkToFit="0" vertical="center" wrapText="0"/>
    </xf>
    <xf borderId="1" fillId="12" fontId="13" numFmtId="49" xfId="0" applyAlignment="1" applyBorder="1" applyFill="1" applyFont="1" applyNumberFormat="1">
      <alignment shrinkToFit="0" vertical="center" wrapText="0"/>
    </xf>
    <xf borderId="1" fillId="12" fontId="13" numFmtId="0" xfId="0" applyAlignment="1" applyBorder="1" applyFill="1" applyFont="1">
      <alignment shrinkToFit="0" vertical="center" wrapText="0"/>
    </xf>
    <xf borderId="1" fillId="12" fontId="16" numFmtId="0" xfId="0" applyAlignment="1" applyBorder="1" applyFill="1" applyFont="1">
      <alignment shrinkToFit="0" vertical="center" wrapText="0"/>
    </xf>
    <xf borderId="2" fillId="14" fontId="13" numFmtId="49" xfId="0" applyAlignment="1" applyBorder="1" applyFill="1" applyFont="1" applyNumberFormat="1">
      <alignment shrinkToFit="0" vertical="center" wrapText="0"/>
    </xf>
    <xf borderId="2" fillId="14" fontId="13" numFmtId="0" xfId="0" applyAlignment="1" applyBorder="1" applyFill="1" applyFont="1">
      <alignment shrinkToFit="0" vertical="center" wrapText="0"/>
    </xf>
    <xf borderId="2" fillId="14" fontId="16" numFmtId="0" xfId="0" applyAlignment="1" applyBorder="1" applyFill="1" applyFont="1">
      <alignment shrinkToFit="0" vertical="center" wrapText="0"/>
    </xf>
    <xf borderId="1" fillId="12" fontId="17" numFmtId="0" xfId="0" applyAlignment="1" applyBorder="1" applyFill="1" applyFont="1">
      <alignment shrinkToFit="0" vertical="center" wrapText="0"/>
    </xf>
    <xf borderId="2" fillId="14" fontId="17" numFmtId="0" xfId="0" applyAlignment="1" applyBorder="1" applyFill="1" applyFont="1">
      <alignment shrinkToFit="0" vertical="center" wrapText="0"/>
    </xf>
    <xf borderId="0" fillId="14" fontId="13" numFmtId="0" xfId="0" applyAlignment="1" applyFill="1" applyFont="1">
      <alignment shrinkToFit="0" vertical="center" wrapText="0"/>
    </xf>
    <xf borderId="0" fillId="0" fontId="3" numFmtId="0" xfId="0" applyAlignment="1" applyFont="1">
      <alignment readingOrder="0" shrinkToFit="0" vertical="center" wrapText="0"/>
    </xf>
    <xf borderId="0" fillId="19" fontId="3" numFmtId="164" xfId="0" applyAlignment="1" applyFill="1" applyFont="1" applyNumberFormat="1">
      <alignment readingOrder="0" shrinkToFit="0" vertical="center" wrapText="0"/>
    </xf>
    <xf borderId="0" fillId="0" fontId="3" numFmtId="0" xfId="0" applyAlignment="1" applyFont="1">
      <alignment horizontal="center" readingOrder="0" shrinkToFit="0" vertical="center" wrapText="0"/>
    </xf>
    <xf borderId="0" fillId="14" fontId="17" numFmtId="0" xfId="0" applyAlignment="1" applyFill="1" applyFont="1">
      <alignment readingOrder="0" shrinkToFit="0" vertical="center" wrapText="0"/>
    </xf>
    <xf borderId="0" fillId="12" fontId="3" numFmtId="164" xfId="0" applyAlignment="1" applyFill="1" applyFont="1" applyNumberFormat="1">
      <alignment readingOrder="0" shrinkToFit="0" vertical="center" wrapText="0"/>
    </xf>
    <xf borderId="0" fillId="14" fontId="13" numFmtId="49" xfId="0" applyAlignment="1" applyFill="1" applyFont="1" applyNumberFormat="1">
      <alignment shrinkToFit="0" vertical="center" wrapText="0"/>
    </xf>
    <xf borderId="0" fillId="12" fontId="13" numFmtId="49" xfId="0" applyAlignment="1" applyFill="1" applyFont="1" applyNumberFormat="1">
      <alignment readingOrder="0" shrinkToFit="0" vertical="center" wrapText="0"/>
    </xf>
    <xf borderId="0" fillId="20" fontId="7" numFmtId="0" xfId="0" applyAlignment="1" applyFill="1" applyFont="1">
      <alignment horizontal="left" readingOrder="0" shrinkToFit="0" vertical="center" wrapText="0"/>
    </xf>
    <xf borderId="3" fillId="20" fontId="7" numFmtId="0" xfId="0" applyAlignment="1" applyBorder="1" applyFill="1" applyFont="1">
      <alignment horizontal="left" readingOrder="0" shrinkToFit="0" vertical="center" wrapText="0"/>
    </xf>
    <xf borderId="4" fillId="20" fontId="7" numFmtId="0" xfId="0" applyAlignment="1" applyBorder="1" applyFill="1" applyFont="1">
      <alignment horizontal="left" readingOrder="0" shrinkToFit="0" vertical="center" wrapText="0"/>
    </xf>
    <xf borderId="4" fillId="20" fontId="7" numFmtId="49" xfId="0" applyAlignment="1" applyBorder="1" applyFill="1" applyFont="1" applyNumberFormat="1">
      <alignment horizontal="left" readingOrder="0" shrinkToFit="0" vertical="center" wrapText="0"/>
    </xf>
    <xf borderId="5" fillId="20" fontId="7" numFmtId="0" xfId="0" applyAlignment="1" applyBorder="1" applyFill="1" applyFont="1">
      <alignment horizontal="left" readingOrder="0" shrinkToFit="0" vertical="center" wrapText="0"/>
    </xf>
    <xf borderId="0" fillId="20" fontId="7" numFmtId="0" xfId="0" applyAlignment="1" applyFill="1" applyFont="1">
      <alignment horizontal="left" readingOrder="0" shrinkToFit="0" vertical="center" wrapText="0"/>
    </xf>
    <xf borderId="6" fillId="12" fontId="13" numFmtId="49" xfId="0" applyAlignment="1" applyBorder="1" applyFill="1" applyFont="1" applyNumberFormat="1">
      <alignment shrinkToFit="0" vertical="center" wrapText="0"/>
    </xf>
    <xf borderId="1" fillId="12" fontId="13" numFmtId="0" xfId="0" applyAlignment="1" applyBorder="1" applyFill="1" applyFont="1">
      <alignment shrinkToFit="0" vertical="center" wrapText="0"/>
    </xf>
    <xf borderId="7" fillId="12" fontId="13" numFmtId="49" xfId="0" applyAlignment="1" applyBorder="1" applyFill="1" applyFont="1" applyNumberFormat="1">
      <alignment shrinkToFit="0" vertical="center" wrapText="0"/>
    </xf>
    <xf borderId="7" fillId="12" fontId="13" numFmtId="0" xfId="0" applyAlignment="1" applyBorder="1" applyFill="1" applyFont="1">
      <alignment shrinkToFit="0" wrapText="0"/>
    </xf>
    <xf borderId="0" fillId="12" fontId="13" numFmtId="0" xfId="0" applyAlignment="1" applyFill="1" applyFont="1">
      <alignment readingOrder="0" shrinkToFit="0" wrapText="0"/>
    </xf>
    <xf borderId="0" fillId="11" fontId="13" numFmtId="0" xfId="0" applyAlignment="1" applyFill="1" applyFont="1">
      <alignment readingOrder="0" shrinkToFit="0" vertical="center" wrapText="0"/>
    </xf>
    <xf borderId="8" fillId="11" fontId="13" numFmtId="49" xfId="0" applyAlignment="1" applyBorder="1" applyFill="1" applyFont="1" applyNumberFormat="1">
      <alignment shrinkToFit="0" vertical="center" wrapText="0"/>
    </xf>
    <xf borderId="9" fillId="11" fontId="13" numFmtId="49" xfId="0" applyAlignment="1" applyBorder="1" applyFill="1" applyFont="1" applyNumberFormat="1">
      <alignment shrinkToFit="0" vertical="center" wrapText="0"/>
    </xf>
    <xf borderId="9" fillId="11" fontId="13" numFmtId="0" xfId="0" applyAlignment="1" applyBorder="1" applyFill="1" applyFont="1">
      <alignment shrinkToFit="0" vertical="center" wrapText="0"/>
    </xf>
    <xf borderId="7" fillId="11" fontId="13" numFmtId="49" xfId="0" applyAlignment="1" applyBorder="1" applyFill="1" applyFont="1" applyNumberFormat="1">
      <alignment shrinkToFit="0" vertical="center" wrapText="0"/>
    </xf>
    <xf borderId="10" fillId="11" fontId="13" numFmtId="49" xfId="0" applyAlignment="1" applyBorder="1" applyFill="1" applyFont="1" applyNumberFormat="1">
      <alignment shrinkToFit="0" wrapText="0"/>
    </xf>
    <xf borderId="0" fillId="21" fontId="13" numFmtId="49" xfId="0" applyAlignment="1" applyFill="1" applyFont="1" applyNumberFormat="1">
      <alignment shrinkToFit="0" vertical="center" wrapText="0"/>
    </xf>
    <xf borderId="6" fillId="21" fontId="13" numFmtId="49" xfId="0" applyAlignment="1" applyBorder="1" applyFill="1" applyFont="1" applyNumberFormat="1">
      <alignment shrinkToFit="0" vertical="center" wrapText="0"/>
    </xf>
    <xf borderId="1" fillId="21" fontId="13" numFmtId="49" xfId="0" applyAlignment="1" applyBorder="1" applyFill="1" applyFont="1" applyNumberFormat="1">
      <alignment shrinkToFit="0" vertical="center" wrapText="0"/>
    </xf>
    <xf borderId="1" fillId="21" fontId="13" numFmtId="0" xfId="0" applyAlignment="1" applyBorder="1" applyFill="1" applyFont="1">
      <alignment shrinkToFit="0" vertical="center" wrapText="0"/>
    </xf>
    <xf borderId="7" fillId="21" fontId="13" numFmtId="49" xfId="0" applyAlignment="1" applyBorder="1" applyFill="1" applyFont="1" applyNumberFormat="1">
      <alignment shrinkToFit="0" vertical="center" wrapText="0"/>
    </xf>
    <xf borderId="1" fillId="11" fontId="13" numFmtId="49" xfId="0" applyAlignment="1" applyBorder="1" applyFill="1" applyFont="1" applyNumberFormat="1">
      <alignment shrinkToFit="0" vertical="center" wrapText="0"/>
    </xf>
    <xf borderId="1" fillId="12" fontId="13" numFmtId="0" xfId="0" applyAlignment="1" applyBorder="1" applyFill="1" applyFont="1">
      <alignment readingOrder="0" shrinkToFit="0" vertical="center" wrapText="0"/>
    </xf>
    <xf borderId="8" fillId="11" fontId="13" numFmtId="49" xfId="0" applyAlignment="1" applyBorder="1" applyFill="1" applyFont="1" applyNumberFormat="1">
      <alignment readingOrder="0" shrinkToFit="0" vertical="center" wrapText="0"/>
    </xf>
    <xf borderId="10" fillId="11" fontId="13" numFmtId="49" xfId="0" applyAlignment="1" applyBorder="1" applyFill="1" applyFont="1" applyNumberFormat="1">
      <alignment shrinkToFit="0" vertical="center" wrapText="0"/>
    </xf>
    <xf borderId="11" fillId="11" fontId="13" numFmtId="49" xfId="0" applyAlignment="1" applyBorder="1" applyFill="1" applyFont="1" applyNumberFormat="1">
      <alignment shrinkToFit="0" vertical="center" wrapText="0"/>
    </xf>
    <xf borderId="0" fillId="11" fontId="13" numFmtId="0" xfId="0" applyAlignment="1" applyFill="1" applyFont="1">
      <alignment shrinkToFit="0" vertical="center" wrapText="0"/>
    </xf>
    <xf borderId="0" fillId="12" fontId="13" numFmtId="0" xfId="0" applyAlignment="1" applyFill="1" applyFont="1">
      <alignment shrinkToFit="0" vertical="center" wrapText="0"/>
    </xf>
    <xf borderId="8" fillId="12" fontId="13" numFmtId="49" xfId="0" applyAlignment="1" applyBorder="1" applyFill="1" applyFont="1" applyNumberFormat="1">
      <alignment shrinkToFit="0" vertical="center" wrapText="0"/>
    </xf>
    <xf borderId="9" fillId="12" fontId="13" numFmtId="49" xfId="0" applyAlignment="1" applyBorder="1" applyFill="1" applyFont="1" applyNumberFormat="1">
      <alignment shrinkToFit="0" vertical="center" wrapText="0"/>
    </xf>
    <xf borderId="11" fillId="12" fontId="13" numFmtId="49" xfId="0" applyAlignment="1" applyBorder="1" applyFill="1" applyFont="1" applyNumberFormat="1">
      <alignment shrinkToFit="0" vertical="center" wrapText="0"/>
    </xf>
    <xf borderId="6" fillId="11" fontId="13" numFmtId="49" xfId="0" applyAlignment="1" applyBorder="1" applyFill="1" applyFont="1" applyNumberFormat="1">
      <alignment shrinkToFit="0" vertical="center" wrapText="0"/>
    </xf>
    <xf borderId="0" fillId="0" fontId="3" numFmtId="49" xfId="0" applyFont="1" applyNumberFormat="1"/>
    <xf borderId="9" fillId="12" fontId="13" numFmtId="49" xfId="0" applyAlignment="1" applyBorder="1" applyFill="1" applyFont="1" applyNumberFormat="1">
      <alignment readingOrder="0" shrinkToFit="0" vertical="center" wrapText="0"/>
    </xf>
    <xf borderId="8" fillId="21" fontId="13" numFmtId="49" xfId="0" applyAlignment="1" applyBorder="1" applyFill="1" applyFont="1" applyNumberFormat="1">
      <alignment shrinkToFit="0" vertical="center" wrapText="0"/>
    </xf>
    <xf borderId="9" fillId="21" fontId="13" numFmtId="49" xfId="0" applyAlignment="1" applyBorder="1" applyFill="1" applyFont="1" applyNumberFormat="1">
      <alignment shrinkToFit="0" vertical="center" wrapText="0"/>
    </xf>
    <xf borderId="9" fillId="21" fontId="13" numFmtId="0" xfId="0" applyAlignment="1" applyBorder="1" applyFill="1" applyFont="1">
      <alignment shrinkToFit="0" vertical="center" wrapText="0"/>
    </xf>
    <xf borderId="10" fillId="21" fontId="13" numFmtId="49" xfId="0" applyAlignment="1" applyBorder="1" applyFill="1" applyFont="1" applyNumberFormat="1">
      <alignment shrinkToFit="0" vertical="center" wrapText="0"/>
    </xf>
    <xf borderId="9" fillId="12" fontId="13" numFmtId="0" xfId="0" applyAlignment="1" applyBorder="1" applyFill="1" applyFont="1">
      <alignment shrinkToFit="0" vertical="center" wrapText="0"/>
    </xf>
    <xf borderId="12" fillId="12" fontId="13" numFmtId="49" xfId="0" applyAlignment="1" applyBorder="1" applyFill="1" applyFont="1" applyNumberFormat="1">
      <alignment shrinkToFit="0" vertical="center" wrapText="0"/>
    </xf>
    <xf borderId="6" fillId="0" fontId="13" numFmtId="49" xfId="0" applyAlignment="1" applyBorder="1" applyFont="1" applyNumberFormat="1">
      <alignment shrinkToFit="0" vertical="center" wrapText="0"/>
    </xf>
    <xf borderId="8" fillId="0" fontId="13" numFmtId="49" xfId="0" applyAlignment="1" applyBorder="1" applyFont="1" applyNumberFormat="1">
      <alignment readingOrder="0" shrinkToFit="0" vertical="center" wrapText="0"/>
    </xf>
    <xf borderId="6" fillId="12" fontId="13" numFmtId="49" xfId="0" applyAlignment="1" applyBorder="1" applyFill="1" applyFont="1" applyNumberFormat="1">
      <alignment readingOrder="0" shrinkToFit="0" vertical="center" wrapText="0"/>
    </xf>
    <xf borderId="12" fillId="21" fontId="13" numFmtId="49" xfId="0" applyAlignment="1" applyBorder="1" applyFill="1" applyFont="1" applyNumberFormat="1">
      <alignment shrinkToFit="0" vertical="center" wrapText="0"/>
    </xf>
    <xf borderId="0" fillId="11" fontId="13" numFmtId="49" xfId="0" applyAlignment="1" applyFill="1" applyFont="1" applyNumberFormat="1">
      <alignment shrinkToFit="0" vertical="center" wrapText="0"/>
    </xf>
    <xf borderId="9" fillId="11" fontId="13" numFmtId="0" xfId="0" applyAlignment="1" applyBorder="1" applyFill="1" applyFont="1">
      <alignment shrinkToFit="0" vertical="center" wrapText="0"/>
    </xf>
    <xf borderId="1" fillId="11" fontId="13" numFmtId="49" xfId="0" applyAlignment="1" applyBorder="1" applyFill="1" applyFont="1" applyNumberFormat="1">
      <alignment shrinkToFit="0" vertical="center" wrapText="0"/>
    </xf>
    <xf borderId="12" fillId="11" fontId="13" numFmtId="49" xfId="0" applyAlignment="1" applyBorder="1" applyFill="1" applyFont="1" applyNumberFormat="1">
      <alignment shrinkToFit="0" vertical="center" wrapText="0"/>
    </xf>
    <xf borderId="0" fillId="11" fontId="3" numFmtId="0" xfId="0" applyFill="1" applyFont="1"/>
    <xf borderId="13" fillId="12" fontId="13" numFmtId="49" xfId="0" applyAlignment="1" applyBorder="1" applyFill="1" applyFont="1" applyNumberFormat="1">
      <alignment shrinkToFit="0" vertical="center" wrapText="0"/>
    </xf>
    <xf borderId="14" fillId="12" fontId="13" numFmtId="49" xfId="0" applyAlignment="1" applyBorder="1" applyFill="1" applyFont="1" applyNumberFormat="1">
      <alignment shrinkToFit="0" vertical="center" wrapText="0"/>
    </xf>
    <xf borderId="14" fillId="12" fontId="13" numFmtId="0" xfId="0" applyAlignment="1" applyBorder="1" applyFill="1" applyFont="1">
      <alignment shrinkToFit="0" vertical="center" wrapText="0"/>
    </xf>
    <xf borderId="15" fillId="12" fontId="13" numFmtId="49" xfId="0" applyAlignment="1" applyBorder="1" applyFill="1" applyFont="1" applyNumberFormat="1">
      <alignment shrinkToFit="0" vertical="center" wrapText="0"/>
    </xf>
    <xf borderId="0" fillId="22" fontId="13" numFmtId="49" xfId="0" applyAlignment="1" applyFill="1" applyFont="1" applyNumberFormat="1">
      <alignment readingOrder="0" shrinkToFit="0" vertical="center" wrapText="0"/>
    </xf>
    <xf borderId="0" fillId="22" fontId="13" numFmtId="0" xfId="0" applyAlignment="1" applyFill="1" applyFont="1">
      <alignment readingOrder="0" shrinkToFit="0" vertical="center" wrapText="0"/>
    </xf>
    <xf borderId="1" fillId="22" fontId="13" numFmtId="49" xfId="0" applyAlignment="1" applyBorder="1" applyFill="1" applyFont="1" applyNumberFormat="1">
      <alignment shrinkToFit="0" vertical="center" wrapText="0"/>
    </xf>
    <xf borderId="14" fillId="22" fontId="13" numFmtId="49" xfId="0" applyAlignment="1" applyBorder="1" applyFill="1" applyFont="1" applyNumberFormat="1">
      <alignment shrinkToFit="0" vertical="center" wrapText="0"/>
    </xf>
    <xf borderId="0" fillId="22" fontId="13" numFmtId="0" xfId="0" applyAlignment="1" applyFill="1" applyFont="1">
      <alignment readingOrder="0" shrinkToFit="0" vertical="center" wrapText="0"/>
    </xf>
    <xf borderId="0" fillId="22" fontId="3" numFmtId="0" xfId="0" applyFill="1" applyFont="1"/>
    <xf borderId="0" fillId="12" fontId="13" numFmtId="0" xfId="0" applyAlignment="1" applyFill="1" applyFont="1">
      <alignment readingOrder="0" shrinkToFit="0" vertical="center" wrapText="0"/>
    </xf>
    <xf borderId="9" fillId="11" fontId="13" numFmtId="0" xfId="0" applyAlignment="1" applyBorder="1" applyFill="1" applyFont="1">
      <alignment shrinkToFit="0" vertical="center" wrapText="0"/>
    </xf>
    <xf borderId="16" fillId="12" fontId="13" numFmtId="49" xfId="0" applyAlignment="1" applyBorder="1" applyFill="1" applyFont="1" applyNumberFormat="1">
      <alignment shrinkToFit="0" vertical="center" wrapText="0"/>
    </xf>
    <xf borderId="9" fillId="11" fontId="13" numFmtId="0" xfId="0" applyAlignment="1" applyBorder="1" applyFill="1" applyFont="1">
      <alignment readingOrder="0" shrinkToFit="0" vertical="center" wrapText="0"/>
    </xf>
    <xf borderId="1" fillId="12" fontId="13" numFmtId="49" xfId="0" applyAlignment="1" applyBorder="1" applyFill="1" applyFont="1" applyNumberFormat="1">
      <alignment readingOrder="0" shrinkToFit="0" vertical="center" wrapText="0"/>
    </xf>
    <xf borderId="17" fillId="11" fontId="13" numFmtId="49" xfId="0" applyAlignment="1" applyBorder="1" applyFill="1" applyFont="1" applyNumberFormat="1">
      <alignment readingOrder="0" shrinkToFit="0" vertical="center" wrapText="0"/>
    </xf>
    <xf borderId="18" fillId="11" fontId="13" numFmtId="49" xfId="0" applyAlignment="1" applyBorder="1" applyFill="1" applyFont="1" applyNumberFormat="1">
      <alignment readingOrder="0" shrinkToFit="0" vertical="center" wrapText="0"/>
    </xf>
    <xf borderId="18" fillId="11" fontId="13" numFmtId="49" xfId="0" applyAlignment="1" applyBorder="1" applyFill="1" applyFont="1" applyNumberFormat="1">
      <alignment shrinkToFit="0" vertical="center" wrapText="0"/>
    </xf>
    <xf borderId="19" fillId="11" fontId="13" numFmtId="49" xfId="0" applyAlignment="1" applyBorder="1" applyFill="1" applyFont="1" applyNumberFormat="1">
      <alignment shrinkToFit="0" vertical="center" wrapText="0"/>
    </xf>
    <xf borderId="0" fillId="0" fontId="3" numFmtId="49" xfId="0" applyAlignment="1" applyFont="1" applyNumberFormat="1">
      <alignment readingOrder="0"/>
    </xf>
    <xf borderId="0" fillId="0" fontId="18" numFmtId="0" xfId="0" applyAlignment="1" applyFont="1">
      <alignment readingOrder="0"/>
    </xf>
    <xf borderId="0" fillId="13" fontId="13" numFmtId="0" xfId="0" applyAlignment="1" applyFill="1" applyFont="1">
      <alignment shrinkToFit="0" wrapText="0"/>
    </xf>
    <xf borderId="0" fillId="13" fontId="13" numFmtId="0" xfId="0" applyAlignment="1" applyFill="1" applyFont="1">
      <alignment readingOrder="0" shrinkToFit="0" wrapText="0"/>
    </xf>
    <xf borderId="20" fillId="20" fontId="7" numFmtId="0" xfId="0" applyAlignment="1" applyBorder="1" applyFill="1" applyFont="1">
      <alignment horizontal="left" readingOrder="0" shrinkToFit="0" vertical="center" wrapText="0"/>
    </xf>
    <xf borderId="21" fillId="20" fontId="7" numFmtId="0" xfId="0" applyAlignment="1" applyBorder="1" applyFill="1" applyFont="1">
      <alignment horizontal="left" readingOrder="0" shrinkToFit="0" vertical="center" wrapText="0"/>
    </xf>
    <xf borderId="22" fillId="20" fontId="7" numFmtId="0" xfId="0" applyAlignment="1" applyBorder="1" applyFill="1" applyFont="1">
      <alignment horizontal="left" readingOrder="0" shrinkToFit="0" vertical="center" wrapText="0"/>
    </xf>
    <xf borderId="0" fillId="0" fontId="3" numFmtId="0" xfId="0" applyAlignment="1" applyFont="1">
      <alignment readingOrder="0" shrinkToFit="0" vertical="center" wrapText="0"/>
    </xf>
    <xf borderId="0" fillId="0" fontId="3" numFmtId="164" xfId="0" applyAlignment="1" applyFont="1" applyNumberFormat="1">
      <alignment shrinkToFit="0" vertical="center" wrapText="0"/>
    </xf>
    <xf borderId="0" fillId="23" fontId="3" numFmtId="0" xfId="0" applyAlignment="1" applyFill="1" applyFont="1">
      <alignment readingOrder="0" shrinkToFit="0" vertical="center" wrapText="0"/>
    </xf>
    <xf borderId="0" fillId="24" fontId="3" numFmtId="0" xfId="0" applyAlignment="1" applyFill="1" applyFont="1">
      <alignment readingOrder="0" shrinkToFit="0" vertical="center" wrapText="0"/>
    </xf>
    <xf borderId="0" fillId="0" fontId="3" numFmtId="0" xfId="0" applyAlignment="1" applyFont="1">
      <alignment shrinkToFit="0" vertical="center" wrapText="0"/>
    </xf>
    <xf borderId="0" fillId="0" fontId="3" numFmtId="0" xfId="0" applyAlignment="1" applyFont="1">
      <alignment readingOrder="0" shrinkToFit="0" vertical="center" wrapText="0"/>
    </xf>
    <xf borderId="0" fillId="19" fontId="3" numFmtId="0" xfId="0" applyAlignment="1" applyFill="1" applyFont="1">
      <alignment readingOrder="0" shrinkToFit="0" vertical="center" wrapText="0"/>
    </xf>
    <xf borderId="1" fillId="0" fontId="3" numFmtId="49" xfId="0" applyAlignment="1" applyBorder="1" applyFont="1" applyNumberFormat="1">
      <alignment readingOrder="0" shrinkToFit="0" vertical="center" wrapText="0"/>
    </xf>
    <xf borderId="0" fillId="21" fontId="3" numFmtId="164" xfId="0" applyAlignment="1" applyFill="1" applyFont="1" applyNumberFormat="1">
      <alignment readingOrder="0" shrinkToFit="0" vertical="center" wrapText="0"/>
    </xf>
    <xf borderId="0" fillId="12" fontId="19" numFmtId="49" xfId="0" applyAlignment="1" applyFill="1" applyFont="1" applyNumberFormat="1">
      <alignment shrinkToFit="0" vertical="center" wrapText="0"/>
    </xf>
    <xf borderId="0" fillId="11" fontId="19" numFmtId="49" xfId="0" applyAlignment="1" applyFill="1" applyFont="1" applyNumberFormat="1">
      <alignment shrinkToFit="0" vertical="center" wrapText="0"/>
    </xf>
    <xf borderId="0" fillId="0" fontId="3" numFmtId="0" xfId="0" applyAlignment="1" applyFont="1">
      <alignment horizontal="center" readingOrder="0" shrinkToFit="0" vertical="center" wrapText="0"/>
    </xf>
    <xf borderId="0" fillId="12" fontId="13" numFmtId="49" xfId="0" applyAlignment="1" applyFill="1" applyFont="1" applyNumberFormat="1">
      <alignment shrinkToFit="0" vertical="center" wrapText="0"/>
    </xf>
    <xf borderId="0" fillId="17" fontId="3" numFmtId="0" xfId="0" applyAlignment="1" applyFill="1" applyFont="1">
      <alignment readingOrder="0" shrinkToFit="0" vertical="center" wrapText="0"/>
    </xf>
    <xf borderId="0" fillId="0" fontId="3" numFmtId="164" xfId="0" applyAlignment="1" applyFont="1" applyNumberFormat="1">
      <alignment shrinkToFit="0" vertical="center" wrapText="0"/>
    </xf>
    <xf borderId="0" fillId="0" fontId="3" numFmtId="0" xfId="0" applyAlignment="1" applyFont="1">
      <alignment shrinkToFit="0" vertical="center" wrapText="0"/>
    </xf>
    <xf borderId="8" fillId="11" fontId="13" numFmtId="0" xfId="0" applyAlignment="1" applyBorder="1" applyFill="1" applyFont="1">
      <alignment shrinkToFit="0" vertical="center" wrapText="0"/>
    </xf>
    <xf borderId="6" fillId="12" fontId="13" numFmtId="0" xfId="0" applyAlignment="1" applyBorder="1" applyFill="1" applyFont="1">
      <alignment shrinkToFit="0" vertical="center" wrapText="0"/>
    </xf>
    <xf borderId="0" fillId="13" fontId="3" numFmtId="0" xfId="0" applyAlignment="1" applyFill="1" applyFont="1">
      <alignment readingOrder="0" shrinkToFit="0" vertical="center" wrapText="0"/>
    </xf>
    <xf borderId="0" fillId="25" fontId="3" numFmtId="0" xfId="0" applyAlignment="1" applyFill="1" applyFont="1">
      <alignment readingOrder="0" shrinkToFit="0" vertical="center" wrapText="0"/>
    </xf>
    <xf borderId="0" fillId="0" fontId="3" numFmtId="0" xfId="0" applyAlignment="1" applyFont="1">
      <alignment readingOrder="0" shrinkToFit="0" vertical="center" wrapText="0"/>
    </xf>
    <xf borderId="0" fillId="0" fontId="3" numFmtId="167" xfId="0" applyAlignment="1" applyFont="1" applyNumberFormat="1">
      <alignment shrinkToFit="0" vertical="center" wrapText="0"/>
    </xf>
    <xf borderId="0" fillId="26" fontId="3" numFmtId="0" xfId="0" applyAlignment="1" applyFill="1" applyFont="1">
      <alignment readingOrder="0" shrinkToFit="0" vertical="center" wrapText="0"/>
    </xf>
    <xf borderId="0" fillId="22" fontId="3" numFmtId="0" xfId="0" applyAlignment="1" applyFill="1" applyFont="1">
      <alignment readingOrder="0" shrinkToFit="0" vertical="center" wrapText="0"/>
    </xf>
    <xf borderId="0" fillId="16" fontId="3" numFmtId="0" xfId="0" applyAlignment="1" applyFill="1" applyFont="1">
      <alignment readingOrder="0" shrinkToFit="0" vertical="center" wrapText="0"/>
    </xf>
    <xf borderId="0" fillId="27" fontId="3" numFmtId="0" xfId="0" applyAlignment="1" applyFill="1" applyFont="1">
      <alignment readingOrder="0" shrinkToFit="0" vertical="center" wrapText="0"/>
    </xf>
    <xf borderId="0" fillId="21" fontId="3" numFmtId="0" xfId="0" applyAlignment="1" applyFill="1" applyFont="1">
      <alignment readingOrder="0" shrinkToFit="0" vertical="center" wrapText="0"/>
    </xf>
  </cellXfs>
  <cellStyles count="1">
    <cellStyle xfId="0" name="Normal" builtinId="0"/>
  </cellStyles>
  <dxfs count="14">
    <dxf>
      <font/>
      <fill>
        <patternFill patternType="none"/>
      </fill>
      <border/>
    </dxf>
    <dxf>
      <font/>
      <fill>
        <patternFill patternType="solid">
          <fgColor rgb="FFF0EEE9"/>
          <bgColor rgb="FFF0EEE9"/>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F0EEE9"/>
        </left>
        <right style="thin">
          <color rgb="FFF0EEE9"/>
        </right>
        <top style="thin">
          <color rgb="FFF0EEE9"/>
        </top>
        <bottom style="thin">
          <color rgb="FFF0EEE9"/>
        </bottom>
      </border>
    </dxf>
    <dxf>
      <font/>
      <fill>
        <patternFill patternType="solid">
          <fgColor rgb="FFFFE4EF"/>
          <bgColor rgb="FFFFE4EF"/>
        </patternFill>
      </fill>
      <border/>
    </dxf>
    <dxf>
      <font/>
      <fill>
        <patternFill patternType="solid">
          <fgColor rgb="FFC7EABB"/>
          <bgColor rgb="FFC7EABB"/>
        </patternFill>
      </fill>
      <border/>
    </dxf>
    <dxf>
      <font>
        <color rgb="FF000000"/>
      </font>
      <fill>
        <patternFill patternType="solid">
          <fgColor rgb="FFF3F4F4"/>
          <bgColor rgb="FFF3F4F4"/>
        </patternFill>
      </fill>
      <border/>
    </dxf>
    <dxf>
      <font>
        <b/>
        <color rgb="FF356854"/>
      </font>
      <fill>
        <patternFill patternType="none"/>
      </fill>
      <border/>
    </dxf>
    <dxf>
      <font>
        <b/>
        <color theme="6"/>
      </font>
      <fill>
        <patternFill patternType="none"/>
      </fill>
      <border/>
    </dxf>
    <dxf>
      <font/>
      <fill>
        <patternFill patternType="solid">
          <fgColor rgb="FFF8F9FA"/>
          <bgColor rgb="FFF8F9FA"/>
        </patternFill>
      </fill>
      <border/>
    </dxf>
    <dxf>
      <font/>
      <fill>
        <patternFill patternType="solid">
          <fgColor rgb="FFF4C7C3"/>
          <bgColor rgb="FFF4C7C3"/>
        </patternFill>
      </fill>
      <border/>
    </dxf>
    <dxf>
      <font/>
      <fill>
        <patternFill patternType="solid">
          <fgColor rgb="FFB7E1CD"/>
          <bgColor rgb="FFB7E1CD"/>
        </patternFill>
      </fill>
      <border/>
    </dxf>
    <dxf>
      <font/>
      <fill>
        <patternFill patternType="solid">
          <fgColor rgb="FFF3F4F4"/>
          <bgColor rgb="FFF3F4F4"/>
        </patternFill>
      </fill>
      <border/>
    </dxf>
  </dxfs>
  <tableStyles count="9">
    <tableStyle count="4" pivot="0" name="prw-pw-style">
      <tableStyleElement dxfId="1" type="headerRow"/>
      <tableStyleElement dxfId="2" type="firstRowStripe"/>
      <tableStyleElement dxfId="3" type="secondRowStripe"/>
      <tableStyleElement dxfId="4" size="0" type="wholeTable"/>
    </tableStyle>
    <tableStyle count="4" pivot="0" name="wfi-pus-style">
      <tableStyleElement dxfId="1" type="headerRow"/>
      <tableStyleElement dxfId="2" type="firstRowStripe"/>
      <tableStyleElement dxfId="3" type="secondRowStripe"/>
      <tableStyleElement dxfId="4" size="0" type="wholeTable"/>
    </tableStyle>
    <tableStyle count="4" pivot="0" name="Backup prw-pw-style">
      <tableStyleElement dxfId="1" type="headerRow"/>
      <tableStyleElement dxfId="2" type="firstRowStripe"/>
      <tableStyleElement dxfId="3" type="secondRowStripe"/>
      <tableStyleElement dxfId="4" size="0" type="wholeTable"/>
    </tableStyle>
    <tableStyle count="4" pivot="0" name="Backup wfi-pus-style">
      <tableStyleElement dxfId="1" type="headerRow"/>
      <tableStyleElement dxfId="2" type="firstRowStripe"/>
      <tableStyleElement dxfId="3" type="secondRowStripe"/>
      <tableStyleElement dxfId="4" size="0" type="wholeTable"/>
    </tableStyle>
    <tableStyle count="4" pivot="0" name="database-style">
      <tableStyleElement dxfId="1" type="headerRow"/>
      <tableStyleElement dxfId="2" type="firstRowStripe"/>
      <tableStyleElement dxfId="10" type="secondRowStripe"/>
      <tableStyleElement dxfId="4" size="0" type="wholeTable"/>
    </tableStyle>
    <tableStyle count="2" pivot="0" name="database-style 2">
      <tableStyleElement dxfId="2" type="firstRowStripe"/>
      <tableStyleElement dxfId="10" type="secondRowStripe"/>
    </tableStyle>
    <tableStyle count="2" pivot="0" name="ลงรูป-style">
      <tableStyleElement dxfId="3" type="firstRowStripe"/>
      <tableStyleElement dxfId="2" type="secondRowStripe"/>
    </tableStyle>
    <tableStyle count="2" pivot="0" name="ลงรูป-style 2">
      <tableStyleElement dxfId="3" type="firstRowStripe"/>
      <tableStyleElement dxfId="2" type="secondRowStripe"/>
    </tableStyle>
    <tableStyle count="4" pivot="0" name="allDat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onymous" id="{4b0f614b-923e-441a-99fb-54ffe234bedb}" providerId="google-sheets"/>
</x18tc:personList>
</file>

<file path=xl/tables/table1.xml><?xml version="1.0" encoding="utf-8"?>
<table xmlns="http://schemas.openxmlformats.org/spreadsheetml/2006/main" ref="A1:V621" displayName="pw_prw" name="pw_prw" id="1">
  <tableColumns count="22">
    <tableColumn name="samplingDate" id="1"/>
    <tableColumn name="samplingPoint" id="2"/>
    <tableColumn name="samplingTag" id="3"/>
    <tableColumn name="recordStatus" id="4"/>
    <tableColumn name="worksheet No." id="5"/>
    <tableColumn name="worksheetCreate" id="6"/>
    <tableColumn name="noLocation" id="7"/>
    <tableColumn name="building" id="8"/>
    <tableColumn name="location" id="9"/>
    <tableColumn name="waterType" id="10"/>
    <tableColumn name="performedDate" id="11"/>
    <tableColumn name="determinedDate" id="12"/>
    <tableColumn name="result1" id="13"/>
    <tableColumn name="result2" id="14"/>
    <tableColumn name="resultAvg" id="15"/>
    <tableColumn name="qualityEvent" id="16"/>
    <tableColumn name="comment" id="17"/>
    <tableColumn name="criteria" id="18"/>
    <tableColumn name="statusResult" id="19"/>
    <tableColumn name="Exclude" id="20"/>
    <tableColumn name="status" id="21"/>
    <tableColumn name="syncStatus" id="22"/>
  </tableColumns>
  <tableStyleInfo name="prw-pw-style" showColumnStripes="0" showFirstColumn="1" showLastColumn="1" showRowStripes="1"/>
</table>
</file>

<file path=xl/tables/table2.xml><?xml version="1.0" encoding="utf-8"?>
<table xmlns="http://schemas.openxmlformats.org/spreadsheetml/2006/main" ref="A1:U201" displayName="wfi_pus" name="wfi_pus" id="2">
  <tableColumns count="21">
    <tableColumn name="samplingDate" id="1"/>
    <tableColumn name="samplingPoint" id="2"/>
    <tableColumn name="samplingTag" id="3"/>
    <tableColumn name="recordStatus" id="4"/>
    <tableColumn name="worksheet  No." id="5"/>
    <tableColumn name="worksheetCreate" id="6"/>
    <tableColumn name="noLocation" id="7"/>
    <tableColumn name="building" id="8"/>
    <tableColumn name="location" id="9"/>
    <tableColumn name="waterType" id="10"/>
    <tableColumn name="performedDate" id="11"/>
    <tableColumn name="determinedDate" id="12"/>
    <tableColumn name="result1" id="13"/>
    <tableColumn name="resultAvg" id="14"/>
    <tableColumn name="qualityEvent" id="15"/>
    <tableColumn name="comment" id="16"/>
    <tableColumn name="criteria" id="17"/>
    <tableColumn name="statusResult" id="18"/>
    <tableColumn name="Exclude" id="19"/>
    <tableColumn name="status" id="20"/>
    <tableColumn name="syncStatus" id="21"/>
  </tableColumns>
  <tableStyleInfo name="wfi-pus-style" showColumnStripes="0" showFirstColumn="1" showLastColumn="1" showRowStripes="1"/>
</table>
</file>

<file path=xl/tables/table3.xml><?xml version="1.0" encoding="utf-8"?>
<table xmlns="http://schemas.openxmlformats.org/spreadsheetml/2006/main" ref="A1:U854" displayName="pw_prw_2" name="pw_prw_2" id="3">
  <tableColumns count="21">
    <tableColumn name="samplingDate" id="1"/>
    <tableColumn name="samplingPoint" id="2"/>
    <tableColumn name="samplingTag" id="3"/>
    <tableColumn name="recordStatus" id="4"/>
    <tableColumn name="worksheetCreate" id="5"/>
    <tableColumn name="noLocation" id="6"/>
    <tableColumn name="building" id="7"/>
    <tableColumn name="location" id="8"/>
    <tableColumn name="waterType" id="9"/>
    <tableColumn name="performedDate" id="10"/>
    <tableColumn name="determinedDate" id="11"/>
    <tableColumn name="result1" id="12"/>
    <tableColumn name="result2" id="13"/>
    <tableColumn name="resultAvg" id="14"/>
    <tableColumn name="comment" id="15"/>
    <tableColumn name="criteria" id="16"/>
    <tableColumn name="statusResult" id="17"/>
    <tableColumn name="Exclude" id="18"/>
    <tableColumn name="worksheet No." id="19"/>
    <tableColumn name="status" id="20"/>
    <tableColumn name="syncStatus" id="21"/>
  </tableColumns>
  <tableStyleInfo name="Backup prw-pw-style" showColumnStripes="0" showFirstColumn="1" showLastColumn="1" showRowStripes="1"/>
</table>
</file>

<file path=xl/tables/table4.xml><?xml version="1.0" encoding="utf-8"?>
<table xmlns="http://schemas.openxmlformats.org/spreadsheetml/2006/main" ref="A1:T308" displayName="wfi_pus_2" name="wfi_pus_2" id="4">
  <autoFilter ref="$A$1:$T$308"/>
  <tableColumns count="20">
    <tableColumn name="samplingDate" id="1"/>
    <tableColumn name="samplingPoint" id="2"/>
    <tableColumn name="samplingTag" id="3"/>
    <tableColumn name="recordStatus" id="4"/>
    <tableColumn name="worksheetCreate" id="5"/>
    <tableColumn name="noLocation" id="6"/>
    <tableColumn name="building" id="7"/>
    <tableColumn name="location" id="8"/>
    <tableColumn name="waterType" id="9"/>
    <tableColumn name="performedDate" id="10"/>
    <tableColumn name="determinedDate" id="11"/>
    <tableColumn name="result1" id="12"/>
    <tableColumn name="resultAvg" id="13"/>
    <tableColumn name="comment" id="14"/>
    <tableColumn name="criteria" id="15"/>
    <tableColumn name="statusResult" id="16"/>
    <tableColumn name="Exclude" id="17"/>
    <tableColumn name="worksheet  No." id="18"/>
    <tableColumn name="status" id="19"/>
    <tableColumn name="syncStatus" id="20"/>
  </tableColumns>
  <tableStyleInfo name="Backup wfi-pus-style" showColumnStripes="0" showFirstColumn="1" showLastColumn="1" showRowStripes="1"/>
</table>
</file>

<file path=xl/tables/table5.xml><?xml version="1.0" encoding="utf-8"?>
<table xmlns="http://schemas.openxmlformats.org/spreadsheetml/2006/main" ref="A1:H150" displayName="DB" name="DB" id="5">
  <tableColumns count="8">
    <tableColumn name="samplingPoint" id="1"/>
    <tableColumn name="samplingTag" id="2"/>
    <tableColumn name="location" id="3"/>
    <tableColumn name="noLocation" id="4"/>
    <tableColumn name="waterSystem" id="5"/>
    <tableColumn name="building" id="6"/>
    <tableColumn name="waterType" id="7"/>
    <tableColumn name="Criteria" id="8"/>
  </tableColumns>
  <tableStyleInfo name="database-style" showColumnStripes="0" showFirstColumn="1" showLastColumn="1" showRowStripes="1"/>
</table>
</file>

<file path=xl/tables/table6.xml><?xml version="1.0" encoding="utf-8"?>
<table xmlns="http://schemas.openxmlformats.org/spreadsheetml/2006/main" headerRowCount="0" ref="M2:N3" displayName="Table_1" name="Table_1" id="6">
  <tableColumns count="2">
    <tableColumn name="Column1" id="1"/>
    <tableColumn name="Column2" id="2"/>
  </tableColumns>
  <tableStyleInfo name="database-style 2" showColumnStripes="0" showFirstColumn="1" showLastColumn="1" showRowStripes="1"/>
</table>
</file>

<file path=xl/tables/table7.xml><?xml version="1.0" encoding="utf-8"?>
<table xmlns="http://schemas.openxmlformats.org/spreadsheetml/2006/main" headerRowCount="0" ref="D6:D14" displayName="Table_2" name="Table_2" id="7">
  <tableColumns count="1">
    <tableColumn name="Column1" id="1"/>
  </tableColumns>
  <tableStyleInfo name="ลงรูป-style" showColumnStripes="0" showFirstColumn="1" showLastColumn="1" showRowStripes="1"/>
</table>
</file>

<file path=xl/tables/table8.xml><?xml version="1.0" encoding="utf-8"?>
<table xmlns="http://schemas.openxmlformats.org/spreadsheetml/2006/main" headerRowCount="0" ref="H8:H16" displayName="Table_3" name="Table_3" id="8">
  <tableColumns count="1">
    <tableColumn name="Column1" id="1"/>
  </tableColumns>
  <tableStyleInfo name="ลงรูป-style 2" showColumnStripes="0" showFirstColumn="1" showLastColumn="1" showRowStripes="1"/>
</table>
</file>

<file path=xl/tables/table9.xml><?xml version="1.0" encoding="utf-8"?>
<table xmlns="http://schemas.openxmlformats.org/spreadsheetml/2006/main" ref="A1:Q1193" displayName="allData" name="allData" id="9">
  <tableColumns count="17">
    <tableColumn name="samplingDate" id="1"/>
    <tableColumn name="samplingPoint" id="2"/>
    <tableColumn name="samplingTag" id="3"/>
    <tableColumn name="recordStatus" id="4"/>
    <tableColumn name="noLocation" id="5"/>
    <tableColumn name="building" id="6"/>
    <tableColumn name="location" id="7"/>
    <tableColumn name="waterType" id="8"/>
    <tableColumn name="performedDate" id="9"/>
    <tableColumn name="determinedDate" id="10"/>
    <tableColumn name="result1" id="11"/>
    <tableColumn name="result2" id="12"/>
    <tableColumn name="resultAvg" id="13"/>
    <tableColumn name="comment" id="14"/>
    <tableColumn name="criteria" id="15"/>
    <tableColumn name="statusResult" id="16"/>
    <tableColumn name="Column 1" id="17"/>
  </tableColumns>
  <tableStyleInfo name="all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445" dT="2026-08-22T14:53:29.00" personId="{4b0f614b-923e-441a-99fb-54ffe234bedb}" id="{93dbade5-134b-42cd-96ca-f7c28bb57171}" done="1">
    <x18tc:text xml:space="preserve">ไม่มีในแผนเก็บ</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5.xml"/><Relationship Id="rId5"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drive/folders/1ee7LRvItfyxSZzd-Q-yVXdDGrdT5co9o" TargetMode="External"/><Relationship Id="rId2" Type="http://schemas.openxmlformats.org/officeDocument/2006/relationships/drawing" Target="../drawings/drawing8.xml"/><Relationship Id="rId5" Type="http://schemas.openxmlformats.org/officeDocument/2006/relationships/table" Target="../tables/table7.xml"/><Relationship Id="rId6"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8.88"/>
    <col customWidth="1" min="3" max="4" width="15.13"/>
  </cols>
  <sheetData>
    <row r="1" ht="26.25" customHeight="1">
      <c r="A1" s="1" t="s">
        <v>0</v>
      </c>
    </row>
    <row r="2">
      <c r="A2" s="2" t="s">
        <v>1</v>
      </c>
      <c r="B2" s="3"/>
      <c r="C2" s="3"/>
      <c r="D2" s="3"/>
    </row>
    <row r="3">
      <c r="A3" s="4" t="s">
        <v>2</v>
      </c>
      <c r="B3" s="5" t="s">
        <v>3</v>
      </c>
    </row>
    <row r="4">
      <c r="A4" s="4" t="s">
        <v>4</v>
      </c>
      <c r="B4" s="5" t="s">
        <v>5</v>
      </c>
    </row>
    <row r="5">
      <c r="A5" s="4" t="s">
        <v>6</v>
      </c>
      <c r="B5" s="5" t="s">
        <v>7</v>
      </c>
    </row>
    <row r="6">
      <c r="A6" s="4" t="s">
        <v>8</v>
      </c>
      <c r="B6" s="5" t="s">
        <v>9</v>
      </c>
    </row>
    <row r="8">
      <c r="A8" s="2" t="s">
        <v>10</v>
      </c>
      <c r="B8" s="3"/>
      <c r="C8" s="3"/>
      <c r="D8" s="3"/>
    </row>
    <row r="9">
      <c r="A9" s="6" t="s">
        <v>11</v>
      </c>
      <c r="B9" s="7">
        <v>908.0</v>
      </c>
      <c r="C9" s="8" t="s">
        <v>13</v>
      </c>
      <c r="D9" s="9">
        <v>883.0</v>
      </c>
    </row>
    <row r="10">
      <c r="A10" s="12" t="s">
        <v>14</v>
      </c>
      <c r="B10" s="15">
        <v>25.0</v>
      </c>
      <c r="C10" s="17" t="s">
        <v>38</v>
      </c>
      <c r="D10" s="18">
        <v>0.972</v>
      </c>
    </row>
    <row r="12">
      <c r="A12" s="19" t="s">
        <v>48</v>
      </c>
      <c r="B12" s="19" t="s">
        <v>13</v>
      </c>
      <c r="C12" s="19" t="s">
        <v>14</v>
      </c>
    </row>
    <row r="13">
      <c r="A13" s="10" t="s">
        <v>3</v>
      </c>
      <c r="B13" s="20">
        <v>67.0</v>
      </c>
      <c r="C13" s="20">
        <v>0.0</v>
      </c>
    </row>
    <row r="14">
      <c r="A14" s="10" t="s">
        <v>56</v>
      </c>
      <c r="B14" s="20">
        <v>81.0</v>
      </c>
      <c r="C14" s="20">
        <v>0.0</v>
      </c>
    </row>
    <row r="15">
      <c r="A15" s="10" t="s">
        <v>59</v>
      </c>
      <c r="B15" s="20">
        <v>735.0</v>
      </c>
      <c r="C15" s="20">
        <v>25.0</v>
      </c>
    </row>
    <row r="16">
      <c r="A16" s="6" t="s">
        <v>62</v>
      </c>
      <c r="B16" s="6" t="s">
        <v>13</v>
      </c>
      <c r="C16" s="6" t="s">
        <v>14</v>
      </c>
    </row>
    <row r="17">
      <c r="A17" s="10" t="s">
        <v>5</v>
      </c>
      <c r="B17" s="20">
        <v>73.0</v>
      </c>
      <c r="C17" s="20">
        <v>24.0</v>
      </c>
    </row>
    <row r="18">
      <c r="A18" s="10" t="s">
        <v>66</v>
      </c>
      <c r="B18" s="20">
        <v>782.0</v>
      </c>
      <c r="C18" s="20">
        <v>1.0</v>
      </c>
    </row>
    <row r="19">
      <c r="A19" s="10" t="s">
        <v>68</v>
      </c>
      <c r="B19" s="20">
        <v>28.0</v>
      </c>
      <c r="C19" s="20">
        <v>0.0</v>
      </c>
    </row>
    <row r="20">
      <c r="A20" s="8" t="s">
        <v>71</v>
      </c>
      <c r="B20" s="8" t="s">
        <v>13</v>
      </c>
      <c r="C20" s="8" t="s">
        <v>14</v>
      </c>
    </row>
    <row r="21">
      <c r="A21" s="10" t="s">
        <v>76</v>
      </c>
      <c r="B21" s="20">
        <v>15.0</v>
      </c>
      <c r="C21" s="20">
        <v>3.0</v>
      </c>
    </row>
    <row r="22">
      <c r="A22" s="10" t="s">
        <v>7</v>
      </c>
      <c r="B22" s="20">
        <v>8.0</v>
      </c>
      <c r="C22" s="20">
        <v>2.0</v>
      </c>
    </row>
    <row r="23">
      <c r="A23" s="10" t="s">
        <v>80</v>
      </c>
      <c r="B23" s="20">
        <v>2.0</v>
      </c>
      <c r="C23" s="20">
        <v>0.0</v>
      </c>
    </row>
    <row r="24">
      <c r="A24" s="10" t="s">
        <v>82</v>
      </c>
      <c r="B24" s="20">
        <v>4.0</v>
      </c>
      <c r="C24" s="20">
        <v>0.0</v>
      </c>
    </row>
    <row r="25">
      <c r="A25" s="10" t="s">
        <v>86</v>
      </c>
      <c r="B25" s="20">
        <v>17.0</v>
      </c>
      <c r="C25" s="20">
        <v>12.0</v>
      </c>
    </row>
    <row r="26">
      <c r="A26" s="10" t="s">
        <v>89</v>
      </c>
      <c r="B26" s="20">
        <v>1.0</v>
      </c>
      <c r="C26" s="20">
        <v>0.0</v>
      </c>
    </row>
    <row r="27">
      <c r="A27" s="10" t="s">
        <v>94</v>
      </c>
      <c r="B27" s="20">
        <v>1.0</v>
      </c>
      <c r="C27" s="20">
        <v>1.0</v>
      </c>
    </row>
    <row r="28">
      <c r="A28" s="10" t="s">
        <v>96</v>
      </c>
      <c r="B28" s="20">
        <v>25.0</v>
      </c>
      <c r="C28" s="20">
        <v>0.0</v>
      </c>
    </row>
    <row r="29">
      <c r="A29" s="10" t="s">
        <v>100</v>
      </c>
      <c r="B29" s="20">
        <v>2.0</v>
      </c>
      <c r="C29" s="20">
        <v>0.0</v>
      </c>
    </row>
    <row r="30">
      <c r="A30" s="10" t="s">
        <v>103</v>
      </c>
      <c r="B30" s="20">
        <v>24.0</v>
      </c>
      <c r="C30" s="20">
        <v>0.0</v>
      </c>
    </row>
    <row r="31">
      <c r="A31" s="10" t="s">
        <v>106</v>
      </c>
      <c r="B31" s="20">
        <v>1.0</v>
      </c>
      <c r="C31" s="20">
        <v>0.0</v>
      </c>
    </row>
    <row r="32">
      <c r="A32" s="10" t="s">
        <v>109</v>
      </c>
      <c r="B32" s="20">
        <v>2.0</v>
      </c>
      <c r="C32" s="20">
        <v>0.0</v>
      </c>
    </row>
    <row r="33">
      <c r="A33" s="10" t="s">
        <v>112</v>
      </c>
      <c r="B33" s="20">
        <v>1.0</v>
      </c>
      <c r="C33" s="20">
        <v>0.0</v>
      </c>
    </row>
    <row r="34">
      <c r="A34" s="10" t="s">
        <v>114</v>
      </c>
      <c r="B34" s="20">
        <v>26.0</v>
      </c>
      <c r="C34" s="20">
        <v>0.0</v>
      </c>
    </row>
    <row r="35">
      <c r="A35" s="10" t="s">
        <v>117</v>
      </c>
      <c r="B35" s="20">
        <v>1.0</v>
      </c>
      <c r="C35" s="20">
        <v>0.0</v>
      </c>
    </row>
    <row r="36">
      <c r="A36" s="17" t="s">
        <v>122</v>
      </c>
      <c r="B36" s="17" t="s">
        <v>13</v>
      </c>
      <c r="C36" s="17" t="s">
        <v>14</v>
      </c>
    </row>
    <row r="37">
      <c r="A37" s="28">
        <v>45658.0</v>
      </c>
      <c r="B37" s="20">
        <v>62.0</v>
      </c>
      <c r="C37" s="20">
        <v>7.0</v>
      </c>
    </row>
    <row r="38">
      <c r="A38" s="28">
        <v>45689.0</v>
      </c>
      <c r="B38" s="20">
        <v>73.0</v>
      </c>
      <c r="C38" s="20">
        <v>4.0</v>
      </c>
    </row>
    <row r="39">
      <c r="A39" s="28">
        <v>45717.0</v>
      </c>
      <c r="B39" s="20">
        <v>52.0</v>
      </c>
      <c r="C39" s="20">
        <v>1.0</v>
      </c>
    </row>
    <row r="40">
      <c r="A40" s="28">
        <v>45748.0</v>
      </c>
      <c r="B40" s="20">
        <v>71.0</v>
      </c>
      <c r="C40" s="20">
        <v>2.0</v>
      </c>
    </row>
    <row r="41">
      <c r="A41" s="28">
        <v>45778.0</v>
      </c>
      <c r="B41" s="20">
        <v>42.0</v>
      </c>
      <c r="C41" s="20">
        <v>1.0</v>
      </c>
    </row>
    <row r="42">
      <c r="A42" s="28">
        <v>45809.0</v>
      </c>
      <c r="B42" s="20">
        <v>71.0</v>
      </c>
      <c r="C42" s="20">
        <v>4.0</v>
      </c>
    </row>
    <row r="43">
      <c r="A43" s="28">
        <v>45839.0</v>
      </c>
      <c r="B43" s="20">
        <v>61.0</v>
      </c>
      <c r="C43" s="20">
        <v>3.0</v>
      </c>
    </row>
    <row r="44">
      <c r="A44" s="28">
        <v>45870.0</v>
      </c>
      <c r="B44" s="20">
        <v>58.0</v>
      </c>
      <c r="C44" s="20">
        <v>3.0</v>
      </c>
    </row>
    <row r="45">
      <c r="A45" s="28">
        <v>45901.0</v>
      </c>
      <c r="B45" s="20">
        <v>60.0</v>
      </c>
      <c r="C45" s="20">
        <v>0.0</v>
      </c>
    </row>
    <row r="46">
      <c r="A46" s="29">
        <v>45931.0</v>
      </c>
      <c r="B46" s="20">
        <v>61.0</v>
      </c>
      <c r="C46" s="20">
        <v>0.0</v>
      </c>
    </row>
    <row r="47">
      <c r="A47" s="29">
        <v>45962.0</v>
      </c>
      <c r="B47" s="20">
        <v>63.0</v>
      </c>
      <c r="C47" s="20">
        <v>0.0</v>
      </c>
    </row>
    <row r="48">
      <c r="A48" s="29">
        <v>45992.0</v>
      </c>
      <c r="B48" s="20">
        <v>209.0</v>
      </c>
      <c r="C48" s="20">
        <v>0.0</v>
      </c>
    </row>
    <row r="49">
      <c r="A49" s="19" t="s">
        <v>143</v>
      </c>
      <c r="B49" s="19" t="s">
        <v>144</v>
      </c>
    </row>
    <row r="50">
      <c r="A50" s="10" t="s">
        <v>13</v>
      </c>
      <c r="B50" s="20">
        <v>883.0</v>
      </c>
    </row>
    <row r="51">
      <c r="A51" s="10" t="s">
        <v>14</v>
      </c>
      <c r="B51" s="20">
        <v>25.0</v>
      </c>
    </row>
    <row r="55">
      <c r="A55" s="30" t="s">
        <v>150</v>
      </c>
      <c r="B55" s="3"/>
      <c r="C55" s="3"/>
      <c r="D55" s="3"/>
    </row>
    <row r="56">
      <c r="A56" s="31" t="s">
        <v>48</v>
      </c>
      <c r="B56" s="31" t="s">
        <v>156</v>
      </c>
      <c r="C56" s="31" t="s">
        <v>13</v>
      </c>
      <c r="D56" s="31" t="s">
        <v>159</v>
      </c>
    </row>
    <row r="57">
      <c r="A57" s="34" t="s">
        <v>3</v>
      </c>
      <c r="B57" s="36">
        <v>67.0</v>
      </c>
      <c r="C57" s="37">
        <v>67.0</v>
      </c>
      <c r="D57" s="8">
        <v>100.0</v>
      </c>
    </row>
    <row r="58">
      <c r="A58" s="34" t="s">
        <v>56</v>
      </c>
      <c r="B58" s="36">
        <v>81.0</v>
      </c>
      <c r="C58" s="37">
        <v>81.0</v>
      </c>
      <c r="D58" s="8">
        <v>100.0</v>
      </c>
    </row>
    <row r="59">
      <c r="A59" s="34" t="s">
        <v>59</v>
      </c>
      <c r="B59" s="36">
        <v>760.0</v>
      </c>
      <c r="C59" s="37">
        <v>735.0</v>
      </c>
      <c r="D59" s="8">
        <v>96.7</v>
      </c>
    </row>
    <row r="61">
      <c r="A61" s="30" t="s">
        <v>178</v>
      </c>
      <c r="B61" s="3"/>
      <c r="C61" s="3"/>
      <c r="D61" s="3"/>
    </row>
    <row r="62">
      <c r="A62" s="41" t="s">
        <v>71</v>
      </c>
      <c r="B62" s="41" t="s">
        <v>156</v>
      </c>
      <c r="C62" s="41" t="s">
        <v>13</v>
      </c>
      <c r="D62" s="41" t="s">
        <v>159</v>
      </c>
    </row>
    <row r="63">
      <c r="A63" s="34" t="s">
        <v>197</v>
      </c>
      <c r="B63" s="36">
        <v>11.0</v>
      </c>
      <c r="C63" s="37">
        <v>11.0</v>
      </c>
      <c r="D63" s="8">
        <v>100.0</v>
      </c>
    </row>
    <row r="64">
      <c r="A64" s="34" t="s">
        <v>203</v>
      </c>
      <c r="B64" s="36">
        <v>25.0</v>
      </c>
      <c r="C64" s="37">
        <v>25.0</v>
      </c>
      <c r="D64" s="8">
        <v>100.0</v>
      </c>
    </row>
    <row r="65">
      <c r="A65" s="34" t="s">
        <v>206</v>
      </c>
      <c r="B65" s="36">
        <v>12.0</v>
      </c>
      <c r="C65" s="37">
        <v>12.0</v>
      </c>
      <c r="D65" s="8">
        <v>100.0</v>
      </c>
    </row>
    <row r="66">
      <c r="A66" s="34" t="s">
        <v>210</v>
      </c>
      <c r="B66" s="36">
        <v>56.0</v>
      </c>
      <c r="C66" s="37">
        <v>56.0</v>
      </c>
      <c r="D66" s="8">
        <v>100.0</v>
      </c>
    </row>
    <row r="67">
      <c r="A67" s="34" t="s">
        <v>211</v>
      </c>
      <c r="B67" s="36">
        <v>13.0</v>
      </c>
      <c r="C67" s="37">
        <v>13.0</v>
      </c>
      <c r="D67" s="8">
        <v>100.0</v>
      </c>
    </row>
    <row r="68">
      <c r="A68" s="34" t="s">
        <v>212</v>
      </c>
      <c r="B68" s="36">
        <v>13.0</v>
      </c>
      <c r="C68" s="37">
        <v>13.0</v>
      </c>
      <c r="D68" s="8">
        <v>100.0</v>
      </c>
    </row>
    <row r="69">
      <c r="A69" s="34" t="s">
        <v>213</v>
      </c>
      <c r="B69" s="36">
        <v>12.0</v>
      </c>
      <c r="C69" s="37">
        <v>12.0</v>
      </c>
      <c r="D69" s="8">
        <v>100.0</v>
      </c>
    </row>
    <row r="70">
      <c r="A70" s="34" t="s">
        <v>214</v>
      </c>
      <c r="B70" s="36">
        <v>12.0</v>
      </c>
      <c r="C70" s="37">
        <v>12.0</v>
      </c>
      <c r="D70" s="8">
        <v>100.0</v>
      </c>
    </row>
    <row r="71">
      <c r="A71" s="34" t="s">
        <v>96</v>
      </c>
      <c r="B71" s="36">
        <v>25.0</v>
      </c>
      <c r="C71" s="37">
        <v>25.0</v>
      </c>
      <c r="D71" s="8">
        <v>100.0</v>
      </c>
    </row>
    <row r="72">
      <c r="A72" s="34" t="s">
        <v>114</v>
      </c>
      <c r="B72" s="36">
        <v>26.0</v>
      </c>
      <c r="C72" s="37">
        <v>26.0</v>
      </c>
      <c r="D72" s="8">
        <v>100.0</v>
      </c>
    </row>
    <row r="74">
      <c r="A74" s="30" t="s">
        <v>215</v>
      </c>
      <c r="B74" s="3"/>
      <c r="C74" s="3"/>
      <c r="D74" s="3"/>
    </row>
    <row r="75">
      <c r="A75" s="44" t="s">
        <v>62</v>
      </c>
      <c r="B75" s="44" t="s">
        <v>156</v>
      </c>
      <c r="C75" s="44" t="s">
        <v>13</v>
      </c>
      <c r="D75" s="44" t="s">
        <v>159</v>
      </c>
    </row>
    <row r="76">
      <c r="A76" s="34" t="s">
        <v>68</v>
      </c>
      <c r="B76" s="36">
        <v>28.0</v>
      </c>
      <c r="C76" s="37">
        <v>28.0</v>
      </c>
      <c r="D76" s="8">
        <v>100.0</v>
      </c>
    </row>
    <row r="77">
      <c r="A77" s="34" t="s">
        <v>66</v>
      </c>
      <c r="B77" s="36">
        <v>783.0</v>
      </c>
      <c r="C77" s="37">
        <v>782.0</v>
      </c>
      <c r="D77" s="8">
        <v>99.9</v>
      </c>
    </row>
    <row r="78">
      <c r="A78" s="45" t="s">
        <v>5</v>
      </c>
      <c r="B78" s="46">
        <v>97.0</v>
      </c>
      <c r="C78" s="47">
        <v>73.0</v>
      </c>
      <c r="D78" s="12">
        <v>75.3</v>
      </c>
    </row>
  </sheetData>
  <mergeCells count="1">
    <mergeCell ref="A1:D1"/>
  </mergeCells>
  <dataValidations>
    <dataValidation type="list" allowBlank="1" showErrorMessage="1" sqref="B6">
      <formula1>"All,PASSED,FAILED"</formula1>
    </dataValidation>
    <dataValidation type="list" allowBlank="1" showErrorMessage="1" sqref="B3">
      <formula1>"All,PQ1-2/OCL,PQ1-2/OLD,Routine"</formula1>
    </dataValidation>
    <dataValidation type="list" allowBlank="1" showErrorMessage="1" sqref="B5">
      <formula1>"All,AFTER RO SYSTEM NO.12 SV14,AFTER RO SYSTEM NO.12 SV15,ALCOHOL STORAGE,AUTOCLAVE,After Cartridge filter 5 µm (B10),After Cartridge filter 5 µm (B12),After Cartridge filter 5 µm (B16),After Chlorine circulation tank (B10),After Chlorine circulation tank"&amp;" (B16),After EDI (B10),After EDI (B12),After EDI (B16),After Pump,After RO (Before EDI) (B10),After RO (Before EDI) (B12),After RO (Before EDI) (B16),After Storage tank (B10),After Storage tank (B12),After Storage tank (B16),After UV (B10),After UV (B12),"&amp;"After UV (B16),BEFORE CARTRIDGE FILTER 5 MCM,BINDER PREPARATION,BINDER PREPARATION-P,Before Cartridge filter 5 µm (B10),CAMPHORATED OPIUM TINCTURE,CIP 1,CIP 1 (EQUIPMENT REQUIREMENT),CIP 1 (ZINK WASHING),CIP 2,CIP 2 (EQUIPMENT REQUIREMENT),CIP 3,CIP 3 (EQ"&amp;"UIPMENT REQUIREMENT),CIP SKID-1 FOR BIN WASHING-1,CIP SKID-2 FOR BIN WASHING-1,CIP/SIP (EQUIPMENT REQUIREMENT – 200L),CIP/SIP (SINK WASHING),COATING ROOM-1,COATING ROOM-2,COATING ROOM-3,COATING ROOM-4,COATING ROOM-5,COATING ROOM-6,COATING SOLUTION PREP.-1"&amp;",COATING SOLUTION PREP.-2,COATING SOLUTION PREP.-3,COATING SOLUTION PREP.-4,COATING SOLUTION PREP.-P,COATING-P,DECONTAMINATION,GLASS-WARE WASHING,GLASSWARE WASHING 1,GLASSWARE WASHING 2,INSTRUMENT 7,INSTRUMENT-1,IPQC,IPQC-1-P,IPQC-2,LINEN WASHING,LIQUORIC"&amp;"E EXTRACT,MEDIA PREPARATION,MFG 1,MFG 2,MFG 3,MFG 3 (1200L),MFG 4,MFG 4 (400L),MFG 4 (5000L),MFG 5 PROCESS (2000L),MFG 6,OPIUM TINCTURE,Return loop (B10),Return loop (B12),Return loop (B16),SAMPLE PREPARATION,SKID FOR BIN WASHING-1,SKID FOR BIN WASHING-2,"&amp;"STERILIZATION,SUGAR TRANSFERRING,SYRUP PREPARATION,TOOL WASHING,TOOL WASHING-P,WASHING,WASHING-P,WATER SYSTEM (PSG),WATER SYSTEM (PW),WATER SYSTEM (WFI),WATER SYSTEM ROOM,WET GRANULATION 1-P,WET GRANULATION-2,WET GRANULATION-5,WIP SKID-1 FOR GRANULATION N"&amp;"ON POTENT,WIP SKID-2 FOR GRANULATION NON POTENT,WIP SKID-3 FOR GRANULATION POTENT"</formula1>
    </dataValidation>
    <dataValidation type="list" allowBlank="1" showErrorMessage="1" sqref="B4">
      <formula1>"All,PRW,PW,RO water"</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11.63"/>
    <col customWidth="1" min="2" max="2" width="13.25"/>
    <col customWidth="1" min="3" max="3" width="13.38"/>
    <col customWidth="1" min="4" max="4" width="16.88"/>
    <col customWidth="1" min="5" max="5" width="14.88"/>
    <col customWidth="1" min="6" max="6" width="12.88"/>
    <col customWidth="1" min="7" max="7" width="23.38"/>
    <col customWidth="1" min="8" max="8" width="14.75"/>
    <col customWidth="1" min="9" max="9" width="35.5"/>
    <col customWidth="1" min="16" max="17" width="20.63"/>
    <col customWidth="1" min="20" max="20" width="14.63"/>
    <col customWidth="1" min="21" max="21" width="13.38"/>
  </cols>
  <sheetData>
    <row r="1" ht="22.5" customHeight="1">
      <c r="A1" s="11" t="s">
        <v>15</v>
      </c>
      <c r="B1" s="11" t="s">
        <v>17</v>
      </c>
      <c r="C1" s="11" t="s">
        <v>19</v>
      </c>
      <c r="D1" s="13" t="s">
        <v>21</v>
      </c>
      <c r="E1" s="14" t="s">
        <v>29</v>
      </c>
      <c r="F1" s="16" t="s">
        <v>32</v>
      </c>
      <c r="G1" s="11" t="s">
        <v>37</v>
      </c>
      <c r="H1" s="13" t="s">
        <v>41</v>
      </c>
      <c r="I1" s="11" t="s">
        <v>45</v>
      </c>
      <c r="J1" s="11" t="s">
        <v>47</v>
      </c>
      <c r="K1" s="11" t="s">
        <v>49</v>
      </c>
      <c r="L1" s="11" t="s">
        <v>52</v>
      </c>
      <c r="M1" s="11" t="s">
        <v>54</v>
      </c>
      <c r="N1" s="11" t="s">
        <v>57</v>
      </c>
      <c r="O1" s="11" t="s">
        <v>61</v>
      </c>
      <c r="P1" s="21" t="s">
        <v>64</v>
      </c>
      <c r="Q1" s="22" t="s">
        <v>69</v>
      </c>
      <c r="R1" s="23" t="s">
        <v>74</v>
      </c>
      <c r="S1" s="23" t="s">
        <v>78</v>
      </c>
      <c r="T1" s="23" t="s">
        <v>84</v>
      </c>
      <c r="U1" s="24" t="s">
        <v>90</v>
      </c>
      <c r="V1" s="24" t="s">
        <v>98</v>
      </c>
      <c r="W1" s="25"/>
      <c r="X1" s="25"/>
      <c r="Y1" s="25"/>
      <c r="Z1" s="25"/>
      <c r="AA1" s="25"/>
    </row>
    <row r="2" ht="22.5" customHeight="1">
      <c r="A2" s="26">
        <v>46161.0</v>
      </c>
      <c r="B2" s="27" t="s">
        <v>119</v>
      </c>
      <c r="C2" s="32" t="str">
        <f t="array" ref="C2">_xlfn.XLOOKUP(B2, DB[samplingPoint], DB[samplingTag])</f>
        <v>DV116.15</v>
      </c>
      <c r="D2" s="33" t="s">
        <v>158</v>
      </c>
      <c r="E2" s="35" t="s">
        <v>51</v>
      </c>
      <c r="F2" s="38" t="b">
        <v>1</v>
      </c>
      <c r="G2" s="39" t="str">
        <f t="array" ref="G2">_xlfn.XLOOKUP($B2, DB[samplingPoint], DB[noLocation])</f>
        <v>10-3-104</v>
      </c>
      <c r="H2" s="33" t="s">
        <v>180</v>
      </c>
      <c r="I2" s="40" t="str">
        <f t="array" ref="I2">_xlfn.XLOOKUP($B2, DB[samplingPoint], DB[location])</f>
        <v>BINDER PREPARATION</v>
      </c>
      <c r="J2" s="39" t="str">
        <f t="array" ref="J2">_xlfn.XLOOKUP($B2, DB[samplingPoint], DB[waterType])</f>
        <v>PW</v>
      </c>
      <c r="K2" s="43">
        <f t="shared" ref="K2:K21" si="1">$A2+1</f>
        <v>46162</v>
      </c>
      <c r="L2" s="26">
        <v>46165.0</v>
      </c>
      <c r="M2" s="32">
        <v>17.0</v>
      </c>
      <c r="N2" s="32">
        <v>7.0</v>
      </c>
      <c r="O2" s="32">
        <f t="shared" ref="O2:O132" si="2">IFERROR(ROUNDUP(AVERAGE($M2:$N2), 0), "")</f>
        <v>12</v>
      </c>
      <c r="P2" s="49" t="s">
        <v>227</v>
      </c>
      <c r="R2" s="32">
        <f t="array" ref="R2">_xlfn.XLOOKUP($B2, DB[samplingPoint], DB[Criteria])</f>
        <v>100</v>
      </c>
      <c r="S2" s="50" t="str">
        <f t="shared" ref="S2:S621" si="3">iferror(ifs($O2&gt;R2, "NOT-PASSED", O2&lt;=R2, "PASSED"), "NA")</f>
        <v>PASSED</v>
      </c>
      <c r="T2" s="38" t="b">
        <v>0</v>
      </c>
      <c r="U2" s="39"/>
      <c r="V2" s="32" t="s">
        <v>304</v>
      </c>
    </row>
    <row r="3" ht="22.5" customHeight="1">
      <c r="A3" s="51">
        <v>46164.0</v>
      </c>
      <c r="B3" s="52" t="s">
        <v>349</v>
      </c>
      <c r="C3" s="32" t="str">
        <f t="array" ref="C3">_xlfn.XLOOKUP(B3, DB[samplingPoint], DB[samplingTag])</f>
        <v>VB-05(10)</v>
      </c>
      <c r="D3" s="33" t="s">
        <v>364</v>
      </c>
      <c r="E3" s="35" t="s">
        <v>55</v>
      </c>
      <c r="F3" s="38" t="b">
        <v>1</v>
      </c>
      <c r="G3" s="39" t="str">
        <f t="array" ref="G3">_xlfn.XLOOKUP($B3, DB[samplingPoint], DB[noLocation])</f>
        <v>WATER SYSTEM (B10)</v>
      </c>
      <c r="H3" s="54" t="s">
        <v>180</v>
      </c>
      <c r="I3" s="40" t="str">
        <f t="array" ref="I3">_xlfn.XLOOKUP($B3, DB[samplingPoint], DB[location])</f>
        <v>After Chlorine circulation tank (B10)</v>
      </c>
      <c r="J3" s="39" t="str">
        <f t="array" ref="J3">_xlfn.XLOOKUP($B3, DB[samplingPoint], DB[waterType])</f>
        <v>PRW</v>
      </c>
      <c r="K3" s="43">
        <f t="shared" si="1"/>
        <v>46165</v>
      </c>
      <c r="L3" s="51">
        <v>46173.0</v>
      </c>
      <c r="M3" s="35">
        <v>0.0</v>
      </c>
      <c r="N3" s="35">
        <v>0.0</v>
      </c>
      <c r="O3" s="32">
        <f t="shared" si="2"/>
        <v>0</v>
      </c>
      <c r="R3" s="32">
        <f t="array" ref="R3">_xlfn.XLOOKUP($B3, DB[samplingPoint], DB[Criteria])</f>
        <v>500</v>
      </c>
      <c r="S3" s="50" t="str">
        <f t="shared" si="3"/>
        <v>PASSED</v>
      </c>
      <c r="T3" s="56"/>
      <c r="U3" s="57"/>
      <c r="V3" s="32" t="s">
        <v>304</v>
      </c>
    </row>
    <row r="4" ht="22.5" customHeight="1">
      <c r="A4" s="51">
        <v>46164.0</v>
      </c>
      <c r="B4" s="58" t="s">
        <v>366</v>
      </c>
      <c r="C4" s="32" t="str">
        <f t="array" ref="C4">_xlfn.XLOOKUP(B4, DB[samplingPoint], DB[samplingTag])</f>
        <v>V50-61(10)</v>
      </c>
      <c r="D4" s="33" t="s">
        <v>364</v>
      </c>
      <c r="E4" s="35" t="s">
        <v>55</v>
      </c>
      <c r="F4" s="38" t="b">
        <v>1</v>
      </c>
      <c r="G4" s="39" t="str">
        <f t="array" ref="G4">_xlfn.XLOOKUP($B4, DB[samplingPoint], DB[noLocation])</f>
        <v>WATER SYSTEM (B10)</v>
      </c>
      <c r="H4" s="54" t="s">
        <v>180</v>
      </c>
      <c r="I4" s="40" t="str">
        <f t="array" ref="I4">_xlfn.XLOOKUP($B4, DB[samplingPoint], DB[location])</f>
        <v>After Cartridge filter 5 µm (B10)</v>
      </c>
      <c r="J4" s="39" t="str">
        <f t="array" ref="J4">_xlfn.XLOOKUP($B4, DB[samplingPoint], DB[waterType])</f>
        <v>PRW</v>
      </c>
      <c r="K4" s="43">
        <f t="shared" si="1"/>
        <v>46165</v>
      </c>
      <c r="L4" s="51">
        <v>46173.0</v>
      </c>
      <c r="M4" s="35">
        <v>0.0</v>
      </c>
      <c r="N4" s="35">
        <v>0.0</v>
      </c>
      <c r="O4" s="32">
        <f t="shared" si="2"/>
        <v>0</v>
      </c>
      <c r="R4" s="32">
        <f t="array" ref="R4">_xlfn.XLOOKUP($B4, DB[samplingPoint], DB[Criteria])</f>
        <v>500</v>
      </c>
      <c r="S4" s="50" t="str">
        <f t="shared" si="3"/>
        <v>PASSED</v>
      </c>
      <c r="T4" s="56"/>
      <c r="U4" s="57"/>
      <c r="V4" s="32" t="s">
        <v>304</v>
      </c>
    </row>
    <row r="5" ht="22.5" customHeight="1">
      <c r="A5" s="51">
        <v>46164.0</v>
      </c>
      <c r="B5" s="27" t="s">
        <v>368</v>
      </c>
      <c r="C5" s="32" t="str">
        <f t="array" ref="C5">_xlfn.XLOOKUP(B5, DB[samplingPoint], DB[samplingTag])</f>
        <v>V50-11C(10)</v>
      </c>
      <c r="D5" s="33" t="s">
        <v>364</v>
      </c>
      <c r="E5" s="35" t="s">
        <v>55</v>
      </c>
      <c r="F5" s="38" t="b">
        <v>1</v>
      </c>
      <c r="G5" s="39" t="str">
        <f t="array" ref="G5">_xlfn.XLOOKUP($B5, DB[samplingPoint], DB[noLocation])</f>
        <v>WATER SYSTEM (B10)</v>
      </c>
      <c r="H5" s="54" t="s">
        <v>180</v>
      </c>
      <c r="I5" s="40" t="str">
        <f t="array" ref="I5">_xlfn.XLOOKUP($B5, DB[samplingPoint], DB[location])</f>
        <v>After RO (Before EDI) (B10)</v>
      </c>
      <c r="J5" s="39" t="str">
        <f t="array" ref="J5">_xlfn.XLOOKUP($B5, DB[samplingPoint], DB[waterType])</f>
        <v>RO water</v>
      </c>
      <c r="K5" s="43">
        <f t="shared" si="1"/>
        <v>46165</v>
      </c>
      <c r="L5" s="51">
        <v>46173.0</v>
      </c>
      <c r="M5" s="35">
        <v>0.0</v>
      </c>
      <c r="N5" s="35">
        <v>0.0</v>
      </c>
      <c r="O5" s="32">
        <f t="shared" si="2"/>
        <v>0</v>
      </c>
      <c r="R5" s="32">
        <f t="array" ref="R5">_xlfn.XLOOKUP($B5, DB[samplingPoint], DB[Criteria])</f>
        <v>500</v>
      </c>
      <c r="S5" s="50" t="str">
        <f t="shared" si="3"/>
        <v>PASSED</v>
      </c>
      <c r="T5" s="56"/>
      <c r="U5" s="57"/>
      <c r="V5" s="32" t="s">
        <v>304</v>
      </c>
    </row>
    <row r="6" ht="22.5" customHeight="1">
      <c r="A6" s="51">
        <v>46164.0</v>
      </c>
      <c r="B6" s="58" t="s">
        <v>374</v>
      </c>
      <c r="C6" s="32" t="str">
        <f t="array" ref="C6">_xlfn.XLOOKUP(B6, DB[samplingPoint], DB[samplingTag])</f>
        <v>V50-39(10)</v>
      </c>
      <c r="D6" s="33" t="s">
        <v>364</v>
      </c>
      <c r="E6" s="35" t="s">
        <v>55</v>
      </c>
      <c r="F6" s="38" t="b">
        <v>1</v>
      </c>
      <c r="G6" s="39" t="str">
        <f t="array" ref="G6">_xlfn.XLOOKUP($B6, DB[samplingPoint], DB[noLocation])</f>
        <v>WATER SYSTEM (B10)</v>
      </c>
      <c r="H6" s="54" t="s">
        <v>180</v>
      </c>
      <c r="I6" s="40" t="str">
        <f t="array" ref="I6">_xlfn.XLOOKUP($B6, DB[samplingPoint], DB[location])</f>
        <v>After EDI (B10)</v>
      </c>
      <c r="J6" s="39" t="str">
        <f t="array" ref="J6">_xlfn.XLOOKUP($B6, DB[samplingPoint], DB[waterType])</f>
        <v>PW</v>
      </c>
      <c r="K6" s="43">
        <f t="shared" si="1"/>
        <v>46165</v>
      </c>
      <c r="L6" s="51">
        <v>46173.0</v>
      </c>
      <c r="M6" s="35">
        <v>0.0</v>
      </c>
      <c r="N6" s="35">
        <v>0.0</v>
      </c>
      <c r="O6" s="32">
        <f t="shared" si="2"/>
        <v>0</v>
      </c>
      <c r="R6" s="32">
        <f t="array" ref="R6">_xlfn.XLOOKUP($B6, DB[samplingPoint], DB[Criteria])</f>
        <v>100</v>
      </c>
      <c r="S6" s="50" t="str">
        <f t="shared" si="3"/>
        <v>PASSED</v>
      </c>
      <c r="T6" s="56"/>
      <c r="U6" s="57"/>
      <c r="V6" s="32" t="s">
        <v>304</v>
      </c>
    </row>
    <row r="7" ht="22.5" customHeight="1">
      <c r="A7" s="51">
        <v>46164.0</v>
      </c>
      <c r="B7" s="27" t="s">
        <v>380</v>
      </c>
      <c r="C7" s="32" t="str">
        <f t="array" ref="C7">_xlfn.XLOOKUP(B7, DB[samplingPoint], DB[samplingTag])</f>
        <v>SV113.01</v>
      </c>
      <c r="D7" s="33" t="s">
        <v>364</v>
      </c>
      <c r="E7" s="35" t="s">
        <v>55</v>
      </c>
      <c r="F7" s="38" t="b">
        <v>1</v>
      </c>
      <c r="G7" s="39" t="str">
        <f t="array" ref="G7">_xlfn.XLOOKUP($B7, DB[samplingPoint], DB[noLocation])</f>
        <v>WATER SYSTEM (B10)</v>
      </c>
      <c r="H7" s="54" t="s">
        <v>180</v>
      </c>
      <c r="I7" s="40" t="str">
        <f t="array" ref="I7">_xlfn.XLOOKUP($B7, DB[samplingPoint], DB[location])</f>
        <v>After Storage tank (B10)</v>
      </c>
      <c r="J7" s="39" t="str">
        <f t="array" ref="J7">_xlfn.XLOOKUP($B7, DB[samplingPoint], DB[waterType])</f>
        <v>PW</v>
      </c>
      <c r="K7" s="43">
        <f t="shared" si="1"/>
        <v>46165</v>
      </c>
      <c r="L7" s="51">
        <v>46173.0</v>
      </c>
      <c r="M7" s="35">
        <v>0.0</v>
      </c>
      <c r="N7" s="35">
        <v>0.0</v>
      </c>
      <c r="O7" s="32">
        <f t="shared" si="2"/>
        <v>0</v>
      </c>
      <c r="R7" s="32">
        <f t="array" ref="R7">_xlfn.XLOOKUP($B7, DB[samplingPoint], DB[Criteria])</f>
        <v>100</v>
      </c>
      <c r="S7" s="50" t="str">
        <f t="shared" si="3"/>
        <v>PASSED</v>
      </c>
      <c r="T7" s="56"/>
      <c r="U7" s="57"/>
      <c r="V7" s="32" t="s">
        <v>304</v>
      </c>
    </row>
    <row r="8" ht="22.5" customHeight="1">
      <c r="A8" s="51">
        <v>46164.0</v>
      </c>
      <c r="B8" s="58" t="s">
        <v>385</v>
      </c>
      <c r="C8" s="32" t="str">
        <f t="array" ref="C8">_xlfn.XLOOKUP(B8, DB[samplingPoint], DB[samplingTag])</f>
        <v>SV115.02</v>
      </c>
      <c r="D8" s="33" t="s">
        <v>364</v>
      </c>
      <c r="E8" s="35" t="s">
        <v>55</v>
      </c>
      <c r="F8" s="38" t="b">
        <v>1</v>
      </c>
      <c r="G8" s="39" t="str">
        <f t="array" ref="G8">_xlfn.XLOOKUP($B8, DB[samplingPoint], DB[noLocation])</f>
        <v>WATER SYSTEM (B10)</v>
      </c>
      <c r="H8" s="54" t="s">
        <v>180</v>
      </c>
      <c r="I8" s="40" t="str">
        <f t="array" ref="I8">_xlfn.XLOOKUP($B8, DB[samplingPoint], DB[location])</f>
        <v>After UV (B10)</v>
      </c>
      <c r="J8" s="39" t="str">
        <f t="array" ref="J8">_xlfn.XLOOKUP($B8, DB[samplingPoint], DB[waterType])</f>
        <v>PW</v>
      </c>
      <c r="K8" s="43">
        <f t="shared" si="1"/>
        <v>46165</v>
      </c>
      <c r="L8" s="51">
        <v>46173.0</v>
      </c>
      <c r="M8" s="35">
        <v>0.0</v>
      </c>
      <c r="N8" s="35">
        <v>0.0</v>
      </c>
      <c r="O8" s="32">
        <f t="shared" si="2"/>
        <v>0</v>
      </c>
      <c r="R8" s="32">
        <f t="array" ref="R8">_xlfn.XLOOKUP($B8, DB[samplingPoint], DB[Criteria])</f>
        <v>100</v>
      </c>
      <c r="S8" s="50" t="str">
        <f t="shared" si="3"/>
        <v>PASSED</v>
      </c>
      <c r="T8" s="56"/>
      <c r="U8" s="57"/>
      <c r="V8" s="32" t="s">
        <v>304</v>
      </c>
    </row>
    <row r="9" ht="22.5" customHeight="1">
      <c r="A9" s="51">
        <v>46164.0</v>
      </c>
      <c r="B9" s="27" t="s">
        <v>390</v>
      </c>
      <c r="C9" s="32" t="str">
        <f t="array" ref="C9">_xlfn.XLOOKUP(B9, DB[samplingPoint], DB[samplingTag])</f>
        <v>SV117.01</v>
      </c>
      <c r="D9" s="33" t="s">
        <v>364</v>
      </c>
      <c r="E9" s="35" t="s">
        <v>55</v>
      </c>
      <c r="F9" s="38" t="b">
        <v>1</v>
      </c>
      <c r="G9" s="39" t="str">
        <f t="array" ref="G9">_xlfn.XLOOKUP($B9, DB[samplingPoint], DB[noLocation])</f>
        <v>WATER SYSTEM (B10)</v>
      </c>
      <c r="H9" s="54" t="s">
        <v>180</v>
      </c>
      <c r="I9" s="40" t="str">
        <f t="array" ref="I9">_xlfn.XLOOKUP($B9, DB[samplingPoint], DB[location])</f>
        <v>Return loop (B10)</v>
      </c>
      <c r="J9" s="39" t="str">
        <f t="array" ref="J9">_xlfn.XLOOKUP($B9, DB[samplingPoint], DB[waterType])</f>
        <v>PW</v>
      </c>
      <c r="K9" s="43">
        <f t="shared" si="1"/>
        <v>46165</v>
      </c>
      <c r="L9" s="51">
        <v>46173.0</v>
      </c>
      <c r="M9" s="35">
        <v>0.0</v>
      </c>
      <c r="N9" s="35">
        <v>0.0</v>
      </c>
      <c r="O9" s="32">
        <f t="shared" si="2"/>
        <v>0</v>
      </c>
      <c r="R9" s="32">
        <f t="array" ref="R9">_xlfn.XLOOKUP($B9, DB[samplingPoint], DB[Criteria])</f>
        <v>100</v>
      </c>
      <c r="S9" s="50" t="str">
        <f t="shared" si="3"/>
        <v>PASSED</v>
      </c>
      <c r="T9" s="56"/>
      <c r="U9" s="57"/>
      <c r="V9" s="32" t="s">
        <v>304</v>
      </c>
    </row>
    <row r="10" ht="22.5" customHeight="1">
      <c r="A10" s="51">
        <v>46164.0</v>
      </c>
      <c r="B10" s="61" t="s">
        <v>394</v>
      </c>
      <c r="C10" s="32" t="str">
        <f t="array" ref="C10">_xlfn.XLOOKUP(B10, DB[samplingPoint], DB[samplingTag])</f>
        <v>DV116.25</v>
      </c>
      <c r="D10" s="33" t="s">
        <v>364</v>
      </c>
      <c r="E10" s="35" t="s">
        <v>55</v>
      </c>
      <c r="F10" s="38" t="b">
        <v>1</v>
      </c>
      <c r="G10" s="39" t="str">
        <f t="array" ref="G10">_xlfn.XLOOKUP($B10, DB[samplingPoint], DB[noLocation])</f>
        <v>10-3-171</v>
      </c>
      <c r="H10" s="54" t="s">
        <v>180</v>
      </c>
      <c r="I10" s="40" t="str">
        <f t="array" ref="I10">_xlfn.XLOOKUP($B10, DB[samplingPoint], DB[location])</f>
        <v>TOOL WASHING-P</v>
      </c>
      <c r="J10" s="39" t="str">
        <f t="array" ref="J10">_xlfn.XLOOKUP($B10, DB[samplingPoint], DB[waterType])</f>
        <v>PW</v>
      </c>
      <c r="K10" s="43">
        <f t="shared" si="1"/>
        <v>46165</v>
      </c>
      <c r="L10" s="51">
        <v>46173.0</v>
      </c>
      <c r="M10" s="35">
        <v>0.0</v>
      </c>
      <c r="N10" s="35">
        <v>0.0</v>
      </c>
      <c r="O10" s="32">
        <f t="shared" si="2"/>
        <v>0</v>
      </c>
      <c r="R10" s="32">
        <f t="array" ref="R10">_xlfn.XLOOKUP($B10, DB[samplingPoint], DB[Criteria])</f>
        <v>100</v>
      </c>
      <c r="S10" s="50" t="str">
        <f t="shared" si="3"/>
        <v>PASSED</v>
      </c>
      <c r="T10" s="56"/>
      <c r="U10" s="57"/>
      <c r="V10" s="32" t="s">
        <v>304</v>
      </c>
    </row>
    <row r="11" ht="22.5" customHeight="1">
      <c r="A11" s="51">
        <v>46164.0</v>
      </c>
      <c r="B11" s="61" t="s">
        <v>398</v>
      </c>
      <c r="C11" s="32" t="str">
        <f t="array" ref="C11">_xlfn.XLOOKUP(B11, DB[samplingPoint], DB[samplingTag])</f>
        <v>DV116.24</v>
      </c>
      <c r="D11" s="33" t="s">
        <v>364</v>
      </c>
      <c r="E11" s="35" t="s">
        <v>55</v>
      </c>
      <c r="F11" s="38" t="b">
        <v>1</v>
      </c>
      <c r="G11" s="39" t="str">
        <f t="array" ref="G11">_xlfn.XLOOKUP($B11, DB[samplingPoint], DB[noLocation])</f>
        <v>10-3-163</v>
      </c>
      <c r="H11" s="54" t="s">
        <v>180</v>
      </c>
      <c r="I11" s="40" t="str">
        <f t="array" ref="I11">_xlfn.XLOOKUP($B11, DB[samplingPoint], DB[location])</f>
        <v>WET GRANULATION 1-P</v>
      </c>
      <c r="J11" s="57"/>
      <c r="K11" s="43">
        <f t="shared" si="1"/>
        <v>46165</v>
      </c>
      <c r="L11" s="51">
        <v>46173.0</v>
      </c>
      <c r="M11" s="35">
        <v>0.0</v>
      </c>
      <c r="N11" s="35">
        <v>0.0</v>
      </c>
      <c r="O11" s="32">
        <f t="shared" si="2"/>
        <v>0</v>
      </c>
      <c r="R11" s="32">
        <f t="array" ref="R11">_xlfn.XLOOKUP($B11, DB[samplingPoint], DB[Criteria])</f>
        <v>100</v>
      </c>
      <c r="S11" s="50" t="str">
        <f t="shared" si="3"/>
        <v>PASSED</v>
      </c>
      <c r="T11" s="56"/>
      <c r="U11" s="57"/>
      <c r="V11" s="32" t="s">
        <v>304</v>
      </c>
    </row>
    <row r="12" ht="22.5" customHeight="1">
      <c r="A12" s="51">
        <v>46164.0</v>
      </c>
      <c r="B12" s="61" t="s">
        <v>401</v>
      </c>
      <c r="C12" s="32" t="str">
        <f t="array" ref="C12">_xlfn.XLOOKUP(B12, DB[samplingPoint], DB[samplingTag])</f>
        <v>DV116.23</v>
      </c>
      <c r="D12" s="33" t="s">
        <v>364</v>
      </c>
      <c r="E12" s="35" t="s">
        <v>55</v>
      </c>
      <c r="F12" s="38" t="b">
        <v>1</v>
      </c>
      <c r="G12" s="39" t="str">
        <f t="array" ref="G12">_xlfn.XLOOKUP($B12, DB[samplingPoint], DB[noLocation])</f>
        <v>10-3-159</v>
      </c>
      <c r="H12" s="54" t="s">
        <v>180</v>
      </c>
      <c r="I12" s="40" t="str">
        <f t="array" ref="I12">_xlfn.XLOOKUP($B12, DB[samplingPoint], DB[location])</f>
        <v>BINDER PREPARATION-P</v>
      </c>
      <c r="J12" s="39" t="str">
        <f t="array" ref="J12">_xlfn.XLOOKUP($B11, DB[samplingPoint], DB[waterType])</f>
        <v>PW</v>
      </c>
      <c r="K12" s="43">
        <f t="shared" si="1"/>
        <v>46165</v>
      </c>
      <c r="L12" s="51">
        <v>46173.0</v>
      </c>
      <c r="M12" s="35">
        <v>0.0</v>
      </c>
      <c r="N12" s="35">
        <v>0.0</v>
      </c>
      <c r="O12" s="32">
        <f t="shared" si="2"/>
        <v>0</v>
      </c>
      <c r="R12" s="32">
        <f t="array" ref="R12">_xlfn.XLOOKUP($B12, DB[samplingPoint], DB[Criteria])</f>
        <v>100</v>
      </c>
      <c r="S12" s="50" t="str">
        <f t="shared" si="3"/>
        <v>PASSED</v>
      </c>
      <c r="T12" s="56"/>
      <c r="U12" s="57"/>
      <c r="V12" s="32" t="s">
        <v>304</v>
      </c>
    </row>
    <row r="13" ht="22.5" customHeight="1">
      <c r="A13" s="51">
        <v>46164.0</v>
      </c>
      <c r="B13" s="61" t="s">
        <v>406</v>
      </c>
      <c r="C13" s="32" t="str">
        <f t="array" ref="C13">_xlfn.XLOOKUP(B13, DB[samplingPoint], DB[samplingTag])</f>
        <v>DV116.21</v>
      </c>
      <c r="D13" s="33" t="s">
        <v>364</v>
      </c>
      <c r="E13" s="35" t="s">
        <v>55</v>
      </c>
      <c r="F13" s="38" t="b">
        <v>1</v>
      </c>
      <c r="G13" s="39" t="str">
        <f t="array" ref="G13">_xlfn.XLOOKUP($B13, DB[samplingPoint], DB[noLocation])</f>
        <v>10-3-152</v>
      </c>
      <c r="H13" s="54" t="s">
        <v>180</v>
      </c>
      <c r="I13" s="40" t="str">
        <f t="array" ref="I13">_xlfn.XLOOKUP($B13, DB[samplingPoint], DB[location])</f>
        <v>WASHING-P</v>
      </c>
      <c r="J13" s="39" t="str">
        <f t="array" ref="J13">_xlfn.XLOOKUP($B12, DB[samplingPoint], DB[waterType])</f>
        <v>PW</v>
      </c>
      <c r="K13" s="43">
        <f t="shared" si="1"/>
        <v>46165</v>
      </c>
      <c r="L13" s="51">
        <v>46173.0</v>
      </c>
      <c r="M13" s="35">
        <v>0.0</v>
      </c>
      <c r="N13" s="35">
        <v>0.0</v>
      </c>
      <c r="O13" s="32">
        <f t="shared" si="2"/>
        <v>0</v>
      </c>
      <c r="R13" s="32">
        <f t="array" ref="R13">_xlfn.XLOOKUP($B13, DB[samplingPoint], DB[Criteria])</f>
        <v>100</v>
      </c>
      <c r="S13" s="50" t="str">
        <f t="shared" si="3"/>
        <v>PASSED</v>
      </c>
      <c r="T13" s="56"/>
      <c r="U13" s="57"/>
      <c r="V13" s="32" t="s">
        <v>304</v>
      </c>
    </row>
    <row r="14" ht="22.5" customHeight="1">
      <c r="A14" s="51">
        <v>46164.0</v>
      </c>
      <c r="B14" s="61" t="s">
        <v>410</v>
      </c>
      <c r="C14" s="32" t="str">
        <f t="array" ref="C14">_xlfn.XLOOKUP(B14, DB[samplingPoint], DB[samplingTag])</f>
        <v>DV116.22</v>
      </c>
      <c r="D14" s="33" t="s">
        <v>364</v>
      </c>
      <c r="E14" s="35" t="s">
        <v>55</v>
      </c>
      <c r="F14" s="38" t="b">
        <v>1</v>
      </c>
      <c r="G14" s="39" t="str">
        <f t="array" ref="G14">_xlfn.XLOOKUP($B14, DB[samplingPoint], DB[noLocation])</f>
        <v>10-3-152</v>
      </c>
      <c r="H14" s="54" t="s">
        <v>180</v>
      </c>
      <c r="I14" s="40" t="str">
        <f t="array" ref="I14">_xlfn.XLOOKUP($B14, DB[samplingPoint], DB[location])</f>
        <v>WASHING-P</v>
      </c>
      <c r="J14" s="39" t="str">
        <f t="array" ref="J14">_xlfn.XLOOKUP($B14, DB[samplingPoint], DB[waterType])</f>
        <v>PW</v>
      </c>
      <c r="K14" s="43">
        <f t="shared" si="1"/>
        <v>46165</v>
      </c>
      <c r="L14" s="51">
        <v>46173.0</v>
      </c>
      <c r="M14" s="35">
        <v>0.0</v>
      </c>
      <c r="N14" s="35">
        <v>0.0</v>
      </c>
      <c r="O14" s="32">
        <f t="shared" si="2"/>
        <v>0</v>
      </c>
      <c r="R14" s="32">
        <f t="array" ref="R14">_xlfn.XLOOKUP($B14, DB[samplingPoint], DB[Criteria])</f>
        <v>100</v>
      </c>
      <c r="S14" s="50" t="str">
        <f t="shared" si="3"/>
        <v>PASSED</v>
      </c>
      <c r="T14" s="56"/>
      <c r="U14" s="57"/>
      <c r="V14" s="32" t="s">
        <v>304</v>
      </c>
    </row>
    <row r="15" ht="22.5" customHeight="1">
      <c r="A15" s="51">
        <v>46164.0</v>
      </c>
      <c r="B15" s="61" t="s">
        <v>414</v>
      </c>
      <c r="C15" s="32" t="str">
        <f t="array" ref="C15">_xlfn.XLOOKUP(B15, DB[samplingPoint], DB[samplingTag])</f>
        <v>SV116.13</v>
      </c>
      <c r="D15" s="33" t="s">
        <v>364</v>
      </c>
      <c r="E15" s="35" t="s">
        <v>55</v>
      </c>
      <c r="F15" s="38" t="b">
        <v>1</v>
      </c>
      <c r="G15" s="39" t="str">
        <f t="array" ref="G15">_xlfn.XLOOKUP($B15, DB[samplingPoint], DB[noLocation])</f>
        <v>10-3-152</v>
      </c>
      <c r="H15" s="54" t="s">
        <v>180</v>
      </c>
      <c r="I15" s="40" t="str">
        <f t="array" ref="I15">_xlfn.XLOOKUP($B15, DB[samplingPoint], DB[location])</f>
        <v>WASHING-P</v>
      </c>
      <c r="J15" s="39" t="str">
        <f t="array" ref="J15">_xlfn.XLOOKUP($B15, DB[samplingPoint], DB[waterType])</f>
        <v>PW</v>
      </c>
      <c r="K15" s="43">
        <f t="shared" si="1"/>
        <v>46165</v>
      </c>
      <c r="L15" s="51">
        <v>46173.0</v>
      </c>
      <c r="M15" s="35">
        <v>0.0</v>
      </c>
      <c r="N15" s="35">
        <v>0.0</v>
      </c>
      <c r="O15" s="32">
        <f t="shared" si="2"/>
        <v>0</v>
      </c>
      <c r="R15" s="32">
        <f t="array" ref="R15">_xlfn.XLOOKUP($B15, DB[samplingPoint], DB[Criteria])</f>
        <v>100</v>
      </c>
      <c r="S15" s="50" t="str">
        <f t="shared" si="3"/>
        <v>PASSED</v>
      </c>
      <c r="T15" s="56"/>
      <c r="U15" s="57"/>
      <c r="V15" s="32" t="s">
        <v>304</v>
      </c>
    </row>
    <row r="16" ht="22.5" customHeight="1">
      <c r="A16" s="51">
        <v>46164.0</v>
      </c>
      <c r="B16" s="61" t="s">
        <v>417</v>
      </c>
      <c r="C16" s="32" t="str">
        <f t="array" ref="C16">_xlfn.XLOOKUP(B16, DB[samplingPoint], DB[samplingTag])</f>
        <v>DV116.20</v>
      </c>
      <c r="D16" s="33" t="s">
        <v>364</v>
      </c>
      <c r="E16" s="35" t="s">
        <v>55</v>
      </c>
      <c r="F16" s="38" t="b">
        <v>1</v>
      </c>
      <c r="G16" s="39" t="str">
        <f t="array" ref="G16">_xlfn.XLOOKUP($B16, DB[samplingPoint], DB[noLocation])</f>
        <v>10-3-149</v>
      </c>
      <c r="H16" s="54" t="s">
        <v>180</v>
      </c>
      <c r="I16" s="40" t="str">
        <f t="array" ref="I16">_xlfn.XLOOKUP($B16, DB[samplingPoint], DB[location])</f>
        <v>IPQC-1-P</v>
      </c>
      <c r="J16" s="39" t="str">
        <f t="array" ref="J16">_xlfn.XLOOKUP($B16, DB[samplingPoint], DB[waterType])</f>
        <v>PW</v>
      </c>
      <c r="K16" s="43">
        <f t="shared" si="1"/>
        <v>46165</v>
      </c>
      <c r="L16" s="51">
        <v>46173.0</v>
      </c>
      <c r="M16" s="35">
        <v>0.0</v>
      </c>
      <c r="N16" s="35">
        <v>0.0</v>
      </c>
      <c r="O16" s="32">
        <f t="shared" si="2"/>
        <v>0</v>
      </c>
      <c r="R16" s="32">
        <f t="array" ref="R16">_xlfn.XLOOKUP($B16, DB[samplingPoint], DB[Criteria])</f>
        <v>100</v>
      </c>
      <c r="S16" s="50" t="str">
        <f t="shared" si="3"/>
        <v>PASSED</v>
      </c>
      <c r="T16" s="56"/>
      <c r="U16" s="57"/>
      <c r="V16" s="32" t="s">
        <v>304</v>
      </c>
    </row>
    <row r="17" ht="22.5" customHeight="1">
      <c r="A17" s="51">
        <v>46164.0</v>
      </c>
      <c r="B17" s="61" t="s">
        <v>421</v>
      </c>
      <c r="C17" s="32" t="str">
        <f t="array" ref="C17">_xlfn.XLOOKUP(B17, DB[samplingPoint], DB[samplingTag])</f>
        <v>DV116.19</v>
      </c>
      <c r="D17" s="33" t="s">
        <v>364</v>
      </c>
      <c r="E17" s="35" t="s">
        <v>55</v>
      </c>
      <c r="F17" s="38" t="b">
        <v>1</v>
      </c>
      <c r="G17" s="39" t="str">
        <f t="array" ref="G17">_xlfn.XLOOKUP($B17, DB[samplingPoint], DB[noLocation])</f>
        <v>10-3-143</v>
      </c>
      <c r="H17" s="54" t="s">
        <v>180</v>
      </c>
      <c r="I17" s="40" t="str">
        <f t="array" ref="I17">_xlfn.XLOOKUP($B17, DB[samplingPoint], DB[location])</f>
        <v>COATING SOLUTION PREP.-P</v>
      </c>
      <c r="J17" s="39" t="str">
        <f t="array" ref="J17">_xlfn.XLOOKUP($B17, DB[samplingPoint], DB[waterType])</f>
        <v>PW</v>
      </c>
      <c r="K17" s="43">
        <f t="shared" si="1"/>
        <v>46165</v>
      </c>
      <c r="L17" s="51">
        <v>46173.0</v>
      </c>
      <c r="M17" s="35">
        <v>0.0</v>
      </c>
      <c r="N17" s="35">
        <v>0.0</v>
      </c>
      <c r="O17" s="32">
        <f t="shared" si="2"/>
        <v>0</v>
      </c>
      <c r="R17" s="32">
        <f t="array" ref="R17">_xlfn.XLOOKUP($B17, DB[samplingPoint], DB[Criteria])</f>
        <v>100</v>
      </c>
      <c r="S17" s="50" t="str">
        <f t="shared" si="3"/>
        <v>PASSED</v>
      </c>
      <c r="T17" s="56"/>
      <c r="U17" s="57"/>
      <c r="V17" s="32" t="s">
        <v>304</v>
      </c>
    </row>
    <row r="18" ht="22.5" customHeight="1">
      <c r="A18" s="51">
        <v>46164.0</v>
      </c>
      <c r="B18" s="61" t="s">
        <v>423</v>
      </c>
      <c r="C18" s="32" t="str">
        <f t="array" ref="C18">_xlfn.XLOOKUP(B18, DB[samplingPoint], DB[samplingTag])</f>
        <v>SV116.12</v>
      </c>
      <c r="D18" s="33" t="s">
        <v>364</v>
      </c>
      <c r="E18" s="35" t="s">
        <v>55</v>
      </c>
      <c r="F18" s="38" t="b">
        <v>1</v>
      </c>
      <c r="G18" s="39" t="str">
        <f t="array" ref="G18">_xlfn.XLOOKUP($B18, DB[samplingPoint], DB[noLocation])</f>
        <v>10-3-144</v>
      </c>
      <c r="H18" s="54" t="s">
        <v>180</v>
      </c>
      <c r="I18" s="40" t="str">
        <f t="array" ref="I18">_xlfn.XLOOKUP($B18, DB[samplingPoint], DB[location])</f>
        <v>COATING-P</v>
      </c>
      <c r="J18" s="39" t="str">
        <f t="array" ref="J18">_xlfn.XLOOKUP($B18, DB[samplingPoint], DB[waterType])</f>
        <v>PW</v>
      </c>
      <c r="K18" s="43">
        <f t="shared" si="1"/>
        <v>46165</v>
      </c>
      <c r="L18" s="51">
        <v>46173.0</v>
      </c>
      <c r="M18" s="35">
        <v>0.0</v>
      </c>
      <c r="N18" s="35">
        <v>0.0</v>
      </c>
      <c r="O18" s="32">
        <f t="shared" si="2"/>
        <v>0</v>
      </c>
      <c r="R18" s="32">
        <f t="array" ref="R18">_xlfn.XLOOKUP($B18, DB[samplingPoint], DB[Criteria])</f>
        <v>100</v>
      </c>
      <c r="S18" s="50" t="str">
        <f t="shared" si="3"/>
        <v>PASSED</v>
      </c>
      <c r="T18" s="56"/>
      <c r="U18" s="57"/>
      <c r="V18" s="32" t="s">
        <v>304</v>
      </c>
    </row>
    <row r="19" ht="22.5" customHeight="1">
      <c r="A19" s="51">
        <v>46164.0</v>
      </c>
      <c r="B19" s="61" t="s">
        <v>425</v>
      </c>
      <c r="C19" s="32" t="str">
        <f t="array" ref="C19">_xlfn.XLOOKUP(B19, DB[samplingPoint], DB[samplingTag])</f>
        <v>DV116.02</v>
      </c>
      <c r="D19" s="33" t="s">
        <v>364</v>
      </c>
      <c r="E19" s="35" t="s">
        <v>55</v>
      </c>
      <c r="F19" s="38" t="b">
        <v>1</v>
      </c>
      <c r="G19" s="39" t="str">
        <f t="array" ref="G19">_xlfn.XLOOKUP($B19, DB[samplingPoint], DB[noLocation])</f>
        <v>10-1-115</v>
      </c>
      <c r="H19" s="54" t="s">
        <v>180</v>
      </c>
      <c r="I19" s="40" t="str">
        <f t="array" ref="I19">_xlfn.XLOOKUP($B19, DB[samplingPoint], DB[location])</f>
        <v>WASHING</v>
      </c>
      <c r="J19" s="39" t="str">
        <f t="array" ref="J19">_xlfn.XLOOKUP($B19, DB[samplingPoint], DB[waterType])</f>
        <v>PW</v>
      </c>
      <c r="K19" s="43">
        <f t="shared" si="1"/>
        <v>46165</v>
      </c>
      <c r="L19" s="51">
        <v>46173.0</v>
      </c>
      <c r="M19" s="35">
        <v>0.0</v>
      </c>
      <c r="N19" s="35">
        <v>0.0</v>
      </c>
      <c r="O19" s="32">
        <f t="shared" si="2"/>
        <v>0</v>
      </c>
      <c r="R19" s="32">
        <f t="array" ref="R19">_xlfn.XLOOKUP($B19, DB[samplingPoint], DB[Criteria])</f>
        <v>100</v>
      </c>
      <c r="S19" s="50" t="str">
        <f t="shared" si="3"/>
        <v>PASSED</v>
      </c>
      <c r="T19" s="56"/>
      <c r="U19" s="57"/>
      <c r="V19" s="32" t="s">
        <v>304</v>
      </c>
    </row>
    <row r="20" ht="22.5" customHeight="1">
      <c r="A20" s="51">
        <v>46164.0</v>
      </c>
      <c r="B20" s="61" t="s">
        <v>428</v>
      </c>
      <c r="C20" s="32" t="str">
        <f t="array" ref="C20">_xlfn.XLOOKUP(B20, DB[samplingPoint], DB[samplingTag])</f>
        <v>DV116.01</v>
      </c>
      <c r="D20" s="33" t="s">
        <v>364</v>
      </c>
      <c r="E20" s="35" t="s">
        <v>55</v>
      </c>
      <c r="F20" s="38" t="b">
        <v>1</v>
      </c>
      <c r="G20" s="39" t="str">
        <f t="array" ref="G20">_xlfn.XLOOKUP($B20, DB[samplingPoint], DB[noLocation])</f>
        <v>10-1-057</v>
      </c>
      <c r="H20" s="54" t="s">
        <v>180</v>
      </c>
      <c r="I20" s="40" t="str">
        <f t="array" ref="I20">_xlfn.XLOOKUP($B20, DB[samplingPoint], DB[location])</f>
        <v>WASHING-P</v>
      </c>
      <c r="J20" s="39" t="str">
        <f t="array" ref="J20">_xlfn.XLOOKUP($B20, DB[samplingPoint], DB[waterType])</f>
        <v>PW</v>
      </c>
      <c r="K20" s="43">
        <f t="shared" si="1"/>
        <v>46165</v>
      </c>
      <c r="L20" s="51">
        <v>46173.0</v>
      </c>
      <c r="M20" s="35">
        <v>0.0</v>
      </c>
      <c r="N20" s="35">
        <v>0.0</v>
      </c>
      <c r="O20" s="32">
        <f t="shared" si="2"/>
        <v>0</v>
      </c>
      <c r="R20" s="32">
        <f t="array" ref="R20">_xlfn.XLOOKUP($B20, DB[samplingPoint], DB[Criteria])</f>
        <v>100</v>
      </c>
      <c r="S20" s="50" t="str">
        <f t="shared" si="3"/>
        <v>PASSED</v>
      </c>
      <c r="T20" s="56"/>
      <c r="U20" s="57"/>
      <c r="V20" s="32" t="s">
        <v>304</v>
      </c>
    </row>
    <row r="21" ht="22.5" customHeight="1">
      <c r="A21" s="51">
        <v>46164.0</v>
      </c>
      <c r="B21" s="73" t="s">
        <v>431</v>
      </c>
      <c r="C21" s="32" t="str">
        <f t="array" ref="C21">_xlfn.XLOOKUP(B21, DB[samplingPoint], DB[samplingTag])</f>
        <v>SV-14</v>
      </c>
      <c r="D21" s="33" t="s">
        <v>364</v>
      </c>
      <c r="E21" s="35" t="s">
        <v>60</v>
      </c>
      <c r="F21" s="38" t="b">
        <v>1</v>
      </c>
      <c r="G21" s="39" t="str">
        <f t="array" ref="G21">_xlfn.XLOOKUP($B21, DB[samplingPoint], DB[noLocation])</f>
        <v>PROCESS WATER (B19)</v>
      </c>
      <c r="H21" s="54" t="s">
        <v>432</v>
      </c>
      <c r="I21" s="40" t="str">
        <f t="array" ref="I21">_xlfn.XLOOKUP($B21, DB[samplingPoint], DB[location])</f>
        <v>AFTER RO SYSTEM NO.12 SV14</v>
      </c>
      <c r="J21" s="39" t="str">
        <f t="array" ref="J21">_xlfn.XLOOKUP($B21, DB[samplingPoint], DB[waterType])</f>
        <v>PRW</v>
      </c>
      <c r="K21" s="43">
        <f t="shared" si="1"/>
        <v>46165</v>
      </c>
      <c r="L21" s="51">
        <v>46173.0</v>
      </c>
      <c r="M21" s="35">
        <v>0.0</v>
      </c>
      <c r="N21" s="35">
        <v>0.0</v>
      </c>
      <c r="O21" s="32">
        <f t="shared" si="2"/>
        <v>0</v>
      </c>
      <c r="R21" s="32">
        <f t="array" ref="R21">_xlfn.XLOOKUP($B21, DB[samplingPoint], DB[Criteria])</f>
        <v>500</v>
      </c>
      <c r="S21" s="50" t="str">
        <f t="shared" si="3"/>
        <v>PASSED</v>
      </c>
      <c r="T21" s="56"/>
      <c r="U21" s="57"/>
      <c r="V21" s="32" t="s">
        <v>304</v>
      </c>
    </row>
    <row r="22" ht="22.5" customHeight="1">
      <c r="A22" s="74">
        <v>46168.0</v>
      </c>
      <c r="B22" s="75" t="s">
        <v>435</v>
      </c>
      <c r="C22" s="76" t="str">
        <f t="array" ref="C22">_xlfn.XLOOKUP(B22, DB[samplingPoint], DB[samplingTag])</f>
        <v>SV133.01</v>
      </c>
      <c r="D22" s="77" t="s">
        <v>436</v>
      </c>
      <c r="E22" s="78" t="s">
        <v>22</v>
      </c>
      <c r="F22" s="79" t="b">
        <v>1</v>
      </c>
      <c r="G22" s="80" t="str">
        <f t="array" ref="G22">_xlfn.XLOOKUP($B22, DB[samplingPoint], DB[noLocation])</f>
        <v>WATER SYSTEM (B12)</v>
      </c>
      <c r="H22" s="77" t="s">
        <v>437</v>
      </c>
      <c r="I22" s="81" t="str">
        <f t="array" ref="I22">_xlfn.XLOOKUP($B22, DB[samplingPoint], DB[location])</f>
        <v>After Storage tank (B12)</v>
      </c>
      <c r="J22" s="80" t="str">
        <f t="array" ref="J22">_xlfn.XLOOKUP($B22, DB[samplingPoint], DB[waterType])</f>
        <v>PW</v>
      </c>
      <c r="K22" s="82">
        <f t="shared" ref="K22:K42" si="4">$A22+0</f>
        <v>46168</v>
      </c>
      <c r="L22" s="83">
        <v>46171.0</v>
      </c>
      <c r="M22" s="78">
        <v>0.0</v>
      </c>
      <c r="N22" s="78">
        <v>0.0</v>
      </c>
      <c r="O22" s="78">
        <f t="shared" si="2"/>
        <v>0</v>
      </c>
      <c r="P22" s="84"/>
      <c r="Q22" s="84"/>
      <c r="R22" s="78">
        <f t="array" ref="R22">_xlfn.XLOOKUP($B22, DB[samplingPoint], DB[Criteria])</f>
        <v>100</v>
      </c>
      <c r="S22" s="85" t="str">
        <f t="shared" si="3"/>
        <v>PASSED</v>
      </c>
      <c r="T22" s="79" t="b">
        <v>0</v>
      </c>
      <c r="U22" s="80"/>
      <c r="V22" s="86" t="s">
        <v>304</v>
      </c>
      <c r="W22" s="87"/>
      <c r="X22" s="87"/>
      <c r="Y22" s="87"/>
      <c r="Z22" s="87"/>
      <c r="AA22" s="87"/>
    </row>
    <row r="23" ht="22.5" customHeight="1">
      <c r="A23" s="26">
        <v>46168.0</v>
      </c>
      <c r="B23" s="58" t="s">
        <v>438</v>
      </c>
      <c r="C23" s="32" t="str">
        <f t="array" ref="C23">_xlfn.XLOOKUP(B23, DB[samplingPoint], DB[samplingTag])</f>
        <v>SV135.02</v>
      </c>
      <c r="D23" s="33" t="s">
        <v>436</v>
      </c>
      <c r="E23" s="35" t="s">
        <v>22</v>
      </c>
      <c r="F23" s="38" t="b">
        <v>1</v>
      </c>
      <c r="G23" s="39" t="str">
        <f t="array" ref="G23">_xlfn.XLOOKUP($B23, DB[samplingPoint], DB[noLocation])</f>
        <v>WATER SYSTEM (B12)</v>
      </c>
      <c r="H23" s="33" t="s">
        <v>437</v>
      </c>
      <c r="I23" s="40" t="str">
        <f t="array" ref="I23">_xlfn.XLOOKUP($B23, DB[samplingPoint], DB[location])</f>
        <v>After UV (B12)</v>
      </c>
      <c r="J23" s="39" t="str">
        <f t="array" ref="J23">_xlfn.XLOOKUP($B23, DB[samplingPoint], DB[waterType])</f>
        <v>PW</v>
      </c>
      <c r="K23" s="43">
        <f t="shared" si="4"/>
        <v>46168</v>
      </c>
      <c r="L23" s="26">
        <v>46171.0</v>
      </c>
      <c r="M23" s="32">
        <v>0.0</v>
      </c>
      <c r="N23" s="32">
        <v>0.0</v>
      </c>
      <c r="O23" s="32">
        <f t="shared" si="2"/>
        <v>0</v>
      </c>
      <c r="P23" s="49"/>
      <c r="Q23" s="49"/>
      <c r="R23" s="32">
        <f t="array" ref="R23">_xlfn.XLOOKUP($B23, DB[samplingPoint], DB[Criteria])</f>
        <v>100</v>
      </c>
      <c r="S23" s="50" t="str">
        <f t="shared" si="3"/>
        <v>PASSED</v>
      </c>
      <c r="T23" s="38" t="b">
        <v>0</v>
      </c>
      <c r="U23" s="39"/>
      <c r="V23" s="32" t="s">
        <v>304</v>
      </c>
    </row>
    <row r="24" ht="22.5" customHeight="1">
      <c r="A24" s="26">
        <v>46168.0</v>
      </c>
      <c r="B24" s="27" t="s">
        <v>430</v>
      </c>
      <c r="C24" s="32" t="str">
        <f t="array" ref="C24">_xlfn.XLOOKUP(B24, DB[samplingPoint], DB[samplingTag])</f>
        <v>SV137.01</v>
      </c>
      <c r="D24" s="33" t="s">
        <v>436</v>
      </c>
      <c r="E24" s="35" t="s">
        <v>22</v>
      </c>
      <c r="F24" s="38" t="b">
        <v>1</v>
      </c>
      <c r="G24" s="39" t="str">
        <f t="array" ref="G24">_xlfn.XLOOKUP($B24, DB[samplingPoint], DB[noLocation])</f>
        <v>WATER SYSTEM (B12)</v>
      </c>
      <c r="H24" s="33" t="s">
        <v>437</v>
      </c>
      <c r="I24" s="40" t="str">
        <f t="array" ref="I24">_xlfn.XLOOKUP($B24, DB[samplingPoint], DB[location])</f>
        <v>Return loop (B12)</v>
      </c>
      <c r="J24" s="39" t="str">
        <f t="array" ref="J24">_xlfn.XLOOKUP($B24, DB[samplingPoint], DB[waterType])</f>
        <v>PW</v>
      </c>
      <c r="K24" s="43">
        <f t="shared" si="4"/>
        <v>46168</v>
      </c>
      <c r="L24" s="26">
        <v>46171.0</v>
      </c>
      <c r="M24" s="32">
        <v>0.0</v>
      </c>
      <c r="N24" s="32">
        <v>0.0</v>
      </c>
      <c r="O24" s="32">
        <f t="shared" si="2"/>
        <v>0</v>
      </c>
      <c r="P24" s="49"/>
      <c r="Q24" s="49"/>
      <c r="R24" s="32">
        <f t="array" ref="R24">_xlfn.XLOOKUP($B24, DB[samplingPoint], DB[Criteria])</f>
        <v>100</v>
      </c>
      <c r="S24" s="50" t="str">
        <f t="shared" si="3"/>
        <v>PASSED</v>
      </c>
      <c r="T24" s="38" t="b">
        <v>0</v>
      </c>
      <c r="U24" s="39"/>
      <c r="V24" s="32" t="s">
        <v>304</v>
      </c>
    </row>
    <row r="25" ht="22.5" customHeight="1">
      <c r="A25" s="26">
        <v>46168.0</v>
      </c>
      <c r="B25" s="88" t="s">
        <v>443</v>
      </c>
      <c r="C25" s="32" t="str">
        <f t="array" ref="C25">_xlfn.XLOOKUP(B25, DB[samplingPoint], DB[samplingTag])</f>
        <v>SV136.09</v>
      </c>
      <c r="D25" s="33" t="s">
        <v>436</v>
      </c>
      <c r="E25" s="35" t="s">
        <v>22</v>
      </c>
      <c r="F25" s="38" t="b">
        <v>1</v>
      </c>
      <c r="G25" s="39" t="str">
        <f t="array" ref="G25">_xlfn.XLOOKUP($B25, DB[samplingPoint], DB[noLocation])</f>
        <v>12-2-039</v>
      </c>
      <c r="H25" s="33" t="s">
        <v>437</v>
      </c>
      <c r="I25" s="40" t="str">
        <f t="array" ref="I25">_xlfn.XLOOKUP($B25, DB[samplingPoint], DB[location])</f>
        <v>MFG 1</v>
      </c>
      <c r="J25" s="39" t="str">
        <f t="array" ref="J25">_xlfn.XLOOKUP($B25, DB[samplingPoint], DB[waterType])</f>
        <v>PW</v>
      </c>
      <c r="K25" s="43">
        <f t="shared" si="4"/>
        <v>46168</v>
      </c>
      <c r="L25" s="26">
        <v>46171.0</v>
      </c>
      <c r="M25" s="32">
        <v>0.0</v>
      </c>
      <c r="N25" s="32">
        <v>0.0</v>
      </c>
      <c r="O25" s="32">
        <f t="shared" si="2"/>
        <v>0</v>
      </c>
      <c r="P25" s="49"/>
      <c r="Q25" s="49"/>
      <c r="R25" s="32">
        <f t="array" ref="R25">_xlfn.XLOOKUP($B25, DB[samplingPoint], DB[Criteria])</f>
        <v>100</v>
      </c>
      <c r="S25" s="50" t="str">
        <f t="shared" si="3"/>
        <v>PASSED</v>
      </c>
      <c r="T25" s="38" t="b">
        <v>0</v>
      </c>
      <c r="U25" s="39"/>
      <c r="V25" s="32" t="s">
        <v>304</v>
      </c>
    </row>
    <row r="26" ht="22.5" customHeight="1">
      <c r="A26" s="26">
        <v>46168.0</v>
      </c>
      <c r="B26" s="88" t="s">
        <v>445</v>
      </c>
      <c r="C26" s="32" t="str">
        <f t="array" ref="C26">_xlfn.XLOOKUP(B26, DB[samplingPoint], DB[samplingTag])</f>
        <v>SV136.10</v>
      </c>
      <c r="D26" s="33" t="s">
        <v>436</v>
      </c>
      <c r="E26" s="35" t="s">
        <v>22</v>
      </c>
      <c r="F26" s="38" t="b">
        <v>1</v>
      </c>
      <c r="G26" s="39" t="str">
        <f t="array" ref="G26">_xlfn.XLOOKUP($B26, DB[samplingPoint], DB[noLocation])</f>
        <v>12-2-041</v>
      </c>
      <c r="H26" s="33" t="s">
        <v>437</v>
      </c>
      <c r="I26" s="40" t="str">
        <f t="array" ref="I26">_xlfn.XLOOKUP($B26, DB[samplingPoint], DB[location])</f>
        <v>MFG 2</v>
      </c>
      <c r="J26" s="39" t="str">
        <f t="array" ref="J26">_xlfn.XLOOKUP($B26, DB[samplingPoint], DB[waterType])</f>
        <v>PW</v>
      </c>
      <c r="K26" s="43">
        <f t="shared" si="4"/>
        <v>46168</v>
      </c>
      <c r="L26" s="26">
        <v>46171.0</v>
      </c>
      <c r="M26" s="32">
        <v>0.0</v>
      </c>
      <c r="N26" s="32">
        <v>0.0</v>
      </c>
      <c r="O26" s="32">
        <f t="shared" si="2"/>
        <v>0</v>
      </c>
      <c r="P26" s="49"/>
      <c r="Q26" s="49"/>
      <c r="R26" s="32">
        <f t="array" ref="R26">_xlfn.XLOOKUP($B26, DB[samplingPoint], DB[Criteria])</f>
        <v>100</v>
      </c>
      <c r="S26" s="50" t="str">
        <f t="shared" si="3"/>
        <v>PASSED</v>
      </c>
      <c r="T26" s="38" t="b">
        <v>0</v>
      </c>
      <c r="U26" s="39"/>
      <c r="V26" s="32" t="s">
        <v>304</v>
      </c>
    </row>
    <row r="27" ht="22.5" customHeight="1">
      <c r="A27" s="26">
        <v>46168.0</v>
      </c>
      <c r="B27" s="88" t="s">
        <v>449</v>
      </c>
      <c r="C27" s="32" t="str">
        <f t="array" ref="C27">_xlfn.XLOOKUP(B27, DB[samplingPoint], DB[samplingTag])</f>
        <v>SV136.11</v>
      </c>
      <c r="D27" s="33" t="s">
        <v>436</v>
      </c>
      <c r="E27" s="35" t="s">
        <v>22</v>
      </c>
      <c r="F27" s="38" t="b">
        <v>1</v>
      </c>
      <c r="G27" s="39" t="str">
        <f t="array" ref="G27">_xlfn.XLOOKUP($B27, DB[samplingPoint], DB[noLocation])</f>
        <v>12-2-043</v>
      </c>
      <c r="H27" s="33" t="s">
        <v>437</v>
      </c>
      <c r="I27" s="40" t="str">
        <f t="array" ref="I27">_xlfn.XLOOKUP($B27, DB[samplingPoint], DB[location])</f>
        <v>MFG 3</v>
      </c>
      <c r="J27" s="39" t="str">
        <f t="array" ref="J27">_xlfn.XLOOKUP($B27, DB[samplingPoint], DB[waterType])</f>
        <v>PW</v>
      </c>
      <c r="K27" s="43">
        <f t="shared" si="4"/>
        <v>46168</v>
      </c>
      <c r="L27" s="26">
        <v>46171.0</v>
      </c>
      <c r="M27" s="32">
        <v>0.0</v>
      </c>
      <c r="N27" s="32">
        <v>0.0</v>
      </c>
      <c r="O27" s="32">
        <f t="shared" si="2"/>
        <v>0</v>
      </c>
      <c r="P27" s="49"/>
      <c r="Q27" s="49"/>
      <c r="R27" s="32">
        <f t="array" ref="R27">_xlfn.XLOOKUP($B27, DB[samplingPoint], DB[Criteria])</f>
        <v>100</v>
      </c>
      <c r="S27" s="50" t="str">
        <f t="shared" si="3"/>
        <v>PASSED</v>
      </c>
      <c r="T27" s="38" t="b">
        <v>0</v>
      </c>
      <c r="U27" s="39"/>
      <c r="V27" s="32" t="s">
        <v>304</v>
      </c>
    </row>
    <row r="28" ht="22.5" customHeight="1">
      <c r="A28" s="26">
        <v>46168.0</v>
      </c>
      <c r="B28" s="88" t="s">
        <v>453</v>
      </c>
      <c r="C28" s="32" t="str">
        <f t="array" ref="C28">_xlfn.XLOOKUP(B28, DB[samplingPoint], DB[samplingTag])</f>
        <v>SV136.13</v>
      </c>
      <c r="D28" s="33" t="s">
        <v>436</v>
      </c>
      <c r="E28" s="35" t="s">
        <v>22</v>
      </c>
      <c r="F28" s="38" t="b">
        <v>1</v>
      </c>
      <c r="G28" s="39" t="str">
        <f t="array" ref="G28">_xlfn.XLOOKUP($B28, DB[samplingPoint], DB[noLocation])</f>
        <v>12-2-043</v>
      </c>
      <c r="H28" s="33" t="s">
        <v>437</v>
      </c>
      <c r="I28" s="40" t="str">
        <f t="array" ref="I28">_xlfn.XLOOKUP($B28, DB[samplingPoint], DB[location])</f>
        <v>MFG 3</v>
      </c>
      <c r="J28" s="39" t="str">
        <f t="array" ref="J28">_xlfn.XLOOKUP($B28, DB[samplingPoint], DB[waterType])</f>
        <v>PW</v>
      </c>
      <c r="K28" s="43">
        <f t="shared" si="4"/>
        <v>46168</v>
      </c>
      <c r="L28" s="26">
        <v>46171.0</v>
      </c>
      <c r="M28" s="32">
        <v>0.0</v>
      </c>
      <c r="N28" s="32">
        <v>0.0</v>
      </c>
      <c r="O28" s="32">
        <f t="shared" si="2"/>
        <v>0</v>
      </c>
      <c r="P28" s="49"/>
      <c r="Q28" s="49"/>
      <c r="R28" s="32">
        <f t="array" ref="R28">_xlfn.XLOOKUP($B28, DB[samplingPoint], DB[Criteria])</f>
        <v>100</v>
      </c>
      <c r="S28" s="50" t="str">
        <f t="shared" si="3"/>
        <v>PASSED</v>
      </c>
      <c r="T28" s="38" t="b">
        <v>0</v>
      </c>
      <c r="U28" s="39"/>
      <c r="V28" s="32" t="s">
        <v>304</v>
      </c>
    </row>
    <row r="29" ht="22.5" customHeight="1">
      <c r="A29" s="26">
        <v>46168.0</v>
      </c>
      <c r="B29" s="88" t="s">
        <v>455</v>
      </c>
      <c r="C29" s="32" t="str">
        <f t="array" ref="C29">_xlfn.XLOOKUP(B29, DB[samplingPoint], DB[samplingTag])</f>
        <v>SV136.08</v>
      </c>
      <c r="D29" s="33" t="s">
        <v>436</v>
      </c>
      <c r="E29" s="35" t="s">
        <v>22</v>
      </c>
      <c r="F29" s="38" t="b">
        <v>1</v>
      </c>
      <c r="G29" s="39" t="str">
        <f t="array" ref="G29">_xlfn.XLOOKUP($B29, DB[samplingPoint], DB[noLocation])</f>
        <v>12-2-043</v>
      </c>
      <c r="H29" s="33" t="s">
        <v>437</v>
      </c>
      <c r="I29" s="40" t="str">
        <f t="array" ref="I29">_xlfn.XLOOKUP($B29, DB[samplingPoint], DB[location])</f>
        <v>MFG 3</v>
      </c>
      <c r="J29" s="39" t="str">
        <f t="array" ref="J29">_xlfn.XLOOKUP($B29, DB[samplingPoint], DB[waterType])</f>
        <v>PW</v>
      </c>
      <c r="K29" s="43">
        <f t="shared" si="4"/>
        <v>46168</v>
      </c>
      <c r="L29" s="26">
        <v>46171.0</v>
      </c>
      <c r="M29" s="32">
        <v>0.0</v>
      </c>
      <c r="N29" s="32">
        <v>0.0</v>
      </c>
      <c r="O29" s="32">
        <f t="shared" si="2"/>
        <v>0</v>
      </c>
      <c r="P29" s="49"/>
      <c r="Q29" s="49"/>
      <c r="R29" s="32">
        <f t="array" ref="R29">_xlfn.XLOOKUP($B29, DB[samplingPoint], DB[Criteria])</f>
        <v>100</v>
      </c>
      <c r="S29" s="50" t="str">
        <f t="shared" si="3"/>
        <v>PASSED</v>
      </c>
      <c r="T29" s="38" t="b">
        <v>0</v>
      </c>
      <c r="U29" s="39"/>
      <c r="V29" s="32" t="s">
        <v>304</v>
      </c>
    </row>
    <row r="30" ht="22.5" customHeight="1">
      <c r="A30" s="26">
        <v>46168.0</v>
      </c>
      <c r="B30" s="88" t="s">
        <v>458</v>
      </c>
      <c r="C30" s="32" t="str">
        <f t="array" ref="C30">_xlfn.XLOOKUP(B30, DB[samplingPoint], DB[samplingTag])</f>
        <v>SV136.14</v>
      </c>
      <c r="D30" s="33" t="s">
        <v>436</v>
      </c>
      <c r="E30" s="35" t="s">
        <v>22</v>
      </c>
      <c r="F30" s="38" t="b">
        <v>1</v>
      </c>
      <c r="G30" s="39" t="str">
        <f t="array" ref="G30">_xlfn.XLOOKUP($B30, DB[samplingPoint], DB[noLocation])</f>
        <v>12-2-045</v>
      </c>
      <c r="H30" s="33" t="s">
        <v>437</v>
      </c>
      <c r="I30" s="40" t="str">
        <f t="array" ref="I30">_xlfn.XLOOKUP($B30, DB[samplingPoint], DB[location])</f>
        <v>MFG 4</v>
      </c>
      <c r="J30" s="39" t="str">
        <f t="array" ref="J30">_xlfn.XLOOKUP($B30, DB[samplingPoint], DB[waterType])</f>
        <v>PW</v>
      </c>
      <c r="K30" s="43">
        <f t="shared" si="4"/>
        <v>46168</v>
      </c>
      <c r="L30" s="26">
        <v>46171.0</v>
      </c>
      <c r="M30" s="32">
        <v>0.0</v>
      </c>
      <c r="N30" s="32">
        <v>0.0</v>
      </c>
      <c r="O30" s="32">
        <f t="shared" si="2"/>
        <v>0</v>
      </c>
      <c r="P30" s="49"/>
      <c r="Q30" s="49"/>
      <c r="R30" s="32">
        <f t="array" ref="R30">_xlfn.XLOOKUP($B30, DB[samplingPoint], DB[Criteria])</f>
        <v>100</v>
      </c>
      <c r="S30" s="50" t="str">
        <f t="shared" si="3"/>
        <v>PASSED</v>
      </c>
      <c r="T30" s="38" t="b">
        <v>0</v>
      </c>
      <c r="U30" s="39"/>
      <c r="V30" s="32" t="s">
        <v>304</v>
      </c>
    </row>
    <row r="31" ht="22.5" customHeight="1">
      <c r="A31" s="26">
        <v>46168.0</v>
      </c>
      <c r="B31" s="88" t="s">
        <v>460</v>
      </c>
      <c r="C31" s="32" t="str">
        <f t="array" ref="C31">_xlfn.XLOOKUP(B31, DB[samplingPoint], DB[samplingTag])</f>
        <v>SV136.02</v>
      </c>
      <c r="D31" s="33" t="s">
        <v>436</v>
      </c>
      <c r="E31" s="35" t="s">
        <v>22</v>
      </c>
      <c r="F31" s="38" t="b">
        <v>1</v>
      </c>
      <c r="G31" s="39" t="str">
        <f t="array" ref="G31">_xlfn.XLOOKUP($B31, DB[samplingPoint], DB[noLocation])</f>
        <v>12-2-024</v>
      </c>
      <c r="H31" s="33" t="s">
        <v>437</v>
      </c>
      <c r="I31" s="40" t="str">
        <f t="array" ref="I31">_xlfn.XLOOKUP($B31, DB[samplingPoint], DB[location])</f>
        <v>LIQUORICE EXTRACT</v>
      </c>
      <c r="J31" s="39" t="str">
        <f t="array" ref="J31">_xlfn.XLOOKUP($B31, DB[samplingPoint], DB[waterType])</f>
        <v>PW</v>
      </c>
      <c r="K31" s="43">
        <f t="shared" si="4"/>
        <v>46168</v>
      </c>
      <c r="L31" s="26">
        <v>46171.0</v>
      </c>
      <c r="M31" s="32">
        <v>0.0</v>
      </c>
      <c r="N31" s="32">
        <v>0.0</v>
      </c>
      <c r="O31" s="32">
        <f t="shared" si="2"/>
        <v>0</v>
      </c>
      <c r="P31" s="49"/>
      <c r="Q31" s="49"/>
      <c r="R31" s="32">
        <f t="array" ref="R31">_xlfn.XLOOKUP($B31, DB[samplingPoint], DB[Criteria])</f>
        <v>100</v>
      </c>
      <c r="S31" s="50" t="str">
        <f t="shared" si="3"/>
        <v>PASSED</v>
      </c>
      <c r="T31" s="38" t="b">
        <v>0</v>
      </c>
      <c r="U31" s="39"/>
      <c r="V31" s="32" t="s">
        <v>304</v>
      </c>
    </row>
    <row r="32" ht="22.5" customHeight="1">
      <c r="A32" s="26">
        <v>46168.0</v>
      </c>
      <c r="B32" s="88" t="s">
        <v>463</v>
      </c>
      <c r="C32" s="32" t="str">
        <f t="array" ref="C32">_xlfn.XLOOKUP(B32, DB[samplingPoint], DB[samplingTag])</f>
        <v>DV136.08</v>
      </c>
      <c r="D32" s="33" t="s">
        <v>436</v>
      </c>
      <c r="E32" s="35" t="s">
        <v>22</v>
      </c>
      <c r="F32" s="38" t="b">
        <v>1</v>
      </c>
      <c r="G32" s="39" t="str">
        <f t="array" ref="G32">_xlfn.XLOOKUP($B32, DB[samplingPoint], DB[noLocation])</f>
        <v>12-3-042</v>
      </c>
      <c r="H32" s="33" t="s">
        <v>437</v>
      </c>
      <c r="I32" s="40" t="str">
        <f t="array" ref="I32">_xlfn.XLOOKUP($B32, DB[samplingPoint], DB[location])</f>
        <v>SAMPLE PREPARATION</v>
      </c>
      <c r="J32" s="39" t="str">
        <f t="array" ref="J32">_xlfn.XLOOKUP($B32, DB[samplingPoint], DB[waterType])</f>
        <v>PW</v>
      </c>
      <c r="K32" s="43">
        <f t="shared" si="4"/>
        <v>46168</v>
      </c>
      <c r="L32" s="26">
        <v>46171.0</v>
      </c>
      <c r="M32" s="32">
        <v>0.0</v>
      </c>
      <c r="N32" s="32">
        <v>0.0</v>
      </c>
      <c r="O32" s="32">
        <f t="shared" si="2"/>
        <v>0</v>
      </c>
      <c r="P32" s="49"/>
      <c r="Q32" s="49"/>
      <c r="R32" s="32">
        <f t="array" ref="R32">_xlfn.XLOOKUP($B32, DB[samplingPoint], DB[Criteria])</f>
        <v>100</v>
      </c>
      <c r="S32" s="50" t="str">
        <f t="shared" si="3"/>
        <v>PASSED</v>
      </c>
      <c r="T32" s="38" t="b">
        <v>0</v>
      </c>
      <c r="U32" s="39"/>
      <c r="V32" s="32" t="s">
        <v>304</v>
      </c>
    </row>
    <row r="33" ht="22.5" customHeight="1">
      <c r="A33" s="26">
        <v>46168.0</v>
      </c>
      <c r="B33" s="88" t="s">
        <v>465</v>
      </c>
      <c r="C33" s="32" t="str">
        <f t="array" ref="C33">_xlfn.XLOOKUP(B33, DB[samplingPoint], DB[samplingTag])</f>
        <v>DV136.09</v>
      </c>
      <c r="D33" s="33" t="s">
        <v>436</v>
      </c>
      <c r="E33" s="35" t="s">
        <v>22</v>
      </c>
      <c r="F33" s="38" t="b">
        <v>1</v>
      </c>
      <c r="G33" s="39" t="str">
        <f t="array" ref="G33">_xlfn.XLOOKUP($B33, DB[samplingPoint], DB[noLocation])</f>
        <v>12-3-042</v>
      </c>
      <c r="H33" s="33" t="s">
        <v>437</v>
      </c>
      <c r="I33" s="40" t="str">
        <f t="array" ref="I33">_xlfn.XLOOKUP($B33, DB[samplingPoint], DB[location])</f>
        <v>SAMPLE PREPARATION</v>
      </c>
      <c r="J33" s="39" t="str">
        <f t="array" ref="J33">_xlfn.XLOOKUP($B33, DB[samplingPoint], DB[waterType])</f>
        <v>PW</v>
      </c>
      <c r="K33" s="43">
        <f t="shared" si="4"/>
        <v>46168</v>
      </c>
      <c r="L33" s="26">
        <v>46171.0</v>
      </c>
      <c r="M33" s="32">
        <v>0.0</v>
      </c>
      <c r="N33" s="32">
        <v>0.0</v>
      </c>
      <c r="O33" s="32">
        <f t="shared" si="2"/>
        <v>0</v>
      </c>
      <c r="P33" s="49"/>
      <c r="Q33" s="49"/>
      <c r="R33" s="32">
        <f t="array" ref="R33">_xlfn.XLOOKUP($B33, DB[samplingPoint], DB[Criteria])</f>
        <v>100</v>
      </c>
      <c r="S33" s="50" t="str">
        <f t="shared" si="3"/>
        <v>PASSED</v>
      </c>
      <c r="T33" s="38" t="b">
        <v>0</v>
      </c>
      <c r="U33" s="39"/>
      <c r="V33" s="32" t="s">
        <v>304</v>
      </c>
    </row>
    <row r="34" ht="22.5" customHeight="1">
      <c r="A34" s="26">
        <v>46168.0</v>
      </c>
      <c r="B34" s="90" t="s">
        <v>467</v>
      </c>
      <c r="C34" s="32" t="str">
        <f t="array" ref="C34">_xlfn.XLOOKUP(B34, DB[samplingPoint], DB[samplingTag])</f>
        <v>SV123.01</v>
      </c>
      <c r="D34" s="33" t="s">
        <v>436</v>
      </c>
      <c r="E34" s="35" t="s">
        <v>26</v>
      </c>
      <c r="F34" s="38" t="b">
        <v>1</v>
      </c>
      <c r="G34" s="39" t="str">
        <f t="array" ref="G34">_xlfn.XLOOKUP($B34, DB[samplingPoint], DB[noLocation])</f>
        <v>WATER SYSTEM (B16)</v>
      </c>
      <c r="H34" s="33" t="s">
        <v>327</v>
      </c>
      <c r="I34" s="40" t="str">
        <f t="array" ref="I34">_xlfn.XLOOKUP($B34, DB[samplingPoint], DB[location])</f>
        <v>After Storage tank (B16)</v>
      </c>
      <c r="J34" s="39" t="str">
        <f t="array" ref="J34">_xlfn.XLOOKUP($B34, DB[samplingPoint], DB[waterType])</f>
        <v>PW</v>
      </c>
      <c r="K34" s="43">
        <f t="shared" si="4"/>
        <v>46168</v>
      </c>
      <c r="L34" s="26">
        <v>46171.0</v>
      </c>
      <c r="M34" s="32">
        <v>0.0</v>
      </c>
      <c r="N34" s="32">
        <v>0.0</v>
      </c>
      <c r="O34" s="32">
        <f t="shared" si="2"/>
        <v>0</v>
      </c>
      <c r="P34" s="49"/>
      <c r="Q34" s="49"/>
      <c r="R34" s="32">
        <f t="array" ref="R34">_xlfn.XLOOKUP($B34, DB[samplingPoint], DB[Criteria])</f>
        <v>100</v>
      </c>
      <c r="S34" s="50" t="str">
        <f t="shared" si="3"/>
        <v>PASSED</v>
      </c>
      <c r="T34" s="38" t="b">
        <v>0</v>
      </c>
      <c r="U34" s="39"/>
      <c r="V34" s="32" t="s">
        <v>304</v>
      </c>
    </row>
    <row r="35" ht="22.5" customHeight="1">
      <c r="A35" s="26">
        <v>46168.0</v>
      </c>
      <c r="B35" s="58" t="s">
        <v>469</v>
      </c>
      <c r="C35" s="32" t="str">
        <f t="array" ref="C35">_xlfn.XLOOKUP(B35, DB[samplingPoint], DB[samplingTag])</f>
        <v>SV125.02</v>
      </c>
      <c r="D35" s="33" t="s">
        <v>436</v>
      </c>
      <c r="E35" s="35" t="s">
        <v>26</v>
      </c>
      <c r="F35" s="38" t="b">
        <v>1</v>
      </c>
      <c r="G35" s="39" t="str">
        <f t="array" ref="G35">_xlfn.XLOOKUP($B35, DB[samplingPoint], DB[noLocation])</f>
        <v>WATER SYSTEM (B16)</v>
      </c>
      <c r="H35" s="33" t="s">
        <v>327</v>
      </c>
      <c r="I35" s="40" t="str">
        <f t="array" ref="I35">_xlfn.XLOOKUP($B35, DB[samplingPoint], DB[location])</f>
        <v>After UV (B16)</v>
      </c>
      <c r="J35" s="39" t="str">
        <f t="array" ref="J35">_xlfn.XLOOKUP($B35, DB[samplingPoint], DB[waterType])</f>
        <v>PW</v>
      </c>
      <c r="K35" s="43">
        <f t="shared" si="4"/>
        <v>46168</v>
      </c>
      <c r="L35" s="26">
        <v>46171.0</v>
      </c>
      <c r="M35" s="32">
        <v>0.0</v>
      </c>
      <c r="N35" s="32">
        <v>0.0</v>
      </c>
      <c r="O35" s="32">
        <f t="shared" si="2"/>
        <v>0</v>
      </c>
      <c r="P35" s="49"/>
      <c r="Q35" s="49"/>
      <c r="R35" s="32">
        <f t="array" ref="R35">_xlfn.XLOOKUP($B35, DB[samplingPoint], DB[Criteria])</f>
        <v>100</v>
      </c>
      <c r="S35" s="50" t="str">
        <f t="shared" si="3"/>
        <v>PASSED</v>
      </c>
      <c r="T35" s="38" t="b">
        <v>0</v>
      </c>
      <c r="U35" s="39"/>
      <c r="V35" s="32" t="s">
        <v>304</v>
      </c>
    </row>
    <row r="36" ht="22.5" customHeight="1">
      <c r="A36" s="26">
        <v>46168.0</v>
      </c>
      <c r="B36" s="58" t="s">
        <v>464</v>
      </c>
      <c r="C36" s="32" t="str">
        <f t="array" ref="C36">_xlfn.XLOOKUP(B36, DB[samplingPoint], DB[samplingTag])</f>
        <v>SV127.01</v>
      </c>
      <c r="D36" s="33" t="s">
        <v>436</v>
      </c>
      <c r="E36" s="35" t="s">
        <v>26</v>
      </c>
      <c r="F36" s="38" t="b">
        <v>1</v>
      </c>
      <c r="G36" s="39" t="str">
        <f t="array" ref="G36">_xlfn.XLOOKUP($B36, DB[samplingPoint], DB[noLocation])</f>
        <v>WATER SYSTEM (B16)</v>
      </c>
      <c r="H36" s="33" t="s">
        <v>327</v>
      </c>
      <c r="I36" s="40" t="str">
        <f t="array" ref="I36">_xlfn.XLOOKUP($B36, DB[samplingPoint], DB[location])</f>
        <v>Return loop (B16)</v>
      </c>
      <c r="J36" s="39" t="str">
        <f t="array" ref="J36">_xlfn.XLOOKUP($B36, DB[samplingPoint], DB[waterType])</f>
        <v>PW</v>
      </c>
      <c r="K36" s="43">
        <f t="shared" si="4"/>
        <v>46168</v>
      </c>
      <c r="L36" s="26">
        <v>46171.0</v>
      </c>
      <c r="M36" s="32">
        <v>0.0</v>
      </c>
      <c r="N36" s="32">
        <v>0.0</v>
      </c>
      <c r="O36" s="32">
        <f t="shared" si="2"/>
        <v>0</v>
      </c>
      <c r="P36" s="49"/>
      <c r="Q36" s="49"/>
      <c r="R36" s="32">
        <f t="array" ref="R36">_xlfn.XLOOKUP($B36, DB[samplingPoint], DB[Criteria])</f>
        <v>100</v>
      </c>
      <c r="S36" s="50" t="str">
        <f t="shared" si="3"/>
        <v>PASSED</v>
      </c>
      <c r="T36" s="38" t="b">
        <v>0</v>
      </c>
      <c r="U36" s="39"/>
      <c r="V36" s="32" t="s">
        <v>304</v>
      </c>
    </row>
    <row r="37" ht="22.5" customHeight="1">
      <c r="A37" s="91">
        <v>46168.0</v>
      </c>
      <c r="B37" s="92" t="s">
        <v>472</v>
      </c>
      <c r="C37" s="93" t="str">
        <f t="array" ref="C37">_xlfn.XLOOKUP(B37, DB[samplingPoint], DB[samplingTag])</f>
        <v>SV126.19</v>
      </c>
      <c r="D37" s="33" t="s">
        <v>436</v>
      </c>
      <c r="E37" s="35" t="s">
        <v>26</v>
      </c>
      <c r="F37" s="38" t="b">
        <v>1</v>
      </c>
      <c r="G37" s="39" t="str">
        <f t="array" ref="G37">_xlfn.XLOOKUP($B37, DB[samplingPoint], DB[noLocation])</f>
        <v>16-3-087</v>
      </c>
      <c r="H37" s="33" t="s">
        <v>327</v>
      </c>
      <c r="I37" s="40" t="str">
        <f t="array" ref="I37">_xlfn.XLOOKUP($B37, DB[samplingPoint], DB[location])</f>
        <v>CIP 2 (EQUIPMENT REQUIREMENT)</v>
      </c>
      <c r="J37" s="39" t="str">
        <f t="array" ref="J37">_xlfn.XLOOKUP($B37, DB[samplingPoint], DB[waterType])</f>
        <v>PW</v>
      </c>
      <c r="K37" s="43">
        <f t="shared" si="4"/>
        <v>46168</v>
      </c>
      <c r="L37" s="26">
        <v>46171.0</v>
      </c>
      <c r="M37" s="32">
        <v>0.0</v>
      </c>
      <c r="N37" s="32">
        <v>0.0</v>
      </c>
      <c r="O37" s="32">
        <f t="shared" si="2"/>
        <v>0</v>
      </c>
      <c r="P37" s="49"/>
      <c r="Q37" s="49"/>
      <c r="R37" s="32">
        <f t="array" ref="R37">_xlfn.XLOOKUP($B37, DB[samplingPoint], DB[Criteria])</f>
        <v>100</v>
      </c>
      <c r="S37" s="50" t="str">
        <f t="shared" si="3"/>
        <v>PASSED</v>
      </c>
      <c r="T37" s="38" t="b">
        <v>0</v>
      </c>
      <c r="U37" s="39"/>
      <c r="V37" s="32" t="s">
        <v>304</v>
      </c>
    </row>
    <row r="38" ht="22.5" customHeight="1">
      <c r="A38" s="26">
        <v>46168.0</v>
      </c>
      <c r="B38" s="88" t="s">
        <v>474</v>
      </c>
      <c r="C38" s="32" t="str">
        <f t="array" ref="C38">_xlfn.XLOOKUP(B38, DB[samplingPoint], DB[samplingTag])</f>
        <v>DV126.11</v>
      </c>
      <c r="D38" s="33" t="s">
        <v>436</v>
      </c>
      <c r="E38" s="35" t="s">
        <v>26</v>
      </c>
      <c r="F38" s="38" t="b">
        <v>1</v>
      </c>
      <c r="G38" s="39" t="str">
        <f t="array" ref="G38">_xlfn.XLOOKUP($B38, DB[samplingPoint], DB[noLocation])</f>
        <v>16-3-073</v>
      </c>
      <c r="H38" s="33" t="s">
        <v>327</v>
      </c>
      <c r="I38" s="40" t="str">
        <f t="array" ref="I38">_xlfn.XLOOKUP($B38, DB[samplingPoint], DB[location])</f>
        <v>MFG 4 (5000L)</v>
      </c>
      <c r="J38" s="39" t="str">
        <f t="array" ref="J38">_xlfn.XLOOKUP($B38, DB[samplingPoint], DB[waterType])</f>
        <v>PW</v>
      </c>
      <c r="K38" s="43">
        <f t="shared" si="4"/>
        <v>46168</v>
      </c>
      <c r="L38" s="26">
        <v>46171.0</v>
      </c>
      <c r="M38" s="32">
        <v>0.0</v>
      </c>
      <c r="N38" s="32">
        <v>0.0</v>
      </c>
      <c r="O38" s="32">
        <f t="shared" si="2"/>
        <v>0</v>
      </c>
      <c r="P38" s="49"/>
      <c r="Q38" s="49"/>
      <c r="R38" s="32">
        <f t="array" ref="R38">_xlfn.XLOOKUP($B38, DB[samplingPoint], DB[Criteria])</f>
        <v>100</v>
      </c>
      <c r="S38" s="50" t="str">
        <f t="shared" si="3"/>
        <v>PASSED</v>
      </c>
      <c r="T38" s="38" t="b">
        <v>0</v>
      </c>
      <c r="U38" s="39"/>
      <c r="V38" s="32" t="s">
        <v>304</v>
      </c>
    </row>
    <row r="39" ht="22.5" customHeight="1">
      <c r="A39" s="26">
        <v>46168.0</v>
      </c>
      <c r="B39" s="88" t="s">
        <v>478</v>
      </c>
      <c r="C39" s="32" t="str">
        <f t="array" ref="C39">_xlfn.XLOOKUP(B39, DB[samplingPoint], DB[samplingTag])</f>
        <v>SV126.14</v>
      </c>
      <c r="D39" s="33" t="s">
        <v>436</v>
      </c>
      <c r="E39" s="35" t="s">
        <v>26</v>
      </c>
      <c r="F39" s="38" t="b">
        <v>1</v>
      </c>
      <c r="G39" s="39" t="str">
        <f t="array" ref="G39">_xlfn.XLOOKUP($B39, DB[samplingPoint], DB[noLocation])</f>
        <v>16-3-073</v>
      </c>
      <c r="H39" s="33" t="s">
        <v>327</v>
      </c>
      <c r="I39" s="40" t="str">
        <f t="array" ref="I39">_xlfn.XLOOKUP($B39, DB[samplingPoint], DB[location])</f>
        <v>MFG 4 (400L)</v>
      </c>
      <c r="J39" s="39" t="str">
        <f t="array" ref="J39">_xlfn.XLOOKUP($B39, DB[samplingPoint], DB[waterType])</f>
        <v>PW</v>
      </c>
      <c r="K39" s="43">
        <f t="shared" si="4"/>
        <v>46168</v>
      </c>
      <c r="L39" s="26">
        <v>46171.0</v>
      </c>
      <c r="M39" s="32">
        <v>0.0</v>
      </c>
      <c r="N39" s="32">
        <v>0.0</v>
      </c>
      <c r="O39" s="32">
        <f t="shared" si="2"/>
        <v>0</v>
      </c>
      <c r="P39" s="49"/>
      <c r="Q39" s="49"/>
      <c r="R39" s="32">
        <f t="array" ref="R39">_xlfn.XLOOKUP($B39, DB[samplingPoint], DB[Criteria])</f>
        <v>100</v>
      </c>
      <c r="S39" s="50" t="str">
        <f t="shared" si="3"/>
        <v>PASSED</v>
      </c>
      <c r="T39" s="38" t="b">
        <v>0</v>
      </c>
      <c r="U39" s="39"/>
      <c r="V39" s="32" t="s">
        <v>304</v>
      </c>
    </row>
    <row r="40" ht="22.5" customHeight="1">
      <c r="A40" s="26">
        <v>46168.0</v>
      </c>
      <c r="B40" s="88" t="s">
        <v>481</v>
      </c>
      <c r="C40" s="32" t="str">
        <f t="array" ref="C40">_xlfn.XLOOKUP(B40, DB[samplingPoint], DB[samplingTag])</f>
        <v>SV126.15</v>
      </c>
      <c r="D40" s="33" t="s">
        <v>436</v>
      </c>
      <c r="E40" s="35" t="s">
        <v>26</v>
      </c>
      <c r="F40" s="38" t="b">
        <v>1</v>
      </c>
      <c r="G40" s="39" t="str">
        <f t="array" ref="G40">_xlfn.XLOOKUP($B40, DB[samplingPoint], DB[noLocation])</f>
        <v>16-3-075</v>
      </c>
      <c r="H40" s="33" t="s">
        <v>327</v>
      </c>
      <c r="I40" s="40" t="str">
        <f t="array" ref="I40">_xlfn.XLOOKUP($B40, DB[samplingPoint], DB[location])</f>
        <v>MFG 5 PROCESS (2000L)</v>
      </c>
      <c r="J40" s="39" t="str">
        <f t="array" ref="J40">_xlfn.XLOOKUP($B40, DB[samplingPoint], DB[waterType])</f>
        <v>PW</v>
      </c>
      <c r="K40" s="43">
        <f t="shared" si="4"/>
        <v>46168</v>
      </c>
      <c r="L40" s="26">
        <v>46171.0</v>
      </c>
      <c r="M40" s="32">
        <v>0.0</v>
      </c>
      <c r="N40" s="32">
        <v>0.0</v>
      </c>
      <c r="O40" s="32">
        <f t="shared" si="2"/>
        <v>0</v>
      </c>
      <c r="P40" s="49"/>
      <c r="Q40" s="49"/>
      <c r="R40" s="32">
        <f t="array" ref="R40">_xlfn.XLOOKUP($B40, DB[samplingPoint], DB[Criteria])</f>
        <v>100</v>
      </c>
      <c r="S40" s="50" t="str">
        <f t="shared" si="3"/>
        <v>PASSED</v>
      </c>
      <c r="T40" s="38" t="b">
        <v>0</v>
      </c>
      <c r="U40" s="39"/>
      <c r="V40" s="32" t="s">
        <v>304</v>
      </c>
    </row>
    <row r="41" ht="22.5" customHeight="1">
      <c r="A41" s="62">
        <v>46168.0</v>
      </c>
      <c r="B41" s="63" t="s">
        <v>483</v>
      </c>
      <c r="C41" s="64" t="str">
        <f t="array" ref="C41">_xlfn.XLOOKUP(B41, DB[samplingPoint], DB[samplingTag])</f>
        <v>DV126.05</v>
      </c>
      <c r="D41" s="65" t="s">
        <v>436</v>
      </c>
      <c r="E41" s="64" t="s">
        <v>26</v>
      </c>
      <c r="F41" s="71" t="b">
        <v>1</v>
      </c>
      <c r="G41" s="66" t="str">
        <f t="array" ref="G41">_xlfn.XLOOKUP($B41, DB[samplingPoint], DB[noLocation])</f>
        <v>16-3-054</v>
      </c>
      <c r="H41" s="65" t="s">
        <v>327</v>
      </c>
      <c r="I41" s="67" t="str">
        <f t="array" ref="I41">_xlfn.XLOOKUP($B41, DB[samplingPoint], DB[location])</f>
        <v>WASHING</v>
      </c>
      <c r="J41" s="66" t="str">
        <f t="array" ref="J41">_xlfn.XLOOKUP($B41, DB[samplingPoint], DB[waterType])</f>
        <v>PW</v>
      </c>
      <c r="K41" s="68">
        <f t="shared" si="4"/>
        <v>46168</v>
      </c>
      <c r="L41" s="62">
        <v>46171.0</v>
      </c>
      <c r="M41" s="64">
        <v>5.0</v>
      </c>
      <c r="N41" s="64">
        <v>33.0</v>
      </c>
      <c r="O41" s="64">
        <f t="shared" si="2"/>
        <v>19</v>
      </c>
      <c r="P41" s="94" t="s">
        <v>484</v>
      </c>
      <c r="Q41" s="94"/>
      <c r="R41" s="64">
        <f t="array" ref="R41">_xlfn.XLOOKUP($B41, DB[samplingPoint], DB[Criteria])</f>
        <v>100</v>
      </c>
      <c r="S41" s="70" t="str">
        <f t="shared" si="3"/>
        <v>PASSED</v>
      </c>
      <c r="T41" s="71" t="b">
        <v>0</v>
      </c>
      <c r="U41" s="66"/>
      <c r="V41" s="64" t="s">
        <v>304</v>
      </c>
      <c r="W41" s="72"/>
      <c r="X41" s="72"/>
      <c r="Y41" s="72"/>
      <c r="Z41" s="72"/>
      <c r="AA41" s="72"/>
    </row>
    <row r="42" ht="22.5" customHeight="1">
      <c r="A42" s="83">
        <v>46168.0</v>
      </c>
      <c r="B42" s="95" t="s">
        <v>486</v>
      </c>
      <c r="C42" s="78" t="str">
        <f t="array" ref="C42">_xlfn.XLOOKUP(B42, DB[samplingPoint], DB[samplingTag])</f>
        <v>SV126.04</v>
      </c>
      <c r="D42" s="77" t="s">
        <v>436</v>
      </c>
      <c r="E42" s="78" t="s">
        <v>26</v>
      </c>
      <c r="F42" s="38" t="b">
        <v>1</v>
      </c>
      <c r="G42" s="80" t="str">
        <f t="array" ref="G42">_xlfn.XLOOKUP($B42, DB[samplingPoint], DB[noLocation])</f>
        <v>16-2-010</v>
      </c>
      <c r="H42" s="77" t="s">
        <v>327</v>
      </c>
      <c r="I42" s="81" t="str">
        <f t="array" ref="I42">_xlfn.XLOOKUP($B42, DB[samplingPoint], DB[location])</f>
        <v>WATER SYSTEM (PSG)</v>
      </c>
      <c r="J42" s="80" t="str">
        <f t="array" ref="J42">_xlfn.XLOOKUP($B42, DB[samplingPoint], DB[waterType])</f>
        <v>PW</v>
      </c>
      <c r="K42" s="82">
        <f t="shared" si="4"/>
        <v>46168</v>
      </c>
      <c r="L42" s="83">
        <v>46171.0</v>
      </c>
      <c r="M42" s="32">
        <v>0.0</v>
      </c>
      <c r="N42" s="32">
        <v>0.0</v>
      </c>
      <c r="O42" s="78">
        <f t="shared" si="2"/>
        <v>0</v>
      </c>
      <c r="P42" s="84"/>
      <c r="Q42" s="84"/>
      <c r="R42" s="78">
        <f t="array" ref="R42">_xlfn.XLOOKUP($B42, DB[samplingPoint], DB[Criteria])</f>
        <v>100</v>
      </c>
      <c r="S42" s="85" t="str">
        <f t="shared" si="3"/>
        <v>PASSED</v>
      </c>
      <c r="T42" s="79" t="b">
        <v>0</v>
      </c>
      <c r="U42" s="80"/>
      <c r="V42" s="86" t="s">
        <v>304</v>
      </c>
      <c r="W42" s="87"/>
      <c r="X42" s="87"/>
      <c r="Y42" s="87"/>
      <c r="Z42" s="87"/>
      <c r="AA42" s="87"/>
    </row>
    <row r="43" ht="22.5" customHeight="1">
      <c r="A43" s="26">
        <v>46171.0</v>
      </c>
      <c r="B43" s="88" t="s">
        <v>472</v>
      </c>
      <c r="C43" s="32" t="str">
        <f t="array" ref="C43">_xlfn.XLOOKUP(B43, DB[samplingPoint], DB[samplingTag])</f>
        <v>SV126.19</v>
      </c>
      <c r="D43" s="33" t="s">
        <v>436</v>
      </c>
      <c r="E43" s="78" t="s">
        <v>43</v>
      </c>
      <c r="F43" s="38" t="b">
        <v>1</v>
      </c>
      <c r="G43" s="80" t="str">
        <f t="array" ref="G43">_xlfn.XLOOKUP($B43, DB[samplingPoint], DB[noLocation])</f>
        <v>16-3-087</v>
      </c>
      <c r="H43" s="77" t="s">
        <v>327</v>
      </c>
      <c r="I43" s="81" t="str">
        <f t="array" ref="I43">_xlfn.XLOOKUP($B43, DB[samplingPoint], DB[location])</f>
        <v>CIP 2 (EQUIPMENT REQUIREMENT)</v>
      </c>
      <c r="J43" s="80" t="str">
        <f t="array" ref="J43">_xlfn.XLOOKUP($B43, DB[samplingPoint], DB[waterType])</f>
        <v>PW</v>
      </c>
      <c r="K43" s="43">
        <f t="shared" ref="K43:K78" si="5">$A43+1</f>
        <v>46172</v>
      </c>
      <c r="L43" s="26">
        <v>46175.0</v>
      </c>
      <c r="M43" s="32">
        <v>0.0</v>
      </c>
      <c r="N43" s="32">
        <v>0.0</v>
      </c>
      <c r="O43" s="78">
        <f t="shared" si="2"/>
        <v>0</v>
      </c>
      <c r="P43" s="84"/>
      <c r="Q43" s="84"/>
      <c r="R43" s="78">
        <f t="array" ref="R43">_xlfn.XLOOKUP($B43, DB[samplingPoint], DB[Criteria])</f>
        <v>100</v>
      </c>
      <c r="S43" s="85" t="str">
        <f t="shared" si="3"/>
        <v>PASSED</v>
      </c>
      <c r="T43" s="79" t="b">
        <v>0</v>
      </c>
      <c r="U43" s="80"/>
      <c r="V43" s="86" t="s">
        <v>304</v>
      </c>
      <c r="W43" s="87"/>
      <c r="X43" s="87"/>
      <c r="Y43" s="87"/>
      <c r="Z43" s="87"/>
      <c r="AA43" s="87"/>
    </row>
    <row r="44" ht="22.5" customHeight="1">
      <c r="A44" s="26">
        <v>46171.0</v>
      </c>
      <c r="B44" s="27" t="s">
        <v>390</v>
      </c>
      <c r="C44" s="32" t="str">
        <f t="array" ref="C44">_xlfn.XLOOKUP(B44, DB[samplingPoint], DB[samplingTag])</f>
        <v>SV117.01</v>
      </c>
      <c r="D44" s="33" t="s">
        <v>436</v>
      </c>
      <c r="E44" s="35" t="s">
        <v>28</v>
      </c>
      <c r="F44" s="38" t="b">
        <v>1</v>
      </c>
      <c r="G44" s="39" t="str">
        <f t="array" ref="G44">_xlfn.XLOOKUP($B44, DB[samplingPoint], DB[noLocation])</f>
        <v>WATER SYSTEM (B10)</v>
      </c>
      <c r="H44" s="33" t="s">
        <v>180</v>
      </c>
      <c r="I44" s="40" t="str">
        <f t="array" ref="I44">_xlfn.XLOOKUP($B44, DB[samplingPoint], DB[location])</f>
        <v>Return loop (B10)</v>
      </c>
      <c r="J44" s="39" t="str">
        <f t="array" ref="J44">_xlfn.XLOOKUP($B44, DB[samplingPoint], DB[waterType])</f>
        <v>PW</v>
      </c>
      <c r="K44" s="43">
        <f t="shared" si="5"/>
        <v>46172</v>
      </c>
      <c r="L44" s="26">
        <v>46175.0</v>
      </c>
      <c r="M44" s="32">
        <v>0.0</v>
      </c>
      <c r="N44" s="32">
        <v>0.0</v>
      </c>
      <c r="O44" s="32">
        <f t="shared" si="2"/>
        <v>0</v>
      </c>
      <c r="P44" s="49"/>
      <c r="Q44" s="49"/>
      <c r="R44" s="32">
        <f t="array" ref="R44">_xlfn.XLOOKUP($B44, DB[samplingPoint], DB[Criteria])</f>
        <v>100</v>
      </c>
      <c r="S44" s="50" t="str">
        <f t="shared" si="3"/>
        <v>PASSED</v>
      </c>
      <c r="T44" s="38" t="b">
        <v>0</v>
      </c>
      <c r="U44" s="39"/>
      <c r="V44" s="32" t="s">
        <v>304</v>
      </c>
    </row>
    <row r="45" ht="22.5" customHeight="1">
      <c r="A45" s="26">
        <v>46171.0</v>
      </c>
      <c r="B45" s="88" t="s">
        <v>491</v>
      </c>
      <c r="C45" s="32" t="str">
        <f t="array" ref="C45">_xlfn.XLOOKUP(B45, DB[samplingPoint], DB[samplingTag])</f>
        <v>SV116.15</v>
      </c>
      <c r="D45" s="33" t="s">
        <v>436</v>
      </c>
      <c r="E45" s="35" t="s">
        <v>28</v>
      </c>
      <c r="F45" s="38" t="b">
        <v>1</v>
      </c>
      <c r="G45" s="39" t="str">
        <f t="array" ref="G45">_xlfn.XLOOKUP($B45, DB[samplingPoint], DB[noLocation])</f>
        <v>10-4-012</v>
      </c>
      <c r="H45" s="33" t="s">
        <v>180</v>
      </c>
      <c r="I45" s="40" t="str">
        <f t="array" ref="I45">_xlfn.XLOOKUP($B45, DB[samplingPoint], DB[location])</f>
        <v>CIP SKID-1 FOR BIN WASHING-1</v>
      </c>
      <c r="J45" s="39" t="str">
        <f t="array" ref="J45">_xlfn.XLOOKUP($B45, DB[samplingPoint], DB[waterType])</f>
        <v>PW</v>
      </c>
      <c r="K45" s="43">
        <f t="shared" si="5"/>
        <v>46172</v>
      </c>
      <c r="L45" s="26">
        <v>46175.0</v>
      </c>
      <c r="M45" s="32">
        <v>0.0</v>
      </c>
      <c r="N45" s="32">
        <v>0.0</v>
      </c>
      <c r="O45" s="32">
        <f t="shared" si="2"/>
        <v>0</v>
      </c>
      <c r="P45" s="49"/>
      <c r="Q45" s="49"/>
      <c r="R45" s="32">
        <f t="array" ref="R45">_xlfn.XLOOKUP($B45, DB[samplingPoint], DB[Criteria])</f>
        <v>100</v>
      </c>
      <c r="S45" s="50" t="str">
        <f t="shared" si="3"/>
        <v>PASSED</v>
      </c>
      <c r="T45" s="38" t="b">
        <v>0</v>
      </c>
      <c r="U45" s="39"/>
      <c r="V45" s="32" t="s">
        <v>304</v>
      </c>
    </row>
    <row r="46" ht="22.5" customHeight="1">
      <c r="A46" s="26">
        <v>46171.0</v>
      </c>
      <c r="B46" s="88" t="s">
        <v>493</v>
      </c>
      <c r="C46" s="32" t="str">
        <f t="array" ref="C46">_xlfn.XLOOKUP(B46, DB[samplingPoint], DB[samplingTag])</f>
        <v>SV116.16</v>
      </c>
      <c r="D46" s="33" t="s">
        <v>436</v>
      </c>
      <c r="E46" s="35" t="s">
        <v>28</v>
      </c>
      <c r="F46" s="38" t="b">
        <v>1</v>
      </c>
      <c r="G46" s="39" t="str">
        <f t="array" ref="G46">_xlfn.XLOOKUP($B46, DB[samplingPoint], DB[noLocation])</f>
        <v>10-4-012</v>
      </c>
      <c r="H46" s="33" t="s">
        <v>180</v>
      </c>
      <c r="I46" s="40" t="str">
        <f t="array" ref="I46">_xlfn.XLOOKUP($B46, DB[samplingPoint], DB[location])</f>
        <v>WIP SKID-3 FOR GRANULATION POTENT</v>
      </c>
      <c r="J46" s="39" t="str">
        <f t="array" ref="J46">_xlfn.XLOOKUP($B46, DB[samplingPoint], DB[waterType])</f>
        <v>PW</v>
      </c>
      <c r="K46" s="43">
        <f t="shared" si="5"/>
        <v>46172</v>
      </c>
      <c r="L46" s="26">
        <v>46175.0</v>
      </c>
      <c r="M46" s="32">
        <v>0.0</v>
      </c>
      <c r="N46" s="32">
        <v>0.0</v>
      </c>
      <c r="O46" s="32">
        <f t="shared" si="2"/>
        <v>0</v>
      </c>
      <c r="P46" s="49"/>
      <c r="Q46" s="49"/>
      <c r="R46" s="32">
        <f t="array" ref="R46">_xlfn.XLOOKUP($B46, DB[samplingPoint], DB[Criteria])</f>
        <v>100</v>
      </c>
      <c r="S46" s="50" t="str">
        <f t="shared" si="3"/>
        <v>PASSED</v>
      </c>
      <c r="T46" s="38" t="b">
        <v>0</v>
      </c>
      <c r="U46" s="39"/>
      <c r="V46" s="32" t="s">
        <v>304</v>
      </c>
    </row>
    <row r="47" ht="22.5" customHeight="1">
      <c r="A47" s="26">
        <v>46171.0</v>
      </c>
      <c r="B47" s="88" t="s">
        <v>494</v>
      </c>
      <c r="C47" s="32" t="str">
        <f t="array" ref="C47">_xlfn.XLOOKUP(B47, DB[samplingPoint], DB[samplingTag])</f>
        <v>SV116.17</v>
      </c>
      <c r="D47" s="33" t="s">
        <v>436</v>
      </c>
      <c r="E47" s="35" t="s">
        <v>28</v>
      </c>
      <c r="F47" s="38" t="b">
        <v>1</v>
      </c>
      <c r="G47" s="39" t="str">
        <f t="array" ref="G47">_xlfn.XLOOKUP($B47, DB[samplingPoint], DB[noLocation])</f>
        <v>10-4-012</v>
      </c>
      <c r="H47" s="33" t="s">
        <v>180</v>
      </c>
      <c r="I47" s="40" t="str">
        <f t="array" ref="I47">_xlfn.XLOOKUP($B47, DB[samplingPoint], DB[location])</f>
        <v>CIP SKID-2 FOR BIN WASHING-1</v>
      </c>
      <c r="J47" s="39" t="str">
        <f t="array" ref="J47">_xlfn.XLOOKUP($B47, DB[samplingPoint], DB[waterType])</f>
        <v>PW</v>
      </c>
      <c r="K47" s="43">
        <f t="shared" si="5"/>
        <v>46172</v>
      </c>
      <c r="L47" s="26">
        <v>46175.0</v>
      </c>
      <c r="M47" s="32">
        <v>0.0</v>
      </c>
      <c r="N47" s="32">
        <v>0.0</v>
      </c>
      <c r="O47" s="32">
        <f t="shared" si="2"/>
        <v>0</v>
      </c>
      <c r="P47" s="49"/>
      <c r="Q47" s="49"/>
      <c r="R47" s="32">
        <f t="array" ref="R47">_xlfn.XLOOKUP($B47, DB[samplingPoint], DB[Criteria])</f>
        <v>100</v>
      </c>
      <c r="S47" s="50" t="str">
        <f t="shared" si="3"/>
        <v>PASSED</v>
      </c>
      <c r="T47" s="38" t="b">
        <v>0</v>
      </c>
      <c r="U47" s="39"/>
      <c r="V47" s="32" t="s">
        <v>304</v>
      </c>
    </row>
    <row r="48" ht="22.5" customHeight="1">
      <c r="A48" s="26">
        <v>46171.0</v>
      </c>
      <c r="B48" s="88" t="s">
        <v>495</v>
      </c>
      <c r="C48" s="32" t="str">
        <f t="array" ref="C48">_xlfn.XLOOKUP(B48, DB[samplingPoint], DB[samplingTag])</f>
        <v>SV116.18</v>
      </c>
      <c r="D48" s="33" t="s">
        <v>436</v>
      </c>
      <c r="E48" s="35" t="s">
        <v>28</v>
      </c>
      <c r="F48" s="38" t="b">
        <v>1</v>
      </c>
      <c r="G48" s="39" t="str">
        <f t="array" ref="G48">_xlfn.XLOOKUP($B48, DB[samplingPoint], DB[noLocation])</f>
        <v>10-4-012</v>
      </c>
      <c r="H48" s="33" t="s">
        <v>180</v>
      </c>
      <c r="I48" s="40" t="str">
        <f t="array" ref="I48">_xlfn.XLOOKUP($B48, DB[samplingPoint], DB[location])</f>
        <v>WIP SKID-1 FOR GRANULATION NON POTENT</v>
      </c>
      <c r="J48" s="39" t="str">
        <f t="array" ref="J48">_xlfn.XLOOKUP($B48, DB[samplingPoint], DB[waterType])</f>
        <v>PW</v>
      </c>
      <c r="K48" s="43">
        <f t="shared" si="5"/>
        <v>46172</v>
      </c>
      <c r="L48" s="26">
        <v>46175.0</v>
      </c>
      <c r="M48" s="32">
        <v>0.0</v>
      </c>
      <c r="N48" s="32">
        <v>0.0</v>
      </c>
      <c r="O48" s="32">
        <f t="shared" si="2"/>
        <v>0</v>
      </c>
      <c r="P48" s="49"/>
      <c r="Q48" s="49"/>
      <c r="R48" s="32">
        <f t="array" ref="R48">_xlfn.XLOOKUP($B48, DB[samplingPoint], DB[Criteria])</f>
        <v>100</v>
      </c>
      <c r="S48" s="50" t="str">
        <f t="shared" si="3"/>
        <v>PASSED</v>
      </c>
      <c r="T48" s="38" t="b">
        <v>0</v>
      </c>
      <c r="U48" s="39"/>
      <c r="V48" s="32" t="s">
        <v>304</v>
      </c>
    </row>
    <row r="49" ht="22.5" customHeight="1">
      <c r="A49" s="26">
        <v>46171.0</v>
      </c>
      <c r="B49" s="88" t="s">
        <v>496</v>
      </c>
      <c r="C49" s="32" t="str">
        <f t="array" ref="C49">_xlfn.XLOOKUP(B49, DB[samplingPoint], DB[samplingTag])</f>
        <v>SV116.19</v>
      </c>
      <c r="D49" s="33" t="s">
        <v>436</v>
      </c>
      <c r="E49" s="35" t="s">
        <v>28</v>
      </c>
      <c r="F49" s="38" t="b">
        <v>1</v>
      </c>
      <c r="G49" s="39" t="str">
        <f t="array" ref="G49">_xlfn.XLOOKUP($B49, DB[samplingPoint], DB[noLocation])</f>
        <v>10-4-012</v>
      </c>
      <c r="H49" s="33" t="s">
        <v>180</v>
      </c>
      <c r="I49" s="40" t="str">
        <f t="array" ref="I49">_xlfn.XLOOKUP($B49, DB[samplingPoint], DB[location])</f>
        <v>WIP SKID-2 FOR GRANULATION NON POTENT</v>
      </c>
      <c r="J49" s="39" t="str">
        <f t="array" ref="J49">_xlfn.XLOOKUP($B49, DB[samplingPoint], DB[waterType])</f>
        <v>PW</v>
      </c>
      <c r="K49" s="43">
        <f t="shared" si="5"/>
        <v>46172</v>
      </c>
      <c r="L49" s="26">
        <v>46175.0</v>
      </c>
      <c r="M49" s="32">
        <v>8.0</v>
      </c>
      <c r="N49" s="32">
        <v>19.0</v>
      </c>
      <c r="O49" s="32">
        <f t="shared" si="2"/>
        <v>14</v>
      </c>
      <c r="P49" s="49" t="s">
        <v>497</v>
      </c>
      <c r="R49" s="32">
        <f t="array" ref="R49">_xlfn.XLOOKUP($B49, DB[samplingPoint], DB[Criteria])</f>
        <v>100</v>
      </c>
      <c r="S49" s="50" t="str">
        <f t="shared" si="3"/>
        <v>PASSED</v>
      </c>
      <c r="T49" s="38" t="b">
        <v>0</v>
      </c>
      <c r="U49" s="39"/>
      <c r="V49" s="32" t="s">
        <v>304</v>
      </c>
    </row>
    <row r="50" ht="22.5" customHeight="1">
      <c r="A50" s="26">
        <v>46171.0</v>
      </c>
      <c r="B50" s="88" t="s">
        <v>498</v>
      </c>
      <c r="C50" s="32" t="str">
        <f t="array" ref="C50">_xlfn.XLOOKUP(B50, DB[samplingPoint], DB[samplingTag])</f>
        <v>SV116.02</v>
      </c>
      <c r="D50" s="33" t="s">
        <v>436</v>
      </c>
      <c r="E50" s="35" t="s">
        <v>28</v>
      </c>
      <c r="F50" s="38" t="b">
        <v>1</v>
      </c>
      <c r="G50" s="39" t="str">
        <f t="array" ref="G50">_xlfn.XLOOKUP($B50, DB[samplingPoint], DB[noLocation])</f>
        <v>10-2-037</v>
      </c>
      <c r="H50" s="33" t="s">
        <v>180</v>
      </c>
      <c r="I50" s="40" t="str">
        <f t="array" ref="I50">_xlfn.XLOOKUP($B50, DB[samplingPoint], DB[location])</f>
        <v>SKID FOR BIN WASHING-2</v>
      </c>
      <c r="J50" s="39" t="str">
        <f t="array" ref="J50">_xlfn.XLOOKUP($B50, DB[samplingPoint], DB[waterType])</f>
        <v>PW</v>
      </c>
      <c r="K50" s="43">
        <f t="shared" si="5"/>
        <v>46172</v>
      </c>
      <c r="L50" s="26">
        <v>46175.0</v>
      </c>
      <c r="M50" s="32">
        <v>0.0</v>
      </c>
      <c r="N50" s="32">
        <v>0.0</v>
      </c>
      <c r="O50" s="32">
        <f t="shared" si="2"/>
        <v>0</v>
      </c>
      <c r="P50" s="49"/>
      <c r="Q50" s="49"/>
      <c r="R50" s="32">
        <f t="array" ref="R50">_xlfn.XLOOKUP($B50, DB[samplingPoint], DB[Criteria])</f>
        <v>100</v>
      </c>
      <c r="S50" s="50" t="str">
        <f t="shared" si="3"/>
        <v>PASSED</v>
      </c>
      <c r="T50" s="38" t="b">
        <v>0</v>
      </c>
      <c r="U50" s="39"/>
      <c r="V50" s="32" t="s">
        <v>304</v>
      </c>
    </row>
    <row r="51" ht="22.5" customHeight="1">
      <c r="A51" s="26">
        <v>46171.0</v>
      </c>
      <c r="B51" s="88" t="s">
        <v>499</v>
      </c>
      <c r="C51" s="32" t="str">
        <f t="array" ref="C51">_xlfn.XLOOKUP(B51, DB[samplingPoint], DB[samplingTag])</f>
        <v>SV116.01</v>
      </c>
      <c r="D51" s="33" t="s">
        <v>436</v>
      </c>
      <c r="E51" s="35" t="s">
        <v>28</v>
      </c>
      <c r="F51" s="38" t="b">
        <v>1</v>
      </c>
      <c r="G51" s="39" t="str">
        <f t="array" ref="G51">_xlfn.XLOOKUP($B51, DB[samplingPoint], DB[noLocation])</f>
        <v>10-2-021</v>
      </c>
      <c r="H51" s="33" t="s">
        <v>180</v>
      </c>
      <c r="I51" s="40" t="str">
        <f t="array" ref="I51">_xlfn.XLOOKUP($B51, DB[samplingPoint], DB[location])</f>
        <v>INSTRUMENT-1</v>
      </c>
      <c r="J51" s="39" t="str">
        <f t="array" ref="J51">_xlfn.XLOOKUP($B51, DB[samplingPoint], DB[waterType])</f>
        <v>PW</v>
      </c>
      <c r="K51" s="43">
        <f t="shared" si="5"/>
        <v>46172</v>
      </c>
      <c r="L51" s="26">
        <v>46175.0</v>
      </c>
      <c r="M51" s="32">
        <v>0.0</v>
      </c>
      <c r="N51" s="32">
        <v>0.0</v>
      </c>
      <c r="O51" s="32">
        <f t="shared" si="2"/>
        <v>0</v>
      </c>
      <c r="P51" s="49"/>
      <c r="Q51" s="49"/>
      <c r="R51" s="32">
        <f t="array" ref="R51">_xlfn.XLOOKUP($B51, DB[samplingPoint], DB[Criteria])</f>
        <v>100</v>
      </c>
      <c r="S51" s="50" t="str">
        <f t="shared" si="3"/>
        <v>PASSED</v>
      </c>
      <c r="T51" s="38" t="b">
        <v>0</v>
      </c>
      <c r="U51" s="39"/>
      <c r="V51" s="32" t="s">
        <v>304</v>
      </c>
    </row>
    <row r="52" ht="22.5" customHeight="1">
      <c r="A52" s="26">
        <v>46171.0</v>
      </c>
      <c r="B52" s="88" t="s">
        <v>502</v>
      </c>
      <c r="C52" s="32" t="str">
        <f t="array" ref="C52">_xlfn.XLOOKUP(B52, DB[samplingPoint], DB[samplingTag])</f>
        <v>DV116.26</v>
      </c>
      <c r="D52" s="33" t="s">
        <v>436</v>
      </c>
      <c r="E52" s="35" t="s">
        <v>28</v>
      </c>
      <c r="F52" s="38" t="b">
        <v>1</v>
      </c>
      <c r="G52" s="39" t="str">
        <f t="array" ref="G52">_xlfn.XLOOKUP($B52, DB[samplingPoint], DB[noLocation])</f>
        <v>10-4-015</v>
      </c>
      <c r="H52" s="33" t="s">
        <v>180</v>
      </c>
      <c r="I52" s="40" t="str">
        <f t="array" ref="I52">_xlfn.XLOOKUP($B52, DB[samplingPoint], DB[location])</f>
        <v>WATER SYSTEM ROOM</v>
      </c>
      <c r="J52" s="39" t="str">
        <f t="array" ref="J52">_xlfn.XLOOKUP($B52, DB[samplingPoint], DB[waterType])</f>
        <v>PW</v>
      </c>
      <c r="K52" s="43">
        <f t="shared" si="5"/>
        <v>46172</v>
      </c>
      <c r="L52" s="26">
        <v>46175.0</v>
      </c>
      <c r="M52" s="32">
        <v>0.0</v>
      </c>
      <c r="N52" s="32">
        <v>0.0</v>
      </c>
      <c r="O52" s="32">
        <f t="shared" si="2"/>
        <v>0</v>
      </c>
      <c r="P52" s="49"/>
      <c r="Q52" s="49"/>
      <c r="R52" s="32">
        <f t="array" ref="R52">_xlfn.XLOOKUP($B52, DB[samplingPoint], DB[Criteria])</f>
        <v>100</v>
      </c>
      <c r="S52" s="50" t="str">
        <f t="shared" si="3"/>
        <v>PASSED</v>
      </c>
      <c r="T52" s="38" t="b">
        <v>0</v>
      </c>
      <c r="U52" s="39"/>
      <c r="V52" s="32" t="s">
        <v>304</v>
      </c>
    </row>
    <row r="53" ht="22.5" customHeight="1">
      <c r="A53" s="26">
        <v>46175.0</v>
      </c>
      <c r="B53" s="27" t="s">
        <v>471</v>
      </c>
      <c r="C53" s="32" t="str">
        <f t="array" ref="C53">_xlfn.XLOOKUP(B53, DB[samplingPoint], DB[samplingTag])</f>
        <v>VB-05 (16)</v>
      </c>
      <c r="D53" s="33" t="s">
        <v>375</v>
      </c>
      <c r="E53" s="35" t="s">
        <v>31</v>
      </c>
      <c r="F53" s="38" t="b">
        <v>1</v>
      </c>
      <c r="G53" s="39" t="str">
        <f t="array" ref="G53">_xlfn.XLOOKUP($B53, DB[samplingPoint], DB[noLocation])</f>
        <v>WATER SYSTEM (B16)</v>
      </c>
      <c r="H53" s="33" t="s">
        <v>327</v>
      </c>
      <c r="I53" s="40" t="str">
        <f t="array" ref="I53">_xlfn.XLOOKUP($B53, DB[samplingPoint], DB[location])</f>
        <v>After Chlorine circulation tank (B16)</v>
      </c>
      <c r="J53" s="39" t="str">
        <f t="array" ref="J53">_xlfn.XLOOKUP($B53, DB[samplingPoint], DB[waterType])</f>
        <v>PRW</v>
      </c>
      <c r="K53" s="43">
        <f t="shared" si="5"/>
        <v>46176</v>
      </c>
      <c r="L53" s="51">
        <v>46179.0</v>
      </c>
      <c r="M53" s="32">
        <v>4.0</v>
      </c>
      <c r="N53" s="32">
        <v>1.0</v>
      </c>
      <c r="O53" s="32">
        <f t="shared" si="2"/>
        <v>3</v>
      </c>
      <c r="P53" s="49"/>
      <c r="Q53" s="49"/>
      <c r="R53" s="32">
        <f t="array" ref="R53">_xlfn.XLOOKUP($B53, DB[samplingPoint], DB[Criteria])</f>
        <v>500</v>
      </c>
      <c r="S53" s="50" t="str">
        <f t="shared" si="3"/>
        <v>PASSED</v>
      </c>
      <c r="T53" s="38" t="b">
        <v>0</v>
      </c>
      <c r="U53" s="39"/>
      <c r="V53" s="32" t="s">
        <v>304</v>
      </c>
    </row>
    <row r="54" ht="22.5" customHeight="1">
      <c r="A54" s="26">
        <v>46175.0</v>
      </c>
      <c r="B54" s="27" t="s">
        <v>470</v>
      </c>
      <c r="C54" s="32" t="str">
        <f t="array" ref="C54">_xlfn.XLOOKUP(B54, DB[samplingPoint], DB[samplingTag])</f>
        <v>V50-61 (16)</v>
      </c>
      <c r="D54" s="33" t="s">
        <v>375</v>
      </c>
      <c r="E54" s="35" t="s">
        <v>31</v>
      </c>
      <c r="F54" s="38" t="b">
        <v>1</v>
      </c>
      <c r="G54" s="39" t="str">
        <f t="array" ref="G54">_xlfn.XLOOKUP($B54, DB[samplingPoint], DB[noLocation])</f>
        <v>WATER SYSTEM (B16)</v>
      </c>
      <c r="H54" s="33" t="s">
        <v>327</v>
      </c>
      <c r="I54" s="40" t="str">
        <f t="array" ref="I54">_xlfn.XLOOKUP($B54, DB[samplingPoint], DB[location])</f>
        <v>After Cartridge filter 5 µm (B16)</v>
      </c>
      <c r="J54" s="39" t="str">
        <f t="array" ref="J54">_xlfn.XLOOKUP($B54, DB[samplingPoint], DB[waterType])</f>
        <v>PRW</v>
      </c>
      <c r="K54" s="43">
        <f t="shared" si="5"/>
        <v>46176</v>
      </c>
      <c r="L54" s="51">
        <v>46179.0</v>
      </c>
      <c r="M54" s="32">
        <v>1.0</v>
      </c>
      <c r="N54" s="32">
        <v>0.0</v>
      </c>
      <c r="O54" s="32">
        <f t="shared" si="2"/>
        <v>1</v>
      </c>
      <c r="P54" s="49"/>
      <c r="Q54" s="49"/>
      <c r="R54" s="32">
        <f t="array" ref="R54">_xlfn.XLOOKUP($B54, DB[samplingPoint], DB[Criteria])</f>
        <v>500</v>
      </c>
      <c r="S54" s="50" t="str">
        <f t="shared" si="3"/>
        <v>PASSED</v>
      </c>
      <c r="T54" s="38" t="b">
        <v>0</v>
      </c>
      <c r="U54" s="39"/>
      <c r="V54" s="32" t="s">
        <v>304</v>
      </c>
    </row>
    <row r="55" ht="22.5" customHeight="1">
      <c r="A55" s="26">
        <v>46175.0</v>
      </c>
      <c r="B55" s="27" t="s">
        <v>466</v>
      </c>
      <c r="C55" s="32" t="str">
        <f t="array" ref="C55">_xlfn.XLOOKUP(B55, DB[samplingPoint], DB[samplingTag])</f>
        <v>V50-11C (16)</v>
      </c>
      <c r="D55" s="33" t="s">
        <v>375</v>
      </c>
      <c r="E55" s="35" t="s">
        <v>31</v>
      </c>
      <c r="F55" s="38" t="b">
        <v>1</v>
      </c>
      <c r="G55" s="39" t="str">
        <f t="array" ref="G55">_xlfn.XLOOKUP($B55, DB[samplingPoint], DB[noLocation])</f>
        <v>WATER SYSTEM (B16)</v>
      </c>
      <c r="H55" s="33" t="s">
        <v>327</v>
      </c>
      <c r="I55" s="40" t="str">
        <f t="array" ref="I55">_xlfn.XLOOKUP($B55, DB[samplingPoint], DB[location])</f>
        <v>After RO (Before EDI) (B16)</v>
      </c>
      <c r="J55" s="39" t="str">
        <f t="array" ref="J55">_xlfn.XLOOKUP($B55, DB[samplingPoint], DB[waterType])</f>
        <v>RO water</v>
      </c>
      <c r="K55" s="43">
        <f t="shared" si="5"/>
        <v>46176</v>
      </c>
      <c r="L55" s="51">
        <v>46179.0</v>
      </c>
      <c r="M55" s="32">
        <v>0.0</v>
      </c>
      <c r="N55" s="32">
        <v>0.0</v>
      </c>
      <c r="O55" s="32">
        <f t="shared" si="2"/>
        <v>0</v>
      </c>
      <c r="P55" s="49"/>
      <c r="Q55" s="49"/>
      <c r="R55" s="32">
        <f t="array" ref="R55">_xlfn.XLOOKUP($B55, DB[samplingPoint], DB[Criteria])</f>
        <v>500</v>
      </c>
      <c r="S55" s="50" t="str">
        <f t="shared" si="3"/>
        <v>PASSED</v>
      </c>
      <c r="T55" s="38" t="b">
        <v>0</v>
      </c>
      <c r="U55" s="39"/>
      <c r="V55" s="32" t="s">
        <v>304</v>
      </c>
    </row>
    <row r="56" ht="22.5" customHeight="1">
      <c r="A56" s="26">
        <v>46175.0</v>
      </c>
      <c r="B56" s="27" t="s">
        <v>468</v>
      </c>
      <c r="C56" s="32" t="str">
        <f t="array" ref="C56">_xlfn.XLOOKUP(B56, DB[samplingPoint], DB[samplingTag])</f>
        <v>V50-39 (16)</v>
      </c>
      <c r="D56" s="33" t="s">
        <v>375</v>
      </c>
      <c r="E56" s="35" t="s">
        <v>31</v>
      </c>
      <c r="F56" s="38" t="b">
        <v>1</v>
      </c>
      <c r="G56" s="39" t="str">
        <f t="array" ref="G56">_xlfn.XLOOKUP($B56, DB[samplingPoint], DB[noLocation])</f>
        <v>WATER SYSTEM (B16)</v>
      </c>
      <c r="H56" s="33" t="s">
        <v>327</v>
      </c>
      <c r="I56" s="40" t="str">
        <f t="array" ref="I56">_xlfn.XLOOKUP($B56, DB[samplingPoint], DB[location])</f>
        <v>After EDI (B16)</v>
      </c>
      <c r="J56" s="39" t="str">
        <f t="array" ref="J56">_xlfn.XLOOKUP($B56, DB[samplingPoint], DB[waterType])</f>
        <v>PW</v>
      </c>
      <c r="K56" s="43">
        <f t="shared" si="5"/>
        <v>46176</v>
      </c>
      <c r="L56" s="51">
        <v>46179.0</v>
      </c>
      <c r="M56" s="32">
        <v>0.0</v>
      </c>
      <c r="N56" s="32">
        <v>0.0</v>
      </c>
      <c r="O56" s="32">
        <f t="shared" si="2"/>
        <v>0</v>
      </c>
      <c r="P56" s="49"/>
      <c r="Q56" s="49"/>
      <c r="R56" s="32">
        <f t="array" ref="R56">_xlfn.XLOOKUP($B56, DB[samplingPoint], DB[Criteria])</f>
        <v>100</v>
      </c>
      <c r="S56" s="50" t="str">
        <f t="shared" si="3"/>
        <v>PASSED</v>
      </c>
      <c r="T56" s="38" t="b">
        <v>0</v>
      </c>
      <c r="U56" s="39"/>
      <c r="V56" s="32" t="s">
        <v>304</v>
      </c>
    </row>
    <row r="57" ht="22.5" customHeight="1">
      <c r="A57" s="26">
        <v>46175.0</v>
      </c>
      <c r="B57" s="58" t="s">
        <v>464</v>
      </c>
      <c r="C57" s="32" t="str">
        <f t="array" ref="C57">_xlfn.XLOOKUP(B57, DB[samplingPoint], DB[samplingTag])</f>
        <v>SV127.01</v>
      </c>
      <c r="D57" s="33" t="s">
        <v>375</v>
      </c>
      <c r="E57" s="35" t="s">
        <v>31</v>
      </c>
      <c r="F57" s="38" t="b">
        <v>1</v>
      </c>
      <c r="G57" s="39" t="str">
        <f t="array" ref="G57">_xlfn.XLOOKUP($B57, DB[samplingPoint], DB[noLocation])</f>
        <v>WATER SYSTEM (B16)</v>
      </c>
      <c r="H57" s="33" t="s">
        <v>327</v>
      </c>
      <c r="I57" s="40" t="str">
        <f t="array" ref="I57">_xlfn.XLOOKUP($B57, DB[samplingPoint], DB[location])</f>
        <v>Return loop (B16)</v>
      </c>
      <c r="J57" s="39" t="str">
        <f t="array" ref="J57">_xlfn.XLOOKUP($B57, DB[samplingPoint], DB[waterType])</f>
        <v>PW</v>
      </c>
      <c r="K57" s="43">
        <f t="shared" si="5"/>
        <v>46176</v>
      </c>
      <c r="L57" s="51">
        <v>46179.0</v>
      </c>
      <c r="M57" s="32">
        <v>0.0</v>
      </c>
      <c r="N57" s="32">
        <v>0.0</v>
      </c>
      <c r="O57" s="32">
        <f t="shared" si="2"/>
        <v>0</v>
      </c>
      <c r="P57" s="49"/>
      <c r="Q57" s="49"/>
      <c r="R57" s="32">
        <f t="array" ref="R57">_xlfn.XLOOKUP($B57, DB[samplingPoint], DB[Criteria])</f>
        <v>100</v>
      </c>
      <c r="S57" s="50" t="str">
        <f t="shared" si="3"/>
        <v>PASSED</v>
      </c>
      <c r="T57" s="38" t="b">
        <v>0</v>
      </c>
      <c r="U57" s="39"/>
      <c r="V57" s="32" t="s">
        <v>304</v>
      </c>
    </row>
    <row r="58" ht="22.5" customHeight="1">
      <c r="A58" s="26">
        <v>46175.0</v>
      </c>
      <c r="B58" s="27" t="s">
        <v>451</v>
      </c>
      <c r="C58" s="32" t="str">
        <f t="array" ref="C58">_xlfn.XLOOKUP(B58, DB[samplingPoint], DB[samplingTag])</f>
        <v>DV126.02</v>
      </c>
      <c r="D58" s="33" t="s">
        <v>375</v>
      </c>
      <c r="E58" s="35" t="s">
        <v>31</v>
      </c>
      <c r="F58" s="38" t="b">
        <v>1</v>
      </c>
      <c r="G58" s="39" t="str">
        <f t="array" ref="G58">_xlfn.XLOOKUP($B58, DB[samplingPoint], DB[noLocation])</f>
        <v>16-1-082</v>
      </c>
      <c r="H58" s="33" t="s">
        <v>327</v>
      </c>
      <c r="I58" s="40" t="str">
        <f t="array" ref="I58">_xlfn.XLOOKUP($B58, DB[samplingPoint], DB[location])</f>
        <v>WASHING</v>
      </c>
      <c r="J58" s="39" t="str">
        <f t="array" ref="J58">_xlfn.XLOOKUP($B58, DB[samplingPoint], DB[waterType])</f>
        <v>PW</v>
      </c>
      <c r="K58" s="43">
        <f t="shared" si="5"/>
        <v>46176</v>
      </c>
      <c r="L58" s="51">
        <v>46179.0</v>
      </c>
      <c r="M58" s="32">
        <v>0.0</v>
      </c>
      <c r="N58" s="32">
        <v>0.0</v>
      </c>
      <c r="O58" s="32">
        <f t="shared" si="2"/>
        <v>0</v>
      </c>
      <c r="P58" s="49"/>
      <c r="Q58" s="49"/>
      <c r="R58" s="32">
        <f t="array" ref="R58">_xlfn.XLOOKUP($B58, DB[samplingPoint], DB[Criteria])</f>
        <v>100</v>
      </c>
      <c r="S58" s="50" t="str">
        <f t="shared" si="3"/>
        <v>PASSED</v>
      </c>
      <c r="T58" s="38" t="b">
        <v>0</v>
      </c>
      <c r="U58" s="39"/>
      <c r="V58" s="32" t="s">
        <v>304</v>
      </c>
    </row>
    <row r="59" ht="22.5" customHeight="1">
      <c r="A59" s="26">
        <v>46175.0</v>
      </c>
      <c r="B59" s="58" t="s">
        <v>447</v>
      </c>
      <c r="C59" s="32" t="str">
        <f t="array" ref="C59">_xlfn.XLOOKUP(B59, DB[samplingPoint], DB[samplingTag])</f>
        <v>DV126.01</v>
      </c>
      <c r="D59" s="33" t="s">
        <v>375</v>
      </c>
      <c r="E59" s="35" t="s">
        <v>31</v>
      </c>
      <c r="F59" s="38" t="b">
        <v>1</v>
      </c>
      <c r="G59" s="39" t="str">
        <f t="array" ref="G59">_xlfn.XLOOKUP($B59, DB[samplingPoint], DB[noLocation])</f>
        <v>16-1-082</v>
      </c>
      <c r="H59" s="33" t="s">
        <v>327</v>
      </c>
      <c r="I59" s="40" t="str">
        <f t="array" ref="I59">_xlfn.XLOOKUP($B59, DB[samplingPoint], DB[location])</f>
        <v>WASHING</v>
      </c>
      <c r="J59" s="39" t="str">
        <f t="array" ref="J59">_xlfn.XLOOKUP($B59, DB[samplingPoint], DB[waterType])</f>
        <v>PW</v>
      </c>
      <c r="K59" s="43">
        <f t="shared" si="5"/>
        <v>46176</v>
      </c>
      <c r="L59" s="51">
        <v>46179.0</v>
      </c>
      <c r="M59" s="32">
        <v>0.0</v>
      </c>
      <c r="N59" s="32">
        <v>0.0</v>
      </c>
      <c r="O59" s="32">
        <f t="shared" si="2"/>
        <v>0</v>
      </c>
      <c r="P59" s="49"/>
      <c r="Q59" s="49"/>
      <c r="R59" s="32">
        <f t="array" ref="R59">_xlfn.XLOOKUP($B59, DB[samplingPoint], DB[Criteria])</f>
        <v>100</v>
      </c>
      <c r="S59" s="50" t="str">
        <f t="shared" si="3"/>
        <v>PASSED</v>
      </c>
      <c r="T59" s="38" t="b">
        <v>0</v>
      </c>
      <c r="U59" s="39"/>
      <c r="V59" s="32" t="s">
        <v>304</v>
      </c>
    </row>
    <row r="60" ht="22.5" customHeight="1">
      <c r="A60" s="26">
        <v>46175.0</v>
      </c>
      <c r="B60" s="27" t="s">
        <v>459</v>
      </c>
      <c r="C60" s="32" t="str">
        <f t="array" ref="C60">_xlfn.XLOOKUP(B60, DB[samplingPoint], DB[samplingTag])</f>
        <v>SV126.02</v>
      </c>
      <c r="D60" s="33" t="s">
        <v>375</v>
      </c>
      <c r="E60" s="35" t="s">
        <v>31</v>
      </c>
      <c r="F60" s="38" t="b">
        <v>1</v>
      </c>
      <c r="G60" s="39" t="str">
        <f t="array" ref="G60">_xlfn.XLOOKUP($B60, DB[samplingPoint], DB[noLocation])</f>
        <v>16-1-098</v>
      </c>
      <c r="H60" s="33" t="s">
        <v>327</v>
      </c>
      <c r="I60" s="40" t="str">
        <f t="array" ref="I60">_xlfn.XLOOKUP($B60, DB[samplingPoint], DB[location])</f>
        <v>CIP/SIP (EQUIPMENT REQUIREMENT – 200L)</v>
      </c>
      <c r="J60" s="39" t="str">
        <f t="array" ref="J60">_xlfn.XLOOKUP($B60, DB[samplingPoint], DB[waterType])</f>
        <v>PW</v>
      </c>
      <c r="K60" s="43">
        <f t="shared" si="5"/>
        <v>46176</v>
      </c>
      <c r="L60" s="51">
        <v>46179.0</v>
      </c>
      <c r="M60" s="32">
        <v>0.0</v>
      </c>
      <c r="N60" s="32">
        <v>0.0</v>
      </c>
      <c r="O60" s="32">
        <f t="shared" si="2"/>
        <v>0</v>
      </c>
      <c r="P60" s="49"/>
      <c r="Q60" s="49"/>
      <c r="R60" s="32">
        <f t="array" ref="R60">_xlfn.XLOOKUP($B60, DB[samplingPoint], DB[Criteria])</f>
        <v>100</v>
      </c>
      <c r="S60" s="50" t="str">
        <f t="shared" si="3"/>
        <v>PASSED</v>
      </c>
      <c r="T60" s="38" t="b">
        <v>0</v>
      </c>
      <c r="U60" s="39"/>
      <c r="V60" s="32" t="s">
        <v>304</v>
      </c>
    </row>
    <row r="61" ht="22.5" customHeight="1">
      <c r="A61" s="26">
        <v>46175.0</v>
      </c>
      <c r="B61" s="58" t="s">
        <v>454</v>
      </c>
      <c r="C61" s="32" t="str">
        <f t="array" ref="C61">_xlfn.XLOOKUP(B61, DB[samplingPoint], DB[samplingTag])</f>
        <v>DV126.03</v>
      </c>
      <c r="D61" s="33" t="s">
        <v>375</v>
      </c>
      <c r="E61" s="35" t="s">
        <v>31</v>
      </c>
      <c r="F61" s="38" t="b">
        <v>1</v>
      </c>
      <c r="G61" s="39" t="str">
        <f t="array" ref="G61">_xlfn.XLOOKUP($B61, DB[samplingPoint], DB[noLocation])</f>
        <v>16-1-098</v>
      </c>
      <c r="H61" s="33" t="s">
        <v>327</v>
      </c>
      <c r="I61" s="40" t="str">
        <f t="array" ref="I61">_xlfn.XLOOKUP($B61, DB[samplingPoint], DB[location])</f>
        <v>CIP/SIP (SINK WASHING)</v>
      </c>
      <c r="J61" s="39" t="str">
        <f t="array" ref="J61">_xlfn.XLOOKUP($B61, DB[samplingPoint], DB[waterType])</f>
        <v>PW</v>
      </c>
      <c r="K61" s="43">
        <f t="shared" si="5"/>
        <v>46176</v>
      </c>
      <c r="L61" s="51">
        <v>46179.0</v>
      </c>
      <c r="M61" s="32">
        <v>0.0</v>
      </c>
      <c r="N61" s="32">
        <v>0.0</v>
      </c>
      <c r="O61" s="32">
        <f t="shared" si="2"/>
        <v>0</v>
      </c>
      <c r="P61" s="49"/>
      <c r="Q61" s="49"/>
      <c r="R61" s="32">
        <f t="array" ref="R61">_xlfn.XLOOKUP($B61, DB[samplingPoint], DB[Criteria])</f>
        <v>100</v>
      </c>
      <c r="S61" s="50" t="str">
        <f t="shared" si="3"/>
        <v>PASSED</v>
      </c>
      <c r="T61" s="38" t="b">
        <v>0</v>
      </c>
      <c r="U61" s="39"/>
      <c r="V61" s="32" t="s">
        <v>304</v>
      </c>
    </row>
    <row r="62" ht="22.5" customHeight="1">
      <c r="A62" s="26">
        <v>46175.0</v>
      </c>
      <c r="B62" s="27" t="s">
        <v>457</v>
      </c>
      <c r="C62" s="32" t="str">
        <f t="array" ref="C62">_xlfn.XLOOKUP(B62, DB[samplingPoint], DB[samplingTag])</f>
        <v>SV126.01</v>
      </c>
      <c r="D62" s="33" t="s">
        <v>375</v>
      </c>
      <c r="E62" s="35" t="s">
        <v>31</v>
      </c>
      <c r="F62" s="38" t="b">
        <v>1</v>
      </c>
      <c r="G62" s="39" t="str">
        <f t="array" ref="G62">_xlfn.XLOOKUP($B62, DB[samplingPoint], DB[noLocation])</f>
        <v>16-1-092</v>
      </c>
      <c r="H62" s="33" t="s">
        <v>327</v>
      </c>
      <c r="I62" s="40" t="str">
        <f t="array" ref="I62">_xlfn.XLOOKUP($B62, DB[samplingPoint], DB[location])</f>
        <v>LINEN WASHING</v>
      </c>
      <c r="J62" s="39" t="str">
        <f t="array" ref="J62">_xlfn.XLOOKUP($B62, DB[samplingPoint], DB[waterType])</f>
        <v>PW</v>
      </c>
      <c r="K62" s="43">
        <f t="shared" si="5"/>
        <v>46176</v>
      </c>
      <c r="L62" s="51">
        <v>46179.0</v>
      </c>
      <c r="M62" s="32">
        <v>0.0</v>
      </c>
      <c r="N62" s="32">
        <v>0.0</v>
      </c>
      <c r="O62" s="32">
        <f t="shared" si="2"/>
        <v>0</v>
      </c>
      <c r="P62" s="49"/>
      <c r="Q62" s="49"/>
      <c r="R62" s="32">
        <f t="array" ref="R62">_xlfn.XLOOKUP($B62, DB[samplingPoint], DB[Criteria])</f>
        <v>100</v>
      </c>
      <c r="S62" s="50" t="str">
        <f t="shared" si="3"/>
        <v>PASSED</v>
      </c>
      <c r="T62" s="38" t="b">
        <v>0</v>
      </c>
      <c r="U62" s="39"/>
      <c r="V62" s="32" t="s">
        <v>304</v>
      </c>
    </row>
    <row r="63" ht="22.5" customHeight="1">
      <c r="A63" s="26">
        <v>46175.0</v>
      </c>
      <c r="B63" s="58" t="s">
        <v>461</v>
      </c>
      <c r="C63" s="32" t="str">
        <f t="array" ref="C63">_xlfn.XLOOKUP(B63, DB[samplingPoint], DB[samplingTag])</f>
        <v>SV126.03</v>
      </c>
      <c r="D63" s="33" t="s">
        <v>375</v>
      </c>
      <c r="E63" s="35" t="s">
        <v>31</v>
      </c>
      <c r="F63" s="38" t="b">
        <v>1</v>
      </c>
      <c r="G63" s="39" t="str">
        <f t="array" ref="G63">_xlfn.XLOOKUP($B63, DB[samplingPoint], DB[noLocation])</f>
        <v>16-2-010</v>
      </c>
      <c r="H63" s="33" t="s">
        <v>327</v>
      </c>
      <c r="I63" s="40" t="str">
        <f t="array" ref="I63">_xlfn.XLOOKUP($B63, DB[samplingPoint], DB[location])</f>
        <v>WATER SYSTEM (WFI)</v>
      </c>
      <c r="J63" s="39" t="str">
        <f t="array" ref="J63">_xlfn.XLOOKUP($B63, DB[samplingPoint], DB[waterType])</f>
        <v>PW</v>
      </c>
      <c r="K63" s="43">
        <f t="shared" si="5"/>
        <v>46176</v>
      </c>
      <c r="L63" s="51">
        <v>46179.0</v>
      </c>
      <c r="M63" s="32">
        <v>0.0</v>
      </c>
      <c r="N63" s="32">
        <v>0.0</v>
      </c>
      <c r="O63" s="32">
        <f t="shared" si="2"/>
        <v>0</v>
      </c>
      <c r="P63" s="49"/>
      <c r="Q63" s="49"/>
      <c r="R63" s="32">
        <f t="array" ref="R63">_xlfn.XLOOKUP($B63, DB[samplingPoint], DB[Criteria])</f>
        <v>100</v>
      </c>
      <c r="S63" s="50" t="str">
        <f t="shared" si="3"/>
        <v>PASSED</v>
      </c>
      <c r="T63" s="38" t="b">
        <v>0</v>
      </c>
      <c r="U63" s="39"/>
      <c r="V63" s="32" t="s">
        <v>304</v>
      </c>
    </row>
    <row r="64" ht="22.5" customHeight="1">
      <c r="A64" s="26">
        <v>46175.0</v>
      </c>
      <c r="B64" s="27" t="s">
        <v>444</v>
      </c>
      <c r="C64" s="32" t="str">
        <f t="array" ref="C64">_xlfn.XLOOKUP(B64, DB[samplingPoint], DB[samplingTag])</f>
        <v>VB-05 (12)</v>
      </c>
      <c r="D64" s="33" t="s">
        <v>375</v>
      </c>
      <c r="E64" s="35" t="s">
        <v>34</v>
      </c>
      <c r="F64" s="38" t="b">
        <v>1</v>
      </c>
      <c r="G64" s="39" t="str">
        <f t="array" ref="G64">_xlfn.XLOOKUP($B64, DB[samplingPoint], DB[noLocation])</f>
        <v>WATER SYSTEM (B12)</v>
      </c>
      <c r="H64" s="33" t="s">
        <v>437</v>
      </c>
      <c r="I64" s="40" t="str">
        <f t="array" ref="I64">_xlfn.XLOOKUP($B64, DB[samplingPoint], DB[location])</f>
        <v>After Chlorine circulation tank</v>
      </c>
      <c r="J64" s="39" t="str">
        <f t="array" ref="J64">_xlfn.XLOOKUP($B64, DB[samplingPoint], DB[waterType])</f>
        <v>PRW</v>
      </c>
      <c r="K64" s="43">
        <f t="shared" si="5"/>
        <v>46176</v>
      </c>
      <c r="L64" s="51">
        <v>46179.0</v>
      </c>
      <c r="M64" s="32"/>
      <c r="N64" s="32"/>
      <c r="O64" s="32" t="str">
        <f t="shared" si="2"/>
        <v/>
      </c>
      <c r="P64" s="49"/>
      <c r="Q64" s="49" t="s">
        <v>512</v>
      </c>
      <c r="R64" s="32">
        <f t="array" ref="R64">_xlfn.XLOOKUP($B64, DB[samplingPoint], DB[Criteria])</f>
        <v>500</v>
      </c>
      <c r="S64" s="50" t="str">
        <f t="shared" si="3"/>
        <v>NOT-PASSED</v>
      </c>
      <c r="T64" s="38" t="b">
        <v>0</v>
      </c>
      <c r="U64" s="39"/>
      <c r="V64" s="32" t="s">
        <v>304</v>
      </c>
    </row>
    <row r="65" ht="22.5" customHeight="1">
      <c r="A65" s="26">
        <v>46175.0</v>
      </c>
      <c r="B65" s="27" t="s">
        <v>442</v>
      </c>
      <c r="C65" s="32" t="str">
        <f t="array" ref="C65">_xlfn.XLOOKUP(B65, DB[samplingPoint], DB[samplingTag])</f>
        <v>V50-61 (12)</v>
      </c>
      <c r="D65" s="33" t="s">
        <v>375</v>
      </c>
      <c r="E65" s="35" t="s">
        <v>34</v>
      </c>
      <c r="F65" s="38" t="b">
        <v>1</v>
      </c>
      <c r="G65" s="39" t="str">
        <f t="array" ref="G65">_xlfn.XLOOKUP($B65, DB[samplingPoint], DB[noLocation])</f>
        <v>WATER SYSTEM (B12)</v>
      </c>
      <c r="H65" s="33" t="s">
        <v>437</v>
      </c>
      <c r="I65" s="40" t="str">
        <f t="array" ref="I65">_xlfn.XLOOKUP($B65, DB[samplingPoint], DB[location])</f>
        <v>After Cartridge filter 5 µm (B12)</v>
      </c>
      <c r="J65" s="39" t="str">
        <f t="array" ref="J65">_xlfn.XLOOKUP($B65, DB[samplingPoint], DB[waterType])</f>
        <v>PRW</v>
      </c>
      <c r="K65" s="43">
        <f t="shared" si="5"/>
        <v>46176</v>
      </c>
      <c r="L65" s="51">
        <v>46179.0</v>
      </c>
      <c r="M65" s="32">
        <v>163.0</v>
      </c>
      <c r="N65" s="32">
        <v>144.0</v>
      </c>
      <c r="O65" s="32">
        <f t="shared" si="2"/>
        <v>154</v>
      </c>
      <c r="P65" s="49"/>
      <c r="Q65" s="49"/>
      <c r="R65" s="32">
        <f t="array" ref="R65">_xlfn.XLOOKUP($B65, DB[samplingPoint], DB[Criteria])</f>
        <v>500</v>
      </c>
      <c r="S65" s="50" t="str">
        <f t="shared" si="3"/>
        <v>PASSED</v>
      </c>
      <c r="T65" s="38" t="b">
        <v>0</v>
      </c>
      <c r="U65" s="39"/>
      <c r="V65" s="32" t="s">
        <v>304</v>
      </c>
    </row>
    <row r="66" ht="22.5" customHeight="1">
      <c r="A66" s="26">
        <v>46175.0</v>
      </c>
      <c r="B66" s="27" t="s">
        <v>434</v>
      </c>
      <c r="C66" s="32" t="str">
        <f t="array" ref="C66">_xlfn.XLOOKUP(B66, DB[samplingPoint], DB[samplingTag])</f>
        <v>V50-11C (12)</v>
      </c>
      <c r="D66" s="33" t="s">
        <v>375</v>
      </c>
      <c r="E66" s="35" t="s">
        <v>34</v>
      </c>
      <c r="F66" s="38" t="b">
        <v>1</v>
      </c>
      <c r="G66" s="39" t="str">
        <f t="array" ref="G66">_xlfn.XLOOKUP($B66, DB[samplingPoint], DB[noLocation])</f>
        <v>WATER SYSTEM (B12)</v>
      </c>
      <c r="H66" s="33" t="s">
        <v>437</v>
      </c>
      <c r="I66" s="40" t="str">
        <f t="array" ref="I66">_xlfn.XLOOKUP($B66, DB[samplingPoint], DB[location])</f>
        <v>After RO (Before EDI) (B12)</v>
      </c>
      <c r="J66" s="39" t="str">
        <f t="array" ref="J66">_xlfn.XLOOKUP($B66, DB[samplingPoint], DB[waterType])</f>
        <v>RO water</v>
      </c>
      <c r="K66" s="43">
        <f t="shared" si="5"/>
        <v>46176</v>
      </c>
      <c r="L66" s="51">
        <v>46179.0</v>
      </c>
      <c r="M66" s="32">
        <v>0.0</v>
      </c>
      <c r="N66" s="32">
        <v>0.0</v>
      </c>
      <c r="O66" s="32">
        <f t="shared" si="2"/>
        <v>0</v>
      </c>
      <c r="P66" s="49"/>
      <c r="Q66" s="49"/>
      <c r="R66" s="32">
        <f t="array" ref="R66">_xlfn.XLOOKUP($B66, DB[samplingPoint], DB[Criteria])</f>
        <v>500</v>
      </c>
      <c r="S66" s="50" t="str">
        <f t="shared" si="3"/>
        <v>PASSED</v>
      </c>
      <c r="T66" s="38" t="b">
        <v>0</v>
      </c>
      <c r="U66" s="39"/>
      <c r="V66" s="32" t="s">
        <v>304</v>
      </c>
    </row>
    <row r="67" ht="22.5" customHeight="1">
      <c r="A67" s="26">
        <v>46175.0</v>
      </c>
      <c r="B67" s="27" t="s">
        <v>440</v>
      </c>
      <c r="C67" s="32" t="str">
        <f t="array" ref="C67">_xlfn.XLOOKUP(B67, DB[samplingPoint], DB[samplingTag])</f>
        <v>V50-39 (12)</v>
      </c>
      <c r="D67" s="33" t="s">
        <v>375</v>
      </c>
      <c r="E67" s="35" t="s">
        <v>34</v>
      </c>
      <c r="F67" s="38" t="b">
        <v>1</v>
      </c>
      <c r="G67" s="39" t="str">
        <f t="array" ref="G67">_xlfn.XLOOKUP($B67, DB[samplingPoint], DB[noLocation])</f>
        <v>WATER SYSTEM (B12)</v>
      </c>
      <c r="H67" s="33" t="s">
        <v>437</v>
      </c>
      <c r="I67" s="40" t="str">
        <f t="array" ref="I67">_xlfn.XLOOKUP($B67, DB[samplingPoint], DB[location])</f>
        <v>After EDI (B12)</v>
      </c>
      <c r="J67" s="39" t="str">
        <f t="array" ref="J67">_xlfn.XLOOKUP($B67, DB[samplingPoint], DB[waterType])</f>
        <v>PW</v>
      </c>
      <c r="K67" s="43">
        <f t="shared" si="5"/>
        <v>46176</v>
      </c>
      <c r="L67" s="51">
        <v>46179.0</v>
      </c>
      <c r="M67" s="32">
        <v>0.0</v>
      </c>
      <c r="N67" s="32">
        <v>0.0</v>
      </c>
      <c r="O67" s="32">
        <f t="shared" si="2"/>
        <v>0</v>
      </c>
      <c r="P67" s="49"/>
      <c r="Q67" s="49"/>
      <c r="R67" s="32">
        <f t="array" ref="R67">_xlfn.XLOOKUP($B67, DB[samplingPoint], DB[Criteria])</f>
        <v>100</v>
      </c>
      <c r="S67" s="50" t="str">
        <f t="shared" si="3"/>
        <v>PASSED</v>
      </c>
      <c r="T67" s="38" t="b">
        <v>0</v>
      </c>
      <c r="U67" s="39"/>
      <c r="V67" s="32" t="s">
        <v>304</v>
      </c>
    </row>
    <row r="68" ht="22.5" customHeight="1">
      <c r="A68" s="26">
        <v>46175.0</v>
      </c>
      <c r="B68" s="27" t="s">
        <v>430</v>
      </c>
      <c r="C68" s="32" t="str">
        <f t="array" ref="C68">_xlfn.XLOOKUP(B68, DB[samplingPoint], DB[samplingTag])</f>
        <v>SV137.01</v>
      </c>
      <c r="D68" s="33" t="s">
        <v>375</v>
      </c>
      <c r="E68" s="35" t="s">
        <v>34</v>
      </c>
      <c r="F68" s="38" t="b">
        <v>1</v>
      </c>
      <c r="G68" s="39" t="str">
        <f t="array" ref="G68">_xlfn.XLOOKUP($B68, DB[samplingPoint], DB[noLocation])</f>
        <v>WATER SYSTEM (B12)</v>
      </c>
      <c r="H68" s="33" t="s">
        <v>437</v>
      </c>
      <c r="I68" s="40" t="str">
        <f t="array" ref="I68">_xlfn.XLOOKUP($B68, DB[samplingPoint], DB[location])</f>
        <v>Return loop (B12)</v>
      </c>
      <c r="J68" s="39" t="str">
        <f t="array" ref="J68">_xlfn.XLOOKUP($B68, DB[samplingPoint], DB[waterType])</f>
        <v>PW</v>
      </c>
      <c r="K68" s="43">
        <f t="shared" si="5"/>
        <v>46176</v>
      </c>
      <c r="L68" s="51">
        <v>46179.0</v>
      </c>
      <c r="M68" s="32">
        <v>0.0</v>
      </c>
      <c r="N68" s="32">
        <v>0.0</v>
      </c>
      <c r="O68" s="32">
        <f t="shared" si="2"/>
        <v>0</v>
      </c>
      <c r="P68" s="49"/>
      <c r="Q68" s="49"/>
      <c r="R68" s="32">
        <f t="array" ref="R68">_xlfn.XLOOKUP($B68, DB[samplingPoint], DB[Criteria])</f>
        <v>100</v>
      </c>
      <c r="S68" s="50" t="str">
        <f t="shared" si="3"/>
        <v>PASSED</v>
      </c>
      <c r="T68" s="38" t="b">
        <v>0</v>
      </c>
      <c r="U68" s="39"/>
      <c r="V68" s="32" t="s">
        <v>304</v>
      </c>
    </row>
    <row r="69" ht="22.5" customHeight="1">
      <c r="A69" s="26">
        <v>46175.0</v>
      </c>
      <c r="B69" s="58" t="s">
        <v>419</v>
      </c>
      <c r="C69" s="32" t="str">
        <f t="array" ref="C69">_xlfn.XLOOKUP(B69, DB[samplingPoint], DB[samplingTag])</f>
        <v>DV136.15</v>
      </c>
      <c r="D69" s="33" t="s">
        <v>375</v>
      </c>
      <c r="E69" s="35" t="s">
        <v>34</v>
      </c>
      <c r="F69" s="38" t="b">
        <v>1</v>
      </c>
      <c r="G69" s="39" t="str">
        <f t="array" ref="G69">_xlfn.XLOOKUP($B69, DB[samplingPoint], DB[noLocation])</f>
        <v>12-3-078</v>
      </c>
      <c r="H69" s="33" t="s">
        <v>437</v>
      </c>
      <c r="I69" s="40" t="str">
        <f t="array" ref="I69">_xlfn.XLOOKUP($B69, DB[samplingPoint], DB[location])</f>
        <v>GLASSWARE WASHING 2</v>
      </c>
      <c r="J69" s="39" t="str">
        <f t="array" ref="J69">_xlfn.XLOOKUP($B69, DB[samplingPoint], DB[waterType])</f>
        <v>PW</v>
      </c>
      <c r="K69" s="43">
        <f t="shared" si="5"/>
        <v>46176</v>
      </c>
      <c r="L69" s="51">
        <v>46179.0</v>
      </c>
      <c r="M69" s="32">
        <v>0.0</v>
      </c>
      <c r="N69" s="32">
        <v>0.0</v>
      </c>
      <c r="O69" s="32">
        <f t="shared" si="2"/>
        <v>0</v>
      </c>
      <c r="P69" s="49"/>
      <c r="Q69" s="49"/>
      <c r="R69" s="32">
        <f t="array" ref="R69">_xlfn.XLOOKUP($B69, DB[samplingPoint], DB[Criteria])</f>
        <v>100</v>
      </c>
      <c r="S69" s="50" t="str">
        <f t="shared" si="3"/>
        <v>PASSED</v>
      </c>
      <c r="T69" s="38" t="b">
        <v>0</v>
      </c>
      <c r="U69" s="39"/>
      <c r="V69" s="32" t="s">
        <v>304</v>
      </c>
    </row>
    <row r="70" ht="22.5" customHeight="1">
      <c r="A70" s="26">
        <v>46175.0</v>
      </c>
      <c r="B70" s="27" t="s">
        <v>409</v>
      </c>
      <c r="C70" s="32" t="str">
        <f t="array" ref="C70">_xlfn.XLOOKUP(B70, DB[samplingPoint], DB[samplingTag])</f>
        <v>DV136.13</v>
      </c>
      <c r="D70" s="33" t="s">
        <v>375</v>
      </c>
      <c r="E70" s="35" t="s">
        <v>34</v>
      </c>
      <c r="F70" s="38" t="b">
        <v>1</v>
      </c>
      <c r="G70" s="39" t="str">
        <f t="array" ref="G70">_xlfn.XLOOKUP($B70, DB[samplingPoint], DB[noLocation])</f>
        <v>12-3-057</v>
      </c>
      <c r="H70" s="33" t="s">
        <v>437</v>
      </c>
      <c r="I70" s="40" t="str">
        <f t="array" ref="I70">_xlfn.XLOOKUP($B70, DB[samplingPoint], DB[location])</f>
        <v>STERILIZATION</v>
      </c>
      <c r="J70" s="39" t="str">
        <f t="array" ref="J70">_xlfn.XLOOKUP($B70, DB[samplingPoint], DB[waterType])</f>
        <v>PW</v>
      </c>
      <c r="K70" s="43">
        <f t="shared" si="5"/>
        <v>46176</v>
      </c>
      <c r="L70" s="51">
        <v>46179.0</v>
      </c>
      <c r="M70" s="32">
        <v>0.0</v>
      </c>
      <c r="N70" s="32">
        <v>0.0</v>
      </c>
      <c r="O70" s="32">
        <f t="shared" si="2"/>
        <v>0</v>
      </c>
      <c r="P70" s="49"/>
      <c r="Q70" s="49"/>
      <c r="R70" s="32">
        <f t="array" ref="R70">_xlfn.XLOOKUP($B70, DB[samplingPoint], DB[Criteria])</f>
        <v>100</v>
      </c>
      <c r="S70" s="50" t="str">
        <f t="shared" si="3"/>
        <v>PASSED</v>
      </c>
      <c r="T70" s="38" t="b">
        <v>0</v>
      </c>
      <c r="U70" s="39"/>
      <c r="V70" s="32" t="s">
        <v>304</v>
      </c>
    </row>
    <row r="71" ht="22.5" customHeight="1">
      <c r="A71" s="26">
        <v>46175.0</v>
      </c>
      <c r="B71" s="58" t="s">
        <v>427</v>
      </c>
      <c r="C71" s="32" t="str">
        <f t="array" ref="C71">_xlfn.XLOOKUP(B71, DB[samplingPoint], DB[samplingTag])</f>
        <v>SV136.18</v>
      </c>
      <c r="D71" s="33" t="s">
        <v>375</v>
      </c>
      <c r="E71" s="35" t="s">
        <v>34</v>
      </c>
      <c r="F71" s="38" t="b">
        <v>1</v>
      </c>
      <c r="G71" s="39" t="str">
        <f t="array" ref="G71">_xlfn.XLOOKUP($B71, DB[samplingPoint], DB[noLocation])</f>
        <v>12-3-059</v>
      </c>
      <c r="H71" s="33" t="s">
        <v>437</v>
      </c>
      <c r="I71" s="40" t="str">
        <f t="array" ref="I71">_xlfn.XLOOKUP($B71, DB[samplingPoint], DB[location])</f>
        <v>AUTOCLAVE</v>
      </c>
      <c r="J71" s="39" t="str">
        <f t="array" ref="J71">_xlfn.XLOOKUP($B71, DB[samplingPoint], DB[waterType])</f>
        <v>PW</v>
      </c>
      <c r="K71" s="43">
        <f t="shared" si="5"/>
        <v>46176</v>
      </c>
      <c r="L71" s="51">
        <v>46179.0</v>
      </c>
      <c r="M71" s="32">
        <v>0.0</v>
      </c>
      <c r="N71" s="32">
        <v>0.0</v>
      </c>
      <c r="O71" s="32">
        <f t="shared" si="2"/>
        <v>0</v>
      </c>
      <c r="P71" s="49"/>
      <c r="Q71" s="49"/>
      <c r="R71" s="32">
        <f t="array" ref="R71">_xlfn.XLOOKUP($B71, DB[samplingPoint], DB[Criteria])</f>
        <v>100</v>
      </c>
      <c r="S71" s="50" t="str">
        <f t="shared" si="3"/>
        <v>PASSED</v>
      </c>
      <c r="T71" s="38" t="b">
        <v>0</v>
      </c>
      <c r="U71" s="39"/>
      <c r="V71" s="32" t="s">
        <v>304</v>
      </c>
    </row>
    <row r="72" ht="22.5" customHeight="1">
      <c r="A72" s="26">
        <v>46175.0</v>
      </c>
      <c r="B72" s="27" t="s">
        <v>399</v>
      </c>
      <c r="C72" s="32" t="str">
        <f t="array" ref="C72">_xlfn.XLOOKUP(B72, DB[samplingPoint], DB[samplingTag])</f>
        <v>DV136.11</v>
      </c>
      <c r="D72" s="33" t="s">
        <v>375</v>
      </c>
      <c r="E72" s="35" t="s">
        <v>34</v>
      </c>
      <c r="F72" s="38" t="b">
        <v>1</v>
      </c>
      <c r="G72" s="39" t="str">
        <f t="array" ref="G72">_xlfn.XLOOKUP($B72, DB[samplingPoint], DB[noLocation])</f>
        <v>12-3-059</v>
      </c>
      <c r="H72" s="33" t="s">
        <v>437</v>
      </c>
      <c r="I72" s="40" t="str">
        <f t="array" ref="I72">_xlfn.XLOOKUP($B72, DB[samplingPoint], DB[location])</f>
        <v>AUTOCLAVE</v>
      </c>
      <c r="J72" s="39" t="str">
        <f t="array" ref="J72">_xlfn.XLOOKUP($B72, DB[samplingPoint], DB[waterType])</f>
        <v>PW</v>
      </c>
      <c r="K72" s="43">
        <f t="shared" si="5"/>
        <v>46176</v>
      </c>
      <c r="L72" s="51">
        <v>46179.0</v>
      </c>
      <c r="M72" s="32">
        <v>0.0</v>
      </c>
      <c r="N72" s="32">
        <v>0.0</v>
      </c>
      <c r="O72" s="32">
        <f t="shared" si="2"/>
        <v>0</v>
      </c>
      <c r="P72" s="49"/>
      <c r="Q72" s="49"/>
      <c r="R72" s="32">
        <f t="array" ref="R72">_xlfn.XLOOKUP($B72, DB[samplingPoint], DB[Criteria])</f>
        <v>100</v>
      </c>
      <c r="S72" s="50" t="str">
        <f t="shared" si="3"/>
        <v>PASSED</v>
      </c>
      <c r="T72" s="38" t="b">
        <v>0</v>
      </c>
      <c r="U72" s="39"/>
      <c r="V72" s="32" t="s">
        <v>304</v>
      </c>
    </row>
    <row r="73" ht="22.5" customHeight="1">
      <c r="A73" s="26">
        <v>46175.0</v>
      </c>
      <c r="B73" s="58" t="s">
        <v>405</v>
      </c>
      <c r="C73" s="32" t="str">
        <f t="array" ref="C73">_xlfn.XLOOKUP(B73, DB[samplingPoint], DB[samplingTag])</f>
        <v>DV136.12</v>
      </c>
      <c r="D73" s="33" t="s">
        <v>375</v>
      </c>
      <c r="E73" s="35" t="s">
        <v>34</v>
      </c>
      <c r="F73" s="38" t="b">
        <v>1</v>
      </c>
      <c r="G73" s="39" t="str">
        <f t="array" ref="G73">_xlfn.XLOOKUP($B73, DB[samplingPoint], DB[noLocation])</f>
        <v>12-3-056</v>
      </c>
      <c r="H73" s="33" t="s">
        <v>437</v>
      </c>
      <c r="I73" s="40" t="str">
        <f t="array" ref="I73">_xlfn.XLOOKUP($B73, DB[samplingPoint], DB[location])</f>
        <v>MEDIA PREPARATION</v>
      </c>
      <c r="J73" s="39" t="str">
        <f t="array" ref="J73">_xlfn.XLOOKUP($B73, DB[samplingPoint], DB[waterType])</f>
        <v>PW</v>
      </c>
      <c r="K73" s="43">
        <f t="shared" si="5"/>
        <v>46176</v>
      </c>
      <c r="L73" s="51">
        <v>46179.0</v>
      </c>
      <c r="M73" s="32">
        <v>0.0</v>
      </c>
      <c r="N73" s="32">
        <v>0.0</v>
      </c>
      <c r="O73" s="32">
        <f t="shared" si="2"/>
        <v>0</v>
      </c>
      <c r="P73" s="49"/>
      <c r="Q73" s="49"/>
      <c r="R73" s="32">
        <f t="array" ref="R73">_xlfn.XLOOKUP($B73, DB[samplingPoint], DB[Criteria])</f>
        <v>100</v>
      </c>
      <c r="S73" s="50" t="str">
        <f t="shared" si="3"/>
        <v>PASSED</v>
      </c>
      <c r="T73" s="38" t="b">
        <v>0</v>
      </c>
      <c r="U73" s="39"/>
      <c r="V73" s="32" t="s">
        <v>304</v>
      </c>
    </row>
    <row r="74" ht="22.5" customHeight="1">
      <c r="A74" s="26">
        <v>46175.0</v>
      </c>
      <c r="B74" s="27" t="s">
        <v>393</v>
      </c>
      <c r="C74" s="32" t="str">
        <f t="array" ref="C74">_xlfn.XLOOKUP(B74, DB[samplingPoint], DB[samplingTag])</f>
        <v>DV136.10</v>
      </c>
      <c r="D74" s="33" t="s">
        <v>375</v>
      </c>
      <c r="E74" s="35" t="s">
        <v>34</v>
      </c>
      <c r="F74" s="38" t="b">
        <v>1</v>
      </c>
      <c r="G74" s="39" t="str">
        <f t="array" ref="G74">_xlfn.XLOOKUP($B74, DB[samplingPoint], DB[noLocation])</f>
        <v>12-3-056</v>
      </c>
      <c r="H74" s="33" t="s">
        <v>437</v>
      </c>
      <c r="I74" s="40" t="str">
        <f t="array" ref="I74">_xlfn.XLOOKUP($B74, DB[samplingPoint], DB[location])</f>
        <v>MEDIA PREPARATION</v>
      </c>
      <c r="J74" s="39" t="str">
        <f t="array" ref="J74">_xlfn.XLOOKUP($B74, DB[samplingPoint], DB[waterType])</f>
        <v>PW</v>
      </c>
      <c r="K74" s="43">
        <f t="shared" si="5"/>
        <v>46176</v>
      </c>
      <c r="L74" s="51">
        <v>46179.0</v>
      </c>
      <c r="M74" s="32">
        <v>0.0</v>
      </c>
      <c r="N74" s="32">
        <v>0.0</v>
      </c>
      <c r="O74" s="32">
        <f t="shared" si="2"/>
        <v>0</v>
      </c>
      <c r="P74" s="49"/>
      <c r="Q74" s="49"/>
      <c r="R74" s="32">
        <f t="array" ref="R74">_xlfn.XLOOKUP($B74, DB[samplingPoint], DB[Criteria])</f>
        <v>100</v>
      </c>
      <c r="S74" s="50" t="str">
        <f t="shared" si="3"/>
        <v>PASSED</v>
      </c>
      <c r="T74" s="38" t="b">
        <v>0</v>
      </c>
      <c r="U74" s="39"/>
      <c r="V74" s="32" t="s">
        <v>304</v>
      </c>
    </row>
    <row r="75" ht="22.5" customHeight="1">
      <c r="A75" s="26">
        <v>46175.0</v>
      </c>
      <c r="B75" s="58" t="s">
        <v>413</v>
      </c>
      <c r="C75" s="32" t="str">
        <f t="array" ref="C75">_xlfn.XLOOKUP(B75, DB[samplingPoint], DB[samplingTag])</f>
        <v>DV136.14</v>
      </c>
      <c r="D75" s="33" t="s">
        <v>375</v>
      </c>
      <c r="E75" s="35" t="s">
        <v>34</v>
      </c>
      <c r="F75" s="38" t="b">
        <v>1</v>
      </c>
      <c r="G75" s="39" t="str">
        <f t="array" ref="G75">_xlfn.XLOOKUP($B75, DB[samplingPoint], DB[noLocation])</f>
        <v>12-3-074</v>
      </c>
      <c r="H75" s="33" t="s">
        <v>437</v>
      </c>
      <c r="I75" s="40" t="str">
        <f t="array" ref="I75">_xlfn.XLOOKUP($B75, DB[samplingPoint], DB[location])</f>
        <v>DECONTAMINATION</v>
      </c>
      <c r="J75" s="39" t="str">
        <f t="array" ref="J75">_xlfn.XLOOKUP($B75, DB[samplingPoint], DB[waterType])</f>
        <v>PW</v>
      </c>
      <c r="K75" s="43">
        <f t="shared" si="5"/>
        <v>46176</v>
      </c>
      <c r="L75" s="51">
        <v>46179.0</v>
      </c>
      <c r="M75" s="32">
        <v>0.0</v>
      </c>
      <c r="N75" s="32">
        <v>0.0</v>
      </c>
      <c r="O75" s="32">
        <f t="shared" si="2"/>
        <v>0</v>
      </c>
      <c r="P75" s="49"/>
      <c r="Q75" s="49"/>
      <c r="R75" s="32">
        <f t="array" ref="R75">_xlfn.XLOOKUP($B75, DB[samplingPoint], DB[Criteria])</f>
        <v>100</v>
      </c>
      <c r="S75" s="50" t="str">
        <f t="shared" si="3"/>
        <v>PASSED</v>
      </c>
      <c r="T75" s="38" t="b">
        <v>0</v>
      </c>
      <c r="U75" s="39"/>
      <c r="V75" s="32" t="s">
        <v>304</v>
      </c>
    </row>
    <row r="76" ht="22.5" customHeight="1">
      <c r="A76" s="26">
        <v>46175.0</v>
      </c>
      <c r="B76" s="27" t="s">
        <v>422</v>
      </c>
      <c r="C76" s="32" t="str">
        <f t="array" ref="C76">_xlfn.XLOOKUP(B76, DB[samplingPoint], DB[samplingTag])</f>
        <v>DV136.18</v>
      </c>
      <c r="D76" s="33" t="s">
        <v>375</v>
      </c>
      <c r="E76" s="35" t="s">
        <v>34</v>
      </c>
      <c r="F76" s="38" t="b">
        <v>1</v>
      </c>
      <c r="G76" s="39" t="str">
        <f t="array" ref="G76">_xlfn.XLOOKUP($B76, DB[samplingPoint], DB[noLocation])</f>
        <v>12-3-037</v>
      </c>
      <c r="H76" s="33" t="s">
        <v>437</v>
      </c>
      <c r="I76" s="40" t="str">
        <f t="array" ref="I76">_xlfn.XLOOKUP($B76, DB[samplingPoint], DB[location])</f>
        <v>GLASSWARE WASHING 1</v>
      </c>
      <c r="J76" s="39" t="str">
        <f t="array" ref="J76">_xlfn.XLOOKUP($B76, DB[samplingPoint], DB[waterType])</f>
        <v>PW</v>
      </c>
      <c r="K76" s="43">
        <f t="shared" si="5"/>
        <v>46176</v>
      </c>
      <c r="L76" s="51">
        <v>46179.0</v>
      </c>
      <c r="M76" s="32">
        <v>0.0</v>
      </c>
      <c r="N76" s="32">
        <v>0.0</v>
      </c>
      <c r="O76" s="32">
        <f t="shared" si="2"/>
        <v>0</v>
      </c>
      <c r="P76" s="49"/>
      <c r="Q76" s="49"/>
      <c r="R76" s="32">
        <f t="array" ref="R76">_xlfn.XLOOKUP($B76, DB[samplingPoint], DB[Criteria])</f>
        <v>100</v>
      </c>
      <c r="S76" s="50" t="str">
        <f t="shared" si="3"/>
        <v>PASSED</v>
      </c>
      <c r="T76" s="38" t="b">
        <v>0</v>
      </c>
      <c r="U76" s="39"/>
      <c r="V76" s="32" t="s">
        <v>304</v>
      </c>
    </row>
    <row r="77" ht="22.5" customHeight="1">
      <c r="A77" s="26">
        <v>46175.0</v>
      </c>
      <c r="B77" s="58" t="s">
        <v>373</v>
      </c>
      <c r="C77" s="32" t="str">
        <f t="array" ref="C77">_xlfn.XLOOKUP(B77, DB[samplingPoint], DB[samplingTag])</f>
        <v>DV136.05</v>
      </c>
      <c r="D77" s="33" t="s">
        <v>375</v>
      </c>
      <c r="E77" s="35" t="s">
        <v>34</v>
      </c>
      <c r="F77" s="38" t="b">
        <v>1</v>
      </c>
      <c r="G77" s="39" t="str">
        <f t="array" ref="G77">_xlfn.XLOOKUP($B77, DB[samplingPoint], DB[noLocation])</f>
        <v>12-3-037</v>
      </c>
      <c r="H77" s="33" t="s">
        <v>437</v>
      </c>
      <c r="I77" s="40" t="str">
        <f t="array" ref="I77">_xlfn.XLOOKUP($B77, DB[samplingPoint], DB[location])</f>
        <v>GLASSWARE WASHING 1</v>
      </c>
      <c r="J77" s="39" t="str">
        <f t="array" ref="J77">_xlfn.XLOOKUP($B77, DB[samplingPoint], DB[waterType])</f>
        <v>PW</v>
      </c>
      <c r="K77" s="43">
        <f t="shared" si="5"/>
        <v>46176</v>
      </c>
      <c r="L77" s="51">
        <v>46179.0</v>
      </c>
      <c r="M77" s="32">
        <v>0.0</v>
      </c>
      <c r="N77" s="32">
        <v>0.0</v>
      </c>
      <c r="O77" s="32">
        <f t="shared" si="2"/>
        <v>0</v>
      </c>
      <c r="P77" s="49"/>
      <c r="Q77" s="49"/>
      <c r="R77" s="32">
        <f t="array" ref="R77">_xlfn.XLOOKUP($B77, DB[samplingPoint], DB[Criteria])</f>
        <v>100</v>
      </c>
      <c r="S77" s="50" t="str">
        <f t="shared" si="3"/>
        <v>PASSED</v>
      </c>
      <c r="T77" s="38" t="b">
        <v>0</v>
      </c>
      <c r="U77" s="39"/>
      <c r="V77" s="32" t="s">
        <v>304</v>
      </c>
    </row>
    <row r="78" ht="22.5" customHeight="1">
      <c r="A78" s="26">
        <v>46175.0</v>
      </c>
      <c r="B78" s="27" t="s">
        <v>389</v>
      </c>
      <c r="C78" s="32" t="str">
        <f t="array" ref="C78">_xlfn.XLOOKUP(B78, DB[samplingPoint], DB[samplingTag])</f>
        <v>DV136.06</v>
      </c>
      <c r="D78" s="33" t="s">
        <v>375</v>
      </c>
      <c r="E78" s="35" t="s">
        <v>34</v>
      </c>
      <c r="F78" s="38" t="b">
        <v>1</v>
      </c>
      <c r="G78" s="39" t="str">
        <f t="array" ref="G78">_xlfn.XLOOKUP($B78, DB[samplingPoint], DB[noLocation])</f>
        <v>12-3-037</v>
      </c>
      <c r="H78" s="33" t="s">
        <v>437</v>
      </c>
      <c r="I78" s="40" t="str">
        <f t="array" ref="I78">_xlfn.XLOOKUP($B78, DB[samplingPoint], DB[location])</f>
        <v>GLASSWARE WASHING 1</v>
      </c>
      <c r="J78" s="39" t="str">
        <f t="array" ref="J78">_xlfn.XLOOKUP($B78, DB[samplingPoint], DB[waterType])</f>
        <v>PW</v>
      </c>
      <c r="K78" s="43">
        <f t="shared" si="5"/>
        <v>46176</v>
      </c>
      <c r="L78" s="51">
        <v>46179.0</v>
      </c>
      <c r="M78" s="32">
        <v>0.0</v>
      </c>
      <c r="N78" s="32">
        <v>0.0</v>
      </c>
      <c r="O78" s="32">
        <f t="shared" si="2"/>
        <v>0</v>
      </c>
      <c r="P78" s="49"/>
      <c r="Q78" s="49"/>
      <c r="R78" s="32">
        <f t="array" ref="R78">_xlfn.XLOOKUP($B78, DB[samplingPoint], DB[Criteria])</f>
        <v>100</v>
      </c>
      <c r="S78" s="50" t="str">
        <f t="shared" si="3"/>
        <v>PASSED</v>
      </c>
      <c r="T78" s="38" t="b">
        <v>0</v>
      </c>
      <c r="U78" s="39"/>
      <c r="V78" s="32" t="s">
        <v>304</v>
      </c>
    </row>
    <row r="79" ht="22.5" customHeight="1">
      <c r="A79" s="83">
        <v>46178.0</v>
      </c>
      <c r="B79" s="52" t="s">
        <v>349</v>
      </c>
      <c r="C79" s="78" t="str">
        <f t="array" ref="C79">_xlfn.XLOOKUP(B79, DB[samplingPoint], DB[samplingTag])</f>
        <v>VB-05(10)</v>
      </c>
      <c r="D79" s="77" t="s">
        <v>375</v>
      </c>
      <c r="E79" s="78" t="s">
        <v>36</v>
      </c>
      <c r="F79" s="38" t="b">
        <v>1</v>
      </c>
      <c r="G79" s="80" t="str">
        <f t="array" ref="G79">_xlfn.XLOOKUP($B79, DB[samplingPoint], DB[noLocation])</f>
        <v>WATER SYSTEM (B10)</v>
      </c>
      <c r="H79" s="77" t="s">
        <v>180</v>
      </c>
      <c r="I79" s="81" t="str">
        <f t="array" ref="I79">_xlfn.XLOOKUP($B79, DB[samplingPoint], DB[location])</f>
        <v>After Chlorine circulation tank (B10)</v>
      </c>
      <c r="J79" s="80" t="str">
        <f t="array" ref="J79">_xlfn.XLOOKUP($B79, DB[samplingPoint], DB[waterType])</f>
        <v>PRW</v>
      </c>
      <c r="K79" s="82">
        <f t="shared" ref="K79:K93" si="6">$A79+0</f>
        <v>46178</v>
      </c>
      <c r="L79" s="51">
        <v>46181.0</v>
      </c>
      <c r="M79" s="78">
        <v>10.0</v>
      </c>
      <c r="N79" s="78">
        <v>21.0</v>
      </c>
      <c r="O79" s="78">
        <f t="shared" si="2"/>
        <v>16</v>
      </c>
      <c r="P79" s="84"/>
      <c r="Q79" s="84"/>
      <c r="R79" s="78">
        <f t="array" ref="R79">_xlfn.XLOOKUP($B79, DB[samplingPoint], DB[Criteria])</f>
        <v>500</v>
      </c>
      <c r="S79" s="85" t="str">
        <f t="shared" si="3"/>
        <v>PASSED</v>
      </c>
      <c r="T79" s="79" t="b">
        <v>0</v>
      </c>
      <c r="U79" s="80"/>
      <c r="V79" s="86" t="s">
        <v>304</v>
      </c>
      <c r="W79" s="87"/>
      <c r="X79" s="87"/>
      <c r="Y79" s="87"/>
      <c r="Z79" s="87"/>
      <c r="AA79" s="87"/>
    </row>
    <row r="80" ht="22.5" customHeight="1">
      <c r="A80" s="26">
        <v>46178.0</v>
      </c>
      <c r="B80" s="58" t="s">
        <v>366</v>
      </c>
      <c r="C80" s="32" t="str">
        <f t="array" ref="C80">_xlfn.XLOOKUP(B80, DB[samplingPoint], DB[samplingTag])</f>
        <v>V50-61(10)</v>
      </c>
      <c r="D80" s="33" t="s">
        <v>375</v>
      </c>
      <c r="E80" s="35" t="s">
        <v>36</v>
      </c>
      <c r="F80" s="38" t="b">
        <v>1</v>
      </c>
      <c r="G80" s="39" t="str">
        <f t="array" ref="G80">_xlfn.XLOOKUP($B80, DB[samplingPoint], DB[noLocation])</f>
        <v>WATER SYSTEM (B10)</v>
      </c>
      <c r="H80" s="33" t="s">
        <v>180</v>
      </c>
      <c r="I80" s="40" t="str">
        <f t="array" ref="I80">_xlfn.XLOOKUP($B80, DB[samplingPoint], DB[location])</f>
        <v>After Cartridge filter 5 µm (B10)</v>
      </c>
      <c r="J80" s="39" t="str">
        <f t="array" ref="J80">_xlfn.XLOOKUP($B80, DB[samplingPoint], DB[waterType])</f>
        <v>PRW</v>
      </c>
      <c r="K80" s="82">
        <f t="shared" si="6"/>
        <v>46178</v>
      </c>
      <c r="L80" s="51">
        <v>46181.0</v>
      </c>
      <c r="M80" s="32">
        <v>4.0</v>
      </c>
      <c r="N80" s="32">
        <v>5.0</v>
      </c>
      <c r="O80" s="32">
        <f t="shared" si="2"/>
        <v>5</v>
      </c>
      <c r="P80" s="49"/>
      <c r="Q80" s="49"/>
      <c r="R80" s="32">
        <f t="array" ref="R80">_xlfn.XLOOKUP($B80, DB[samplingPoint], DB[Criteria])</f>
        <v>500</v>
      </c>
      <c r="S80" s="50" t="str">
        <f t="shared" si="3"/>
        <v>PASSED</v>
      </c>
      <c r="T80" s="38" t="b">
        <v>0</v>
      </c>
      <c r="U80" s="39"/>
      <c r="V80" s="32" t="s">
        <v>304</v>
      </c>
    </row>
    <row r="81" ht="22.5" customHeight="1">
      <c r="A81" s="26">
        <v>46178.0</v>
      </c>
      <c r="B81" s="27" t="s">
        <v>368</v>
      </c>
      <c r="C81" s="32" t="str">
        <f t="array" ref="C81">_xlfn.XLOOKUP(B81, DB[samplingPoint], DB[samplingTag])</f>
        <v>V50-11C(10)</v>
      </c>
      <c r="D81" s="33" t="s">
        <v>375</v>
      </c>
      <c r="E81" s="35" t="s">
        <v>36</v>
      </c>
      <c r="F81" s="38" t="b">
        <v>1</v>
      </c>
      <c r="G81" s="39" t="str">
        <f t="array" ref="G81">_xlfn.XLOOKUP($B81, DB[samplingPoint], DB[noLocation])</f>
        <v>WATER SYSTEM (B10)</v>
      </c>
      <c r="H81" s="33" t="s">
        <v>180</v>
      </c>
      <c r="I81" s="40" t="str">
        <f t="array" ref="I81">_xlfn.XLOOKUP($B81, DB[samplingPoint], DB[location])</f>
        <v>After RO (Before EDI) (B10)</v>
      </c>
      <c r="J81" s="39" t="str">
        <f t="array" ref="J81">_xlfn.XLOOKUP($B81, DB[samplingPoint], DB[waterType])</f>
        <v>RO water</v>
      </c>
      <c r="K81" s="82">
        <f t="shared" si="6"/>
        <v>46178</v>
      </c>
      <c r="L81" s="51">
        <v>46181.0</v>
      </c>
      <c r="M81" s="32">
        <v>0.0</v>
      </c>
      <c r="N81" s="32">
        <v>0.0</v>
      </c>
      <c r="O81" s="32">
        <f t="shared" si="2"/>
        <v>0</v>
      </c>
      <c r="P81" s="49"/>
      <c r="Q81" s="49"/>
      <c r="R81" s="32">
        <f t="array" ref="R81">_xlfn.XLOOKUP($B81, DB[samplingPoint], DB[Criteria])</f>
        <v>500</v>
      </c>
      <c r="S81" s="50" t="str">
        <f t="shared" si="3"/>
        <v>PASSED</v>
      </c>
      <c r="T81" s="38" t="b">
        <v>0</v>
      </c>
      <c r="U81" s="39"/>
      <c r="V81" s="32" t="s">
        <v>304</v>
      </c>
    </row>
    <row r="82" ht="22.5" customHeight="1">
      <c r="A82" s="26">
        <v>46178.0</v>
      </c>
      <c r="B82" s="58" t="s">
        <v>374</v>
      </c>
      <c r="C82" s="32" t="str">
        <f t="array" ref="C82">_xlfn.XLOOKUP(B82, DB[samplingPoint], DB[samplingTag])</f>
        <v>V50-39(10)</v>
      </c>
      <c r="D82" s="33" t="s">
        <v>375</v>
      </c>
      <c r="E82" s="35" t="s">
        <v>36</v>
      </c>
      <c r="F82" s="38" t="b">
        <v>1</v>
      </c>
      <c r="G82" s="39" t="str">
        <f t="array" ref="G82">_xlfn.XLOOKUP($B82, DB[samplingPoint], DB[noLocation])</f>
        <v>WATER SYSTEM (B10)</v>
      </c>
      <c r="H82" s="33" t="s">
        <v>180</v>
      </c>
      <c r="I82" s="40" t="str">
        <f t="array" ref="I82">_xlfn.XLOOKUP($B82, DB[samplingPoint], DB[location])</f>
        <v>After EDI (B10)</v>
      </c>
      <c r="J82" s="39" t="str">
        <f t="array" ref="J82">_xlfn.XLOOKUP($B82, DB[samplingPoint], DB[waterType])</f>
        <v>PW</v>
      </c>
      <c r="K82" s="82">
        <f t="shared" si="6"/>
        <v>46178</v>
      </c>
      <c r="L82" s="51">
        <v>46181.0</v>
      </c>
      <c r="M82" s="32">
        <v>0.0</v>
      </c>
      <c r="N82" s="32">
        <v>0.0</v>
      </c>
      <c r="O82" s="32">
        <f t="shared" si="2"/>
        <v>0</v>
      </c>
      <c r="P82" s="49"/>
      <c r="Q82" s="49"/>
      <c r="R82" s="32">
        <f t="array" ref="R82">_xlfn.XLOOKUP($B82, DB[samplingPoint], DB[Criteria])</f>
        <v>100</v>
      </c>
      <c r="S82" s="50" t="str">
        <f t="shared" si="3"/>
        <v>PASSED</v>
      </c>
      <c r="T82" s="38" t="b">
        <v>0</v>
      </c>
      <c r="U82" s="39"/>
      <c r="V82" s="32" t="s">
        <v>304</v>
      </c>
    </row>
    <row r="83" ht="22.5" customHeight="1">
      <c r="A83" s="26">
        <v>46178.0</v>
      </c>
      <c r="B83" s="27" t="s">
        <v>390</v>
      </c>
      <c r="C83" s="32" t="str">
        <f t="array" ref="C83">_xlfn.XLOOKUP(B83, DB[samplingPoint], DB[samplingTag])</f>
        <v>SV117.01</v>
      </c>
      <c r="D83" s="33" t="s">
        <v>375</v>
      </c>
      <c r="E83" s="35" t="s">
        <v>36</v>
      </c>
      <c r="F83" s="38" t="b">
        <v>1</v>
      </c>
      <c r="G83" s="39" t="str">
        <f t="array" ref="G83">_xlfn.XLOOKUP($B83, DB[samplingPoint], DB[noLocation])</f>
        <v>WATER SYSTEM (B10)</v>
      </c>
      <c r="H83" s="33" t="s">
        <v>180</v>
      </c>
      <c r="I83" s="40" t="str">
        <f t="array" ref="I83">_xlfn.XLOOKUP($B83, DB[samplingPoint], DB[location])</f>
        <v>Return loop (B10)</v>
      </c>
      <c r="J83" s="39" t="str">
        <f t="array" ref="J83">_xlfn.XLOOKUP($B83, DB[samplingPoint], DB[waterType])</f>
        <v>PW</v>
      </c>
      <c r="K83" s="82">
        <f t="shared" si="6"/>
        <v>46178</v>
      </c>
      <c r="L83" s="51">
        <v>46181.0</v>
      </c>
      <c r="M83" s="32">
        <v>0.0</v>
      </c>
      <c r="N83" s="32">
        <v>0.0</v>
      </c>
      <c r="O83" s="32">
        <f t="shared" si="2"/>
        <v>0</v>
      </c>
      <c r="P83" s="49"/>
      <c r="Q83" s="49"/>
      <c r="R83" s="32">
        <f t="array" ref="R83">_xlfn.XLOOKUP($B83, DB[samplingPoint], DB[Criteria])</f>
        <v>100</v>
      </c>
      <c r="S83" s="50" t="str">
        <f t="shared" si="3"/>
        <v>PASSED</v>
      </c>
      <c r="T83" s="38" t="b">
        <v>0</v>
      </c>
      <c r="U83" s="39"/>
      <c r="V83" s="32" t="s">
        <v>304</v>
      </c>
    </row>
    <row r="84" ht="22.5" customHeight="1">
      <c r="A84" s="26">
        <v>46178.0</v>
      </c>
      <c r="B84" s="27" t="s">
        <v>489</v>
      </c>
      <c r="C84" s="32" t="str">
        <f t="array" ref="C84">_xlfn.XLOOKUP(B84, DB[samplingPoint], DB[samplingTag])</f>
        <v>DV116.18</v>
      </c>
      <c r="D84" s="33" t="s">
        <v>375</v>
      </c>
      <c r="E84" s="35" t="s">
        <v>36</v>
      </c>
      <c r="F84" s="38" t="b">
        <v>1</v>
      </c>
      <c r="G84" s="39" t="str">
        <f t="array" ref="G84">_xlfn.XLOOKUP($B84, DB[samplingPoint], DB[noLocation])</f>
        <v>10-3-111</v>
      </c>
      <c r="H84" s="33" t="s">
        <v>180</v>
      </c>
      <c r="I84" s="40" t="str">
        <f t="array" ref="I84">_xlfn.XLOOKUP($B84, DB[samplingPoint], DB[location])</f>
        <v>WET GRANULATION-5</v>
      </c>
      <c r="J84" s="39" t="str">
        <f t="array" ref="J84">_xlfn.XLOOKUP($B84, DB[samplingPoint], DB[waterType])</f>
        <v>PW</v>
      </c>
      <c r="K84" s="82">
        <f t="shared" si="6"/>
        <v>46178</v>
      </c>
      <c r="L84" s="51">
        <v>46181.0</v>
      </c>
      <c r="M84" s="32">
        <v>0.0</v>
      </c>
      <c r="N84" s="32">
        <v>0.0</v>
      </c>
      <c r="O84" s="32">
        <f t="shared" si="2"/>
        <v>0</v>
      </c>
      <c r="P84" s="49"/>
      <c r="Q84" s="49"/>
      <c r="R84" s="32">
        <f t="array" ref="R84">_xlfn.XLOOKUP($B84, DB[samplingPoint], DB[Criteria])</f>
        <v>100</v>
      </c>
      <c r="S84" s="50" t="str">
        <f t="shared" si="3"/>
        <v>PASSED</v>
      </c>
      <c r="T84" s="38" t="b">
        <v>0</v>
      </c>
      <c r="U84" s="39"/>
      <c r="V84" s="32" t="s">
        <v>304</v>
      </c>
    </row>
    <row r="85" ht="22.5" customHeight="1">
      <c r="A85" s="26">
        <v>46178.0</v>
      </c>
      <c r="B85" s="58" t="s">
        <v>485</v>
      </c>
      <c r="C85" s="32" t="str">
        <f t="array" ref="C85">_xlfn.XLOOKUP(B85, DB[samplingPoint], DB[samplingTag])</f>
        <v>DV116.16</v>
      </c>
      <c r="D85" s="33" t="s">
        <v>375</v>
      </c>
      <c r="E85" s="35" t="s">
        <v>36</v>
      </c>
      <c r="F85" s="38" t="b">
        <v>1</v>
      </c>
      <c r="G85" s="39" t="str">
        <f t="array" ref="G85">_xlfn.XLOOKUP($B85, DB[samplingPoint], DB[noLocation])</f>
        <v>10-3-107</v>
      </c>
      <c r="H85" s="33" t="s">
        <v>180</v>
      </c>
      <c r="I85" s="40" t="str">
        <f t="array" ref="I85">_xlfn.XLOOKUP($B85, DB[samplingPoint], DB[location])</f>
        <v>WET GRANULATION-2</v>
      </c>
      <c r="J85" s="39" t="str">
        <f t="array" ref="J85">_xlfn.XLOOKUP($B85, DB[samplingPoint], DB[waterType])</f>
        <v>PW</v>
      </c>
      <c r="K85" s="82">
        <f t="shared" si="6"/>
        <v>46178</v>
      </c>
      <c r="L85" s="51">
        <v>46181.0</v>
      </c>
      <c r="M85" s="32">
        <v>0.0</v>
      </c>
      <c r="N85" s="32">
        <v>0.0</v>
      </c>
      <c r="O85" s="32">
        <f t="shared" si="2"/>
        <v>0</v>
      </c>
      <c r="P85" s="49"/>
      <c r="Q85" s="49"/>
      <c r="R85" s="32">
        <f t="array" ref="R85">_xlfn.XLOOKUP($B85, DB[samplingPoint], DB[Criteria])</f>
        <v>100</v>
      </c>
      <c r="S85" s="50" t="str">
        <f t="shared" si="3"/>
        <v>PASSED</v>
      </c>
      <c r="T85" s="38" t="b">
        <v>0</v>
      </c>
      <c r="U85" s="39"/>
      <c r="V85" s="32" t="s">
        <v>304</v>
      </c>
    </row>
    <row r="86" ht="22.5" customHeight="1">
      <c r="A86" s="26">
        <v>46178.0</v>
      </c>
      <c r="B86" s="27" t="s">
        <v>492</v>
      </c>
      <c r="C86" s="32" t="str">
        <f t="array" ref="C86">_xlfn.XLOOKUP(B86, DB[samplingPoint], DB[samplingTag])</f>
        <v>SV116.11</v>
      </c>
      <c r="D86" s="33" t="s">
        <v>375</v>
      </c>
      <c r="E86" s="35" t="s">
        <v>36</v>
      </c>
      <c r="F86" s="38" t="b">
        <v>1</v>
      </c>
      <c r="G86" s="39" t="str">
        <f t="array" ref="G86">_xlfn.XLOOKUP($B86, DB[samplingPoint], DB[noLocation])</f>
        <v>10-3-107</v>
      </c>
      <c r="H86" s="33" t="s">
        <v>180</v>
      </c>
      <c r="I86" s="40" t="str">
        <f t="array" ref="I86">_xlfn.XLOOKUP($B86, DB[samplingPoint], DB[location])</f>
        <v>WET GRANULATION-2</v>
      </c>
      <c r="J86" s="39" t="str">
        <f t="array" ref="J86">_xlfn.XLOOKUP($B86, DB[samplingPoint], DB[waterType])</f>
        <v>PW</v>
      </c>
      <c r="K86" s="82">
        <f t="shared" si="6"/>
        <v>46178</v>
      </c>
      <c r="L86" s="51">
        <v>46181.0</v>
      </c>
      <c r="M86" s="32">
        <v>0.0</v>
      </c>
      <c r="N86" s="32">
        <v>0.0</v>
      </c>
      <c r="O86" s="32">
        <f t="shared" si="2"/>
        <v>0</v>
      </c>
      <c r="P86" s="49"/>
      <c r="Q86" s="49"/>
      <c r="R86" s="32">
        <f t="array" ref="R86">_xlfn.XLOOKUP($B86, DB[samplingPoint], DB[Criteria])</f>
        <v>100</v>
      </c>
      <c r="S86" s="50" t="str">
        <f t="shared" si="3"/>
        <v>PASSED</v>
      </c>
      <c r="T86" s="38" t="b">
        <v>0</v>
      </c>
      <c r="U86" s="39"/>
      <c r="V86" s="32" t="s">
        <v>304</v>
      </c>
    </row>
    <row r="87" ht="22.5" customHeight="1">
      <c r="A87" s="26">
        <v>46178.0</v>
      </c>
      <c r="B87" s="58" t="s">
        <v>482</v>
      </c>
      <c r="C87" s="32" t="str">
        <f t="array" ref="C87">_xlfn.XLOOKUP(B87, DB[samplingPoint], DB[samplingTag])</f>
        <v>DV116.14</v>
      </c>
      <c r="D87" s="33" t="s">
        <v>375</v>
      </c>
      <c r="E87" s="35" t="s">
        <v>36</v>
      </c>
      <c r="F87" s="38" t="b">
        <v>1</v>
      </c>
      <c r="G87" s="39" t="str">
        <f t="array" ref="G87">_xlfn.XLOOKUP($B87, DB[samplingPoint], DB[noLocation])</f>
        <v>10-3-086</v>
      </c>
      <c r="H87" s="33" t="s">
        <v>180</v>
      </c>
      <c r="I87" s="40" t="str">
        <f t="array" ref="I87">_xlfn.XLOOKUP($B87, DB[samplingPoint], DB[location])</f>
        <v>TOOL WASHING</v>
      </c>
      <c r="J87" s="39" t="str">
        <f t="array" ref="J87">_xlfn.XLOOKUP($B87, DB[samplingPoint], DB[waterType])</f>
        <v>PW</v>
      </c>
      <c r="K87" s="82">
        <f t="shared" si="6"/>
        <v>46178</v>
      </c>
      <c r="L87" s="51">
        <v>46181.0</v>
      </c>
      <c r="M87" s="32">
        <v>0.0</v>
      </c>
      <c r="N87" s="32">
        <v>0.0</v>
      </c>
      <c r="O87" s="32">
        <f t="shared" si="2"/>
        <v>0</v>
      </c>
      <c r="P87" s="49"/>
      <c r="Q87" s="49"/>
      <c r="R87" s="32">
        <f t="array" ref="R87">_xlfn.XLOOKUP($B87, DB[samplingPoint], DB[Criteria])</f>
        <v>100</v>
      </c>
      <c r="S87" s="50" t="str">
        <f t="shared" si="3"/>
        <v>PASSED</v>
      </c>
      <c r="T87" s="38" t="b">
        <v>0</v>
      </c>
      <c r="U87" s="39"/>
      <c r="V87" s="32" t="s">
        <v>304</v>
      </c>
    </row>
    <row r="88" ht="22.5" customHeight="1">
      <c r="A88" s="26">
        <v>46178.0</v>
      </c>
      <c r="B88" s="27" t="s">
        <v>490</v>
      </c>
      <c r="C88" s="32" t="str">
        <f t="array" ref="C88">_xlfn.XLOOKUP(B88, DB[samplingPoint], DB[samplingTag])</f>
        <v>SV116.09</v>
      </c>
      <c r="D88" s="33" t="s">
        <v>375</v>
      </c>
      <c r="E88" s="35" t="s">
        <v>36</v>
      </c>
      <c r="F88" s="38" t="b">
        <v>1</v>
      </c>
      <c r="G88" s="39" t="str">
        <f t="array" ref="G88">_xlfn.XLOOKUP($B88, DB[samplingPoint], DB[noLocation])</f>
        <v>10-3-078</v>
      </c>
      <c r="H88" s="33" t="s">
        <v>180</v>
      </c>
      <c r="I88" s="40" t="str">
        <f t="array" ref="I88">_xlfn.XLOOKUP($B88, DB[samplingPoint], DB[location])</f>
        <v>WASHING</v>
      </c>
      <c r="J88" s="39" t="str">
        <f t="array" ref="J88">_xlfn.XLOOKUP($B88, DB[samplingPoint], DB[waterType])</f>
        <v>PW</v>
      </c>
      <c r="K88" s="82">
        <f t="shared" si="6"/>
        <v>46178</v>
      </c>
      <c r="L88" s="51">
        <v>46181.0</v>
      </c>
      <c r="M88" s="32">
        <v>0.0</v>
      </c>
      <c r="N88" s="32">
        <v>0.0</v>
      </c>
      <c r="O88" s="32">
        <f t="shared" si="2"/>
        <v>0</v>
      </c>
      <c r="P88" s="49"/>
      <c r="Q88" s="49"/>
      <c r="R88" s="32">
        <f t="array" ref="R88">_xlfn.XLOOKUP($B88, DB[samplingPoint], DB[Criteria])</f>
        <v>100</v>
      </c>
      <c r="S88" s="50" t="str">
        <f t="shared" si="3"/>
        <v>PASSED</v>
      </c>
      <c r="T88" s="38" t="b">
        <v>0</v>
      </c>
      <c r="U88" s="39"/>
      <c r="V88" s="32" t="s">
        <v>304</v>
      </c>
    </row>
    <row r="89" ht="22.5" customHeight="1">
      <c r="A89" s="26">
        <v>46178.0</v>
      </c>
      <c r="B89" s="58" t="s">
        <v>479</v>
      </c>
      <c r="C89" s="32" t="str">
        <f t="array" ref="C89">_xlfn.XLOOKUP(B89, DB[samplingPoint], DB[samplingTag])</f>
        <v>DV116.13</v>
      </c>
      <c r="D89" s="33" t="s">
        <v>375</v>
      </c>
      <c r="E89" s="35" t="s">
        <v>36</v>
      </c>
      <c r="F89" s="38" t="b">
        <v>1</v>
      </c>
      <c r="G89" s="39" t="str">
        <f t="array" ref="G89">_xlfn.XLOOKUP($B89, DB[samplingPoint], DB[noLocation])</f>
        <v>10-3-078</v>
      </c>
      <c r="H89" s="33" t="s">
        <v>180</v>
      </c>
      <c r="I89" s="40" t="str">
        <f t="array" ref="I89">_xlfn.XLOOKUP($B89, DB[samplingPoint], DB[location])</f>
        <v>WASHING</v>
      </c>
      <c r="J89" s="39" t="str">
        <f t="array" ref="J89">_xlfn.XLOOKUP($B89, DB[samplingPoint], DB[waterType])</f>
        <v>PW</v>
      </c>
      <c r="K89" s="82">
        <f t="shared" si="6"/>
        <v>46178</v>
      </c>
      <c r="L89" s="51">
        <v>46181.0</v>
      </c>
      <c r="M89" s="32">
        <v>0.0</v>
      </c>
      <c r="N89" s="32">
        <v>0.0</v>
      </c>
      <c r="O89" s="32">
        <f t="shared" si="2"/>
        <v>0</v>
      </c>
      <c r="P89" s="49"/>
      <c r="Q89" s="49"/>
      <c r="R89" s="32">
        <f t="array" ref="R89">_xlfn.XLOOKUP($B89, DB[samplingPoint], DB[Criteria])</f>
        <v>100</v>
      </c>
      <c r="S89" s="50" t="str">
        <f t="shared" si="3"/>
        <v>PASSED</v>
      </c>
      <c r="T89" s="38" t="b">
        <v>0</v>
      </c>
      <c r="U89" s="39"/>
      <c r="V89" s="32" t="s">
        <v>304</v>
      </c>
    </row>
    <row r="90" ht="22.5" customHeight="1">
      <c r="A90" s="26">
        <v>46178.0</v>
      </c>
      <c r="B90" s="27" t="s">
        <v>476</v>
      </c>
      <c r="C90" s="32" t="str">
        <f t="array" ref="C90">_xlfn.XLOOKUP(B90, DB[samplingPoint], DB[samplingTag])</f>
        <v>DV116.12</v>
      </c>
      <c r="D90" s="33" t="s">
        <v>375</v>
      </c>
      <c r="E90" s="35" t="s">
        <v>36</v>
      </c>
      <c r="F90" s="38" t="b">
        <v>1</v>
      </c>
      <c r="G90" s="39" t="str">
        <f t="array" ref="G90">_xlfn.XLOOKUP($B90, DB[samplingPoint], DB[noLocation])</f>
        <v>10-3-078</v>
      </c>
      <c r="H90" s="33" t="s">
        <v>180</v>
      </c>
      <c r="I90" s="40" t="str">
        <f t="array" ref="I90">_xlfn.XLOOKUP($B90, DB[samplingPoint], DB[location])</f>
        <v>WASHING</v>
      </c>
      <c r="J90" s="39" t="str">
        <f t="array" ref="J90">_xlfn.XLOOKUP($B90, DB[samplingPoint], DB[waterType])</f>
        <v>PW</v>
      </c>
      <c r="K90" s="82">
        <f t="shared" si="6"/>
        <v>46178</v>
      </c>
      <c r="L90" s="51">
        <v>46181.0</v>
      </c>
      <c r="M90" s="32">
        <v>0.0</v>
      </c>
      <c r="N90" s="32">
        <v>0.0</v>
      </c>
      <c r="O90" s="32">
        <f t="shared" si="2"/>
        <v>0</v>
      </c>
      <c r="P90" s="49"/>
      <c r="Q90" s="49"/>
      <c r="R90" s="32">
        <f t="array" ref="R90">_xlfn.XLOOKUP($B90, DB[samplingPoint], DB[Criteria])</f>
        <v>100</v>
      </c>
      <c r="S90" s="50" t="str">
        <f t="shared" si="3"/>
        <v>PASSED</v>
      </c>
      <c r="T90" s="38" t="b">
        <v>0</v>
      </c>
      <c r="U90" s="39"/>
      <c r="V90" s="32" t="s">
        <v>304</v>
      </c>
    </row>
    <row r="91" ht="22.5" customHeight="1">
      <c r="A91" s="26">
        <v>46178.0</v>
      </c>
      <c r="B91" s="58" t="s">
        <v>488</v>
      </c>
      <c r="C91" s="32" t="str">
        <f t="array" ref="C91">_xlfn.XLOOKUP(B91, DB[samplingPoint], DB[samplingTag])</f>
        <v>DV116.17</v>
      </c>
      <c r="D91" s="33" t="s">
        <v>375</v>
      </c>
      <c r="E91" s="35" t="s">
        <v>36</v>
      </c>
      <c r="F91" s="38" t="b">
        <v>1</v>
      </c>
      <c r="G91" s="39" t="str">
        <f t="array" ref="G91">_xlfn.XLOOKUP($B91, DB[samplingPoint], DB[noLocation])</f>
        <v>10-3-117</v>
      </c>
      <c r="H91" s="33" t="s">
        <v>180</v>
      </c>
      <c r="I91" s="40" t="str">
        <f t="array" ref="I91">_xlfn.XLOOKUP($B91, DB[samplingPoint], DB[location])</f>
        <v>IPQC-2</v>
      </c>
      <c r="J91" s="39" t="str">
        <f t="array" ref="J91">_xlfn.XLOOKUP($B91, DB[samplingPoint], DB[waterType])</f>
        <v>PW</v>
      </c>
      <c r="K91" s="82">
        <f t="shared" si="6"/>
        <v>46178</v>
      </c>
      <c r="L91" s="51">
        <v>46181.0</v>
      </c>
      <c r="M91" s="32">
        <v>0.0</v>
      </c>
      <c r="N91" s="32">
        <v>0.0</v>
      </c>
      <c r="O91" s="32">
        <f t="shared" si="2"/>
        <v>0</v>
      </c>
      <c r="P91" s="49"/>
      <c r="Q91" s="49"/>
      <c r="R91" s="32">
        <f t="array" ref="R91">_xlfn.XLOOKUP($B91, DB[samplingPoint], DB[Criteria])</f>
        <v>100</v>
      </c>
      <c r="S91" s="50" t="str">
        <f t="shared" si="3"/>
        <v>PASSED</v>
      </c>
      <c r="T91" s="38" t="b">
        <v>0</v>
      </c>
      <c r="U91" s="39"/>
      <c r="V91" s="32" t="s">
        <v>304</v>
      </c>
    </row>
    <row r="92" ht="22.5" customHeight="1">
      <c r="A92" s="26">
        <v>46178.0</v>
      </c>
      <c r="B92" s="27" t="s">
        <v>119</v>
      </c>
      <c r="C92" s="32" t="str">
        <f t="array" ref="C92">_xlfn.XLOOKUP(B92, DB[samplingPoint], DB[samplingTag])</f>
        <v>DV116.15</v>
      </c>
      <c r="D92" s="33" t="s">
        <v>375</v>
      </c>
      <c r="E92" s="35" t="s">
        <v>36</v>
      </c>
      <c r="F92" s="38" t="b">
        <v>1</v>
      </c>
      <c r="G92" s="39" t="str">
        <f t="array" ref="G92">_xlfn.XLOOKUP($B92, DB[samplingPoint], DB[noLocation])</f>
        <v>10-3-104</v>
      </c>
      <c r="H92" s="33" t="s">
        <v>180</v>
      </c>
      <c r="I92" s="40" t="str">
        <f t="array" ref="I92">_xlfn.XLOOKUP($B92, DB[samplingPoint], DB[location])</f>
        <v>BINDER PREPARATION</v>
      </c>
      <c r="J92" s="39" t="str">
        <f t="array" ref="J92">_xlfn.XLOOKUP($B92, DB[samplingPoint], DB[waterType])</f>
        <v>PW</v>
      </c>
      <c r="K92" s="82">
        <f t="shared" si="6"/>
        <v>46178</v>
      </c>
      <c r="L92" s="51">
        <v>46181.0</v>
      </c>
      <c r="M92" s="32">
        <v>0.0</v>
      </c>
      <c r="N92" s="32">
        <v>0.0</v>
      </c>
      <c r="O92" s="32">
        <f t="shared" si="2"/>
        <v>0</v>
      </c>
      <c r="P92" s="49"/>
      <c r="Q92" s="49"/>
      <c r="R92" s="32">
        <f t="array" ref="R92">_xlfn.XLOOKUP($B92, DB[samplingPoint], DB[Criteria])</f>
        <v>100</v>
      </c>
      <c r="S92" s="50" t="str">
        <f t="shared" si="3"/>
        <v>PASSED</v>
      </c>
      <c r="T92" s="38" t="b">
        <v>0</v>
      </c>
      <c r="U92" s="39"/>
      <c r="V92" s="32" t="s">
        <v>304</v>
      </c>
    </row>
    <row r="93" ht="22.5" customHeight="1">
      <c r="A93" s="26">
        <v>46178.0</v>
      </c>
      <c r="B93" s="73" t="s">
        <v>431</v>
      </c>
      <c r="C93" s="32" t="str">
        <f t="array" ref="C93">_xlfn.XLOOKUP(B93, DB[samplingPoint], DB[samplingTag])</f>
        <v>SV-14</v>
      </c>
      <c r="D93" s="33" t="s">
        <v>375</v>
      </c>
      <c r="E93" s="35" t="s">
        <v>40</v>
      </c>
      <c r="F93" s="38" t="b">
        <v>1</v>
      </c>
      <c r="G93" s="39" t="str">
        <f t="array" ref="G93">_xlfn.XLOOKUP($B93, DB[samplingPoint], DB[noLocation])</f>
        <v>PROCESS WATER (B19)</v>
      </c>
      <c r="H93" s="33" t="s">
        <v>432</v>
      </c>
      <c r="I93" s="40" t="str">
        <f t="array" ref="I93">_xlfn.XLOOKUP($B93, DB[samplingPoint], DB[location])</f>
        <v>AFTER RO SYSTEM NO.12 SV14</v>
      </c>
      <c r="J93" s="39" t="str">
        <f t="array" ref="J93">_xlfn.XLOOKUP($B93, DB[samplingPoint], DB[waterType])</f>
        <v>PRW</v>
      </c>
      <c r="K93" s="82">
        <f t="shared" si="6"/>
        <v>46178</v>
      </c>
      <c r="L93" s="51">
        <v>46181.0</v>
      </c>
      <c r="M93" s="32">
        <v>130.0</v>
      </c>
      <c r="N93" s="32">
        <v>138.0</v>
      </c>
      <c r="O93" s="32">
        <f t="shared" si="2"/>
        <v>134</v>
      </c>
      <c r="P93" s="49"/>
      <c r="Q93" s="49"/>
      <c r="R93" s="32">
        <f t="array" ref="R93">_xlfn.XLOOKUP($B93, DB[samplingPoint], DB[Criteria])</f>
        <v>500</v>
      </c>
      <c r="S93" s="50" t="str">
        <f t="shared" si="3"/>
        <v>PASSED</v>
      </c>
      <c r="T93" s="38" t="b">
        <v>0</v>
      </c>
      <c r="U93" s="39"/>
      <c r="V93" s="32" t="s">
        <v>304</v>
      </c>
    </row>
    <row r="94" ht="22.5" customHeight="1">
      <c r="A94" s="26">
        <v>46182.0</v>
      </c>
      <c r="B94" s="58" t="s">
        <v>467</v>
      </c>
      <c r="C94" s="32" t="str">
        <f t="array" ref="C94">_xlfn.XLOOKUP(B94, DB[samplingPoint], DB[samplingTag])</f>
        <v>SV123.01</v>
      </c>
      <c r="D94" s="33" t="s">
        <v>500</v>
      </c>
      <c r="E94" s="35" t="s">
        <v>46</v>
      </c>
      <c r="F94" s="38" t="b">
        <v>1</v>
      </c>
      <c r="G94" s="39" t="str">
        <f t="array" ref="G94">_xlfn.XLOOKUP($B94, DB[samplingPoint], DB[noLocation])</f>
        <v>WATER SYSTEM (B16)</v>
      </c>
      <c r="H94" s="33" t="s">
        <v>327</v>
      </c>
      <c r="I94" s="40" t="str">
        <f t="array" ref="I94">_xlfn.XLOOKUP($B94, DB[samplingPoint], DB[location])</f>
        <v>After Storage tank (B16)</v>
      </c>
      <c r="J94" s="39" t="str">
        <f t="array" ref="J94">_xlfn.XLOOKUP($B94, DB[samplingPoint], DB[waterType])</f>
        <v>PW</v>
      </c>
      <c r="K94" s="43">
        <f t="shared" ref="K94:K113" si="7">$A94+1</f>
        <v>46183</v>
      </c>
      <c r="L94" s="26">
        <v>46186.0</v>
      </c>
      <c r="M94" s="32">
        <v>0.0</v>
      </c>
      <c r="N94" s="32">
        <v>0.0</v>
      </c>
      <c r="O94" s="32">
        <f t="shared" si="2"/>
        <v>0</v>
      </c>
      <c r="P94" s="49"/>
      <c r="Q94" s="49"/>
      <c r="R94" s="32">
        <f t="array" ref="R94">_xlfn.XLOOKUP($B94, DB[samplingPoint], DB[Criteria])</f>
        <v>100</v>
      </c>
      <c r="S94" s="50" t="str">
        <f t="shared" si="3"/>
        <v>PASSED</v>
      </c>
      <c r="T94" s="38" t="b">
        <v>0</v>
      </c>
      <c r="U94" s="39"/>
      <c r="V94" s="32" t="s">
        <v>304</v>
      </c>
    </row>
    <row r="95" ht="22.5" customHeight="1">
      <c r="A95" s="26">
        <v>46182.0</v>
      </c>
      <c r="B95" s="48" t="s">
        <v>469</v>
      </c>
      <c r="C95" s="32" t="str">
        <f t="array" ref="C95">_xlfn.XLOOKUP(B95, DB[samplingPoint], DB[samplingTag])</f>
        <v>SV125.02</v>
      </c>
      <c r="D95" s="33" t="s">
        <v>500</v>
      </c>
      <c r="E95" s="35" t="s">
        <v>46</v>
      </c>
      <c r="F95" s="38" t="b">
        <v>1</v>
      </c>
      <c r="G95" s="39" t="str">
        <f t="array" ref="G95">_xlfn.XLOOKUP($B95, DB[samplingPoint], DB[noLocation])</f>
        <v>WATER SYSTEM (B16)</v>
      </c>
      <c r="H95" s="33" t="s">
        <v>327</v>
      </c>
      <c r="I95" s="40" t="str">
        <f t="array" ref="I95">_xlfn.XLOOKUP($B95, DB[samplingPoint], DB[location])</f>
        <v>After UV (B16)</v>
      </c>
      <c r="J95" s="39" t="str">
        <f t="array" ref="J95">_xlfn.XLOOKUP($B95, DB[samplingPoint], DB[waterType])</f>
        <v>PW</v>
      </c>
      <c r="K95" s="43">
        <f t="shared" si="7"/>
        <v>46183</v>
      </c>
      <c r="L95" s="26">
        <v>46186.0</v>
      </c>
      <c r="M95" s="32">
        <v>1.0</v>
      </c>
      <c r="N95" s="32">
        <v>0.0</v>
      </c>
      <c r="O95" s="32">
        <f t="shared" si="2"/>
        <v>1</v>
      </c>
      <c r="P95" s="49"/>
      <c r="Q95" s="49"/>
      <c r="R95" s="32">
        <f t="array" ref="R95">_xlfn.XLOOKUP($B95, DB[samplingPoint], DB[Criteria])</f>
        <v>100</v>
      </c>
      <c r="S95" s="50" t="str">
        <f t="shared" si="3"/>
        <v>PASSED</v>
      </c>
      <c r="T95" s="38" t="b">
        <v>0</v>
      </c>
      <c r="U95" s="39"/>
      <c r="V95" s="32" t="s">
        <v>304</v>
      </c>
    </row>
    <row r="96" ht="22.5" customHeight="1">
      <c r="A96" s="26">
        <v>46182.0</v>
      </c>
      <c r="B96" s="48" t="s">
        <v>464</v>
      </c>
      <c r="C96" s="32" t="str">
        <f t="array" ref="C96">_xlfn.XLOOKUP(B96, DB[samplingPoint], DB[samplingTag])</f>
        <v>SV127.01</v>
      </c>
      <c r="D96" s="33" t="s">
        <v>500</v>
      </c>
      <c r="E96" s="35" t="s">
        <v>46</v>
      </c>
      <c r="F96" s="38" t="b">
        <v>1</v>
      </c>
      <c r="G96" s="39" t="str">
        <f t="array" ref="G96">_xlfn.XLOOKUP($B96, DB[samplingPoint], DB[noLocation])</f>
        <v>WATER SYSTEM (B16)</v>
      </c>
      <c r="H96" s="33" t="s">
        <v>327</v>
      </c>
      <c r="I96" s="40" t="str">
        <f t="array" ref="I96">_xlfn.XLOOKUP($B96, DB[samplingPoint], DB[location])</f>
        <v>Return loop (B16)</v>
      </c>
      <c r="J96" s="39" t="str">
        <f t="array" ref="J96">_xlfn.XLOOKUP($B96, DB[samplingPoint], DB[waterType])</f>
        <v>PW</v>
      </c>
      <c r="K96" s="43">
        <f t="shared" si="7"/>
        <v>46183</v>
      </c>
      <c r="L96" s="26">
        <v>46186.0</v>
      </c>
      <c r="M96" s="32">
        <v>0.0</v>
      </c>
      <c r="N96" s="32">
        <v>0.0</v>
      </c>
      <c r="O96" s="32">
        <f t="shared" si="2"/>
        <v>0</v>
      </c>
      <c r="P96" s="49"/>
      <c r="Q96" s="49"/>
      <c r="R96" s="32">
        <f t="array" ref="R96">_xlfn.XLOOKUP($B96, DB[samplingPoint], DB[Criteria])</f>
        <v>100</v>
      </c>
      <c r="S96" s="50" t="str">
        <f t="shared" si="3"/>
        <v>PASSED</v>
      </c>
      <c r="T96" s="38" t="b">
        <v>0</v>
      </c>
      <c r="U96" s="39"/>
      <c r="V96" s="32" t="s">
        <v>304</v>
      </c>
    </row>
    <row r="97" ht="22.5" customHeight="1">
      <c r="A97" s="26">
        <v>46182.0</v>
      </c>
      <c r="B97" s="27" t="s">
        <v>553</v>
      </c>
      <c r="C97" s="32" t="str">
        <f t="array" ref="C97">_xlfn.XLOOKUP(B97, DB[samplingPoint], DB[samplingTag])</f>
        <v>DV126.10</v>
      </c>
      <c r="D97" s="33" t="s">
        <v>500</v>
      </c>
      <c r="E97" s="35" t="s">
        <v>46</v>
      </c>
      <c r="F97" s="38" t="b">
        <v>1</v>
      </c>
      <c r="G97" s="39" t="str">
        <f t="array" ref="G97">_xlfn.XLOOKUP($B97, DB[samplingPoint], DB[noLocation])</f>
        <v>16-3-069</v>
      </c>
      <c r="H97" s="33" t="s">
        <v>327</v>
      </c>
      <c r="I97" s="40" t="str">
        <f t="array" ref="I97">_xlfn.XLOOKUP($B97, DB[samplingPoint], DB[location])</f>
        <v>MFG 2</v>
      </c>
      <c r="J97" s="39" t="str">
        <f t="array" ref="J97">_xlfn.XLOOKUP($B97, DB[samplingPoint], DB[waterType])</f>
        <v>PW</v>
      </c>
      <c r="K97" s="43">
        <f t="shared" si="7"/>
        <v>46183</v>
      </c>
      <c r="L97" s="26">
        <v>46186.0</v>
      </c>
      <c r="M97" s="32">
        <v>9.0</v>
      </c>
      <c r="N97" s="32">
        <v>1.0</v>
      </c>
      <c r="O97" s="32">
        <f t="shared" si="2"/>
        <v>5</v>
      </c>
      <c r="P97" s="49"/>
      <c r="Q97" s="49"/>
      <c r="R97" s="32">
        <f t="array" ref="R97">_xlfn.XLOOKUP($B97, DB[samplingPoint], DB[Criteria])</f>
        <v>100</v>
      </c>
      <c r="S97" s="50" t="str">
        <f t="shared" si="3"/>
        <v>PASSED</v>
      </c>
      <c r="T97" s="38" t="b">
        <v>0</v>
      </c>
      <c r="U97" s="39"/>
      <c r="V97" s="32" t="s">
        <v>304</v>
      </c>
    </row>
    <row r="98" ht="22.5" customHeight="1">
      <c r="A98" s="26">
        <v>46182.0</v>
      </c>
      <c r="B98" s="58" t="s">
        <v>555</v>
      </c>
      <c r="C98" s="32" t="str">
        <f t="array" ref="C98">_xlfn.XLOOKUP(B98, DB[samplingPoint], DB[samplingTag])</f>
        <v>DV126.06</v>
      </c>
      <c r="D98" s="33" t="s">
        <v>500</v>
      </c>
      <c r="E98" s="35" t="s">
        <v>46</v>
      </c>
      <c r="F98" s="38" t="b">
        <v>1</v>
      </c>
      <c r="G98" s="39" t="str">
        <f t="array" ref="G98">_xlfn.XLOOKUP($B98, DB[samplingPoint], DB[noLocation])</f>
        <v>16-3-069</v>
      </c>
      <c r="H98" s="33" t="s">
        <v>327</v>
      </c>
      <c r="I98" s="40" t="str">
        <f t="array" ref="I98">_xlfn.XLOOKUP($B98, DB[samplingPoint], DB[location])</f>
        <v>MFG 2</v>
      </c>
      <c r="J98" s="39" t="str">
        <f t="array" ref="J98">_xlfn.XLOOKUP($B98, DB[samplingPoint], DB[waterType])</f>
        <v>PW</v>
      </c>
      <c r="K98" s="43">
        <f t="shared" si="7"/>
        <v>46183</v>
      </c>
      <c r="L98" s="26">
        <v>46186.0</v>
      </c>
      <c r="M98" s="32">
        <v>23.0</v>
      </c>
      <c r="N98" s="32">
        <v>22.0</v>
      </c>
      <c r="O98" s="32">
        <f t="shared" si="2"/>
        <v>23</v>
      </c>
      <c r="P98" s="49" t="s">
        <v>556</v>
      </c>
      <c r="R98" s="32">
        <f t="array" ref="R98">_xlfn.XLOOKUP($B98, DB[samplingPoint], DB[Criteria])</f>
        <v>100</v>
      </c>
      <c r="S98" s="50" t="str">
        <f t="shared" si="3"/>
        <v>PASSED</v>
      </c>
      <c r="T98" s="38" t="b">
        <v>0</v>
      </c>
      <c r="U98" s="39"/>
      <c r="V98" s="32" t="s">
        <v>304</v>
      </c>
    </row>
    <row r="99" ht="22.5" customHeight="1">
      <c r="A99" s="26">
        <v>46182.0</v>
      </c>
      <c r="B99" s="27" t="s">
        <v>557</v>
      </c>
      <c r="C99" s="32" t="str">
        <f t="array" ref="C99">_xlfn.XLOOKUP(B99, DB[samplingPoint], DB[samplingTag])</f>
        <v>SV126.10</v>
      </c>
      <c r="D99" s="33" t="s">
        <v>500</v>
      </c>
      <c r="E99" s="35" t="s">
        <v>46</v>
      </c>
      <c r="F99" s="38" t="b">
        <v>1</v>
      </c>
      <c r="G99" s="39" t="str">
        <f t="array" ref="G99">_xlfn.XLOOKUP($B99, DB[samplingPoint], DB[noLocation])</f>
        <v>16-3-071</v>
      </c>
      <c r="H99" s="33" t="s">
        <v>327</v>
      </c>
      <c r="I99" s="40" t="str">
        <f t="array" ref="I99">_xlfn.XLOOKUP($B99, DB[samplingPoint], DB[location])</f>
        <v>MFG 3 (1200L)</v>
      </c>
      <c r="J99" s="39" t="str">
        <f t="array" ref="J99">_xlfn.XLOOKUP($B99, DB[samplingPoint], DB[waterType])</f>
        <v>PW</v>
      </c>
      <c r="K99" s="43">
        <f t="shared" si="7"/>
        <v>46183</v>
      </c>
      <c r="L99" s="26">
        <v>46186.0</v>
      </c>
      <c r="M99" s="32">
        <v>0.0</v>
      </c>
      <c r="N99" s="32">
        <v>0.0</v>
      </c>
      <c r="O99" s="32">
        <f t="shared" si="2"/>
        <v>0</v>
      </c>
      <c r="P99" s="49"/>
      <c r="Q99" s="49"/>
      <c r="R99" s="32">
        <f t="array" ref="R99">_xlfn.XLOOKUP($B99, DB[samplingPoint], DB[Criteria])</f>
        <v>100</v>
      </c>
      <c r="S99" s="50" t="str">
        <f t="shared" si="3"/>
        <v>PASSED</v>
      </c>
      <c r="T99" s="38" t="b">
        <v>0</v>
      </c>
      <c r="U99" s="39"/>
      <c r="V99" s="32" t="s">
        <v>304</v>
      </c>
    </row>
    <row r="100" ht="22.5" customHeight="1">
      <c r="A100" s="26">
        <v>46182.0</v>
      </c>
      <c r="B100" s="58" t="s">
        <v>561</v>
      </c>
      <c r="C100" s="32" t="str">
        <f t="array" ref="C100">_xlfn.XLOOKUP(B100, DB[samplingPoint], DB[samplingTag])</f>
        <v>SV126.09</v>
      </c>
      <c r="D100" s="33" t="s">
        <v>500</v>
      </c>
      <c r="E100" s="35" t="s">
        <v>46</v>
      </c>
      <c r="F100" s="38" t="b">
        <v>1</v>
      </c>
      <c r="G100" s="39" t="str">
        <f t="array" ref="G100">_xlfn.XLOOKUP($B100, DB[samplingPoint], DB[noLocation])</f>
        <v>16-3-071</v>
      </c>
      <c r="H100" s="33" t="s">
        <v>327</v>
      </c>
      <c r="I100" s="40" t="str">
        <f t="array" ref="I100">_xlfn.XLOOKUP($B100, DB[samplingPoint], DB[location])</f>
        <v>MFG 3 (5000L)</v>
      </c>
      <c r="J100" s="39" t="str">
        <f t="array" ref="J100">_xlfn.XLOOKUP($B100, DB[samplingPoint], DB[waterType])</f>
        <v>PW</v>
      </c>
      <c r="K100" s="43">
        <f t="shared" si="7"/>
        <v>46183</v>
      </c>
      <c r="L100" s="26">
        <v>46186.0</v>
      </c>
      <c r="M100" s="32">
        <v>1.0</v>
      </c>
      <c r="N100" s="32">
        <v>0.0</v>
      </c>
      <c r="O100" s="32">
        <f t="shared" si="2"/>
        <v>1</v>
      </c>
      <c r="P100" s="49"/>
      <c r="Q100" s="49"/>
      <c r="R100" s="32">
        <f t="array" ref="R100">_xlfn.XLOOKUP($B100, DB[samplingPoint], DB[Criteria])</f>
        <v>100</v>
      </c>
      <c r="S100" s="50" t="str">
        <f t="shared" si="3"/>
        <v>PASSED</v>
      </c>
      <c r="T100" s="38" t="b">
        <v>0</v>
      </c>
      <c r="U100" s="39"/>
      <c r="V100" s="32" t="s">
        <v>304</v>
      </c>
    </row>
    <row r="101" ht="22.5" customHeight="1">
      <c r="A101" s="26">
        <v>46182.0</v>
      </c>
      <c r="B101" s="48" t="s">
        <v>563</v>
      </c>
      <c r="C101" s="32" t="str">
        <f t="array" ref="C101">_xlfn.XLOOKUP(B101, DB[samplingPoint], DB[samplingTag])</f>
        <v>DV126.07</v>
      </c>
      <c r="D101" s="33" t="s">
        <v>500</v>
      </c>
      <c r="E101" s="35" t="s">
        <v>46</v>
      </c>
      <c r="F101" s="38" t="b">
        <v>1</v>
      </c>
      <c r="G101" s="39" t="str">
        <f t="array" ref="G101">_xlfn.XLOOKUP($B101, DB[samplingPoint], DB[noLocation])</f>
        <v>16-3-077</v>
      </c>
      <c r="H101" s="33" t="s">
        <v>327</v>
      </c>
      <c r="I101" s="40" t="str">
        <f t="array" ref="I101">_xlfn.XLOOKUP($B101, DB[samplingPoint], DB[location])</f>
        <v>MFG 6</v>
      </c>
      <c r="J101" s="39" t="str">
        <f t="array" ref="J101">_xlfn.XLOOKUP($B101, DB[samplingPoint], DB[waterType])</f>
        <v>PW</v>
      </c>
      <c r="K101" s="43">
        <f t="shared" si="7"/>
        <v>46183</v>
      </c>
      <c r="L101" s="26">
        <v>46186.0</v>
      </c>
      <c r="M101" s="32">
        <v>0.0</v>
      </c>
      <c r="N101" s="32">
        <v>0.0</v>
      </c>
      <c r="O101" s="32">
        <f t="shared" si="2"/>
        <v>0</v>
      </c>
      <c r="P101" s="49"/>
      <c r="Q101" s="49"/>
      <c r="R101" s="32">
        <f t="array" ref="R101">_xlfn.XLOOKUP($B101, DB[samplingPoint], DB[Criteria])</f>
        <v>100</v>
      </c>
      <c r="S101" s="50" t="str">
        <f t="shared" si="3"/>
        <v>PASSED</v>
      </c>
      <c r="T101" s="38" t="b">
        <v>0</v>
      </c>
      <c r="U101" s="39"/>
      <c r="V101" s="32" t="s">
        <v>304</v>
      </c>
    </row>
    <row r="102" ht="22.5" customHeight="1">
      <c r="A102" s="26">
        <v>46182.0</v>
      </c>
      <c r="B102" s="48" t="s">
        <v>566</v>
      </c>
      <c r="C102" s="32" t="str">
        <f t="array" ref="C102">_xlfn.XLOOKUP(B102, DB[samplingPoint], DB[samplingTag])</f>
        <v>DV126.08</v>
      </c>
      <c r="D102" s="33" t="s">
        <v>500</v>
      </c>
      <c r="E102" s="35" t="s">
        <v>46</v>
      </c>
      <c r="F102" s="38" t="b">
        <v>1</v>
      </c>
      <c r="G102" s="39" t="str">
        <f t="array" ref="G102">_xlfn.XLOOKUP($B102, DB[samplingPoint], DB[noLocation])</f>
        <v>16-3-077</v>
      </c>
      <c r="H102" s="33" t="s">
        <v>327</v>
      </c>
      <c r="I102" s="40" t="str">
        <f t="array" ref="I102">_xlfn.XLOOKUP($B102, DB[samplingPoint], DB[location])</f>
        <v>MFG 6</v>
      </c>
      <c r="J102" s="39" t="str">
        <f t="array" ref="J102">_xlfn.XLOOKUP($B102, DB[samplingPoint], DB[waterType])</f>
        <v>PW</v>
      </c>
      <c r="K102" s="43">
        <f t="shared" si="7"/>
        <v>46183</v>
      </c>
      <c r="L102" s="26">
        <v>46186.0</v>
      </c>
      <c r="M102" s="32">
        <v>0.0</v>
      </c>
      <c r="N102" s="32">
        <v>0.0</v>
      </c>
      <c r="O102" s="32">
        <f t="shared" si="2"/>
        <v>0</v>
      </c>
      <c r="P102" s="49"/>
      <c r="Q102" s="49"/>
      <c r="R102" s="32">
        <f t="array" ref="R102">_xlfn.XLOOKUP($B102, DB[samplingPoint], DB[Criteria])</f>
        <v>100</v>
      </c>
      <c r="S102" s="50" t="str">
        <f t="shared" si="3"/>
        <v>PASSED</v>
      </c>
      <c r="T102" s="38" t="b">
        <v>0</v>
      </c>
      <c r="U102" s="39"/>
      <c r="V102" s="32" t="s">
        <v>304</v>
      </c>
    </row>
    <row r="103" ht="22.5" customHeight="1">
      <c r="A103" s="26">
        <v>46182.0</v>
      </c>
      <c r="B103" s="27" t="s">
        <v>435</v>
      </c>
      <c r="C103" s="32" t="str">
        <f t="array" ref="C103">_xlfn.XLOOKUP(B103, DB[samplingPoint], DB[samplingTag])</f>
        <v>SV133.01</v>
      </c>
      <c r="D103" s="33" t="s">
        <v>500</v>
      </c>
      <c r="E103" s="35" t="s">
        <v>65</v>
      </c>
      <c r="F103" s="38" t="b">
        <v>1</v>
      </c>
      <c r="G103" s="39" t="str">
        <f t="array" ref="G103">_xlfn.XLOOKUP($B103, DB[samplingPoint], DB[noLocation])</f>
        <v>WATER SYSTEM (B12)</v>
      </c>
      <c r="H103" s="33" t="s">
        <v>437</v>
      </c>
      <c r="I103" s="40" t="str">
        <f t="array" ref="I103">_xlfn.XLOOKUP($B103, DB[samplingPoint], DB[location])</f>
        <v>After Storage tank (B12)</v>
      </c>
      <c r="J103" s="39" t="str">
        <f t="array" ref="J103">_xlfn.XLOOKUP($B103, DB[samplingPoint], DB[waterType])</f>
        <v>PW</v>
      </c>
      <c r="K103" s="43">
        <f t="shared" si="7"/>
        <v>46183</v>
      </c>
      <c r="L103" s="26">
        <v>46186.0</v>
      </c>
      <c r="M103" s="32">
        <v>0.0</v>
      </c>
      <c r="N103" s="32">
        <v>0.0</v>
      </c>
      <c r="O103" s="32">
        <f t="shared" si="2"/>
        <v>0</v>
      </c>
      <c r="P103" s="49"/>
      <c r="Q103" s="49"/>
      <c r="R103" s="32">
        <f t="array" ref="R103">_xlfn.XLOOKUP($B103, DB[samplingPoint], DB[Criteria])</f>
        <v>100</v>
      </c>
      <c r="S103" s="50" t="str">
        <f t="shared" si="3"/>
        <v>PASSED</v>
      </c>
      <c r="T103" s="38" t="b">
        <v>0</v>
      </c>
      <c r="U103" s="39"/>
      <c r="V103" s="32" t="s">
        <v>304</v>
      </c>
    </row>
    <row r="104" ht="22.5" customHeight="1">
      <c r="A104" s="26">
        <v>46182.0</v>
      </c>
      <c r="B104" s="58" t="s">
        <v>438</v>
      </c>
      <c r="C104" s="32" t="str">
        <f t="array" ref="C104">_xlfn.XLOOKUP(B104, DB[samplingPoint], DB[samplingTag])</f>
        <v>SV135.02</v>
      </c>
      <c r="D104" s="33" t="s">
        <v>500</v>
      </c>
      <c r="E104" s="35" t="s">
        <v>65</v>
      </c>
      <c r="F104" s="38" t="b">
        <v>1</v>
      </c>
      <c r="G104" s="39" t="str">
        <f t="array" ref="G104">_xlfn.XLOOKUP($B104, DB[samplingPoint], DB[noLocation])</f>
        <v>WATER SYSTEM (B12)</v>
      </c>
      <c r="H104" s="33" t="s">
        <v>437</v>
      </c>
      <c r="I104" s="40" t="str">
        <f t="array" ref="I104">_xlfn.XLOOKUP($B104, DB[samplingPoint], DB[location])</f>
        <v>After UV (B12)</v>
      </c>
      <c r="J104" s="39" t="str">
        <f t="array" ref="J104">_xlfn.XLOOKUP($B104, DB[samplingPoint], DB[waterType])</f>
        <v>PW</v>
      </c>
      <c r="K104" s="43">
        <f t="shared" si="7"/>
        <v>46183</v>
      </c>
      <c r="L104" s="26">
        <v>46186.0</v>
      </c>
      <c r="M104" s="32">
        <v>0.0</v>
      </c>
      <c r="N104" s="32">
        <v>0.0</v>
      </c>
      <c r="O104" s="32">
        <f t="shared" si="2"/>
        <v>0</v>
      </c>
      <c r="P104" s="49"/>
      <c r="Q104" s="49"/>
      <c r="R104" s="32">
        <f t="array" ref="R104">_xlfn.XLOOKUP($B104, DB[samplingPoint], DB[Criteria])</f>
        <v>100</v>
      </c>
      <c r="S104" s="50" t="str">
        <f t="shared" si="3"/>
        <v>PASSED</v>
      </c>
      <c r="T104" s="38" t="b">
        <v>0</v>
      </c>
      <c r="U104" s="39"/>
      <c r="V104" s="32" t="s">
        <v>304</v>
      </c>
    </row>
    <row r="105" ht="22.5" customHeight="1">
      <c r="A105" s="26">
        <v>46182.0</v>
      </c>
      <c r="B105" s="27" t="s">
        <v>430</v>
      </c>
      <c r="C105" s="32" t="str">
        <f t="array" ref="C105">_xlfn.XLOOKUP(B105, DB[samplingPoint], DB[samplingTag])</f>
        <v>SV137.01</v>
      </c>
      <c r="D105" s="33" t="s">
        <v>500</v>
      </c>
      <c r="E105" s="35" t="s">
        <v>65</v>
      </c>
      <c r="F105" s="38" t="b">
        <v>1</v>
      </c>
      <c r="G105" s="39" t="str">
        <f t="array" ref="G105">_xlfn.XLOOKUP($B105, DB[samplingPoint], DB[noLocation])</f>
        <v>WATER SYSTEM (B12)</v>
      </c>
      <c r="H105" s="33" t="s">
        <v>437</v>
      </c>
      <c r="I105" s="40" t="str">
        <f t="array" ref="I105">_xlfn.XLOOKUP($B105, DB[samplingPoint], DB[location])</f>
        <v>Return loop (B12)</v>
      </c>
      <c r="J105" s="39" t="str">
        <f t="array" ref="J105">_xlfn.XLOOKUP($B105, DB[samplingPoint], DB[waterType])</f>
        <v>PW</v>
      </c>
      <c r="K105" s="43">
        <f t="shared" si="7"/>
        <v>46183</v>
      </c>
      <c r="L105" s="26">
        <v>46186.0</v>
      </c>
      <c r="M105" s="32">
        <v>0.0</v>
      </c>
      <c r="N105" s="32">
        <v>0.0</v>
      </c>
      <c r="O105" s="32">
        <f t="shared" si="2"/>
        <v>0</v>
      </c>
      <c r="P105" s="49"/>
      <c r="Q105" s="49"/>
      <c r="R105" s="32">
        <f t="array" ref="R105">_xlfn.XLOOKUP($B105, DB[samplingPoint], DB[Criteria])</f>
        <v>100</v>
      </c>
      <c r="S105" s="50" t="str">
        <f t="shared" si="3"/>
        <v>PASSED</v>
      </c>
      <c r="T105" s="38" t="b">
        <v>0</v>
      </c>
      <c r="U105" s="39"/>
      <c r="V105" s="32" t="s">
        <v>304</v>
      </c>
    </row>
    <row r="106" ht="22.5" customHeight="1">
      <c r="A106" s="26">
        <v>46182.0</v>
      </c>
      <c r="B106" s="58" t="s">
        <v>518</v>
      </c>
      <c r="C106" s="32" t="str">
        <f t="array" ref="C106">_xlfn.XLOOKUP(B106, DB[samplingPoint], DB[samplingTag])</f>
        <v>SV136.12</v>
      </c>
      <c r="D106" s="33" t="s">
        <v>500</v>
      </c>
      <c r="E106" s="35" t="s">
        <v>65</v>
      </c>
      <c r="F106" s="38" t="b">
        <v>1</v>
      </c>
      <c r="G106" s="39" t="str">
        <f t="array" ref="G106">_xlfn.XLOOKUP($B106, DB[samplingPoint], DB[noLocation])</f>
        <v>12-2-036</v>
      </c>
      <c r="H106" s="33" t="s">
        <v>437</v>
      </c>
      <c r="I106" s="40" t="str">
        <f t="array" ref="I106">_xlfn.XLOOKUP($B106, DB[samplingPoint], DB[location])</f>
        <v>CIP 1</v>
      </c>
      <c r="J106" s="39" t="str">
        <f t="array" ref="J106">_xlfn.XLOOKUP($B106, DB[samplingPoint], DB[waterType])</f>
        <v>PW</v>
      </c>
      <c r="K106" s="43">
        <f t="shared" si="7"/>
        <v>46183</v>
      </c>
      <c r="L106" s="26">
        <v>46186.0</v>
      </c>
      <c r="M106" s="32">
        <v>0.0</v>
      </c>
      <c r="N106" s="32">
        <v>0.0</v>
      </c>
      <c r="O106" s="32">
        <f t="shared" si="2"/>
        <v>0</v>
      </c>
      <c r="P106" s="49"/>
      <c r="Q106" s="49"/>
      <c r="R106" s="32">
        <f t="array" ref="R106">_xlfn.XLOOKUP($B106, DB[samplingPoint], DB[Criteria])</f>
        <v>100</v>
      </c>
      <c r="S106" s="50" t="str">
        <f t="shared" si="3"/>
        <v>PASSED</v>
      </c>
      <c r="T106" s="38" t="b">
        <v>0</v>
      </c>
      <c r="U106" s="39"/>
      <c r="V106" s="32" t="s">
        <v>304</v>
      </c>
    </row>
    <row r="107" ht="22.5" customHeight="1">
      <c r="A107" s="26">
        <v>46182.0</v>
      </c>
      <c r="B107" s="27" t="s">
        <v>517</v>
      </c>
      <c r="C107" s="32" t="str">
        <f t="array" ref="C107">_xlfn.XLOOKUP(B107, DB[samplingPoint], DB[samplingTag])</f>
        <v>SV136.07</v>
      </c>
      <c r="D107" s="33" t="s">
        <v>500</v>
      </c>
      <c r="E107" s="35" t="s">
        <v>65</v>
      </c>
      <c r="F107" s="38" t="b">
        <v>1</v>
      </c>
      <c r="G107" s="39" t="str">
        <f t="array" ref="G107">_xlfn.XLOOKUP($B107, DB[samplingPoint], DB[noLocation])</f>
        <v>12-2-034</v>
      </c>
      <c r="H107" s="33" t="s">
        <v>437</v>
      </c>
      <c r="I107" s="40" t="str">
        <f t="array" ref="I107">_xlfn.XLOOKUP($B107, DB[samplingPoint], DB[location])</f>
        <v>SYRUP PREPARATION</v>
      </c>
      <c r="J107" s="39" t="str">
        <f t="array" ref="J107">_xlfn.XLOOKUP($B107, DB[samplingPoint], DB[waterType])</f>
        <v>PW</v>
      </c>
      <c r="K107" s="43">
        <f t="shared" si="7"/>
        <v>46183</v>
      </c>
      <c r="L107" s="26">
        <v>46186.0</v>
      </c>
      <c r="M107" s="32">
        <v>0.0</v>
      </c>
      <c r="N107" s="32">
        <v>0.0</v>
      </c>
      <c r="O107" s="32">
        <f t="shared" si="2"/>
        <v>0</v>
      </c>
      <c r="P107" s="49"/>
      <c r="Q107" s="49"/>
      <c r="R107" s="32">
        <f t="array" ref="R107">_xlfn.XLOOKUP($B107, DB[samplingPoint], DB[Criteria])</f>
        <v>100</v>
      </c>
      <c r="S107" s="50" t="str">
        <f t="shared" si="3"/>
        <v>PASSED</v>
      </c>
      <c r="T107" s="38" t="b">
        <v>0</v>
      </c>
      <c r="U107" s="39"/>
      <c r="V107" s="32" t="s">
        <v>304</v>
      </c>
    </row>
    <row r="108" ht="22.5" customHeight="1">
      <c r="A108" s="26">
        <v>46182.0</v>
      </c>
      <c r="B108" s="58" t="s">
        <v>516</v>
      </c>
      <c r="C108" s="32" t="str">
        <f t="array" ref="C108">_xlfn.XLOOKUP(B108, DB[samplingPoint], DB[samplingTag])</f>
        <v>SV136.06</v>
      </c>
      <c r="D108" s="33" t="s">
        <v>500</v>
      </c>
      <c r="E108" s="35" t="s">
        <v>65</v>
      </c>
      <c r="F108" s="38" t="b">
        <v>1</v>
      </c>
      <c r="G108" s="39" t="str">
        <f t="array" ref="G108">_xlfn.XLOOKUP($B108, DB[samplingPoint], DB[noLocation])</f>
        <v>12-2-034</v>
      </c>
      <c r="H108" s="33" t="s">
        <v>437</v>
      </c>
      <c r="I108" s="40" t="str">
        <f t="array" ref="I108">_xlfn.XLOOKUP($B108, DB[samplingPoint], DB[location])</f>
        <v>SYRUP PREPARATION</v>
      </c>
      <c r="J108" s="39" t="str">
        <f t="array" ref="J108">_xlfn.XLOOKUP($B108, DB[samplingPoint], DB[waterType])</f>
        <v>PW</v>
      </c>
      <c r="K108" s="43">
        <f t="shared" si="7"/>
        <v>46183</v>
      </c>
      <c r="L108" s="26">
        <v>46186.0</v>
      </c>
      <c r="M108" s="32">
        <v>0.0</v>
      </c>
      <c r="N108" s="32">
        <v>0.0</v>
      </c>
      <c r="O108" s="32">
        <f t="shared" si="2"/>
        <v>0</v>
      </c>
      <c r="P108" s="49"/>
      <c r="Q108" s="49"/>
      <c r="R108" s="32">
        <f t="array" ref="R108">_xlfn.XLOOKUP($B108, DB[samplingPoint], DB[Criteria])</f>
        <v>100</v>
      </c>
      <c r="S108" s="50" t="str">
        <f t="shared" si="3"/>
        <v>PASSED</v>
      </c>
      <c r="T108" s="38" t="b">
        <v>0</v>
      </c>
      <c r="U108" s="39"/>
      <c r="V108" s="32" t="s">
        <v>304</v>
      </c>
    </row>
    <row r="109" ht="22.5" customHeight="1">
      <c r="A109" s="26">
        <v>46182.0</v>
      </c>
      <c r="B109" s="27" t="s">
        <v>510</v>
      </c>
      <c r="C109" s="32" t="str">
        <f t="array" ref="C109">_xlfn.XLOOKUP(B109, DB[samplingPoint], DB[samplingTag])</f>
        <v>SV136.03</v>
      </c>
      <c r="D109" s="33" t="s">
        <v>500</v>
      </c>
      <c r="E109" s="35" t="s">
        <v>65</v>
      </c>
      <c r="F109" s="38" t="b">
        <v>1</v>
      </c>
      <c r="G109" s="39" t="str">
        <f t="array" ref="G109">_xlfn.XLOOKUP($B109, DB[samplingPoint], DB[noLocation])</f>
        <v>12-2-032</v>
      </c>
      <c r="H109" s="33" t="s">
        <v>437</v>
      </c>
      <c r="I109" s="40" t="str">
        <f t="array" ref="I109">_xlfn.XLOOKUP($B109, DB[samplingPoint], DB[location])</f>
        <v>CAMPHORATED OPIUM TINCTURE</v>
      </c>
      <c r="J109" s="39" t="str">
        <f t="array" ref="J109">_xlfn.XLOOKUP($B109, DB[samplingPoint], DB[waterType])</f>
        <v>PW</v>
      </c>
      <c r="K109" s="43">
        <f t="shared" si="7"/>
        <v>46183</v>
      </c>
      <c r="L109" s="26">
        <v>46186.0</v>
      </c>
      <c r="M109" s="32">
        <v>0.0</v>
      </c>
      <c r="N109" s="32">
        <v>0.0</v>
      </c>
      <c r="O109" s="32">
        <f t="shared" si="2"/>
        <v>0</v>
      </c>
      <c r="P109" s="49"/>
      <c r="Q109" s="49"/>
      <c r="R109" s="32">
        <f t="array" ref="R109">_xlfn.XLOOKUP($B109, DB[samplingPoint], DB[Criteria])</f>
        <v>100</v>
      </c>
      <c r="S109" s="50" t="str">
        <f t="shared" si="3"/>
        <v>PASSED</v>
      </c>
      <c r="T109" s="38" t="b">
        <v>0</v>
      </c>
      <c r="U109" s="39"/>
      <c r="V109" s="32" t="s">
        <v>304</v>
      </c>
    </row>
    <row r="110" ht="22.5" customHeight="1">
      <c r="A110" s="26">
        <v>46182.0</v>
      </c>
      <c r="B110" s="58" t="s">
        <v>514</v>
      </c>
      <c r="C110" s="32" t="str">
        <f t="array" ref="C110">_xlfn.XLOOKUP(B110, DB[samplingPoint], DB[samplingTag])</f>
        <v>SV136.05</v>
      </c>
      <c r="D110" s="33" t="s">
        <v>500</v>
      </c>
      <c r="E110" s="35" t="s">
        <v>65</v>
      </c>
      <c r="F110" s="38" t="b">
        <v>1</v>
      </c>
      <c r="G110" s="39" t="str">
        <f t="array" ref="G110">_xlfn.XLOOKUP($B110, DB[samplingPoint], DB[noLocation])</f>
        <v>12-2-032</v>
      </c>
      <c r="H110" s="33" t="s">
        <v>437</v>
      </c>
      <c r="I110" s="40" t="str">
        <f t="array" ref="I110">_xlfn.XLOOKUP($B110, DB[samplingPoint], DB[location])</f>
        <v>CAMPHORATED OPIUM TINCTURE</v>
      </c>
      <c r="J110" s="39" t="str">
        <f t="array" ref="J110">_xlfn.XLOOKUP($B110, DB[samplingPoint], DB[waterType])</f>
        <v>PW</v>
      </c>
      <c r="K110" s="43">
        <f t="shared" si="7"/>
        <v>46183</v>
      </c>
      <c r="L110" s="26">
        <v>46186.0</v>
      </c>
      <c r="M110" s="32">
        <v>0.0</v>
      </c>
      <c r="N110" s="32">
        <v>0.0</v>
      </c>
      <c r="O110" s="32">
        <f t="shared" si="2"/>
        <v>0</v>
      </c>
      <c r="P110" s="49"/>
      <c r="Q110" s="49"/>
      <c r="R110" s="32">
        <f t="array" ref="R110">_xlfn.XLOOKUP($B110, DB[samplingPoint], DB[Criteria])</f>
        <v>100</v>
      </c>
      <c r="S110" s="50" t="str">
        <f t="shared" si="3"/>
        <v>PASSED</v>
      </c>
      <c r="T110" s="38" t="b">
        <v>0</v>
      </c>
      <c r="U110" s="39"/>
      <c r="V110" s="32" t="s">
        <v>304</v>
      </c>
    </row>
    <row r="111" ht="22.5" customHeight="1">
      <c r="A111" s="26">
        <v>46182.0</v>
      </c>
      <c r="B111" s="27" t="s">
        <v>513</v>
      </c>
      <c r="C111" s="32" t="str">
        <f t="array" ref="C111">_xlfn.XLOOKUP(B111, DB[samplingPoint], DB[samplingTag])</f>
        <v>SV136.04</v>
      </c>
      <c r="D111" s="33" t="s">
        <v>500</v>
      </c>
      <c r="E111" s="35" t="s">
        <v>65</v>
      </c>
      <c r="F111" s="38" t="b">
        <v>1</v>
      </c>
      <c r="G111" s="39" t="str">
        <f t="array" ref="G111">_xlfn.XLOOKUP($B111, DB[samplingPoint], DB[noLocation])</f>
        <v>12-2-030</v>
      </c>
      <c r="H111" s="33" t="s">
        <v>437</v>
      </c>
      <c r="I111" s="40" t="str">
        <f t="array" ref="I111">_xlfn.XLOOKUP($B111, DB[samplingPoint], DB[location])</f>
        <v>OPIUM TINCTURE</v>
      </c>
      <c r="J111" s="39" t="str">
        <f t="array" ref="J111">_xlfn.XLOOKUP($B111, DB[samplingPoint], DB[waterType])</f>
        <v>PW</v>
      </c>
      <c r="K111" s="43">
        <f t="shared" si="7"/>
        <v>46183</v>
      </c>
      <c r="L111" s="26">
        <v>46186.0</v>
      </c>
      <c r="M111" s="32">
        <v>0.0</v>
      </c>
      <c r="N111" s="32">
        <v>0.0</v>
      </c>
      <c r="O111" s="32">
        <f t="shared" si="2"/>
        <v>0</v>
      </c>
      <c r="P111" s="49"/>
      <c r="Q111" s="49"/>
      <c r="R111" s="32">
        <f t="array" ref="R111">_xlfn.XLOOKUP($B111, DB[samplingPoint], DB[Criteria])</f>
        <v>100</v>
      </c>
      <c r="S111" s="50" t="str">
        <f t="shared" si="3"/>
        <v>PASSED</v>
      </c>
      <c r="T111" s="38" t="b">
        <v>0</v>
      </c>
      <c r="U111" s="39"/>
      <c r="V111" s="32" t="s">
        <v>304</v>
      </c>
    </row>
    <row r="112" ht="22.5" customHeight="1">
      <c r="A112" s="26">
        <v>46182.0</v>
      </c>
      <c r="B112" s="58" t="s">
        <v>506</v>
      </c>
      <c r="C112" s="32" t="str">
        <f t="array" ref="C112">_xlfn.XLOOKUP(B112, DB[samplingPoint], DB[samplingTag])</f>
        <v>DV136.02</v>
      </c>
      <c r="D112" s="33" t="s">
        <v>500</v>
      </c>
      <c r="E112" s="35" t="s">
        <v>65</v>
      </c>
      <c r="F112" s="38" t="b">
        <v>1</v>
      </c>
      <c r="G112" s="39" t="str">
        <f t="array" ref="G112">_xlfn.XLOOKUP($B112, DB[samplingPoint], DB[noLocation])</f>
        <v>12-2-028</v>
      </c>
      <c r="H112" s="33" t="s">
        <v>437</v>
      </c>
      <c r="I112" s="40" t="str">
        <f t="array" ref="I112">_xlfn.XLOOKUP($B112, DB[samplingPoint], DB[location])</f>
        <v>ALCOHOL STORAGE</v>
      </c>
      <c r="J112" s="39" t="str">
        <f t="array" ref="J112">_xlfn.XLOOKUP($B112, DB[samplingPoint], DB[waterType])</f>
        <v>PW</v>
      </c>
      <c r="K112" s="43">
        <f t="shared" si="7"/>
        <v>46183</v>
      </c>
      <c r="L112" s="26">
        <v>46186.0</v>
      </c>
      <c r="M112" s="32">
        <v>0.0</v>
      </c>
      <c r="N112" s="32">
        <v>0.0</v>
      </c>
      <c r="O112" s="32">
        <f t="shared" si="2"/>
        <v>0</v>
      </c>
      <c r="P112" s="49"/>
      <c r="Q112" s="49"/>
      <c r="R112" s="32">
        <f t="array" ref="R112">_xlfn.XLOOKUP($B112, DB[samplingPoint], DB[Criteria])</f>
        <v>100</v>
      </c>
      <c r="S112" s="50" t="str">
        <f t="shared" si="3"/>
        <v>PASSED</v>
      </c>
      <c r="T112" s="38" t="b">
        <v>0</v>
      </c>
      <c r="U112" s="39"/>
      <c r="V112" s="32" t="s">
        <v>304</v>
      </c>
    </row>
    <row r="113" ht="22.5" customHeight="1">
      <c r="A113" s="26">
        <v>46182.0</v>
      </c>
      <c r="B113" s="58" t="s">
        <v>508</v>
      </c>
      <c r="C113" s="32" t="str">
        <f t="array" ref="C113">_xlfn.XLOOKUP(B113, DB[samplingPoint], DB[samplingTag])</f>
        <v>DV136.07</v>
      </c>
      <c r="D113" s="33" t="s">
        <v>500</v>
      </c>
      <c r="E113" s="35" t="s">
        <v>65</v>
      </c>
      <c r="F113" s="38" t="b">
        <v>1</v>
      </c>
      <c r="G113" s="39" t="str">
        <f t="array" ref="G113">_xlfn.XLOOKUP($B113, DB[samplingPoint], DB[noLocation])</f>
        <v>12-3-039</v>
      </c>
      <c r="H113" s="33" t="s">
        <v>437</v>
      </c>
      <c r="I113" s="40" t="str">
        <f t="array" ref="I113">_xlfn.XLOOKUP($B113, DB[samplingPoint], DB[location])</f>
        <v>INSTRUMENT 7</v>
      </c>
      <c r="J113" s="39" t="str">
        <f t="array" ref="J113">_xlfn.XLOOKUP($B113, DB[samplingPoint], DB[waterType])</f>
        <v>PW</v>
      </c>
      <c r="K113" s="43">
        <f t="shared" si="7"/>
        <v>46183</v>
      </c>
      <c r="L113" s="26">
        <v>46186.0</v>
      </c>
      <c r="M113" s="32">
        <v>0.0</v>
      </c>
      <c r="N113" s="32">
        <v>0.0</v>
      </c>
      <c r="O113" s="32">
        <f t="shared" si="2"/>
        <v>0</v>
      </c>
      <c r="P113" s="49"/>
      <c r="Q113" s="49"/>
      <c r="R113" s="32">
        <f t="array" ref="R113">_xlfn.XLOOKUP($B113, DB[samplingPoint], DB[Criteria])</f>
        <v>100</v>
      </c>
      <c r="S113" s="50" t="str">
        <f t="shared" si="3"/>
        <v>PASSED</v>
      </c>
      <c r="T113" s="38" t="b">
        <v>0</v>
      </c>
      <c r="U113" s="39"/>
      <c r="V113" s="32" t="s">
        <v>304</v>
      </c>
    </row>
    <row r="114" ht="22.5" customHeight="1">
      <c r="A114" s="26">
        <v>46185.0</v>
      </c>
      <c r="B114" s="58"/>
      <c r="C114" s="32" t="s">
        <v>575</v>
      </c>
      <c r="D114" s="33" t="s">
        <v>500</v>
      </c>
      <c r="E114" s="35"/>
      <c r="F114" s="38" t="b">
        <v>0</v>
      </c>
      <c r="G114" s="39" t="str">
        <f t="array" ref="G114">_xlfn.XLOOKUP($B114, DB[samplingPoint], DB[noLocation])</f>
        <v>#N/A</v>
      </c>
      <c r="H114" s="108"/>
      <c r="I114" s="40" t="str">
        <f t="array" ref="I114">_xlfn.XLOOKUP($B114, DB[samplingPoint], DB[location])</f>
        <v>#N/A</v>
      </c>
      <c r="J114" s="39" t="str">
        <f t="array" ref="J114">_xlfn.XLOOKUP($B114, DB[samplingPoint], DB[waterType])</f>
        <v>#N/A</v>
      </c>
      <c r="K114" s="43">
        <f t="shared" ref="K114:K132" si="8">$A114+0</f>
        <v>46185</v>
      </c>
      <c r="L114" s="26">
        <v>46188.0</v>
      </c>
      <c r="M114" s="32">
        <v>0.0</v>
      </c>
      <c r="N114" s="32">
        <v>0.0</v>
      </c>
      <c r="O114" s="32">
        <f t="shared" si="2"/>
        <v>0</v>
      </c>
      <c r="P114" s="49"/>
      <c r="Q114" s="49"/>
      <c r="R114" s="32" t="str">
        <f t="array" ref="R114">_xlfn.XLOOKUP($B114, DB[samplingPoint], DB[Criteria])</f>
        <v>#N/A</v>
      </c>
      <c r="S114" s="50" t="str">
        <f t="shared" si="3"/>
        <v>NA</v>
      </c>
      <c r="T114" s="38" t="b">
        <v>0</v>
      </c>
      <c r="U114" s="39"/>
      <c r="V114" s="32"/>
    </row>
    <row r="115" ht="22.5" customHeight="1">
      <c r="A115" s="26">
        <v>46185.0</v>
      </c>
      <c r="B115" s="27" t="s">
        <v>380</v>
      </c>
      <c r="C115" s="32" t="str">
        <f t="array" ref="C115">_xlfn.XLOOKUP(B115, DB[samplingPoint], DB[samplingTag])</f>
        <v>SV113.01</v>
      </c>
      <c r="D115" s="33" t="s">
        <v>500</v>
      </c>
      <c r="E115" s="35" t="s">
        <v>108</v>
      </c>
      <c r="F115" s="38" t="b">
        <v>1</v>
      </c>
      <c r="G115" s="39" t="str">
        <f t="array" ref="G115">_xlfn.XLOOKUP($B115, DB[samplingPoint], DB[noLocation])</f>
        <v>WATER SYSTEM (B10)</v>
      </c>
      <c r="H115" s="33" t="s">
        <v>180</v>
      </c>
      <c r="I115" s="40" t="str">
        <f t="array" ref="I115">_xlfn.XLOOKUP($B115, DB[samplingPoint], DB[location])</f>
        <v>After Storage tank (B10)</v>
      </c>
      <c r="J115" s="39" t="str">
        <f t="array" ref="J115">_xlfn.XLOOKUP($B115, DB[samplingPoint], DB[waterType])</f>
        <v>PW</v>
      </c>
      <c r="K115" s="43">
        <f t="shared" si="8"/>
        <v>46185</v>
      </c>
      <c r="L115" s="26">
        <v>46188.0</v>
      </c>
      <c r="M115" s="32">
        <v>0.0</v>
      </c>
      <c r="N115" s="32">
        <v>0.0</v>
      </c>
      <c r="O115" s="32">
        <f t="shared" si="2"/>
        <v>0</v>
      </c>
      <c r="P115" s="49"/>
      <c r="Q115" s="49"/>
      <c r="R115" s="32">
        <f t="array" ref="R115">_xlfn.XLOOKUP($B115, DB[samplingPoint], DB[Criteria])</f>
        <v>100</v>
      </c>
      <c r="S115" s="50" t="str">
        <f t="shared" si="3"/>
        <v>PASSED</v>
      </c>
      <c r="T115" s="38" t="b">
        <v>0</v>
      </c>
      <c r="U115" s="39"/>
      <c r="V115" s="32" t="s">
        <v>304</v>
      </c>
    </row>
    <row r="116" ht="22.5" customHeight="1">
      <c r="A116" s="26">
        <v>46185.0</v>
      </c>
      <c r="B116" s="58" t="s">
        <v>385</v>
      </c>
      <c r="C116" s="32" t="str">
        <f t="array" ref="C116">_xlfn.XLOOKUP(B116, DB[samplingPoint], DB[samplingTag])</f>
        <v>SV115.02</v>
      </c>
      <c r="D116" s="33" t="s">
        <v>500</v>
      </c>
      <c r="E116" s="35" t="s">
        <v>108</v>
      </c>
      <c r="F116" s="38" t="b">
        <v>1</v>
      </c>
      <c r="G116" s="39" t="str">
        <f t="array" ref="G116">_xlfn.XLOOKUP($B116, DB[samplingPoint], DB[noLocation])</f>
        <v>WATER SYSTEM (B10)</v>
      </c>
      <c r="H116" s="33" t="s">
        <v>180</v>
      </c>
      <c r="I116" s="40" t="str">
        <f t="array" ref="I116">_xlfn.XLOOKUP($B116, DB[samplingPoint], DB[location])</f>
        <v>After UV (B10)</v>
      </c>
      <c r="J116" s="39" t="str">
        <f t="array" ref="J116">_xlfn.XLOOKUP($B116, DB[samplingPoint], DB[waterType])</f>
        <v>PW</v>
      </c>
      <c r="K116" s="43">
        <f t="shared" si="8"/>
        <v>46185</v>
      </c>
      <c r="L116" s="26">
        <v>46188.0</v>
      </c>
      <c r="M116" s="32">
        <v>0.0</v>
      </c>
      <c r="N116" s="32">
        <v>0.0</v>
      </c>
      <c r="O116" s="32">
        <f t="shared" si="2"/>
        <v>0</v>
      </c>
      <c r="P116" s="49"/>
      <c r="Q116" s="49"/>
      <c r="R116" s="32">
        <f t="array" ref="R116">_xlfn.XLOOKUP($B116, DB[samplingPoint], DB[Criteria])</f>
        <v>100</v>
      </c>
      <c r="S116" s="50" t="str">
        <f t="shared" si="3"/>
        <v>PASSED</v>
      </c>
      <c r="T116" s="38" t="b">
        <v>0</v>
      </c>
      <c r="U116" s="39"/>
      <c r="V116" s="32" t="s">
        <v>304</v>
      </c>
    </row>
    <row r="117" ht="22.5" customHeight="1">
      <c r="A117" s="26">
        <v>46185.0</v>
      </c>
      <c r="B117" s="27" t="s">
        <v>390</v>
      </c>
      <c r="C117" s="32" t="str">
        <f t="array" ref="C117">_xlfn.XLOOKUP(B117, DB[samplingPoint], DB[samplingTag])</f>
        <v>SV117.01</v>
      </c>
      <c r="D117" s="33" t="s">
        <v>500</v>
      </c>
      <c r="E117" s="35" t="s">
        <v>108</v>
      </c>
      <c r="F117" s="38" t="b">
        <v>1</v>
      </c>
      <c r="G117" s="39" t="str">
        <f t="array" ref="G117">_xlfn.XLOOKUP($B117, DB[samplingPoint], DB[noLocation])</f>
        <v>WATER SYSTEM (B10)</v>
      </c>
      <c r="H117" s="33" t="s">
        <v>180</v>
      </c>
      <c r="I117" s="40" t="str">
        <f t="array" ref="I117">_xlfn.XLOOKUP($B117, DB[samplingPoint], DB[location])</f>
        <v>Return loop (B10)</v>
      </c>
      <c r="J117" s="39" t="str">
        <f t="array" ref="J117">_xlfn.XLOOKUP($B117, DB[samplingPoint], DB[waterType])</f>
        <v>PW</v>
      </c>
      <c r="K117" s="43">
        <f t="shared" si="8"/>
        <v>46185</v>
      </c>
      <c r="L117" s="26">
        <v>46188.0</v>
      </c>
      <c r="M117" s="32">
        <v>0.0</v>
      </c>
      <c r="N117" s="32">
        <v>0.0</v>
      </c>
      <c r="O117" s="32">
        <f t="shared" si="2"/>
        <v>0</v>
      </c>
      <c r="P117" s="49"/>
      <c r="Q117" s="49"/>
      <c r="R117" s="32">
        <f t="array" ref="R117">_xlfn.XLOOKUP($B117, DB[samplingPoint], DB[Criteria])</f>
        <v>100</v>
      </c>
      <c r="S117" s="50" t="str">
        <f t="shared" si="3"/>
        <v>PASSED</v>
      </c>
      <c r="T117" s="38" t="b">
        <v>0</v>
      </c>
      <c r="U117" s="39"/>
      <c r="V117" s="32" t="s">
        <v>304</v>
      </c>
    </row>
    <row r="118" ht="22.5" customHeight="1">
      <c r="A118" s="26">
        <v>46185.0</v>
      </c>
      <c r="B118" s="27" t="s">
        <v>536</v>
      </c>
      <c r="C118" s="32" t="str">
        <f t="array" ref="C118">_xlfn.XLOOKUP(B118, DB[samplingPoint], DB[samplingTag])</f>
        <v>SV116.05</v>
      </c>
      <c r="D118" s="33" t="s">
        <v>500</v>
      </c>
      <c r="E118" s="35" t="s">
        <v>108</v>
      </c>
      <c r="F118" s="38" t="b">
        <v>1</v>
      </c>
      <c r="G118" s="39" t="str">
        <f t="array" ref="G118">_xlfn.XLOOKUP($B118, DB[samplingPoint], DB[noLocation])</f>
        <v>10-3-062</v>
      </c>
      <c r="H118" s="33" t="s">
        <v>180</v>
      </c>
      <c r="I118" s="40" t="str">
        <f t="array" ref="I118">_xlfn.XLOOKUP($B118, DB[samplingPoint], DB[location])</f>
        <v>COATING ROOM-3</v>
      </c>
      <c r="J118" s="39" t="str">
        <f t="array" ref="J118">_xlfn.XLOOKUP($B118, DB[samplingPoint], DB[waterType])</f>
        <v>PW</v>
      </c>
      <c r="K118" s="43">
        <f t="shared" si="8"/>
        <v>46185</v>
      </c>
      <c r="L118" s="26">
        <v>46188.0</v>
      </c>
      <c r="M118" s="32">
        <v>0.0</v>
      </c>
      <c r="N118" s="32">
        <v>0.0</v>
      </c>
      <c r="O118" s="32">
        <f t="shared" si="2"/>
        <v>0</v>
      </c>
      <c r="P118" s="49"/>
      <c r="Q118" s="49"/>
      <c r="R118" s="32">
        <f t="array" ref="R118">_xlfn.XLOOKUP($B118, DB[samplingPoint], DB[Criteria])</f>
        <v>100</v>
      </c>
      <c r="S118" s="50" t="str">
        <f t="shared" si="3"/>
        <v>PASSED</v>
      </c>
      <c r="T118" s="38" t="b">
        <v>0</v>
      </c>
      <c r="U118" s="39"/>
      <c r="V118" s="32" t="s">
        <v>304</v>
      </c>
    </row>
    <row r="119" ht="22.5" customHeight="1">
      <c r="A119" s="26">
        <v>46185.0</v>
      </c>
      <c r="B119" s="58" t="s">
        <v>535</v>
      </c>
      <c r="C119" s="32" t="str">
        <f t="array" ref="C119">_xlfn.XLOOKUP(B119, DB[samplingPoint], DB[samplingTag])</f>
        <v>SV116.04</v>
      </c>
      <c r="D119" s="33" t="s">
        <v>500</v>
      </c>
      <c r="E119" s="35" t="s">
        <v>108</v>
      </c>
      <c r="F119" s="38" t="b">
        <v>1</v>
      </c>
      <c r="G119" s="39" t="str">
        <f t="array" ref="G119">_xlfn.XLOOKUP($B119, DB[samplingPoint], DB[noLocation])</f>
        <v>10-3-061</v>
      </c>
      <c r="H119" s="33" t="s">
        <v>180</v>
      </c>
      <c r="I119" s="40" t="str">
        <f t="array" ref="I119">_xlfn.XLOOKUP($B119, DB[samplingPoint], DB[location])</f>
        <v>COATING ROOM-2</v>
      </c>
      <c r="J119" s="39" t="str">
        <f t="array" ref="J119">_xlfn.XLOOKUP($B119, DB[samplingPoint], DB[waterType])</f>
        <v>PW</v>
      </c>
      <c r="K119" s="43">
        <f t="shared" si="8"/>
        <v>46185</v>
      </c>
      <c r="L119" s="26">
        <v>46188.0</v>
      </c>
      <c r="M119" s="32">
        <v>0.0</v>
      </c>
      <c r="N119" s="32">
        <v>0.0</v>
      </c>
      <c r="O119" s="32">
        <f t="shared" si="2"/>
        <v>0</v>
      </c>
      <c r="P119" s="49"/>
      <c r="Q119" s="49"/>
      <c r="R119" s="32">
        <f t="array" ref="R119">_xlfn.XLOOKUP($B119, DB[samplingPoint], DB[Criteria])</f>
        <v>100</v>
      </c>
      <c r="S119" s="50" t="str">
        <f t="shared" si="3"/>
        <v>PASSED</v>
      </c>
      <c r="T119" s="38" t="b">
        <v>0</v>
      </c>
      <c r="U119" s="39"/>
      <c r="V119" s="32" t="s">
        <v>304</v>
      </c>
    </row>
    <row r="120" ht="22.5" customHeight="1">
      <c r="A120" s="26">
        <v>46185.0</v>
      </c>
      <c r="B120" s="27" t="s">
        <v>529</v>
      </c>
      <c r="C120" s="32" t="str">
        <f t="array" ref="C120">_xlfn.XLOOKUP(B120, DB[samplingPoint], DB[samplingTag])</f>
        <v>DV116.09</v>
      </c>
      <c r="D120" s="33" t="s">
        <v>500</v>
      </c>
      <c r="E120" s="35" t="s">
        <v>108</v>
      </c>
      <c r="F120" s="38" t="b">
        <v>1</v>
      </c>
      <c r="G120" s="39" t="str">
        <f t="array" ref="G120">_xlfn.XLOOKUP($B120, DB[samplingPoint], DB[noLocation])</f>
        <v>10-3-060</v>
      </c>
      <c r="H120" s="33" t="s">
        <v>180</v>
      </c>
      <c r="I120" s="40" t="str">
        <f t="array" ref="I120">_xlfn.XLOOKUP($B120, DB[samplingPoint], DB[location])</f>
        <v>COATING SOLUTION PREP.-2</v>
      </c>
      <c r="J120" s="39" t="str">
        <f t="array" ref="J120">_xlfn.XLOOKUP($B120, DB[samplingPoint], DB[waterType])</f>
        <v>PW</v>
      </c>
      <c r="K120" s="43">
        <f t="shared" si="8"/>
        <v>46185</v>
      </c>
      <c r="L120" s="26">
        <v>46188.0</v>
      </c>
      <c r="M120" s="32">
        <v>0.0</v>
      </c>
      <c r="N120" s="32">
        <v>0.0</v>
      </c>
      <c r="O120" s="32">
        <f t="shared" si="2"/>
        <v>0</v>
      </c>
      <c r="P120" s="49"/>
      <c r="Q120" s="49"/>
      <c r="R120" s="32">
        <f t="array" ref="R120">_xlfn.XLOOKUP($B120, DB[samplingPoint], DB[Criteria])</f>
        <v>100</v>
      </c>
      <c r="S120" s="50" t="str">
        <f t="shared" si="3"/>
        <v>PASSED</v>
      </c>
      <c r="T120" s="38" t="b">
        <v>0</v>
      </c>
      <c r="U120" s="39"/>
      <c r="V120" s="32" t="s">
        <v>304</v>
      </c>
    </row>
    <row r="121" ht="22.5" customHeight="1">
      <c r="A121" s="26">
        <v>46185.0</v>
      </c>
      <c r="B121" s="58" t="s">
        <v>528</v>
      </c>
      <c r="C121" s="32" t="str">
        <f t="array" ref="C121">_xlfn.XLOOKUP(B121, DB[samplingPoint], DB[samplingTag])</f>
        <v>DV116.08</v>
      </c>
      <c r="D121" s="33" t="s">
        <v>500</v>
      </c>
      <c r="E121" s="35" t="s">
        <v>108</v>
      </c>
      <c r="F121" s="38" t="b">
        <v>1</v>
      </c>
      <c r="G121" s="39" t="str">
        <f t="array" ref="G121">_xlfn.XLOOKUP($B121, DB[samplingPoint], DB[noLocation])</f>
        <v>10-3-059</v>
      </c>
      <c r="H121" s="33" t="s">
        <v>180</v>
      </c>
      <c r="I121" s="40" t="str">
        <f t="array" ref="I121">_xlfn.XLOOKUP($B121, DB[samplingPoint], DB[location])</f>
        <v>COATING SOLUTION PREP.-1</v>
      </c>
      <c r="J121" s="39" t="str">
        <f t="array" ref="J121">_xlfn.XLOOKUP($B121, DB[samplingPoint], DB[waterType])</f>
        <v>PW</v>
      </c>
      <c r="K121" s="43">
        <f t="shared" si="8"/>
        <v>46185</v>
      </c>
      <c r="L121" s="26">
        <v>46188.0</v>
      </c>
      <c r="M121" s="32">
        <v>0.0</v>
      </c>
      <c r="N121" s="32">
        <v>0.0</v>
      </c>
      <c r="O121" s="32">
        <f t="shared" si="2"/>
        <v>0</v>
      </c>
      <c r="P121" s="49"/>
      <c r="Q121" s="49"/>
      <c r="R121" s="32">
        <f t="array" ref="R121">_xlfn.XLOOKUP($B121, DB[samplingPoint], DB[Criteria])</f>
        <v>100</v>
      </c>
      <c r="S121" s="50" t="str">
        <f t="shared" si="3"/>
        <v>PASSED</v>
      </c>
      <c r="T121" s="38" t="b">
        <v>0</v>
      </c>
      <c r="U121" s="39"/>
      <c r="V121" s="32" t="s">
        <v>304</v>
      </c>
    </row>
    <row r="122" ht="22.5" customHeight="1">
      <c r="A122" s="26">
        <v>46185.0</v>
      </c>
      <c r="B122" s="27" t="s">
        <v>534</v>
      </c>
      <c r="C122" s="32" t="str">
        <f t="array" ref="C122">_xlfn.XLOOKUP(B122, DB[samplingPoint], DB[samplingTag])</f>
        <v>SV116.03</v>
      </c>
      <c r="D122" s="33" t="s">
        <v>500</v>
      </c>
      <c r="E122" s="35" t="s">
        <v>108</v>
      </c>
      <c r="F122" s="38" t="b">
        <v>1</v>
      </c>
      <c r="G122" s="39" t="str">
        <f t="array" ref="G122">_xlfn.XLOOKUP($B122, DB[samplingPoint], DB[noLocation])</f>
        <v>10-3-058</v>
      </c>
      <c r="H122" s="33" t="s">
        <v>180</v>
      </c>
      <c r="I122" s="40" t="str">
        <f t="array" ref="I122">_xlfn.XLOOKUP($B122, DB[samplingPoint], DB[location])</f>
        <v>COATING ROOM-1</v>
      </c>
      <c r="J122" s="39" t="str">
        <f t="array" ref="J122">_xlfn.XLOOKUP($B122, DB[samplingPoint], DB[waterType])</f>
        <v>PW</v>
      </c>
      <c r="K122" s="43">
        <f t="shared" si="8"/>
        <v>46185</v>
      </c>
      <c r="L122" s="26">
        <v>46188.0</v>
      </c>
      <c r="M122" s="32">
        <v>0.0</v>
      </c>
      <c r="N122" s="32">
        <v>0.0</v>
      </c>
      <c r="O122" s="32">
        <f t="shared" si="2"/>
        <v>0</v>
      </c>
      <c r="P122" s="49"/>
      <c r="Q122" s="49"/>
      <c r="R122" s="32">
        <f t="array" ref="R122">_xlfn.XLOOKUP($B122, DB[samplingPoint], DB[Criteria])</f>
        <v>100</v>
      </c>
      <c r="S122" s="50" t="str">
        <f t="shared" si="3"/>
        <v>PASSED</v>
      </c>
      <c r="T122" s="38" t="b">
        <v>0</v>
      </c>
      <c r="U122" s="39"/>
      <c r="V122" s="32" t="s">
        <v>304</v>
      </c>
    </row>
    <row r="123" ht="22.5" customHeight="1">
      <c r="A123" s="26">
        <v>46185.0</v>
      </c>
      <c r="B123" s="58" t="s">
        <v>541</v>
      </c>
      <c r="C123" s="32" t="str">
        <f t="array" ref="C123">_xlfn.XLOOKUP(B123, DB[samplingPoint], DB[samplingTag])</f>
        <v>SV116.08</v>
      </c>
      <c r="D123" s="33" t="s">
        <v>500</v>
      </c>
      <c r="E123" s="35" t="s">
        <v>108</v>
      </c>
      <c r="F123" s="38" t="b">
        <v>1</v>
      </c>
      <c r="G123" s="39" t="str">
        <f t="array" ref="G123">_xlfn.XLOOKUP($B123, DB[samplingPoint], DB[noLocation])</f>
        <v>10-3-067</v>
      </c>
      <c r="H123" s="33" t="s">
        <v>180</v>
      </c>
      <c r="I123" s="40" t="str">
        <f t="array" ref="I123">_xlfn.XLOOKUP($B123, DB[samplingPoint], DB[location])</f>
        <v>COATING ROOM-6</v>
      </c>
      <c r="J123" s="39" t="str">
        <f t="array" ref="J123">_xlfn.XLOOKUP($B123, DB[samplingPoint], DB[waterType])</f>
        <v>PW</v>
      </c>
      <c r="K123" s="43">
        <f t="shared" si="8"/>
        <v>46185</v>
      </c>
      <c r="L123" s="26">
        <v>46188.0</v>
      </c>
      <c r="M123" s="32">
        <v>0.0</v>
      </c>
      <c r="N123" s="32">
        <v>0.0</v>
      </c>
      <c r="O123" s="32">
        <f t="shared" si="2"/>
        <v>0</v>
      </c>
      <c r="P123" s="49"/>
      <c r="Q123" s="49"/>
      <c r="R123" s="32">
        <f t="array" ref="R123">_xlfn.XLOOKUP($B123, DB[samplingPoint], DB[Criteria])</f>
        <v>100</v>
      </c>
      <c r="S123" s="50" t="str">
        <f t="shared" si="3"/>
        <v>PASSED</v>
      </c>
      <c r="T123" s="38" t="b">
        <v>0</v>
      </c>
      <c r="U123" s="39"/>
      <c r="V123" s="32" t="s">
        <v>304</v>
      </c>
    </row>
    <row r="124" ht="22.5" customHeight="1">
      <c r="A124" s="26">
        <v>46185.0</v>
      </c>
      <c r="B124" s="27" t="s">
        <v>532</v>
      </c>
      <c r="C124" s="32" t="str">
        <f t="array" ref="C124">_xlfn.XLOOKUP(B124, DB[samplingPoint], DB[samplingTag])</f>
        <v>DV116.11</v>
      </c>
      <c r="D124" s="33" t="s">
        <v>500</v>
      </c>
      <c r="E124" s="35" t="s">
        <v>108</v>
      </c>
      <c r="F124" s="38" t="b">
        <v>1</v>
      </c>
      <c r="G124" s="39" t="str">
        <f t="array" ref="G124">_xlfn.XLOOKUP($B124, DB[samplingPoint], DB[noLocation])</f>
        <v>10-3-066</v>
      </c>
      <c r="H124" s="33" t="s">
        <v>180</v>
      </c>
      <c r="I124" s="40" t="str">
        <f t="array" ref="I124">_xlfn.XLOOKUP($B124, DB[samplingPoint], DB[location])</f>
        <v>COATING SOLUTION PREP.-4</v>
      </c>
      <c r="J124" s="39" t="str">
        <f t="array" ref="J124">_xlfn.XLOOKUP($B124, DB[samplingPoint], DB[waterType])</f>
        <v>PW</v>
      </c>
      <c r="K124" s="43">
        <f t="shared" si="8"/>
        <v>46185</v>
      </c>
      <c r="L124" s="26">
        <v>46188.0</v>
      </c>
      <c r="M124" s="32">
        <v>0.0</v>
      </c>
      <c r="N124" s="32">
        <v>0.0</v>
      </c>
      <c r="O124" s="32">
        <f t="shared" si="2"/>
        <v>0</v>
      </c>
      <c r="P124" s="49"/>
      <c r="Q124" s="49"/>
      <c r="R124" s="32">
        <f t="array" ref="R124">_xlfn.XLOOKUP($B124, DB[samplingPoint], DB[Criteria])</f>
        <v>100</v>
      </c>
      <c r="S124" s="50" t="str">
        <f t="shared" si="3"/>
        <v>PASSED</v>
      </c>
      <c r="T124" s="38" t="b">
        <v>0</v>
      </c>
      <c r="U124" s="39"/>
      <c r="V124" s="32" t="s">
        <v>304</v>
      </c>
    </row>
    <row r="125" ht="22.5" customHeight="1">
      <c r="A125" s="26">
        <v>46185.0</v>
      </c>
      <c r="B125" s="58" t="s">
        <v>531</v>
      </c>
      <c r="C125" s="32" t="str">
        <f t="array" ref="C125">_xlfn.XLOOKUP(B125, DB[samplingPoint], DB[samplingTag])</f>
        <v>DV116.10</v>
      </c>
      <c r="D125" s="33" t="s">
        <v>500</v>
      </c>
      <c r="E125" s="35" t="s">
        <v>108</v>
      </c>
      <c r="F125" s="38" t="b">
        <v>1</v>
      </c>
      <c r="G125" s="39" t="str">
        <f t="array" ref="G125">_xlfn.XLOOKUP($B125, DB[samplingPoint], DB[noLocation])</f>
        <v>10-3-065</v>
      </c>
      <c r="H125" s="33" t="s">
        <v>180</v>
      </c>
      <c r="I125" s="40" t="str">
        <f t="array" ref="I125">_xlfn.XLOOKUP($B125, DB[samplingPoint], DB[location])</f>
        <v>COATING SOLUTION PREP.-3</v>
      </c>
      <c r="J125" s="39" t="str">
        <f t="array" ref="J125">_xlfn.XLOOKUP($B125, DB[samplingPoint], DB[waterType])</f>
        <v>PW</v>
      </c>
      <c r="K125" s="43">
        <f t="shared" si="8"/>
        <v>46185</v>
      </c>
      <c r="L125" s="26">
        <v>46188.0</v>
      </c>
      <c r="M125" s="32">
        <v>23.0</v>
      </c>
      <c r="N125" s="32">
        <v>28.0</v>
      </c>
      <c r="O125" s="32">
        <f t="shared" si="2"/>
        <v>26</v>
      </c>
      <c r="P125" s="49" t="s">
        <v>581</v>
      </c>
      <c r="R125" s="32">
        <f t="array" ref="R125">_xlfn.XLOOKUP($B125, DB[samplingPoint], DB[Criteria])</f>
        <v>100</v>
      </c>
      <c r="S125" s="50" t="str">
        <f t="shared" si="3"/>
        <v>PASSED</v>
      </c>
      <c r="T125" s="38" t="b">
        <v>0</v>
      </c>
      <c r="U125" s="39"/>
      <c r="V125" s="32" t="s">
        <v>304</v>
      </c>
    </row>
    <row r="126" ht="22.5" customHeight="1">
      <c r="A126" s="26">
        <v>46185.0</v>
      </c>
      <c r="B126" s="27" t="s">
        <v>539</v>
      </c>
      <c r="C126" s="32" t="str">
        <f t="array" ref="C126">_xlfn.XLOOKUP(B126, DB[samplingPoint], DB[samplingTag])</f>
        <v>SV116.07</v>
      </c>
      <c r="D126" s="33" t="s">
        <v>500</v>
      </c>
      <c r="E126" s="35" t="s">
        <v>108</v>
      </c>
      <c r="F126" s="38" t="b">
        <v>1</v>
      </c>
      <c r="G126" s="39" t="str">
        <f t="array" ref="G126">_xlfn.XLOOKUP($B126, DB[samplingPoint], DB[noLocation])</f>
        <v>10-3-064</v>
      </c>
      <c r="H126" s="33" t="s">
        <v>180</v>
      </c>
      <c r="I126" s="40" t="str">
        <f t="array" ref="I126">_xlfn.XLOOKUP($B126, DB[samplingPoint], DB[location])</f>
        <v>COATING ROOM-5</v>
      </c>
      <c r="J126" s="39" t="str">
        <f t="array" ref="J126">_xlfn.XLOOKUP($B126, DB[samplingPoint], DB[waterType])</f>
        <v>PW</v>
      </c>
      <c r="K126" s="43">
        <f t="shared" si="8"/>
        <v>46185</v>
      </c>
      <c r="L126" s="26">
        <v>46188.0</v>
      </c>
      <c r="M126" s="32">
        <v>0.0</v>
      </c>
      <c r="N126" s="32">
        <v>0.0</v>
      </c>
      <c r="O126" s="32">
        <f t="shared" si="2"/>
        <v>0</v>
      </c>
      <c r="P126" s="49"/>
      <c r="Q126" s="49"/>
      <c r="R126" s="32">
        <f t="array" ref="R126">_xlfn.XLOOKUP($B126, DB[samplingPoint], DB[Criteria])</f>
        <v>100</v>
      </c>
      <c r="S126" s="50" t="str">
        <f t="shared" si="3"/>
        <v>PASSED</v>
      </c>
      <c r="T126" s="38" t="b">
        <v>0</v>
      </c>
      <c r="U126" s="39"/>
      <c r="V126" s="32" t="s">
        <v>304</v>
      </c>
    </row>
    <row r="127" ht="22.5" customHeight="1">
      <c r="A127" s="26">
        <v>46185.0</v>
      </c>
      <c r="B127" s="58" t="s">
        <v>538</v>
      </c>
      <c r="C127" s="32" t="str">
        <f t="array" ref="C127">_xlfn.XLOOKUP(B127, DB[samplingPoint], DB[samplingTag])</f>
        <v>SV116.06</v>
      </c>
      <c r="D127" s="33" t="s">
        <v>500</v>
      </c>
      <c r="E127" s="35" t="s">
        <v>108</v>
      </c>
      <c r="F127" s="38" t="b">
        <v>1</v>
      </c>
      <c r="G127" s="39" t="str">
        <f t="array" ref="G127">_xlfn.XLOOKUP($B127, DB[samplingPoint], DB[noLocation])</f>
        <v>10-3-063</v>
      </c>
      <c r="H127" s="33" t="s">
        <v>180</v>
      </c>
      <c r="I127" s="40" t="str">
        <f t="array" ref="I127">_xlfn.XLOOKUP($B127, DB[samplingPoint], DB[location])</f>
        <v>COATING ROOM-4</v>
      </c>
      <c r="J127" s="39" t="str">
        <f t="array" ref="J127">_xlfn.XLOOKUP($B127, DB[samplingPoint], DB[waterType])</f>
        <v>PW</v>
      </c>
      <c r="K127" s="43">
        <f t="shared" si="8"/>
        <v>46185</v>
      </c>
      <c r="L127" s="26">
        <v>46188.0</v>
      </c>
      <c r="M127" s="32">
        <v>0.0</v>
      </c>
      <c r="N127" s="32">
        <v>0.0</v>
      </c>
      <c r="O127" s="32">
        <f t="shared" si="2"/>
        <v>0</v>
      </c>
      <c r="P127" s="49"/>
      <c r="Q127" s="49"/>
      <c r="R127" s="32">
        <f t="array" ref="R127">_xlfn.XLOOKUP($B127, DB[samplingPoint], DB[Criteria])</f>
        <v>100</v>
      </c>
      <c r="S127" s="50" t="str">
        <f t="shared" si="3"/>
        <v>PASSED</v>
      </c>
      <c r="T127" s="38" t="b">
        <v>0</v>
      </c>
      <c r="U127" s="39"/>
      <c r="V127" s="32" t="s">
        <v>304</v>
      </c>
    </row>
    <row r="128" ht="22.5" customHeight="1">
      <c r="A128" s="26">
        <v>46185.0</v>
      </c>
      <c r="B128" s="27" t="s">
        <v>520</v>
      </c>
      <c r="C128" s="32" t="str">
        <f t="array" ref="C128">_xlfn.XLOOKUP(B128, DB[samplingPoint], DB[samplingTag])</f>
        <v>DV116.03</v>
      </c>
      <c r="D128" s="33" t="s">
        <v>500</v>
      </c>
      <c r="E128" s="35" t="s">
        <v>108</v>
      </c>
      <c r="F128" s="38" t="b">
        <v>1</v>
      </c>
      <c r="G128" s="39" t="str">
        <f t="array" ref="G128">_xlfn.XLOOKUP($B128, DB[samplingPoint], DB[noLocation])</f>
        <v>10-2-034</v>
      </c>
      <c r="H128" s="33" t="s">
        <v>180</v>
      </c>
      <c r="I128" s="40" t="str">
        <f t="array" ref="I128">_xlfn.XLOOKUP($B128, DB[samplingPoint], DB[location])</f>
        <v>SAMPLE PREPARATION</v>
      </c>
      <c r="J128" s="39" t="str">
        <f t="array" ref="J128">_xlfn.XLOOKUP($B128, DB[samplingPoint], DB[waterType])</f>
        <v>PW</v>
      </c>
      <c r="K128" s="43">
        <f t="shared" si="8"/>
        <v>46185</v>
      </c>
      <c r="L128" s="26">
        <v>46188.0</v>
      </c>
      <c r="M128" s="32">
        <v>0.0</v>
      </c>
      <c r="N128" s="32">
        <v>0.0</v>
      </c>
      <c r="O128" s="32">
        <f t="shared" si="2"/>
        <v>0</v>
      </c>
      <c r="P128" s="49"/>
      <c r="Q128" s="49"/>
      <c r="R128" s="32">
        <f t="array" ref="R128">_xlfn.XLOOKUP($B128, DB[samplingPoint], DB[Criteria])</f>
        <v>100</v>
      </c>
      <c r="S128" s="50" t="str">
        <f t="shared" si="3"/>
        <v>PASSED</v>
      </c>
      <c r="T128" s="38" t="b">
        <v>0</v>
      </c>
      <c r="U128" s="39"/>
      <c r="V128" s="32" t="s">
        <v>304</v>
      </c>
    </row>
    <row r="129" ht="22.5" customHeight="1">
      <c r="A129" s="26">
        <v>46185.0</v>
      </c>
      <c r="B129" s="58" t="s">
        <v>526</v>
      </c>
      <c r="C129" s="32" t="str">
        <f t="array" ref="C129">_xlfn.XLOOKUP(B129, DB[samplingPoint], DB[samplingTag])</f>
        <v>DV116.06</v>
      </c>
      <c r="D129" s="33" t="s">
        <v>500</v>
      </c>
      <c r="E129" s="35" t="s">
        <v>108</v>
      </c>
      <c r="F129" s="38" t="b">
        <v>1</v>
      </c>
      <c r="G129" s="39" t="str">
        <f t="array" ref="G129">_xlfn.XLOOKUP($B129, DB[samplingPoint], DB[noLocation])</f>
        <v>10-2-034</v>
      </c>
      <c r="H129" s="33" t="s">
        <v>180</v>
      </c>
      <c r="I129" s="40" t="str">
        <f t="array" ref="I129">_xlfn.XLOOKUP($B129, DB[samplingPoint], DB[location])</f>
        <v>SAMPLE PREPARATION</v>
      </c>
      <c r="J129" s="39" t="str">
        <f t="array" ref="J129">_xlfn.XLOOKUP($B129, DB[samplingPoint], DB[waterType])</f>
        <v>PW</v>
      </c>
      <c r="K129" s="43">
        <f t="shared" si="8"/>
        <v>46185</v>
      </c>
      <c r="L129" s="26">
        <v>46188.0</v>
      </c>
      <c r="M129" s="32">
        <v>0.0</v>
      </c>
      <c r="N129" s="32">
        <v>0.0</v>
      </c>
      <c r="O129" s="32">
        <f t="shared" si="2"/>
        <v>0</v>
      </c>
      <c r="P129" s="49"/>
      <c r="Q129" s="49"/>
      <c r="R129" s="32">
        <f t="array" ref="R129">_xlfn.XLOOKUP($B129, DB[samplingPoint], DB[Criteria])</f>
        <v>100</v>
      </c>
      <c r="S129" s="50" t="str">
        <f t="shared" si="3"/>
        <v>PASSED</v>
      </c>
      <c r="T129" s="38" t="b">
        <v>0</v>
      </c>
      <c r="U129" s="39"/>
      <c r="V129" s="32" t="s">
        <v>304</v>
      </c>
    </row>
    <row r="130" ht="22.5" customHeight="1">
      <c r="A130" s="26">
        <v>46185.0</v>
      </c>
      <c r="B130" s="27" t="s">
        <v>527</v>
      </c>
      <c r="C130" s="32" t="str">
        <f t="array" ref="C130">_xlfn.XLOOKUP(B130, DB[samplingPoint], DB[samplingTag])</f>
        <v>DV116.07</v>
      </c>
      <c r="D130" s="33" t="s">
        <v>500</v>
      </c>
      <c r="E130" s="35" t="s">
        <v>108</v>
      </c>
      <c r="F130" s="38" t="b">
        <v>1</v>
      </c>
      <c r="G130" s="39" t="str">
        <f t="array" ref="G130">_xlfn.XLOOKUP($B130, DB[samplingPoint], DB[noLocation])</f>
        <v>10-2-032</v>
      </c>
      <c r="H130" s="33" t="s">
        <v>180</v>
      </c>
      <c r="I130" s="40" t="str">
        <f t="array" ref="I130">_xlfn.XLOOKUP($B130, DB[samplingPoint], DB[location])</f>
        <v>GLASS-WARE WASHING</v>
      </c>
      <c r="J130" s="39" t="str">
        <f t="array" ref="J130">_xlfn.XLOOKUP($B130, DB[samplingPoint], DB[waterType])</f>
        <v>PW</v>
      </c>
      <c r="K130" s="43">
        <f t="shared" si="8"/>
        <v>46185</v>
      </c>
      <c r="L130" s="26">
        <v>46188.0</v>
      </c>
      <c r="M130" s="32">
        <v>0.0</v>
      </c>
      <c r="N130" s="32">
        <v>0.0</v>
      </c>
      <c r="O130" s="32">
        <f t="shared" si="2"/>
        <v>0</v>
      </c>
      <c r="P130" s="49"/>
      <c r="Q130" s="49"/>
      <c r="R130" s="32">
        <f t="array" ref="R130">_xlfn.XLOOKUP($B130, DB[samplingPoint], DB[Criteria])</f>
        <v>100</v>
      </c>
      <c r="S130" s="50" t="str">
        <f t="shared" si="3"/>
        <v>PASSED</v>
      </c>
      <c r="T130" s="38" t="b">
        <v>0</v>
      </c>
      <c r="U130" s="39"/>
      <c r="V130" s="32" t="s">
        <v>304</v>
      </c>
    </row>
    <row r="131" ht="22.5" customHeight="1">
      <c r="A131" s="26">
        <v>46185.0</v>
      </c>
      <c r="B131" s="58" t="s">
        <v>524</v>
      </c>
      <c r="C131" s="32" t="str">
        <f t="array" ref="C131">_xlfn.XLOOKUP(B131, DB[samplingPoint], DB[samplingTag])</f>
        <v>DV116.05</v>
      </c>
      <c r="D131" s="33" t="s">
        <v>500</v>
      </c>
      <c r="E131" s="35" t="s">
        <v>108</v>
      </c>
      <c r="F131" s="38" t="b">
        <v>1</v>
      </c>
      <c r="G131" s="39" t="str">
        <f t="array" ref="G131">_xlfn.XLOOKUP($B131, DB[samplingPoint], DB[noLocation])</f>
        <v>10-2-032</v>
      </c>
      <c r="H131" s="33" t="s">
        <v>180</v>
      </c>
      <c r="I131" s="40" t="str">
        <f t="array" ref="I131">_xlfn.XLOOKUP($B131, DB[samplingPoint], DB[location])</f>
        <v>GLASS-WARE WASHING</v>
      </c>
      <c r="J131" s="39" t="str">
        <f t="array" ref="J131">_xlfn.XLOOKUP($B131, DB[samplingPoint], DB[waterType])</f>
        <v>PW</v>
      </c>
      <c r="K131" s="43">
        <f t="shared" si="8"/>
        <v>46185</v>
      </c>
      <c r="L131" s="26">
        <v>46188.0</v>
      </c>
      <c r="M131" s="32">
        <v>1.0</v>
      </c>
      <c r="N131" s="32">
        <v>0.0</v>
      </c>
      <c r="O131" s="32">
        <f t="shared" si="2"/>
        <v>1</v>
      </c>
      <c r="P131" s="49"/>
      <c r="Q131" s="49"/>
      <c r="R131" s="32">
        <f t="array" ref="R131">_xlfn.XLOOKUP($B131, DB[samplingPoint], DB[Criteria])</f>
        <v>100</v>
      </c>
      <c r="S131" s="50" t="str">
        <f t="shared" si="3"/>
        <v>PASSED</v>
      </c>
      <c r="T131" s="38" t="b">
        <v>0</v>
      </c>
      <c r="U131" s="39"/>
      <c r="V131" s="32" t="s">
        <v>304</v>
      </c>
    </row>
    <row r="132" ht="22.5" customHeight="1">
      <c r="A132" s="26">
        <v>46185.0</v>
      </c>
      <c r="B132" s="27" t="s">
        <v>522</v>
      </c>
      <c r="C132" s="32" t="str">
        <f t="array" ref="C132">_xlfn.XLOOKUP(B132, DB[samplingPoint], DB[samplingTag])</f>
        <v>DV116.04</v>
      </c>
      <c r="D132" s="33" t="s">
        <v>500</v>
      </c>
      <c r="E132" s="35" t="s">
        <v>108</v>
      </c>
      <c r="F132" s="38" t="b">
        <v>1</v>
      </c>
      <c r="G132" s="39" t="str">
        <f t="array" ref="G132">_xlfn.XLOOKUP($B132, DB[samplingPoint], DB[noLocation])</f>
        <v>10-2-037</v>
      </c>
      <c r="H132" s="33" t="s">
        <v>180</v>
      </c>
      <c r="I132" s="40" t="str">
        <f t="array" ref="I132">_xlfn.XLOOKUP($B132, DB[samplingPoint], DB[location])</f>
        <v>SKID FOR BIN WASHING-1</v>
      </c>
      <c r="J132" s="39" t="str">
        <f t="array" ref="J132">_xlfn.XLOOKUP($B132, DB[samplingPoint], DB[waterType])</f>
        <v>PW</v>
      </c>
      <c r="K132" s="43">
        <f t="shared" si="8"/>
        <v>46185</v>
      </c>
      <c r="L132" s="26">
        <v>46188.0</v>
      </c>
      <c r="M132" s="32">
        <v>0.0</v>
      </c>
      <c r="N132" s="32">
        <v>0.0</v>
      </c>
      <c r="O132" s="32">
        <f t="shared" si="2"/>
        <v>0</v>
      </c>
      <c r="P132" s="49"/>
      <c r="Q132" s="49"/>
      <c r="R132" s="32">
        <f t="array" ref="R132">_xlfn.XLOOKUP($B132, DB[samplingPoint], DB[Criteria])</f>
        <v>100</v>
      </c>
      <c r="S132" s="50" t="str">
        <f t="shared" si="3"/>
        <v>PASSED</v>
      </c>
      <c r="T132" s="38" t="b">
        <v>0</v>
      </c>
      <c r="U132" s="39"/>
      <c r="V132" s="32" t="s">
        <v>304</v>
      </c>
    </row>
    <row r="133" ht="23.25" customHeight="1">
      <c r="A133" s="26">
        <v>46189.0</v>
      </c>
      <c r="B133" s="52" t="s">
        <v>444</v>
      </c>
      <c r="C133" s="32" t="str">
        <f t="array" ref="C133">_xlfn.XLOOKUP(B133, DB[samplingPoint], DB[samplingTag])</f>
        <v>VB-05 (12)</v>
      </c>
      <c r="D133" s="33" t="s">
        <v>364</v>
      </c>
      <c r="E133" s="35" t="s">
        <v>115</v>
      </c>
      <c r="F133" s="38" t="b">
        <v>1</v>
      </c>
      <c r="G133" s="39" t="str">
        <f t="array" ref="G133">_xlfn.XLOOKUP($B133, DB[samplingPoint], DB[noLocation])</f>
        <v>WATER SYSTEM (B12)</v>
      </c>
      <c r="H133" s="33" t="s">
        <v>437</v>
      </c>
      <c r="I133" s="40" t="str">
        <f t="array" ref="I133">_xlfn.XLOOKUP($B133, DB[samplingPoint], DB[location])</f>
        <v>After Chlorine circulation tank</v>
      </c>
      <c r="J133" s="39" t="str">
        <f t="array" ref="J133">_xlfn.XLOOKUP($B133, DB[samplingPoint], DB[waterType])</f>
        <v>PRW</v>
      </c>
      <c r="K133" s="43">
        <f t="shared" ref="K133:K155" si="9">$A133+1</f>
        <v>46190</v>
      </c>
      <c r="L133" s="26">
        <v>46193.0</v>
      </c>
      <c r="M133" s="32">
        <v>0.0</v>
      </c>
      <c r="N133" s="32">
        <v>0.0</v>
      </c>
      <c r="O133" s="32">
        <v>0.0</v>
      </c>
      <c r="P133" s="49"/>
      <c r="Q133" s="49"/>
      <c r="R133" s="32">
        <f t="array" ref="R133">_xlfn.XLOOKUP($B133, DB[samplingPoint], DB[Criteria])</f>
        <v>500</v>
      </c>
      <c r="S133" s="50" t="str">
        <f t="shared" si="3"/>
        <v>PASSED</v>
      </c>
      <c r="T133" s="38" t="b">
        <v>0</v>
      </c>
      <c r="U133" s="39"/>
      <c r="V133" s="32" t="s">
        <v>304</v>
      </c>
    </row>
    <row r="134" ht="22.5" customHeight="1">
      <c r="A134" s="26">
        <v>46189.0</v>
      </c>
      <c r="B134" s="58" t="s">
        <v>442</v>
      </c>
      <c r="C134" s="32" t="str">
        <f t="array" ref="C134">_xlfn.XLOOKUP(B134, DB[samplingPoint], DB[samplingTag])</f>
        <v>V50-61 (12)</v>
      </c>
      <c r="D134" s="33" t="s">
        <v>364</v>
      </c>
      <c r="E134" s="35" t="s">
        <v>115</v>
      </c>
      <c r="F134" s="38" t="b">
        <v>1</v>
      </c>
      <c r="G134" s="39" t="str">
        <f t="array" ref="G134">_xlfn.XLOOKUP($B134, DB[samplingPoint], DB[noLocation])</f>
        <v>WATER SYSTEM (B12)</v>
      </c>
      <c r="H134" s="33" t="s">
        <v>437</v>
      </c>
      <c r="I134" s="40" t="str">
        <f t="array" ref="I134">_xlfn.XLOOKUP($B134, DB[samplingPoint], DB[location])</f>
        <v>After Cartridge filter 5 µm (B12)</v>
      </c>
      <c r="J134" s="39" t="str">
        <f t="array" ref="J134">_xlfn.XLOOKUP($B134, DB[samplingPoint], DB[waterType])</f>
        <v>PRW</v>
      </c>
      <c r="K134" s="43">
        <f t="shared" si="9"/>
        <v>46190</v>
      </c>
      <c r="L134" s="26">
        <v>46193.0</v>
      </c>
      <c r="M134" s="32">
        <v>188.0</v>
      </c>
      <c r="N134" s="32">
        <v>165.0</v>
      </c>
      <c r="O134" s="32">
        <f t="shared" ref="O134:O316" si="10">IFERROR(ROUNDUP(AVERAGE($M134:$N134), 0), "")</f>
        <v>177</v>
      </c>
      <c r="P134" s="49"/>
      <c r="Q134" s="49"/>
      <c r="R134" s="32">
        <f t="array" ref="R134">_xlfn.XLOOKUP($B134, DB[samplingPoint], DB[Criteria])</f>
        <v>500</v>
      </c>
      <c r="S134" s="50" t="str">
        <f t="shared" si="3"/>
        <v>PASSED</v>
      </c>
      <c r="T134" s="38" t="b">
        <v>0</v>
      </c>
      <c r="U134" s="39"/>
      <c r="V134" s="32" t="s">
        <v>304</v>
      </c>
    </row>
    <row r="135" ht="22.5" customHeight="1">
      <c r="A135" s="26">
        <v>46189.0</v>
      </c>
      <c r="B135" s="27" t="s">
        <v>434</v>
      </c>
      <c r="C135" s="32" t="str">
        <f t="array" ref="C135">_xlfn.XLOOKUP(B135, DB[samplingPoint], DB[samplingTag])</f>
        <v>V50-11C (12)</v>
      </c>
      <c r="D135" s="33" t="s">
        <v>364</v>
      </c>
      <c r="E135" s="35" t="s">
        <v>115</v>
      </c>
      <c r="F135" s="38" t="b">
        <v>1</v>
      </c>
      <c r="G135" s="39" t="str">
        <f t="array" ref="G135">_xlfn.XLOOKUP($B135, DB[samplingPoint], DB[noLocation])</f>
        <v>WATER SYSTEM (B12)</v>
      </c>
      <c r="H135" s="33" t="s">
        <v>437</v>
      </c>
      <c r="I135" s="40" t="str">
        <f t="array" ref="I135">_xlfn.XLOOKUP($B135, DB[samplingPoint], DB[location])</f>
        <v>After RO (Before EDI) (B12)</v>
      </c>
      <c r="J135" s="39" t="str">
        <f t="array" ref="J135">_xlfn.XLOOKUP($B135, DB[samplingPoint], DB[waterType])</f>
        <v>RO water</v>
      </c>
      <c r="K135" s="43">
        <f t="shared" si="9"/>
        <v>46190</v>
      </c>
      <c r="L135" s="26">
        <v>46193.0</v>
      </c>
      <c r="M135" s="32">
        <v>0.0</v>
      </c>
      <c r="N135" s="32">
        <v>0.0</v>
      </c>
      <c r="O135" s="32">
        <f t="shared" si="10"/>
        <v>0</v>
      </c>
      <c r="P135" s="49"/>
      <c r="Q135" s="49"/>
      <c r="R135" s="32">
        <f t="array" ref="R135">_xlfn.XLOOKUP($B135, DB[samplingPoint], DB[Criteria])</f>
        <v>500</v>
      </c>
      <c r="S135" s="50" t="str">
        <f t="shared" si="3"/>
        <v>PASSED</v>
      </c>
      <c r="T135" s="38" t="b">
        <v>0</v>
      </c>
      <c r="U135" s="39"/>
      <c r="V135" s="32" t="s">
        <v>304</v>
      </c>
    </row>
    <row r="136" ht="22.5" customHeight="1">
      <c r="A136" s="26">
        <v>46189.0</v>
      </c>
      <c r="B136" s="58" t="s">
        <v>440</v>
      </c>
      <c r="C136" s="32" t="str">
        <f t="array" ref="C136">_xlfn.XLOOKUP(B136, DB[samplingPoint], DB[samplingTag])</f>
        <v>V50-39 (12)</v>
      </c>
      <c r="D136" s="33" t="s">
        <v>364</v>
      </c>
      <c r="E136" s="35" t="s">
        <v>115</v>
      </c>
      <c r="F136" s="38" t="b">
        <v>1</v>
      </c>
      <c r="G136" s="39" t="str">
        <f t="array" ref="G136">_xlfn.XLOOKUP($B136, DB[samplingPoint], DB[noLocation])</f>
        <v>WATER SYSTEM (B12)</v>
      </c>
      <c r="H136" s="33" t="s">
        <v>437</v>
      </c>
      <c r="I136" s="40" t="str">
        <f t="array" ref="I136">_xlfn.XLOOKUP($B136, DB[samplingPoint], DB[location])</f>
        <v>After EDI (B12)</v>
      </c>
      <c r="J136" s="39" t="str">
        <f t="array" ref="J136">_xlfn.XLOOKUP($B136, DB[samplingPoint], DB[waterType])</f>
        <v>PW</v>
      </c>
      <c r="K136" s="43">
        <f t="shared" si="9"/>
        <v>46190</v>
      </c>
      <c r="L136" s="26">
        <v>46193.0</v>
      </c>
      <c r="M136" s="32">
        <v>0.0</v>
      </c>
      <c r="N136" s="32">
        <v>0.0</v>
      </c>
      <c r="O136" s="32">
        <f t="shared" si="10"/>
        <v>0</v>
      </c>
      <c r="P136" s="49"/>
      <c r="Q136" s="49"/>
      <c r="R136" s="32">
        <f t="array" ref="R136">_xlfn.XLOOKUP($B136, DB[samplingPoint], DB[Criteria])</f>
        <v>100</v>
      </c>
      <c r="S136" s="50" t="str">
        <f t="shared" si="3"/>
        <v>PASSED</v>
      </c>
      <c r="T136" s="38" t="b">
        <v>0</v>
      </c>
      <c r="U136" s="39"/>
      <c r="V136" s="32" t="s">
        <v>304</v>
      </c>
    </row>
    <row r="137" ht="22.5" customHeight="1">
      <c r="A137" s="26">
        <v>46189.0</v>
      </c>
      <c r="B137" s="27" t="s">
        <v>430</v>
      </c>
      <c r="C137" s="32" t="str">
        <f t="array" ref="C137">_xlfn.XLOOKUP(B137, DB[samplingPoint], DB[samplingTag])</f>
        <v>SV137.01</v>
      </c>
      <c r="D137" s="33" t="s">
        <v>364</v>
      </c>
      <c r="E137" s="35" t="s">
        <v>115</v>
      </c>
      <c r="F137" s="38" t="b">
        <v>1</v>
      </c>
      <c r="G137" s="39" t="str">
        <f t="array" ref="G137">_xlfn.XLOOKUP($B137, DB[samplingPoint], DB[noLocation])</f>
        <v>WATER SYSTEM (B12)</v>
      </c>
      <c r="H137" s="33" t="s">
        <v>437</v>
      </c>
      <c r="I137" s="40" t="str">
        <f t="array" ref="I137">_xlfn.XLOOKUP($B137, DB[samplingPoint], DB[location])</f>
        <v>Return loop (B12)</v>
      </c>
      <c r="J137" s="39" t="str">
        <f t="array" ref="J137">_xlfn.XLOOKUP($B137, DB[samplingPoint], DB[waterType])</f>
        <v>PW</v>
      </c>
      <c r="K137" s="43">
        <f t="shared" si="9"/>
        <v>46190</v>
      </c>
      <c r="L137" s="26">
        <v>46193.0</v>
      </c>
      <c r="M137" s="32">
        <v>0.0</v>
      </c>
      <c r="N137" s="32">
        <v>0.0</v>
      </c>
      <c r="O137" s="32">
        <f t="shared" si="10"/>
        <v>0</v>
      </c>
      <c r="P137" s="49"/>
      <c r="Q137" s="49"/>
      <c r="R137" s="32">
        <f t="array" ref="R137">_xlfn.XLOOKUP($B137, DB[samplingPoint], DB[Criteria])</f>
        <v>100</v>
      </c>
      <c r="S137" s="50" t="str">
        <f t="shared" si="3"/>
        <v>PASSED</v>
      </c>
      <c r="T137" s="38" t="b">
        <v>0</v>
      </c>
      <c r="U137" s="39"/>
      <c r="V137" s="32" t="s">
        <v>304</v>
      </c>
    </row>
    <row r="138" ht="22.5" customHeight="1">
      <c r="A138" s="26">
        <v>46189.0</v>
      </c>
      <c r="B138" s="58" t="s">
        <v>548</v>
      </c>
      <c r="C138" s="32" t="str">
        <f t="array" ref="C138">_xlfn.XLOOKUP(B138, DB[samplingPoint], DB[samplingTag])</f>
        <v>DV136.17</v>
      </c>
      <c r="D138" s="33" t="s">
        <v>364</v>
      </c>
      <c r="E138" s="35" t="s">
        <v>115</v>
      </c>
      <c r="F138" s="38" t="b">
        <v>1</v>
      </c>
      <c r="G138" s="39" t="str">
        <f t="array" ref="G138">_xlfn.XLOOKUP($B138, DB[samplingPoint], DB[noLocation])</f>
        <v>12-2-065</v>
      </c>
      <c r="H138" s="33" t="s">
        <v>437</v>
      </c>
      <c r="I138" s="40" t="str">
        <f t="array" ref="I138">_xlfn.XLOOKUP($B138, DB[samplingPoint], DB[location])</f>
        <v>WASHING</v>
      </c>
      <c r="J138" s="39" t="str">
        <f t="array" ref="J138">_xlfn.XLOOKUP($B138, DB[samplingPoint], DB[waterType])</f>
        <v>PW</v>
      </c>
      <c r="K138" s="43">
        <f t="shared" si="9"/>
        <v>46190</v>
      </c>
      <c r="L138" s="26">
        <v>46193.0</v>
      </c>
      <c r="M138" s="32">
        <v>0.0</v>
      </c>
      <c r="N138" s="32">
        <v>0.0</v>
      </c>
      <c r="O138" s="32">
        <f t="shared" si="10"/>
        <v>0</v>
      </c>
      <c r="P138" s="49"/>
      <c r="Q138" s="49"/>
      <c r="R138" s="32">
        <f t="array" ref="R138">_xlfn.XLOOKUP($B138, DB[samplingPoint], DB[Criteria])</f>
        <v>100</v>
      </c>
      <c r="S138" s="50" t="str">
        <f t="shared" si="3"/>
        <v>PASSED</v>
      </c>
      <c r="T138" s="38" t="b">
        <v>0</v>
      </c>
      <c r="U138" s="39"/>
      <c r="V138" s="32" t="s">
        <v>304</v>
      </c>
    </row>
    <row r="139" ht="22.5" customHeight="1">
      <c r="A139" s="26">
        <v>46189.0</v>
      </c>
      <c r="B139" s="27" t="s">
        <v>551</v>
      </c>
      <c r="C139" s="32" t="str">
        <f t="array" ref="C139">_xlfn.XLOOKUP(B139, DB[samplingPoint], DB[samplingTag])</f>
        <v>SV136.16</v>
      </c>
      <c r="D139" s="33" t="s">
        <v>364</v>
      </c>
      <c r="E139" s="35" t="s">
        <v>115</v>
      </c>
      <c r="F139" s="38" t="b">
        <v>1</v>
      </c>
      <c r="G139" s="39" t="str">
        <f t="array" ref="G139">_xlfn.XLOOKUP($B139, DB[samplingPoint], DB[noLocation])</f>
        <v>12-2-057</v>
      </c>
      <c r="H139" s="33" t="s">
        <v>437</v>
      </c>
      <c r="I139" s="40" t="str">
        <f t="array" ref="I139">_xlfn.XLOOKUP($B139, DB[samplingPoint], DB[location])</f>
        <v>CIP 2</v>
      </c>
      <c r="J139" s="39" t="str">
        <f t="array" ref="J139">_xlfn.XLOOKUP($B139, DB[samplingPoint], DB[waterType])</f>
        <v>PW</v>
      </c>
      <c r="K139" s="43">
        <f t="shared" si="9"/>
        <v>46190</v>
      </c>
      <c r="L139" s="26">
        <v>46193.0</v>
      </c>
      <c r="M139" s="32">
        <v>0.0</v>
      </c>
      <c r="N139" s="32">
        <v>0.0</v>
      </c>
      <c r="O139" s="32">
        <f t="shared" si="10"/>
        <v>0</v>
      </c>
      <c r="P139" s="49"/>
      <c r="Q139" s="49"/>
      <c r="R139" s="32">
        <f t="array" ref="R139">_xlfn.XLOOKUP($B139, DB[samplingPoint], DB[Criteria])</f>
        <v>100</v>
      </c>
      <c r="S139" s="50" t="str">
        <f t="shared" si="3"/>
        <v>PASSED</v>
      </c>
      <c r="T139" s="38" t="b">
        <v>0</v>
      </c>
      <c r="U139" s="39"/>
      <c r="V139" s="32" t="s">
        <v>304</v>
      </c>
    </row>
    <row r="140" ht="22.5" customHeight="1">
      <c r="A140" s="26">
        <v>46189.0</v>
      </c>
      <c r="B140" s="27" t="s">
        <v>549</v>
      </c>
      <c r="C140" s="32" t="str">
        <f t="array" ref="C140">_xlfn.XLOOKUP(B140, DB[samplingPoint], DB[samplingTag])</f>
        <v>SV136.15</v>
      </c>
      <c r="D140" s="33" t="s">
        <v>364</v>
      </c>
      <c r="E140" s="35" t="s">
        <v>115</v>
      </c>
      <c r="F140" s="38" t="b">
        <v>1</v>
      </c>
      <c r="G140" s="39" t="str">
        <f t="array" ref="G140">_xlfn.XLOOKUP($B140, DB[samplingPoint], DB[noLocation])</f>
        <v>12-2-055</v>
      </c>
      <c r="H140" s="33" t="s">
        <v>437</v>
      </c>
      <c r="I140" s="40" t="str">
        <f t="array" ref="I140">_xlfn.XLOOKUP($B140, DB[samplingPoint], DB[location])</f>
        <v>CIP 3</v>
      </c>
      <c r="J140" s="39" t="str">
        <f t="array" ref="J140">_xlfn.XLOOKUP($B140, DB[samplingPoint], DB[waterType])</f>
        <v>PW</v>
      </c>
      <c r="K140" s="43">
        <f t="shared" si="9"/>
        <v>46190</v>
      </c>
      <c r="L140" s="26">
        <v>46193.0</v>
      </c>
      <c r="M140" s="32">
        <v>0.0</v>
      </c>
      <c r="N140" s="32">
        <v>0.0</v>
      </c>
      <c r="O140" s="32">
        <f t="shared" si="10"/>
        <v>0</v>
      </c>
      <c r="P140" s="49"/>
      <c r="Q140" s="49"/>
      <c r="R140" s="32">
        <f t="array" ref="R140">_xlfn.XLOOKUP($B140, DB[samplingPoint], DB[Criteria])</f>
        <v>100</v>
      </c>
      <c r="S140" s="50" t="str">
        <f t="shared" si="3"/>
        <v>PASSED</v>
      </c>
      <c r="T140" s="38" t="b">
        <v>0</v>
      </c>
      <c r="U140" s="39"/>
      <c r="V140" s="32" t="s">
        <v>304</v>
      </c>
    </row>
    <row r="141" ht="22.5" customHeight="1">
      <c r="A141" s="26">
        <v>46189.0</v>
      </c>
      <c r="B141" s="58" t="s">
        <v>545</v>
      </c>
      <c r="C141" s="32" t="str">
        <f t="array" ref="C141">_xlfn.XLOOKUP(B141, DB[samplingPoint], DB[samplingTag])</f>
        <v>DV136.03</v>
      </c>
      <c r="D141" s="33" t="s">
        <v>364</v>
      </c>
      <c r="E141" s="35" t="s">
        <v>115</v>
      </c>
      <c r="F141" s="38" t="b">
        <v>1</v>
      </c>
      <c r="G141" s="39" t="str">
        <f t="array" ref="G141">_xlfn.XLOOKUP($B141, DB[samplingPoint], DB[noLocation])</f>
        <v>12-2-053</v>
      </c>
      <c r="H141" s="33" t="s">
        <v>437</v>
      </c>
      <c r="I141" s="40" t="str">
        <f t="array" ref="I141">_xlfn.XLOOKUP($B141, DB[samplingPoint], DB[location])</f>
        <v>IPQC</v>
      </c>
      <c r="J141" s="39" t="str">
        <f t="array" ref="J141">_xlfn.XLOOKUP($B141, DB[samplingPoint], DB[waterType])</f>
        <v>PW</v>
      </c>
      <c r="K141" s="43">
        <f t="shared" si="9"/>
        <v>46190</v>
      </c>
      <c r="L141" s="26">
        <v>46193.0</v>
      </c>
      <c r="M141" s="32">
        <v>0.0</v>
      </c>
      <c r="N141" s="32">
        <v>0.0</v>
      </c>
      <c r="O141" s="32">
        <f t="shared" si="10"/>
        <v>0</v>
      </c>
      <c r="P141" s="49"/>
      <c r="Q141" s="49"/>
      <c r="R141" s="32">
        <f t="array" ref="R141">_xlfn.XLOOKUP($B141, DB[samplingPoint], DB[Criteria])</f>
        <v>100</v>
      </c>
      <c r="S141" s="50" t="str">
        <f t="shared" si="3"/>
        <v>PASSED</v>
      </c>
      <c r="T141" s="38" t="b">
        <v>0</v>
      </c>
      <c r="U141" s="39"/>
      <c r="V141" s="32" t="s">
        <v>304</v>
      </c>
    </row>
    <row r="142" ht="22.5" customHeight="1">
      <c r="A142" s="26">
        <v>46189.0</v>
      </c>
      <c r="B142" s="58" t="s">
        <v>543</v>
      </c>
      <c r="C142" s="32" t="str">
        <f t="array" ref="C142">_xlfn.XLOOKUP(B142, DB[samplingPoint], DB[samplingTag])</f>
        <v>DV136.01</v>
      </c>
      <c r="D142" s="33" t="s">
        <v>364</v>
      </c>
      <c r="E142" s="35" t="s">
        <v>115</v>
      </c>
      <c r="F142" s="38" t="b">
        <v>1</v>
      </c>
      <c r="G142" s="39" t="str">
        <f t="array" ref="G142">_xlfn.XLOOKUP($B142, DB[samplingPoint], DB[noLocation])</f>
        <v>12-1-035</v>
      </c>
      <c r="H142" s="33" t="s">
        <v>437</v>
      </c>
      <c r="I142" s="40" t="str">
        <f t="array" ref="I142">_xlfn.XLOOKUP($B142, DB[samplingPoint], DB[location])</f>
        <v>SUGAR TRANSFERRING</v>
      </c>
      <c r="J142" s="39" t="str">
        <f t="array" ref="J142">_xlfn.XLOOKUP($B142, DB[samplingPoint], DB[waterType])</f>
        <v>PW</v>
      </c>
      <c r="K142" s="43">
        <f t="shared" si="9"/>
        <v>46190</v>
      </c>
      <c r="L142" s="26">
        <v>46193.0</v>
      </c>
      <c r="M142" s="32">
        <v>0.0</v>
      </c>
      <c r="N142" s="32">
        <v>0.0</v>
      </c>
      <c r="O142" s="32">
        <f t="shared" si="10"/>
        <v>0</v>
      </c>
      <c r="P142" s="49"/>
      <c r="Q142" s="49"/>
      <c r="R142" s="32">
        <f t="array" ref="R142">_xlfn.XLOOKUP($B142, DB[samplingPoint], DB[Criteria])</f>
        <v>100</v>
      </c>
      <c r="S142" s="50" t="str">
        <f t="shared" si="3"/>
        <v>PASSED</v>
      </c>
      <c r="T142" s="38" t="b">
        <v>0</v>
      </c>
      <c r="U142" s="39"/>
      <c r="V142" s="32" t="s">
        <v>304</v>
      </c>
    </row>
    <row r="143" ht="22.5" customHeight="1">
      <c r="A143" s="26">
        <v>46189.0</v>
      </c>
      <c r="B143" s="27" t="s">
        <v>547</v>
      </c>
      <c r="C143" s="32" t="str">
        <f t="array" ref="C143">_xlfn.XLOOKUP(B143, DB[samplingPoint], DB[samplingTag])</f>
        <v>DV136.16</v>
      </c>
      <c r="D143" s="33" t="s">
        <v>364</v>
      </c>
      <c r="E143" s="35" t="s">
        <v>115</v>
      </c>
      <c r="F143" s="38" t="b">
        <v>1</v>
      </c>
      <c r="G143" s="39" t="str">
        <f t="array" ref="G143">_xlfn.XLOOKUP($B143, DB[samplingPoint], DB[noLocation])</f>
        <v>12-1-064</v>
      </c>
      <c r="H143" s="33" t="s">
        <v>437</v>
      </c>
      <c r="I143" s="40" t="str">
        <f t="array" ref="I143">_xlfn.XLOOKUP($B143, DB[samplingPoint], DB[location])</f>
        <v>WASHING</v>
      </c>
      <c r="J143" s="39" t="str">
        <f t="array" ref="J143">_xlfn.XLOOKUP($B143, DB[samplingPoint], DB[waterType])</f>
        <v>PW</v>
      </c>
      <c r="K143" s="43">
        <f t="shared" si="9"/>
        <v>46190</v>
      </c>
      <c r="L143" s="26">
        <v>46193.0</v>
      </c>
      <c r="M143" s="32">
        <v>0.0</v>
      </c>
      <c r="N143" s="32">
        <v>0.0</v>
      </c>
      <c r="O143" s="32">
        <f t="shared" si="10"/>
        <v>0</v>
      </c>
      <c r="P143" s="49"/>
      <c r="Q143" s="49"/>
      <c r="R143" s="32">
        <f t="array" ref="R143">_xlfn.XLOOKUP($B143, DB[samplingPoint], DB[Criteria])</f>
        <v>100</v>
      </c>
      <c r="S143" s="50" t="str">
        <f t="shared" si="3"/>
        <v>PASSED</v>
      </c>
      <c r="T143" s="38" t="b">
        <v>0</v>
      </c>
      <c r="U143" s="39"/>
      <c r="V143" s="32" t="s">
        <v>304</v>
      </c>
    </row>
    <row r="144" ht="22.5" customHeight="1">
      <c r="A144" s="26">
        <v>46189.0</v>
      </c>
      <c r="B144" s="27" t="s">
        <v>546</v>
      </c>
      <c r="C144" s="32" t="str">
        <f t="array" ref="C144">_xlfn.XLOOKUP(B144, DB[samplingPoint], DB[samplingTag])</f>
        <v>DV136.04</v>
      </c>
      <c r="D144" s="33" t="s">
        <v>364</v>
      </c>
      <c r="E144" s="35" t="s">
        <v>115</v>
      </c>
      <c r="F144" s="38" t="b">
        <v>1</v>
      </c>
      <c r="G144" s="39" t="str">
        <f t="array" ref="G144">_xlfn.XLOOKUP($B144, DB[samplingPoint], DB[noLocation])</f>
        <v>12-2-077</v>
      </c>
      <c r="H144" s="33" t="s">
        <v>437</v>
      </c>
      <c r="I144" s="40" t="str">
        <f t="array" ref="I144">_xlfn.XLOOKUP($B144, DB[samplingPoint], DB[location])</f>
        <v>WATER SYSTEM ROOM</v>
      </c>
      <c r="J144" s="39" t="str">
        <f t="array" ref="J144">_xlfn.XLOOKUP($B144, DB[samplingPoint], DB[waterType])</f>
        <v>PW</v>
      </c>
      <c r="K144" s="43">
        <f t="shared" si="9"/>
        <v>46190</v>
      </c>
      <c r="L144" s="26">
        <v>46193.0</v>
      </c>
      <c r="M144" s="32">
        <v>0.0</v>
      </c>
      <c r="N144" s="32">
        <v>0.0</v>
      </c>
      <c r="O144" s="32">
        <f t="shared" si="10"/>
        <v>0</v>
      </c>
      <c r="P144" s="49"/>
      <c r="Q144" s="49"/>
      <c r="R144" s="32">
        <f t="array" ref="R144">_xlfn.XLOOKUP($B144, DB[samplingPoint], DB[Criteria])</f>
        <v>100</v>
      </c>
      <c r="S144" s="50" t="str">
        <f t="shared" si="3"/>
        <v>PASSED</v>
      </c>
      <c r="T144" s="38" t="b">
        <v>0</v>
      </c>
      <c r="U144" s="39"/>
      <c r="V144" s="32" t="s">
        <v>304</v>
      </c>
    </row>
    <row r="145" ht="22.5" customHeight="1">
      <c r="A145" s="26">
        <v>46189.0</v>
      </c>
      <c r="B145" s="52" t="s">
        <v>471</v>
      </c>
      <c r="C145" s="32" t="str">
        <f t="array" ref="C145">_xlfn.XLOOKUP(B145, DB[samplingPoint], DB[samplingTag])</f>
        <v>VB-05 (16)</v>
      </c>
      <c r="D145" s="33" t="s">
        <v>364</v>
      </c>
      <c r="E145" s="35" t="s">
        <v>118</v>
      </c>
      <c r="F145" s="38" t="b">
        <v>1</v>
      </c>
      <c r="G145" s="39" t="str">
        <f t="array" ref="G145">_xlfn.XLOOKUP($B145, DB[samplingPoint], DB[noLocation])</f>
        <v>WATER SYSTEM (B16)</v>
      </c>
      <c r="H145" s="33" t="s">
        <v>327</v>
      </c>
      <c r="I145" s="40" t="str">
        <f t="array" ref="I145">_xlfn.XLOOKUP($B145, DB[samplingPoint], DB[location])</f>
        <v>After Chlorine circulation tank (B16)</v>
      </c>
      <c r="J145" s="39" t="str">
        <f t="array" ref="J145">_xlfn.XLOOKUP($B145, DB[samplingPoint], DB[waterType])</f>
        <v>PRW</v>
      </c>
      <c r="K145" s="43">
        <f t="shared" si="9"/>
        <v>46190</v>
      </c>
      <c r="L145" s="26">
        <v>46193.0</v>
      </c>
      <c r="M145" s="32">
        <v>0.0</v>
      </c>
      <c r="N145" s="32">
        <v>0.0</v>
      </c>
      <c r="O145" s="32">
        <f t="shared" si="10"/>
        <v>0</v>
      </c>
      <c r="P145" s="49"/>
      <c r="Q145" s="49"/>
      <c r="R145" s="32">
        <f t="array" ref="R145">_xlfn.XLOOKUP($B145, DB[samplingPoint], DB[Criteria])</f>
        <v>500</v>
      </c>
      <c r="S145" s="50" t="str">
        <f t="shared" si="3"/>
        <v>PASSED</v>
      </c>
      <c r="T145" s="38" t="b">
        <v>0</v>
      </c>
      <c r="U145" s="39"/>
      <c r="V145" s="32" t="s">
        <v>304</v>
      </c>
    </row>
    <row r="146" ht="22.5" customHeight="1">
      <c r="A146" s="26">
        <v>46189.0</v>
      </c>
      <c r="B146" s="27" t="s">
        <v>470</v>
      </c>
      <c r="C146" s="32" t="str">
        <f t="array" ref="C146">_xlfn.XLOOKUP(B146, DB[samplingPoint], DB[samplingTag])</f>
        <v>V50-61 (16)</v>
      </c>
      <c r="D146" s="33" t="s">
        <v>364</v>
      </c>
      <c r="E146" s="35" t="s">
        <v>118</v>
      </c>
      <c r="F146" s="38" t="b">
        <v>1</v>
      </c>
      <c r="G146" s="39" t="str">
        <f t="array" ref="G146">_xlfn.XLOOKUP($B146, DB[samplingPoint], DB[noLocation])</f>
        <v>WATER SYSTEM (B16)</v>
      </c>
      <c r="H146" s="33" t="s">
        <v>327</v>
      </c>
      <c r="I146" s="40" t="str">
        <f t="array" ref="I146">_xlfn.XLOOKUP($B146, DB[samplingPoint], DB[location])</f>
        <v>After Cartridge filter 5 µm (B16)</v>
      </c>
      <c r="J146" s="39" t="str">
        <f t="array" ref="J146">_xlfn.XLOOKUP($B146, DB[samplingPoint], DB[waterType])</f>
        <v>PRW</v>
      </c>
      <c r="K146" s="43">
        <f t="shared" si="9"/>
        <v>46190</v>
      </c>
      <c r="L146" s="26">
        <v>46193.0</v>
      </c>
      <c r="M146" s="32">
        <v>0.0</v>
      </c>
      <c r="N146" s="32">
        <v>0.0</v>
      </c>
      <c r="O146" s="32">
        <f t="shared" si="10"/>
        <v>0</v>
      </c>
      <c r="P146" s="49"/>
      <c r="Q146" s="49"/>
      <c r="R146" s="32">
        <f t="array" ref="R146">_xlfn.XLOOKUP($B146, DB[samplingPoint], DB[Criteria])</f>
        <v>500</v>
      </c>
      <c r="S146" s="50" t="str">
        <f t="shared" si="3"/>
        <v>PASSED</v>
      </c>
      <c r="T146" s="38" t="b">
        <v>0</v>
      </c>
      <c r="U146" s="39"/>
      <c r="V146" s="32" t="s">
        <v>304</v>
      </c>
    </row>
    <row r="147" ht="22.5" customHeight="1">
      <c r="A147" s="26">
        <v>46189.0</v>
      </c>
      <c r="B147" s="58" t="s">
        <v>466</v>
      </c>
      <c r="C147" s="32" t="str">
        <f t="array" ref="C147">_xlfn.XLOOKUP(B147, DB[samplingPoint], DB[samplingTag])</f>
        <v>V50-11C (16)</v>
      </c>
      <c r="D147" s="33" t="s">
        <v>364</v>
      </c>
      <c r="E147" s="35" t="s">
        <v>118</v>
      </c>
      <c r="F147" s="38" t="b">
        <v>1</v>
      </c>
      <c r="G147" s="39" t="str">
        <f t="array" ref="G147">_xlfn.XLOOKUP($B147, DB[samplingPoint], DB[noLocation])</f>
        <v>WATER SYSTEM (B16)</v>
      </c>
      <c r="H147" s="33" t="s">
        <v>327</v>
      </c>
      <c r="I147" s="40" t="str">
        <f t="array" ref="I147">_xlfn.XLOOKUP($B147, DB[samplingPoint], DB[location])</f>
        <v>After RO (Before EDI) (B16)</v>
      </c>
      <c r="J147" s="39" t="str">
        <f t="array" ref="J147">_xlfn.XLOOKUP($B147, DB[samplingPoint], DB[waterType])</f>
        <v>RO water</v>
      </c>
      <c r="K147" s="43">
        <f t="shared" si="9"/>
        <v>46190</v>
      </c>
      <c r="L147" s="26">
        <v>46193.0</v>
      </c>
      <c r="M147" s="32">
        <v>0.0</v>
      </c>
      <c r="N147" s="32">
        <v>0.0</v>
      </c>
      <c r="O147" s="32">
        <f t="shared" si="10"/>
        <v>0</v>
      </c>
      <c r="P147" s="49"/>
      <c r="Q147" s="49"/>
      <c r="R147" s="32">
        <f t="array" ref="R147">_xlfn.XLOOKUP($B147, DB[samplingPoint], DB[Criteria])</f>
        <v>500</v>
      </c>
      <c r="S147" s="50" t="str">
        <f t="shared" si="3"/>
        <v>PASSED</v>
      </c>
      <c r="T147" s="38" t="b">
        <v>0</v>
      </c>
      <c r="U147" s="39"/>
      <c r="V147" s="32" t="s">
        <v>304</v>
      </c>
    </row>
    <row r="148" ht="22.5" customHeight="1">
      <c r="A148" s="26">
        <v>46189.0</v>
      </c>
      <c r="B148" s="27" t="s">
        <v>468</v>
      </c>
      <c r="C148" s="32" t="str">
        <f t="array" ref="C148">_xlfn.XLOOKUP(B148, DB[samplingPoint], DB[samplingTag])</f>
        <v>V50-39 (16)</v>
      </c>
      <c r="D148" s="33" t="s">
        <v>364</v>
      </c>
      <c r="E148" s="35" t="s">
        <v>118</v>
      </c>
      <c r="F148" s="38" t="b">
        <v>1</v>
      </c>
      <c r="G148" s="39" t="str">
        <f t="array" ref="G148">_xlfn.XLOOKUP($B148, DB[samplingPoint], DB[noLocation])</f>
        <v>WATER SYSTEM (B16)</v>
      </c>
      <c r="H148" s="33" t="s">
        <v>327</v>
      </c>
      <c r="I148" s="40" t="str">
        <f t="array" ref="I148">_xlfn.XLOOKUP($B148, DB[samplingPoint], DB[location])</f>
        <v>After EDI (B16)</v>
      </c>
      <c r="J148" s="39" t="str">
        <f t="array" ref="J148">_xlfn.XLOOKUP($B148, DB[samplingPoint], DB[waterType])</f>
        <v>PW</v>
      </c>
      <c r="K148" s="43">
        <f t="shared" si="9"/>
        <v>46190</v>
      </c>
      <c r="L148" s="26">
        <v>46193.0</v>
      </c>
      <c r="M148" s="32">
        <v>0.0</v>
      </c>
      <c r="N148" s="32">
        <v>0.0</v>
      </c>
      <c r="O148" s="32">
        <f t="shared" si="10"/>
        <v>0</v>
      </c>
      <c r="P148" s="49"/>
      <c r="Q148" s="49"/>
      <c r="R148" s="32">
        <f t="array" ref="R148">_xlfn.XLOOKUP($B148, DB[samplingPoint], DB[Criteria])</f>
        <v>100</v>
      </c>
      <c r="S148" s="50" t="str">
        <f t="shared" si="3"/>
        <v>PASSED</v>
      </c>
      <c r="T148" s="38" t="b">
        <v>0</v>
      </c>
      <c r="U148" s="39"/>
      <c r="V148" s="32" t="s">
        <v>304</v>
      </c>
    </row>
    <row r="149" ht="22.5" customHeight="1">
      <c r="A149" s="26">
        <v>46189.0</v>
      </c>
      <c r="B149" s="58" t="s">
        <v>464</v>
      </c>
      <c r="C149" s="32" t="str">
        <f t="array" ref="C149">_xlfn.XLOOKUP(B149, DB[samplingPoint], DB[samplingTag])</f>
        <v>SV127.01</v>
      </c>
      <c r="D149" s="33" t="s">
        <v>364</v>
      </c>
      <c r="E149" s="35" t="s">
        <v>118</v>
      </c>
      <c r="F149" s="38" t="b">
        <v>1</v>
      </c>
      <c r="G149" s="39" t="str">
        <f t="array" ref="G149">_xlfn.XLOOKUP($B149, DB[samplingPoint], DB[noLocation])</f>
        <v>WATER SYSTEM (B16)</v>
      </c>
      <c r="H149" s="33" t="s">
        <v>327</v>
      </c>
      <c r="I149" s="40" t="str">
        <f t="array" ref="I149">_xlfn.XLOOKUP($B149, DB[samplingPoint], DB[location])</f>
        <v>Return loop (B16)</v>
      </c>
      <c r="J149" s="39" t="str">
        <f t="array" ref="J149">_xlfn.XLOOKUP($B149, DB[samplingPoint], DB[waterType])</f>
        <v>PW</v>
      </c>
      <c r="K149" s="43">
        <f t="shared" si="9"/>
        <v>46190</v>
      </c>
      <c r="L149" s="26">
        <v>46193.0</v>
      </c>
      <c r="M149" s="32">
        <v>0.0</v>
      </c>
      <c r="N149" s="32">
        <v>0.0</v>
      </c>
      <c r="O149" s="32">
        <f t="shared" si="10"/>
        <v>0</v>
      </c>
      <c r="P149" s="49"/>
      <c r="Q149" s="49"/>
      <c r="R149" s="32">
        <f t="array" ref="R149">_xlfn.XLOOKUP($B149, DB[samplingPoint], DB[Criteria])</f>
        <v>100</v>
      </c>
      <c r="S149" s="50" t="str">
        <f t="shared" si="3"/>
        <v>PASSED</v>
      </c>
      <c r="T149" s="38" t="b">
        <v>0</v>
      </c>
      <c r="U149" s="39"/>
      <c r="V149" s="32" t="s">
        <v>304</v>
      </c>
    </row>
    <row r="150" ht="22.5" customHeight="1">
      <c r="A150" s="26">
        <v>46189.0</v>
      </c>
      <c r="B150" s="58" t="s">
        <v>567</v>
      </c>
      <c r="C150" s="32" t="str">
        <f t="array" ref="C150">_xlfn.XLOOKUP(B150, DB[samplingPoint], DB[samplingTag])</f>
        <v>SV126.06</v>
      </c>
      <c r="D150" s="33" t="s">
        <v>364</v>
      </c>
      <c r="E150" s="35" t="s">
        <v>118</v>
      </c>
      <c r="F150" s="38" t="b">
        <v>1</v>
      </c>
      <c r="G150" s="39" t="str">
        <f t="array" ref="G150">_xlfn.XLOOKUP($B150, DB[samplingPoint], DB[noLocation])</f>
        <v>16-3-067</v>
      </c>
      <c r="H150" s="33" t="s">
        <v>327</v>
      </c>
      <c r="I150" s="40" t="str">
        <f t="array" ref="I150">_xlfn.XLOOKUP($B150, DB[samplingPoint], DB[location])</f>
        <v>MFG 1</v>
      </c>
      <c r="J150" s="39" t="str">
        <f t="array" ref="J150">_xlfn.XLOOKUP($B150, DB[samplingPoint], DB[waterType])</f>
        <v>PW</v>
      </c>
      <c r="K150" s="43">
        <f t="shared" si="9"/>
        <v>46190</v>
      </c>
      <c r="L150" s="26">
        <v>46193.0</v>
      </c>
      <c r="M150" s="32">
        <v>0.0</v>
      </c>
      <c r="N150" s="32">
        <v>0.0</v>
      </c>
      <c r="O150" s="32">
        <f t="shared" si="10"/>
        <v>0</v>
      </c>
      <c r="P150" s="49"/>
      <c r="Q150" s="49"/>
      <c r="R150" s="32">
        <f t="array" ref="R150">_xlfn.XLOOKUP($B150, DB[samplingPoint], DB[Criteria])</f>
        <v>100</v>
      </c>
      <c r="S150" s="50" t="str">
        <f t="shared" si="3"/>
        <v>PASSED</v>
      </c>
      <c r="T150" s="38" t="b">
        <v>0</v>
      </c>
      <c r="U150" s="39"/>
      <c r="V150" s="32" t="s">
        <v>304</v>
      </c>
    </row>
    <row r="151" ht="22.5" customHeight="1">
      <c r="A151" s="26">
        <v>46189.0</v>
      </c>
      <c r="B151" s="27" t="s">
        <v>569</v>
      </c>
      <c r="C151" s="32" t="str">
        <f t="array" ref="C151">_xlfn.XLOOKUP(B151, DB[samplingPoint], DB[samplingTag])</f>
        <v>SV126.21</v>
      </c>
      <c r="D151" s="33" t="s">
        <v>364</v>
      </c>
      <c r="E151" s="35" t="s">
        <v>118</v>
      </c>
      <c r="F151" s="38" t="b">
        <v>1</v>
      </c>
      <c r="G151" s="39" t="str">
        <f t="array" ref="G151">_xlfn.XLOOKUP($B151, DB[samplingPoint], DB[noLocation])</f>
        <v>16-3-090</v>
      </c>
      <c r="H151" s="33" t="s">
        <v>327</v>
      </c>
      <c r="I151" s="40" t="str">
        <f t="array" ref="I151">_xlfn.XLOOKUP($B151, DB[samplingPoint], DB[location])</f>
        <v>CIP 1 (EQUIPMENT REQUIREMENT)</v>
      </c>
      <c r="J151" s="39" t="str">
        <f t="array" ref="J151">_xlfn.XLOOKUP($B151, DB[samplingPoint], DB[waterType])</f>
        <v>PW</v>
      </c>
      <c r="K151" s="43">
        <f t="shared" si="9"/>
        <v>46190</v>
      </c>
      <c r="L151" s="26">
        <v>46193.0</v>
      </c>
      <c r="M151" s="32">
        <v>0.0</v>
      </c>
      <c r="N151" s="32">
        <v>0.0</v>
      </c>
      <c r="O151" s="32">
        <f t="shared" si="10"/>
        <v>0</v>
      </c>
      <c r="P151" s="49"/>
      <c r="Q151" s="49"/>
      <c r="R151" s="32">
        <f t="array" ref="R151">_xlfn.XLOOKUP($B151, DB[samplingPoint], DB[Criteria])</f>
        <v>100</v>
      </c>
      <c r="S151" s="50" t="str">
        <f t="shared" si="3"/>
        <v>PASSED</v>
      </c>
      <c r="T151" s="38" t="b">
        <v>0</v>
      </c>
      <c r="U151" s="39"/>
      <c r="V151" s="32" t="s">
        <v>304</v>
      </c>
    </row>
    <row r="152" ht="22.5" customHeight="1">
      <c r="A152" s="26">
        <v>46189.0</v>
      </c>
      <c r="B152" s="58" t="s">
        <v>562</v>
      </c>
      <c r="C152" s="32" t="str">
        <f t="array" ref="C152">_xlfn.XLOOKUP(B152, DB[samplingPoint], DB[samplingTag])</f>
        <v>DV126.09</v>
      </c>
      <c r="D152" s="33" t="s">
        <v>364</v>
      </c>
      <c r="E152" s="35" t="s">
        <v>118</v>
      </c>
      <c r="F152" s="38" t="b">
        <v>1</v>
      </c>
      <c r="G152" s="39" t="str">
        <f t="array" ref="G152">_xlfn.XLOOKUP($B152, DB[samplingPoint], DB[noLocation])</f>
        <v>16-3-090</v>
      </c>
      <c r="H152" s="33" t="s">
        <v>327</v>
      </c>
      <c r="I152" s="40" t="str">
        <f t="array" ref="I152">_xlfn.XLOOKUP($B152, DB[samplingPoint], DB[location])</f>
        <v>CIP 1 (ZINK WASHING)</v>
      </c>
      <c r="J152" s="39" t="str">
        <f t="array" ref="J152">_xlfn.XLOOKUP($B152, DB[samplingPoint], DB[waterType])</f>
        <v>PW</v>
      </c>
      <c r="K152" s="43">
        <f t="shared" si="9"/>
        <v>46190</v>
      </c>
      <c r="L152" s="26">
        <v>46193.0</v>
      </c>
      <c r="M152" s="32">
        <v>0.0</v>
      </c>
      <c r="N152" s="32">
        <v>0.0</v>
      </c>
      <c r="O152" s="32">
        <f t="shared" si="10"/>
        <v>0</v>
      </c>
      <c r="P152" s="49"/>
      <c r="Q152" s="49"/>
      <c r="R152" s="32">
        <f t="array" ref="R152">_xlfn.XLOOKUP($B152, DB[samplingPoint], DB[Criteria])</f>
        <v>100</v>
      </c>
      <c r="S152" s="50" t="str">
        <f t="shared" si="3"/>
        <v>PASSED</v>
      </c>
      <c r="T152" s="38" t="b">
        <v>0</v>
      </c>
      <c r="U152" s="39"/>
      <c r="V152" s="32" t="s">
        <v>304</v>
      </c>
    </row>
    <row r="153" ht="22.5" customHeight="1">
      <c r="A153" s="26">
        <v>46189.0</v>
      </c>
      <c r="B153" s="58" t="s">
        <v>568</v>
      </c>
      <c r="C153" s="32" t="str">
        <f t="array" ref="C153">_xlfn.XLOOKUP(B153, DB[samplingPoint], DB[samplingTag])</f>
        <v>SV126.18</v>
      </c>
      <c r="D153" s="33" t="s">
        <v>364</v>
      </c>
      <c r="E153" s="35" t="s">
        <v>118</v>
      </c>
      <c r="F153" s="38" t="b">
        <v>1</v>
      </c>
      <c r="G153" s="39" t="str">
        <f t="array" ref="G153">_xlfn.XLOOKUP($B153, DB[samplingPoint], DB[noLocation])</f>
        <v>16-3-085</v>
      </c>
      <c r="H153" s="33" t="s">
        <v>327</v>
      </c>
      <c r="I153" s="40" t="str">
        <f t="array" ref="I153">_xlfn.XLOOKUP($B153, DB[samplingPoint], DB[location])</f>
        <v>CIP 3 (EQUIPMENT REQUIREMENT)</v>
      </c>
      <c r="J153" s="39" t="str">
        <f t="array" ref="J153">_xlfn.XLOOKUP($B153, DB[samplingPoint], DB[waterType])</f>
        <v>PW</v>
      </c>
      <c r="K153" s="43">
        <f t="shared" si="9"/>
        <v>46190</v>
      </c>
      <c r="L153" s="26">
        <v>46193.0</v>
      </c>
      <c r="M153" s="32">
        <v>0.0</v>
      </c>
      <c r="N153" s="32">
        <v>0.0</v>
      </c>
      <c r="O153" s="32">
        <f t="shared" si="10"/>
        <v>0</v>
      </c>
      <c r="P153" s="49"/>
      <c r="Q153" s="49"/>
      <c r="R153" s="32">
        <f t="array" ref="R153">_xlfn.XLOOKUP($B153, DB[samplingPoint], DB[Criteria])</f>
        <v>100</v>
      </c>
      <c r="S153" s="50" t="str">
        <f t="shared" si="3"/>
        <v>PASSED</v>
      </c>
      <c r="T153" s="38" t="b">
        <v>0</v>
      </c>
      <c r="U153" s="39"/>
      <c r="V153" s="32" t="s">
        <v>304</v>
      </c>
    </row>
    <row r="154" ht="22.5" customHeight="1">
      <c r="A154" s="26">
        <v>46189.0</v>
      </c>
      <c r="B154" s="58" t="s">
        <v>564</v>
      </c>
      <c r="C154" s="32" t="str">
        <f t="array" ref="C154">_xlfn.XLOOKUP(B154, DB[samplingPoint], DB[samplingTag])</f>
        <v>SV126.05</v>
      </c>
      <c r="D154" s="33" t="s">
        <v>364</v>
      </c>
      <c r="E154" s="35" t="s">
        <v>118</v>
      </c>
      <c r="F154" s="38" t="b">
        <v>1</v>
      </c>
      <c r="G154" s="39" t="str">
        <f t="array" ref="G154">_xlfn.XLOOKUP($B154, DB[samplingPoint], DB[noLocation])</f>
        <v>16-3-049</v>
      </c>
      <c r="H154" s="33" t="s">
        <v>327</v>
      </c>
      <c r="I154" s="40" t="str">
        <f t="array" ref="I154">_xlfn.XLOOKUP($B154, DB[samplingPoint], DB[location])</f>
        <v>LINEN WASHING</v>
      </c>
      <c r="J154" s="39" t="str">
        <f t="array" ref="J154">_xlfn.XLOOKUP($B154, DB[samplingPoint], DB[waterType])</f>
        <v>PW</v>
      </c>
      <c r="K154" s="43">
        <f t="shared" si="9"/>
        <v>46190</v>
      </c>
      <c r="L154" s="26">
        <v>46193.0</v>
      </c>
      <c r="M154" s="32">
        <v>0.0</v>
      </c>
      <c r="N154" s="32">
        <v>0.0</v>
      </c>
      <c r="O154" s="32">
        <f t="shared" si="10"/>
        <v>0</v>
      </c>
      <c r="P154" s="49"/>
      <c r="Q154" s="49"/>
      <c r="R154" s="32">
        <f t="array" ref="R154">_xlfn.XLOOKUP($B154, DB[samplingPoint], DB[Criteria])</f>
        <v>100</v>
      </c>
      <c r="S154" s="50" t="str">
        <f t="shared" si="3"/>
        <v>PASSED</v>
      </c>
      <c r="T154" s="38" t="b">
        <v>0</v>
      </c>
      <c r="U154" s="39"/>
      <c r="V154" s="32" t="s">
        <v>304</v>
      </c>
    </row>
    <row r="155" ht="22.5" customHeight="1">
      <c r="A155" s="26">
        <v>46189.0</v>
      </c>
      <c r="B155" s="58" t="s">
        <v>558</v>
      </c>
      <c r="C155" s="32" t="str">
        <f t="array" ref="C155">_xlfn.XLOOKUP(B155, DB[samplingPoint], DB[samplingTag])</f>
        <v>DV126.04</v>
      </c>
      <c r="D155" s="33" t="s">
        <v>364</v>
      </c>
      <c r="E155" s="35" t="s">
        <v>118</v>
      </c>
      <c r="F155" s="38" t="b">
        <v>1</v>
      </c>
      <c r="G155" s="39" t="str">
        <f t="array" ref="G155">_xlfn.XLOOKUP($B155, DB[samplingPoint], DB[noLocation])</f>
        <v>16-2-010</v>
      </c>
      <c r="H155" s="33" t="s">
        <v>327</v>
      </c>
      <c r="I155" s="40" t="str">
        <f t="array" ref="I155">_xlfn.XLOOKUP($B155, DB[samplingPoint], DB[location])</f>
        <v>WATER SYSTEM (PW)</v>
      </c>
      <c r="J155" s="39" t="str">
        <f t="array" ref="J155">_xlfn.XLOOKUP($B155, DB[samplingPoint], DB[waterType])</f>
        <v>PW</v>
      </c>
      <c r="K155" s="43">
        <f t="shared" si="9"/>
        <v>46190</v>
      </c>
      <c r="L155" s="26">
        <v>46193.0</v>
      </c>
      <c r="M155" s="32">
        <v>0.0</v>
      </c>
      <c r="N155" s="32">
        <v>0.0</v>
      </c>
      <c r="O155" s="32">
        <f t="shared" si="10"/>
        <v>0</v>
      </c>
      <c r="P155" s="49"/>
      <c r="Q155" s="49"/>
      <c r="R155" s="32">
        <f t="array" ref="R155">_xlfn.XLOOKUP($B155, DB[samplingPoint], DB[Criteria])</f>
        <v>100</v>
      </c>
      <c r="S155" s="50" t="str">
        <f t="shared" si="3"/>
        <v>PASSED</v>
      </c>
      <c r="T155" s="38" t="b">
        <v>0</v>
      </c>
      <c r="U155" s="39"/>
      <c r="V155" s="32" t="s">
        <v>304</v>
      </c>
    </row>
    <row r="156" ht="22.5" customHeight="1">
      <c r="A156" s="26">
        <v>46192.0</v>
      </c>
      <c r="B156" s="113" t="s">
        <v>349</v>
      </c>
      <c r="C156" s="32" t="str">
        <f t="array" ref="C156">_xlfn.XLOOKUP(B156, DB[samplingPoint], DB[samplingTag])</f>
        <v>VB-05(10)</v>
      </c>
      <c r="D156" s="33" t="s">
        <v>364</v>
      </c>
      <c r="E156" s="35" t="s">
        <v>126</v>
      </c>
      <c r="F156" s="38" t="b">
        <v>1</v>
      </c>
      <c r="G156" s="39" t="str">
        <f t="array" ref="G156">_xlfn.XLOOKUP($B156, DB[samplingPoint], DB[noLocation])</f>
        <v>WATER SYSTEM (B10)</v>
      </c>
      <c r="H156" s="33" t="s">
        <v>180</v>
      </c>
      <c r="I156" s="40" t="str">
        <f t="array" ref="I156">_xlfn.XLOOKUP($B156, DB[samplingPoint], DB[location])</f>
        <v>After Chlorine circulation tank (B10)</v>
      </c>
      <c r="J156" s="39" t="str">
        <f t="array" ref="J156">_xlfn.XLOOKUP($B156, DB[samplingPoint], DB[waterType])</f>
        <v>PRW</v>
      </c>
      <c r="K156" s="43">
        <f t="shared" ref="K156:K172" si="11">$A156+0</f>
        <v>46192</v>
      </c>
      <c r="L156" s="26">
        <v>46195.0</v>
      </c>
      <c r="M156" s="32">
        <v>120.0</v>
      </c>
      <c r="N156" s="32">
        <v>47.0</v>
      </c>
      <c r="O156" s="32">
        <f t="shared" si="10"/>
        <v>84</v>
      </c>
      <c r="P156" s="49"/>
      <c r="Q156" s="49"/>
      <c r="R156" s="32">
        <f t="array" ref="R156">_xlfn.XLOOKUP($B156, DB[samplingPoint], DB[Criteria])</f>
        <v>500</v>
      </c>
      <c r="S156" s="50" t="str">
        <f t="shared" si="3"/>
        <v>PASSED</v>
      </c>
      <c r="T156" s="38" t="b">
        <v>0</v>
      </c>
      <c r="U156" s="39"/>
      <c r="V156" s="32" t="s">
        <v>304</v>
      </c>
    </row>
    <row r="157" ht="22.5" customHeight="1">
      <c r="A157" s="26">
        <v>46192.0</v>
      </c>
      <c r="B157" s="58" t="s">
        <v>366</v>
      </c>
      <c r="C157" s="32" t="str">
        <f t="array" ref="C157">_xlfn.XLOOKUP(B157, DB[samplingPoint], DB[samplingTag])</f>
        <v>V50-61(10)</v>
      </c>
      <c r="D157" s="33" t="s">
        <v>364</v>
      </c>
      <c r="E157" s="35" t="s">
        <v>126</v>
      </c>
      <c r="F157" s="38" t="b">
        <v>1</v>
      </c>
      <c r="G157" s="39" t="str">
        <f t="array" ref="G157">_xlfn.XLOOKUP($B157, DB[samplingPoint], DB[noLocation])</f>
        <v>WATER SYSTEM (B10)</v>
      </c>
      <c r="H157" s="33" t="s">
        <v>180</v>
      </c>
      <c r="I157" s="40" t="str">
        <f t="array" ref="I157">_xlfn.XLOOKUP($B157, DB[samplingPoint], DB[location])</f>
        <v>After Cartridge filter 5 µm (B10)</v>
      </c>
      <c r="J157" s="39" t="str">
        <f t="array" ref="J157">_xlfn.XLOOKUP($B157, DB[samplingPoint], DB[waterType])</f>
        <v>PRW</v>
      </c>
      <c r="K157" s="43">
        <f t="shared" si="11"/>
        <v>46192</v>
      </c>
      <c r="L157" s="26">
        <v>46195.0</v>
      </c>
      <c r="M157" s="32">
        <v>52.0</v>
      </c>
      <c r="N157" s="32">
        <v>38.0</v>
      </c>
      <c r="O157" s="32">
        <f t="shared" si="10"/>
        <v>45</v>
      </c>
      <c r="P157" s="49"/>
      <c r="Q157" s="49"/>
      <c r="R157" s="32">
        <f t="array" ref="R157">_xlfn.XLOOKUP($B157, DB[samplingPoint], DB[Criteria])</f>
        <v>500</v>
      </c>
      <c r="S157" s="50" t="str">
        <f t="shared" si="3"/>
        <v>PASSED</v>
      </c>
      <c r="T157" s="38" t="b">
        <v>0</v>
      </c>
      <c r="U157" s="39"/>
      <c r="V157" s="32" t="s">
        <v>304</v>
      </c>
    </row>
    <row r="158" ht="22.5" customHeight="1">
      <c r="A158" s="26">
        <v>46192.0</v>
      </c>
      <c r="B158" s="27" t="s">
        <v>368</v>
      </c>
      <c r="C158" s="32" t="str">
        <f t="array" ref="C158">_xlfn.XLOOKUP(B158, DB[samplingPoint], DB[samplingTag])</f>
        <v>V50-11C(10)</v>
      </c>
      <c r="D158" s="33" t="s">
        <v>364</v>
      </c>
      <c r="E158" s="35" t="s">
        <v>126</v>
      </c>
      <c r="F158" s="38" t="b">
        <v>1</v>
      </c>
      <c r="G158" s="39" t="str">
        <f t="array" ref="G158">_xlfn.XLOOKUP($B158, DB[samplingPoint], DB[noLocation])</f>
        <v>WATER SYSTEM (B10)</v>
      </c>
      <c r="H158" s="33" t="s">
        <v>180</v>
      </c>
      <c r="I158" s="40" t="str">
        <f t="array" ref="I158">_xlfn.XLOOKUP($B158, DB[samplingPoint], DB[location])</f>
        <v>After RO (Before EDI) (B10)</v>
      </c>
      <c r="J158" s="39" t="str">
        <f t="array" ref="J158">_xlfn.XLOOKUP($B158, DB[samplingPoint], DB[waterType])</f>
        <v>RO water</v>
      </c>
      <c r="K158" s="43">
        <f t="shared" si="11"/>
        <v>46192</v>
      </c>
      <c r="L158" s="26">
        <v>46195.0</v>
      </c>
      <c r="M158" s="32">
        <v>0.0</v>
      </c>
      <c r="N158" s="32">
        <v>0.0</v>
      </c>
      <c r="O158" s="32">
        <f t="shared" si="10"/>
        <v>0</v>
      </c>
      <c r="P158" s="49"/>
      <c r="Q158" s="49"/>
      <c r="R158" s="32">
        <f t="array" ref="R158">_xlfn.XLOOKUP($B158, DB[samplingPoint], DB[Criteria])</f>
        <v>500</v>
      </c>
      <c r="S158" s="50" t="str">
        <f t="shared" si="3"/>
        <v>PASSED</v>
      </c>
      <c r="T158" s="38" t="b">
        <v>0</v>
      </c>
      <c r="U158" s="39"/>
      <c r="V158" s="32" t="s">
        <v>304</v>
      </c>
    </row>
    <row r="159" ht="22.5" customHeight="1">
      <c r="A159" s="26">
        <v>46192.0</v>
      </c>
      <c r="B159" s="58" t="s">
        <v>374</v>
      </c>
      <c r="C159" s="32" t="str">
        <f t="array" ref="C159">_xlfn.XLOOKUP(B159, DB[samplingPoint], DB[samplingTag])</f>
        <v>V50-39(10)</v>
      </c>
      <c r="D159" s="33" t="s">
        <v>364</v>
      </c>
      <c r="E159" s="35" t="s">
        <v>126</v>
      </c>
      <c r="F159" s="38" t="b">
        <v>1</v>
      </c>
      <c r="G159" s="39" t="str">
        <f t="array" ref="G159">_xlfn.XLOOKUP($B159, DB[samplingPoint], DB[noLocation])</f>
        <v>WATER SYSTEM (B10)</v>
      </c>
      <c r="H159" s="33" t="s">
        <v>180</v>
      </c>
      <c r="I159" s="40" t="str">
        <f t="array" ref="I159">_xlfn.XLOOKUP($B159, DB[samplingPoint], DB[location])</f>
        <v>After EDI (B10)</v>
      </c>
      <c r="J159" s="39" t="str">
        <f t="array" ref="J159">_xlfn.XLOOKUP($B159, DB[samplingPoint], DB[waterType])</f>
        <v>PW</v>
      </c>
      <c r="K159" s="43">
        <f t="shared" si="11"/>
        <v>46192</v>
      </c>
      <c r="L159" s="26">
        <v>46195.0</v>
      </c>
      <c r="M159" s="32">
        <v>0.0</v>
      </c>
      <c r="N159" s="32">
        <v>0.0</v>
      </c>
      <c r="O159" s="32">
        <f t="shared" si="10"/>
        <v>0</v>
      </c>
      <c r="P159" s="49"/>
      <c r="Q159" s="49"/>
      <c r="R159" s="32">
        <f t="array" ref="R159">_xlfn.XLOOKUP($B159, DB[samplingPoint], DB[Criteria])</f>
        <v>100</v>
      </c>
      <c r="S159" s="50" t="str">
        <f t="shared" si="3"/>
        <v>PASSED</v>
      </c>
      <c r="T159" s="38" t="b">
        <v>0</v>
      </c>
      <c r="U159" s="39"/>
      <c r="V159" s="32" t="s">
        <v>304</v>
      </c>
    </row>
    <row r="160" ht="22.5" customHeight="1">
      <c r="A160" s="26">
        <v>46192.0</v>
      </c>
      <c r="B160" s="27" t="s">
        <v>390</v>
      </c>
      <c r="C160" s="32" t="str">
        <f t="array" ref="C160">_xlfn.XLOOKUP(B160, DB[samplingPoint], DB[samplingTag])</f>
        <v>SV117.01</v>
      </c>
      <c r="D160" s="33" t="s">
        <v>364</v>
      </c>
      <c r="E160" s="35" t="s">
        <v>126</v>
      </c>
      <c r="F160" s="38" t="b">
        <v>1</v>
      </c>
      <c r="G160" s="39" t="str">
        <f t="array" ref="G160">_xlfn.XLOOKUP($B160, DB[samplingPoint], DB[noLocation])</f>
        <v>WATER SYSTEM (B10)</v>
      </c>
      <c r="H160" s="33" t="s">
        <v>180</v>
      </c>
      <c r="I160" s="40" t="str">
        <f t="array" ref="I160">_xlfn.XLOOKUP($B160, DB[samplingPoint], DB[location])</f>
        <v>Return loop (B10)</v>
      </c>
      <c r="J160" s="39" t="str">
        <f t="array" ref="J160">_xlfn.XLOOKUP($B160, DB[samplingPoint], DB[waterType])</f>
        <v>PW</v>
      </c>
      <c r="K160" s="43">
        <f t="shared" si="11"/>
        <v>46192</v>
      </c>
      <c r="L160" s="26">
        <v>46195.0</v>
      </c>
      <c r="M160" s="32">
        <v>0.0</v>
      </c>
      <c r="N160" s="32">
        <v>0.0</v>
      </c>
      <c r="O160" s="32">
        <f t="shared" si="10"/>
        <v>0</v>
      </c>
      <c r="P160" s="49"/>
      <c r="Q160" s="49"/>
      <c r="R160" s="32">
        <f t="array" ref="R160">_xlfn.XLOOKUP($B160, DB[samplingPoint], DB[Criteria])</f>
        <v>100</v>
      </c>
      <c r="S160" s="50" t="str">
        <f t="shared" si="3"/>
        <v>PASSED</v>
      </c>
      <c r="T160" s="38" t="b">
        <v>0</v>
      </c>
      <c r="U160" s="39"/>
      <c r="V160" s="32" t="s">
        <v>304</v>
      </c>
    </row>
    <row r="161" ht="22.5" customHeight="1">
      <c r="A161" s="26">
        <v>46192.0</v>
      </c>
      <c r="B161" s="58" t="s">
        <v>394</v>
      </c>
      <c r="C161" s="32" t="str">
        <f t="array" ref="C161">_xlfn.XLOOKUP(B161, DB[samplingPoint], DB[samplingTag])</f>
        <v>DV116.25</v>
      </c>
      <c r="D161" s="33" t="s">
        <v>364</v>
      </c>
      <c r="E161" s="35" t="s">
        <v>126</v>
      </c>
      <c r="F161" s="38" t="b">
        <v>1</v>
      </c>
      <c r="G161" s="39" t="str">
        <f t="array" ref="G161">_xlfn.XLOOKUP($B161, DB[samplingPoint], DB[noLocation])</f>
        <v>10-3-171</v>
      </c>
      <c r="H161" s="33" t="s">
        <v>180</v>
      </c>
      <c r="I161" s="40" t="str">
        <f t="array" ref="I161">_xlfn.XLOOKUP($B161, DB[samplingPoint], DB[location])</f>
        <v>TOOL WASHING-P</v>
      </c>
      <c r="J161" s="39" t="str">
        <f t="array" ref="J161">_xlfn.XLOOKUP($B161, DB[samplingPoint], DB[waterType])</f>
        <v>PW</v>
      </c>
      <c r="K161" s="43">
        <f t="shared" si="11"/>
        <v>46192</v>
      </c>
      <c r="L161" s="26">
        <v>46195.0</v>
      </c>
      <c r="M161" s="32">
        <v>0.0</v>
      </c>
      <c r="N161" s="32">
        <v>0.0</v>
      </c>
      <c r="O161" s="32">
        <f t="shared" si="10"/>
        <v>0</v>
      </c>
      <c r="P161" s="49"/>
      <c r="Q161" s="49"/>
      <c r="R161" s="32">
        <f t="array" ref="R161">_xlfn.XLOOKUP($B161, DB[samplingPoint], DB[Criteria])</f>
        <v>100</v>
      </c>
      <c r="S161" s="50" t="str">
        <f t="shared" si="3"/>
        <v>PASSED</v>
      </c>
      <c r="T161" s="38" t="b">
        <v>0</v>
      </c>
      <c r="U161" s="39"/>
      <c r="V161" s="32" t="s">
        <v>304</v>
      </c>
    </row>
    <row r="162" ht="22.5" customHeight="1">
      <c r="A162" s="26">
        <v>46192.0</v>
      </c>
      <c r="B162" s="27" t="s">
        <v>398</v>
      </c>
      <c r="C162" s="32" t="str">
        <f t="array" ref="C162">_xlfn.XLOOKUP(B162, DB[samplingPoint], DB[samplingTag])</f>
        <v>DV116.24</v>
      </c>
      <c r="D162" s="33" t="s">
        <v>364</v>
      </c>
      <c r="E162" s="35" t="s">
        <v>126</v>
      </c>
      <c r="F162" s="38" t="b">
        <v>1</v>
      </c>
      <c r="G162" s="39" t="str">
        <f t="array" ref="G162">_xlfn.XLOOKUP($B162, DB[samplingPoint], DB[noLocation])</f>
        <v>10-3-163</v>
      </c>
      <c r="H162" s="33" t="s">
        <v>180</v>
      </c>
      <c r="I162" s="40" t="str">
        <f t="array" ref="I162">_xlfn.XLOOKUP($B162, DB[samplingPoint], DB[location])</f>
        <v>WET GRANULATION 1-P</v>
      </c>
      <c r="J162" s="39" t="str">
        <f t="array" ref="J162">_xlfn.XLOOKUP($B162, DB[samplingPoint], DB[waterType])</f>
        <v>PW</v>
      </c>
      <c r="K162" s="43">
        <f t="shared" si="11"/>
        <v>46192</v>
      </c>
      <c r="L162" s="26">
        <v>46195.0</v>
      </c>
      <c r="M162" s="32">
        <v>0.0</v>
      </c>
      <c r="N162" s="32">
        <v>0.0</v>
      </c>
      <c r="O162" s="32">
        <f t="shared" si="10"/>
        <v>0</v>
      </c>
      <c r="P162" s="49"/>
      <c r="Q162" s="49"/>
      <c r="R162" s="32">
        <f t="array" ref="R162">_xlfn.XLOOKUP($B162, DB[samplingPoint], DB[Criteria])</f>
        <v>100</v>
      </c>
      <c r="S162" s="50" t="str">
        <f t="shared" si="3"/>
        <v>PASSED</v>
      </c>
      <c r="T162" s="38" t="b">
        <v>0</v>
      </c>
      <c r="U162" s="39"/>
      <c r="V162" s="32" t="s">
        <v>304</v>
      </c>
    </row>
    <row r="163" ht="22.5" customHeight="1">
      <c r="A163" s="26">
        <v>46192.0</v>
      </c>
      <c r="B163" s="58" t="s">
        <v>401</v>
      </c>
      <c r="C163" s="32" t="str">
        <f t="array" ref="C163">_xlfn.XLOOKUP(B163, DB[samplingPoint], DB[samplingTag])</f>
        <v>DV116.23</v>
      </c>
      <c r="D163" s="33" t="s">
        <v>364</v>
      </c>
      <c r="E163" s="35" t="s">
        <v>126</v>
      </c>
      <c r="F163" s="38" t="b">
        <v>1</v>
      </c>
      <c r="G163" s="39" t="str">
        <f t="array" ref="G163">_xlfn.XLOOKUP($B163, DB[samplingPoint], DB[noLocation])</f>
        <v>10-3-159</v>
      </c>
      <c r="H163" s="33" t="s">
        <v>180</v>
      </c>
      <c r="I163" s="40" t="str">
        <f t="array" ref="I163">_xlfn.XLOOKUP($B163, DB[samplingPoint], DB[location])</f>
        <v>BINDER PREPARATION-P</v>
      </c>
      <c r="J163" s="39" t="str">
        <f t="array" ref="J163">_xlfn.XLOOKUP($B163, DB[samplingPoint], DB[waterType])</f>
        <v>PW</v>
      </c>
      <c r="K163" s="43">
        <f t="shared" si="11"/>
        <v>46192</v>
      </c>
      <c r="L163" s="26">
        <v>46195.0</v>
      </c>
      <c r="M163" s="32">
        <v>0.0</v>
      </c>
      <c r="N163" s="32">
        <v>0.0</v>
      </c>
      <c r="O163" s="32">
        <f t="shared" si="10"/>
        <v>0</v>
      </c>
      <c r="P163" s="49"/>
      <c r="Q163" s="49"/>
      <c r="R163" s="32">
        <f t="array" ref="R163">_xlfn.XLOOKUP($B163, DB[samplingPoint], DB[Criteria])</f>
        <v>100</v>
      </c>
      <c r="S163" s="50" t="str">
        <f t="shared" si="3"/>
        <v>PASSED</v>
      </c>
      <c r="T163" s="38" t="b">
        <v>0</v>
      </c>
      <c r="U163" s="39"/>
      <c r="V163" s="32" t="s">
        <v>304</v>
      </c>
    </row>
    <row r="164" ht="22.5" customHeight="1">
      <c r="A164" s="26">
        <v>46192.0</v>
      </c>
      <c r="B164" s="27" t="s">
        <v>406</v>
      </c>
      <c r="C164" s="32" t="str">
        <f t="array" ref="C164">_xlfn.XLOOKUP(B164, DB[samplingPoint], DB[samplingTag])</f>
        <v>DV116.21</v>
      </c>
      <c r="D164" s="33" t="s">
        <v>364</v>
      </c>
      <c r="E164" s="35" t="s">
        <v>126</v>
      </c>
      <c r="F164" s="38" t="b">
        <v>1</v>
      </c>
      <c r="G164" s="39" t="str">
        <f t="array" ref="G164">_xlfn.XLOOKUP($B164, DB[samplingPoint], DB[noLocation])</f>
        <v>10-3-152</v>
      </c>
      <c r="H164" s="33" t="s">
        <v>180</v>
      </c>
      <c r="I164" s="40" t="str">
        <f t="array" ref="I164">_xlfn.XLOOKUP($B164, DB[samplingPoint], DB[location])</f>
        <v>WASHING-P</v>
      </c>
      <c r="J164" s="39" t="str">
        <f t="array" ref="J164">_xlfn.XLOOKUP($B164, DB[samplingPoint], DB[waterType])</f>
        <v>PW</v>
      </c>
      <c r="K164" s="43">
        <f t="shared" si="11"/>
        <v>46192</v>
      </c>
      <c r="L164" s="26">
        <v>46195.0</v>
      </c>
      <c r="M164" s="32">
        <v>0.0</v>
      </c>
      <c r="N164" s="32">
        <v>0.0</v>
      </c>
      <c r="O164" s="32">
        <f t="shared" si="10"/>
        <v>0</v>
      </c>
      <c r="P164" s="49"/>
      <c r="Q164" s="49"/>
      <c r="R164" s="32">
        <f t="array" ref="R164">_xlfn.XLOOKUP($B164, DB[samplingPoint], DB[Criteria])</f>
        <v>100</v>
      </c>
      <c r="S164" s="50" t="str">
        <f t="shared" si="3"/>
        <v>PASSED</v>
      </c>
      <c r="T164" s="38" t="b">
        <v>0</v>
      </c>
      <c r="U164" s="39"/>
      <c r="V164" s="32" t="s">
        <v>304</v>
      </c>
    </row>
    <row r="165" ht="22.5" customHeight="1">
      <c r="A165" s="26">
        <v>46192.0</v>
      </c>
      <c r="B165" s="58" t="s">
        <v>410</v>
      </c>
      <c r="C165" s="32" t="str">
        <f t="array" ref="C165">_xlfn.XLOOKUP(B165, DB[samplingPoint], DB[samplingTag])</f>
        <v>DV116.22</v>
      </c>
      <c r="D165" s="33" t="s">
        <v>364</v>
      </c>
      <c r="E165" s="35" t="s">
        <v>126</v>
      </c>
      <c r="F165" s="38" t="b">
        <v>1</v>
      </c>
      <c r="G165" s="39" t="str">
        <f t="array" ref="G165">_xlfn.XLOOKUP($B165, DB[samplingPoint], DB[noLocation])</f>
        <v>10-3-152</v>
      </c>
      <c r="H165" s="33" t="s">
        <v>180</v>
      </c>
      <c r="I165" s="40" t="str">
        <f t="array" ref="I165">_xlfn.XLOOKUP($B165, DB[samplingPoint], DB[location])</f>
        <v>WASHING-P</v>
      </c>
      <c r="J165" s="39" t="str">
        <f t="array" ref="J165">_xlfn.XLOOKUP($B165, DB[samplingPoint], DB[waterType])</f>
        <v>PW</v>
      </c>
      <c r="K165" s="43">
        <f t="shared" si="11"/>
        <v>46192</v>
      </c>
      <c r="L165" s="26">
        <v>46195.0</v>
      </c>
      <c r="M165" s="32">
        <v>0.0</v>
      </c>
      <c r="N165" s="32">
        <v>0.0</v>
      </c>
      <c r="O165" s="32">
        <f t="shared" si="10"/>
        <v>0</v>
      </c>
      <c r="P165" s="49"/>
      <c r="Q165" s="49"/>
      <c r="R165" s="32">
        <f t="array" ref="R165">_xlfn.XLOOKUP($B165, DB[samplingPoint], DB[Criteria])</f>
        <v>100</v>
      </c>
      <c r="S165" s="50" t="str">
        <f t="shared" si="3"/>
        <v>PASSED</v>
      </c>
      <c r="T165" s="38" t="b">
        <v>0</v>
      </c>
      <c r="U165" s="39"/>
      <c r="V165" s="32" t="s">
        <v>304</v>
      </c>
    </row>
    <row r="166" ht="22.5" customHeight="1">
      <c r="A166" s="26">
        <v>46192.0</v>
      </c>
      <c r="B166" s="27" t="s">
        <v>414</v>
      </c>
      <c r="C166" s="32" t="str">
        <f t="array" ref="C166">_xlfn.XLOOKUP(B166, DB[samplingPoint], DB[samplingTag])</f>
        <v>SV116.13</v>
      </c>
      <c r="D166" s="33" t="s">
        <v>364</v>
      </c>
      <c r="E166" s="35" t="s">
        <v>126</v>
      </c>
      <c r="F166" s="38" t="b">
        <v>1</v>
      </c>
      <c r="G166" s="39" t="str">
        <f t="array" ref="G166">_xlfn.XLOOKUP($B166, DB[samplingPoint], DB[noLocation])</f>
        <v>10-3-152</v>
      </c>
      <c r="H166" s="33" t="s">
        <v>180</v>
      </c>
      <c r="I166" s="40" t="str">
        <f t="array" ref="I166">_xlfn.XLOOKUP($B166, DB[samplingPoint], DB[location])</f>
        <v>WASHING-P</v>
      </c>
      <c r="J166" s="39" t="str">
        <f t="array" ref="J166">_xlfn.XLOOKUP($B166, DB[samplingPoint], DB[waterType])</f>
        <v>PW</v>
      </c>
      <c r="K166" s="43">
        <f t="shared" si="11"/>
        <v>46192</v>
      </c>
      <c r="L166" s="26">
        <v>46195.0</v>
      </c>
      <c r="M166" s="32">
        <v>0.0</v>
      </c>
      <c r="N166" s="32">
        <v>0.0</v>
      </c>
      <c r="O166" s="32">
        <f t="shared" si="10"/>
        <v>0</v>
      </c>
      <c r="P166" s="49"/>
      <c r="Q166" s="49"/>
      <c r="R166" s="32">
        <f t="array" ref="R166">_xlfn.XLOOKUP($B166, DB[samplingPoint], DB[Criteria])</f>
        <v>100</v>
      </c>
      <c r="S166" s="50" t="str">
        <f t="shared" si="3"/>
        <v>PASSED</v>
      </c>
      <c r="T166" s="38" t="b">
        <v>0</v>
      </c>
      <c r="U166" s="39"/>
      <c r="V166" s="32" t="s">
        <v>304</v>
      </c>
    </row>
    <row r="167" ht="22.5" customHeight="1">
      <c r="A167" s="26">
        <v>46192.0</v>
      </c>
      <c r="B167" s="58" t="s">
        <v>417</v>
      </c>
      <c r="C167" s="32" t="str">
        <f t="array" ref="C167">_xlfn.XLOOKUP(B167, DB[samplingPoint], DB[samplingTag])</f>
        <v>DV116.20</v>
      </c>
      <c r="D167" s="33" t="s">
        <v>364</v>
      </c>
      <c r="E167" s="35" t="s">
        <v>126</v>
      </c>
      <c r="F167" s="38" t="b">
        <v>1</v>
      </c>
      <c r="G167" s="39" t="str">
        <f t="array" ref="G167">_xlfn.XLOOKUP($B167, DB[samplingPoint], DB[noLocation])</f>
        <v>10-3-149</v>
      </c>
      <c r="H167" s="33" t="s">
        <v>180</v>
      </c>
      <c r="I167" s="40" t="str">
        <f t="array" ref="I167">_xlfn.XLOOKUP($B167, DB[samplingPoint], DB[location])</f>
        <v>IPQC-1-P</v>
      </c>
      <c r="J167" s="39" t="str">
        <f t="array" ref="J167">_xlfn.XLOOKUP($B167, DB[samplingPoint], DB[waterType])</f>
        <v>PW</v>
      </c>
      <c r="K167" s="43">
        <f t="shared" si="11"/>
        <v>46192</v>
      </c>
      <c r="L167" s="26">
        <v>46195.0</v>
      </c>
      <c r="M167" s="32">
        <v>0.0</v>
      </c>
      <c r="N167" s="32">
        <v>0.0</v>
      </c>
      <c r="O167" s="32">
        <f t="shared" si="10"/>
        <v>0</v>
      </c>
      <c r="P167" s="49"/>
      <c r="Q167" s="49"/>
      <c r="R167" s="32">
        <f t="array" ref="R167">_xlfn.XLOOKUP($B167, DB[samplingPoint], DB[Criteria])</f>
        <v>100</v>
      </c>
      <c r="S167" s="50" t="str">
        <f t="shared" si="3"/>
        <v>PASSED</v>
      </c>
      <c r="T167" s="38" t="b">
        <v>0</v>
      </c>
      <c r="U167" s="39"/>
      <c r="V167" s="32" t="s">
        <v>304</v>
      </c>
    </row>
    <row r="168" ht="22.5" customHeight="1">
      <c r="A168" s="26">
        <v>46192.0</v>
      </c>
      <c r="B168" s="27" t="s">
        <v>421</v>
      </c>
      <c r="C168" s="32" t="str">
        <f t="array" ref="C168">_xlfn.XLOOKUP(B168, DB[samplingPoint], DB[samplingTag])</f>
        <v>DV116.19</v>
      </c>
      <c r="D168" s="33" t="s">
        <v>364</v>
      </c>
      <c r="E168" s="35" t="s">
        <v>126</v>
      </c>
      <c r="F168" s="38" t="b">
        <v>1</v>
      </c>
      <c r="G168" s="39" t="str">
        <f t="array" ref="G168">_xlfn.XLOOKUP($B168, DB[samplingPoint], DB[noLocation])</f>
        <v>10-3-143</v>
      </c>
      <c r="H168" s="33" t="s">
        <v>180</v>
      </c>
      <c r="I168" s="40" t="str">
        <f t="array" ref="I168">_xlfn.XLOOKUP($B168, DB[samplingPoint], DB[location])</f>
        <v>COATING SOLUTION PREP.-P</v>
      </c>
      <c r="J168" s="39" t="str">
        <f t="array" ref="J168">_xlfn.XLOOKUP($B168, DB[samplingPoint], DB[waterType])</f>
        <v>PW</v>
      </c>
      <c r="K168" s="43">
        <f t="shared" si="11"/>
        <v>46192</v>
      </c>
      <c r="L168" s="26">
        <v>46195.0</v>
      </c>
      <c r="M168" s="32">
        <v>0.0</v>
      </c>
      <c r="N168" s="32">
        <v>0.0</v>
      </c>
      <c r="O168" s="32">
        <f t="shared" si="10"/>
        <v>0</v>
      </c>
      <c r="P168" s="49"/>
      <c r="Q168" s="49"/>
      <c r="R168" s="32">
        <f t="array" ref="R168">_xlfn.XLOOKUP($B168, DB[samplingPoint], DB[Criteria])</f>
        <v>100</v>
      </c>
      <c r="S168" s="50" t="str">
        <f t="shared" si="3"/>
        <v>PASSED</v>
      </c>
      <c r="T168" s="38" t="b">
        <v>0</v>
      </c>
      <c r="U168" s="39"/>
      <c r="V168" s="32" t="s">
        <v>304</v>
      </c>
    </row>
    <row r="169" ht="22.5" customHeight="1">
      <c r="A169" s="26">
        <v>46192.0</v>
      </c>
      <c r="B169" s="58" t="s">
        <v>423</v>
      </c>
      <c r="C169" s="32" t="str">
        <f t="array" ref="C169">_xlfn.XLOOKUP(B169, DB[samplingPoint], DB[samplingTag])</f>
        <v>SV116.12</v>
      </c>
      <c r="D169" s="33" t="s">
        <v>364</v>
      </c>
      <c r="E169" s="35" t="s">
        <v>126</v>
      </c>
      <c r="F169" s="38" t="b">
        <v>1</v>
      </c>
      <c r="G169" s="39" t="str">
        <f t="array" ref="G169">_xlfn.XLOOKUP($B169, DB[samplingPoint], DB[noLocation])</f>
        <v>10-3-144</v>
      </c>
      <c r="H169" s="33" t="s">
        <v>180</v>
      </c>
      <c r="I169" s="40" t="str">
        <f t="array" ref="I169">_xlfn.XLOOKUP($B169, DB[samplingPoint], DB[location])</f>
        <v>COATING-P</v>
      </c>
      <c r="J169" s="39" t="str">
        <f t="array" ref="J169">_xlfn.XLOOKUP($B169, DB[samplingPoint], DB[waterType])</f>
        <v>PW</v>
      </c>
      <c r="K169" s="43">
        <f t="shared" si="11"/>
        <v>46192</v>
      </c>
      <c r="L169" s="26">
        <v>46195.0</v>
      </c>
      <c r="M169" s="32">
        <v>0.0</v>
      </c>
      <c r="N169" s="32">
        <v>0.0</v>
      </c>
      <c r="O169" s="32">
        <f t="shared" si="10"/>
        <v>0</v>
      </c>
      <c r="P169" s="49"/>
      <c r="Q169" s="49"/>
      <c r="R169" s="32">
        <f t="array" ref="R169">_xlfn.XLOOKUP($B169, DB[samplingPoint], DB[Criteria])</f>
        <v>100</v>
      </c>
      <c r="S169" s="50" t="str">
        <f t="shared" si="3"/>
        <v>PASSED</v>
      </c>
      <c r="T169" s="38" t="b">
        <v>0</v>
      </c>
      <c r="U169" s="39"/>
      <c r="V169" s="32" t="s">
        <v>304</v>
      </c>
    </row>
    <row r="170" ht="22.5" customHeight="1">
      <c r="A170" s="26">
        <v>46192.0</v>
      </c>
      <c r="B170" s="58" t="s">
        <v>425</v>
      </c>
      <c r="C170" s="32" t="str">
        <f t="array" ref="C170">_xlfn.XLOOKUP(B170, DB[samplingPoint], DB[samplingTag])</f>
        <v>DV116.02</v>
      </c>
      <c r="D170" s="33" t="s">
        <v>364</v>
      </c>
      <c r="E170" s="35" t="s">
        <v>126</v>
      </c>
      <c r="F170" s="38" t="b">
        <v>1</v>
      </c>
      <c r="G170" s="39" t="str">
        <f t="array" ref="G170">_xlfn.XLOOKUP($B170, DB[samplingPoint], DB[noLocation])</f>
        <v>10-1-115</v>
      </c>
      <c r="H170" s="33" t="s">
        <v>180</v>
      </c>
      <c r="I170" s="40" t="str">
        <f t="array" ref="I170">_xlfn.XLOOKUP($B170, DB[samplingPoint], DB[location])</f>
        <v>WASHING</v>
      </c>
      <c r="J170" s="39" t="str">
        <f t="array" ref="J170">_xlfn.XLOOKUP($B170, DB[samplingPoint], DB[waterType])</f>
        <v>PW</v>
      </c>
      <c r="K170" s="43">
        <f t="shared" si="11"/>
        <v>46192</v>
      </c>
      <c r="L170" s="26">
        <v>46195.0</v>
      </c>
      <c r="M170" s="32">
        <v>0.0</v>
      </c>
      <c r="N170" s="32">
        <v>0.0</v>
      </c>
      <c r="O170" s="32">
        <f t="shared" si="10"/>
        <v>0</v>
      </c>
      <c r="P170" s="49"/>
      <c r="Q170" s="49"/>
      <c r="R170" s="32">
        <f t="array" ref="R170">_xlfn.XLOOKUP($B170, DB[samplingPoint], DB[Criteria])</f>
        <v>100</v>
      </c>
      <c r="S170" s="50" t="str">
        <f t="shared" si="3"/>
        <v>PASSED</v>
      </c>
      <c r="T170" s="38" t="b">
        <v>0</v>
      </c>
      <c r="U170" s="39"/>
      <c r="V170" s="32" t="s">
        <v>304</v>
      </c>
    </row>
    <row r="171" ht="22.5" customHeight="1">
      <c r="A171" s="26">
        <v>46192.0</v>
      </c>
      <c r="B171" s="27" t="s">
        <v>428</v>
      </c>
      <c r="C171" s="32" t="str">
        <f t="array" ref="C171">_xlfn.XLOOKUP(B171, DB[samplingPoint], DB[samplingTag])</f>
        <v>DV116.01</v>
      </c>
      <c r="D171" s="33" t="s">
        <v>364</v>
      </c>
      <c r="E171" s="35" t="s">
        <v>126</v>
      </c>
      <c r="F171" s="38" t="b">
        <v>1</v>
      </c>
      <c r="G171" s="39" t="str">
        <f t="array" ref="G171">_xlfn.XLOOKUP($B171, DB[samplingPoint], DB[noLocation])</f>
        <v>10-1-057</v>
      </c>
      <c r="H171" s="33" t="s">
        <v>180</v>
      </c>
      <c r="I171" s="40" t="str">
        <f t="array" ref="I171">_xlfn.XLOOKUP($B171, DB[samplingPoint], DB[location])</f>
        <v>WASHING-P</v>
      </c>
      <c r="J171" s="39" t="str">
        <f t="array" ref="J171">_xlfn.XLOOKUP($B171, DB[samplingPoint], DB[waterType])</f>
        <v>PW</v>
      </c>
      <c r="K171" s="43">
        <f t="shared" si="11"/>
        <v>46192</v>
      </c>
      <c r="L171" s="26">
        <v>46195.0</v>
      </c>
      <c r="M171" s="32">
        <v>0.0</v>
      </c>
      <c r="N171" s="32">
        <v>0.0</v>
      </c>
      <c r="O171" s="32">
        <f t="shared" si="10"/>
        <v>0</v>
      </c>
      <c r="P171" s="49"/>
      <c r="Q171" s="49"/>
      <c r="R171" s="32">
        <f t="array" ref="R171">_xlfn.XLOOKUP($B171, DB[samplingPoint], DB[Criteria])</f>
        <v>100</v>
      </c>
      <c r="S171" s="50" t="str">
        <f t="shared" si="3"/>
        <v>PASSED</v>
      </c>
      <c r="T171" s="38" t="b">
        <v>0</v>
      </c>
      <c r="U171" s="39"/>
      <c r="V171" s="32" t="s">
        <v>304</v>
      </c>
    </row>
    <row r="172" ht="22.5" customHeight="1">
      <c r="A172" s="26">
        <v>46192.0</v>
      </c>
      <c r="B172" s="73" t="s">
        <v>431</v>
      </c>
      <c r="C172" s="32" t="str">
        <f t="array" ref="C172">_xlfn.XLOOKUP(B172, DB[samplingPoint], DB[samplingTag])</f>
        <v>SV-14</v>
      </c>
      <c r="D172" s="33" t="s">
        <v>364</v>
      </c>
      <c r="E172" s="35" t="s">
        <v>128</v>
      </c>
      <c r="F172" s="38" t="b">
        <v>1</v>
      </c>
      <c r="G172" s="39" t="str">
        <f t="array" ref="G172">_xlfn.XLOOKUP($B172, DB[samplingPoint], DB[noLocation])</f>
        <v>PROCESS WATER (B19)</v>
      </c>
      <c r="H172" s="33" t="s">
        <v>432</v>
      </c>
      <c r="I172" s="40" t="str">
        <f t="array" ref="I172">_xlfn.XLOOKUP($B172, DB[samplingPoint], DB[location])</f>
        <v>AFTER RO SYSTEM NO.12 SV14</v>
      </c>
      <c r="J172" s="39" t="str">
        <f t="array" ref="J172">_xlfn.XLOOKUP($B172, DB[samplingPoint], DB[waterType])</f>
        <v>PRW</v>
      </c>
      <c r="K172" s="43">
        <f t="shared" si="11"/>
        <v>46192</v>
      </c>
      <c r="L172" s="26">
        <v>46195.0</v>
      </c>
      <c r="M172" s="32">
        <v>5.0</v>
      </c>
      <c r="N172" s="32">
        <v>4.0</v>
      </c>
      <c r="O172" s="32">
        <f t="shared" si="10"/>
        <v>5</v>
      </c>
      <c r="P172" s="49"/>
      <c r="Q172" s="49"/>
      <c r="R172" s="32">
        <f t="array" ref="R172">_xlfn.XLOOKUP($B172, DB[samplingPoint], DB[Criteria])</f>
        <v>500</v>
      </c>
      <c r="S172" s="50" t="str">
        <f t="shared" si="3"/>
        <v>PASSED</v>
      </c>
      <c r="T172" s="38" t="b">
        <v>0</v>
      </c>
      <c r="U172" s="39"/>
      <c r="V172" s="32" t="s">
        <v>304</v>
      </c>
    </row>
    <row r="173" ht="22.5" customHeight="1">
      <c r="A173" s="26">
        <v>46190.0</v>
      </c>
      <c r="B173" s="27" t="s">
        <v>472</v>
      </c>
      <c r="C173" s="32" t="str">
        <f t="array" ref="C173">_xlfn.XLOOKUP(B173, DB[samplingPoint], DB[samplingTag])</f>
        <v>SV126.19</v>
      </c>
      <c r="D173" s="33" t="s">
        <v>364</v>
      </c>
      <c r="E173" s="35" t="s">
        <v>136</v>
      </c>
      <c r="F173" s="38" t="b">
        <v>1</v>
      </c>
      <c r="G173" s="39" t="str">
        <f t="array" ref="G173">_xlfn.XLOOKUP($B173, DB[samplingPoint], DB[noLocation])</f>
        <v>16-3-087</v>
      </c>
      <c r="H173" s="33" t="s">
        <v>327</v>
      </c>
      <c r="I173" s="40" t="str">
        <f t="array" ref="I173">_xlfn.XLOOKUP($B173, DB[samplingPoint], DB[location])</f>
        <v>CIP 2 (EQUIPMENT REQUIREMENT)</v>
      </c>
      <c r="J173" s="39" t="str">
        <f t="array" ref="J173">_xlfn.XLOOKUP($B173, DB[samplingPoint], DB[waterType])</f>
        <v>PW</v>
      </c>
      <c r="K173" s="43">
        <f t="shared" ref="K173:K193" si="12">$A173+1</f>
        <v>46191</v>
      </c>
      <c r="L173" s="26">
        <v>46194.0</v>
      </c>
      <c r="M173" s="32">
        <v>4.0</v>
      </c>
      <c r="N173" s="32">
        <v>5.0</v>
      </c>
      <c r="O173" s="32">
        <f t="shared" si="10"/>
        <v>5</v>
      </c>
      <c r="P173" s="49"/>
      <c r="Q173" s="49"/>
      <c r="R173" s="32">
        <f t="array" ref="R173">_xlfn.XLOOKUP($B173, DB[samplingPoint], DB[Criteria])</f>
        <v>100</v>
      </c>
      <c r="S173" s="50" t="str">
        <f t="shared" si="3"/>
        <v>PASSED</v>
      </c>
      <c r="T173" s="38" t="b">
        <v>0</v>
      </c>
      <c r="U173" s="39"/>
      <c r="V173" s="32" t="s">
        <v>304</v>
      </c>
    </row>
    <row r="174" ht="22.5" customHeight="1">
      <c r="A174" s="26">
        <v>46190.0</v>
      </c>
      <c r="B174" s="27" t="s">
        <v>478</v>
      </c>
      <c r="C174" s="32" t="str">
        <f t="array" ref="C174">_xlfn.XLOOKUP(B174, DB[samplingPoint], DB[samplingTag])</f>
        <v>SV126.14</v>
      </c>
      <c r="D174" s="33" t="s">
        <v>364</v>
      </c>
      <c r="E174" s="35" t="s">
        <v>136</v>
      </c>
      <c r="F174" s="38" t="b">
        <v>1</v>
      </c>
      <c r="G174" s="39" t="str">
        <f t="array" ref="G174">_xlfn.XLOOKUP($B174, DB[samplingPoint], DB[noLocation])</f>
        <v>16-3-073</v>
      </c>
      <c r="H174" s="33" t="s">
        <v>327</v>
      </c>
      <c r="I174" s="40" t="str">
        <f t="array" ref="I174">_xlfn.XLOOKUP($B174, DB[samplingPoint], DB[location])</f>
        <v>MFG 4 (400L)</v>
      </c>
      <c r="J174" s="39" t="str">
        <f t="array" ref="J174">_xlfn.XLOOKUP($B174, DB[samplingPoint], DB[waterType])</f>
        <v>PW</v>
      </c>
      <c r="K174" s="43">
        <f t="shared" si="12"/>
        <v>46191</v>
      </c>
      <c r="L174" s="26">
        <v>46194.0</v>
      </c>
      <c r="M174" s="32">
        <v>0.0</v>
      </c>
      <c r="N174" s="32">
        <v>0.0</v>
      </c>
      <c r="O174" s="32">
        <f t="shared" si="10"/>
        <v>0</v>
      </c>
      <c r="P174" s="49"/>
      <c r="Q174" s="49"/>
      <c r="R174" s="32">
        <f t="array" ref="R174">_xlfn.XLOOKUP($B174, DB[samplingPoint], DB[Criteria])</f>
        <v>100</v>
      </c>
      <c r="S174" s="50" t="str">
        <f t="shared" si="3"/>
        <v>PASSED</v>
      </c>
      <c r="T174" s="38" t="b">
        <v>0</v>
      </c>
      <c r="U174" s="39"/>
      <c r="V174" s="32" t="s">
        <v>304</v>
      </c>
    </row>
    <row r="175" ht="22.5" customHeight="1">
      <c r="A175" s="26">
        <v>46196.0</v>
      </c>
      <c r="B175" s="58" t="s">
        <v>467</v>
      </c>
      <c r="C175" s="32" t="str">
        <f t="array" ref="C175">_xlfn.XLOOKUP(B175, DB[samplingPoint], DB[samplingTag])</f>
        <v>SV123.01</v>
      </c>
      <c r="D175" s="33" t="s">
        <v>436</v>
      </c>
      <c r="E175" s="35" t="s">
        <v>138</v>
      </c>
      <c r="F175" s="38" t="b">
        <v>1</v>
      </c>
      <c r="G175" s="39" t="str">
        <f t="array" ref="G175">_xlfn.XLOOKUP($B175, DB[samplingPoint], DB[noLocation])</f>
        <v>WATER SYSTEM (B16)</v>
      </c>
      <c r="H175" s="33" t="s">
        <v>327</v>
      </c>
      <c r="I175" s="40" t="str">
        <f t="array" ref="I175">_xlfn.XLOOKUP($B175, DB[samplingPoint], DB[location])</f>
        <v>After Storage tank (B16)</v>
      </c>
      <c r="J175" s="39" t="str">
        <f t="array" ref="J175">_xlfn.XLOOKUP($B175, DB[samplingPoint], DB[waterType])</f>
        <v>PW</v>
      </c>
      <c r="K175" s="43">
        <f t="shared" si="12"/>
        <v>46197</v>
      </c>
      <c r="L175" s="26">
        <v>46200.0</v>
      </c>
      <c r="M175" s="32">
        <v>0.0</v>
      </c>
      <c r="N175" s="32">
        <v>0.0</v>
      </c>
      <c r="O175" s="32">
        <f t="shared" si="10"/>
        <v>0</v>
      </c>
      <c r="P175" s="49"/>
      <c r="Q175" s="49"/>
      <c r="R175" s="32">
        <f t="array" ref="R175">_xlfn.XLOOKUP($B175, DB[samplingPoint], DB[Criteria])</f>
        <v>100</v>
      </c>
      <c r="S175" s="50" t="str">
        <f t="shared" si="3"/>
        <v>PASSED</v>
      </c>
      <c r="T175" s="38" t="b">
        <v>0</v>
      </c>
      <c r="U175" s="39"/>
      <c r="V175" s="32" t="s">
        <v>304</v>
      </c>
    </row>
    <row r="176" ht="22.5" customHeight="1">
      <c r="A176" s="26">
        <v>46196.0</v>
      </c>
      <c r="B176" s="58" t="s">
        <v>469</v>
      </c>
      <c r="C176" s="32" t="str">
        <f t="array" ref="C176">_xlfn.XLOOKUP(B176, DB[samplingPoint], DB[samplingTag])</f>
        <v>SV125.02</v>
      </c>
      <c r="D176" s="33" t="s">
        <v>436</v>
      </c>
      <c r="E176" s="35" t="s">
        <v>138</v>
      </c>
      <c r="F176" s="38" t="b">
        <v>1</v>
      </c>
      <c r="G176" s="39" t="str">
        <f t="array" ref="G176">_xlfn.XLOOKUP($B176, DB[samplingPoint], DB[noLocation])</f>
        <v>WATER SYSTEM (B16)</v>
      </c>
      <c r="H176" s="33" t="s">
        <v>327</v>
      </c>
      <c r="I176" s="40" t="str">
        <f t="array" ref="I176">_xlfn.XLOOKUP($B176, DB[samplingPoint], DB[location])</f>
        <v>After UV (B16)</v>
      </c>
      <c r="J176" s="39" t="str">
        <f t="array" ref="J176">_xlfn.XLOOKUP($B176, DB[samplingPoint], DB[waterType])</f>
        <v>PW</v>
      </c>
      <c r="K176" s="43">
        <f t="shared" si="12"/>
        <v>46197</v>
      </c>
      <c r="L176" s="26">
        <v>46200.0</v>
      </c>
      <c r="M176" s="32">
        <v>0.0</v>
      </c>
      <c r="N176" s="32">
        <v>0.0</v>
      </c>
      <c r="O176" s="32">
        <f t="shared" si="10"/>
        <v>0</v>
      </c>
      <c r="P176" s="49"/>
      <c r="Q176" s="49"/>
      <c r="R176" s="32">
        <f t="array" ref="R176">_xlfn.XLOOKUP($B176, DB[samplingPoint], DB[Criteria])</f>
        <v>100</v>
      </c>
      <c r="S176" s="50" t="str">
        <f t="shared" si="3"/>
        <v>PASSED</v>
      </c>
      <c r="T176" s="38" t="b">
        <v>0</v>
      </c>
      <c r="U176" s="39"/>
      <c r="V176" s="32" t="s">
        <v>304</v>
      </c>
    </row>
    <row r="177" ht="22.5" customHeight="1">
      <c r="A177" s="26">
        <v>46196.0</v>
      </c>
      <c r="B177" s="58" t="s">
        <v>464</v>
      </c>
      <c r="C177" s="32" t="str">
        <f t="array" ref="C177">_xlfn.XLOOKUP(B177, DB[samplingPoint], DB[samplingTag])</f>
        <v>SV127.01</v>
      </c>
      <c r="D177" s="33" t="s">
        <v>436</v>
      </c>
      <c r="E177" s="35" t="s">
        <v>138</v>
      </c>
      <c r="F177" s="38" t="b">
        <v>1</v>
      </c>
      <c r="G177" s="39" t="str">
        <f t="array" ref="G177">_xlfn.XLOOKUP($B177, DB[samplingPoint], DB[noLocation])</f>
        <v>WATER SYSTEM (B16)</v>
      </c>
      <c r="H177" s="33" t="s">
        <v>327</v>
      </c>
      <c r="I177" s="40" t="str">
        <f t="array" ref="I177">_xlfn.XLOOKUP($B177, DB[samplingPoint], DB[location])</f>
        <v>Return loop (B16)</v>
      </c>
      <c r="J177" s="39" t="str">
        <f t="array" ref="J177">_xlfn.XLOOKUP($B177, DB[samplingPoint], DB[waterType])</f>
        <v>PW</v>
      </c>
      <c r="K177" s="43">
        <f t="shared" si="12"/>
        <v>46197</v>
      </c>
      <c r="L177" s="26">
        <v>46200.0</v>
      </c>
      <c r="M177" s="32">
        <v>0.0</v>
      </c>
      <c r="N177" s="32">
        <v>0.0</v>
      </c>
      <c r="O177" s="32">
        <f t="shared" si="10"/>
        <v>0</v>
      </c>
      <c r="P177" s="49"/>
      <c r="Q177" s="49"/>
      <c r="R177" s="32">
        <f t="array" ref="R177">_xlfn.XLOOKUP($B177, DB[samplingPoint], DB[Criteria])</f>
        <v>100</v>
      </c>
      <c r="S177" s="50" t="str">
        <f t="shared" si="3"/>
        <v>PASSED</v>
      </c>
      <c r="T177" s="38" t="b">
        <v>0</v>
      </c>
      <c r="U177" s="39"/>
      <c r="V177" s="32" t="s">
        <v>304</v>
      </c>
    </row>
    <row r="178" ht="22.5" customHeight="1">
      <c r="A178" s="26">
        <v>46196.0</v>
      </c>
      <c r="B178" s="88" t="s">
        <v>474</v>
      </c>
      <c r="C178" s="32" t="str">
        <f t="array" ref="C178">_xlfn.XLOOKUP(B178, DB[samplingPoint], DB[samplingTag])</f>
        <v>DV126.11</v>
      </c>
      <c r="D178" s="33" t="s">
        <v>436</v>
      </c>
      <c r="E178" s="35" t="s">
        <v>138</v>
      </c>
      <c r="F178" s="38" t="b">
        <v>1</v>
      </c>
      <c r="G178" s="39" t="str">
        <f t="array" ref="G178">_xlfn.XLOOKUP($B178, DB[samplingPoint], DB[noLocation])</f>
        <v>16-3-073</v>
      </c>
      <c r="H178" s="33" t="s">
        <v>327</v>
      </c>
      <c r="I178" s="40" t="str">
        <f t="array" ref="I178">_xlfn.XLOOKUP($B178, DB[samplingPoint], DB[location])</f>
        <v>MFG 4 (5000L)</v>
      </c>
      <c r="J178" s="39" t="str">
        <f t="array" ref="J178">_xlfn.XLOOKUP($B178, DB[samplingPoint], DB[waterType])</f>
        <v>PW</v>
      </c>
      <c r="K178" s="43">
        <f t="shared" si="12"/>
        <v>46197</v>
      </c>
      <c r="L178" s="26">
        <v>46200.0</v>
      </c>
      <c r="M178" s="32">
        <v>0.0</v>
      </c>
      <c r="N178" s="32">
        <v>0.0</v>
      </c>
      <c r="O178" s="32">
        <f t="shared" si="10"/>
        <v>0</v>
      </c>
      <c r="P178" s="49"/>
      <c r="Q178" s="49"/>
      <c r="R178" s="32">
        <f t="array" ref="R178">_xlfn.XLOOKUP($B178, DB[samplingPoint], DB[Criteria])</f>
        <v>100</v>
      </c>
      <c r="S178" s="50" t="str">
        <f t="shared" si="3"/>
        <v>PASSED</v>
      </c>
      <c r="T178" s="38" t="b">
        <v>0</v>
      </c>
      <c r="U178" s="39"/>
      <c r="V178" s="32" t="s">
        <v>304</v>
      </c>
    </row>
    <row r="179" ht="22.5" customHeight="1">
      <c r="A179" s="26">
        <v>46196.0</v>
      </c>
      <c r="B179" s="48" t="s">
        <v>481</v>
      </c>
      <c r="C179" s="32" t="str">
        <f t="array" ref="C179">_xlfn.XLOOKUP(B179, DB[samplingPoint], DB[samplingTag])</f>
        <v>SV126.15</v>
      </c>
      <c r="D179" s="33" t="s">
        <v>436</v>
      </c>
      <c r="E179" s="35" t="s">
        <v>138</v>
      </c>
      <c r="F179" s="38" t="b">
        <v>1</v>
      </c>
      <c r="G179" s="39" t="str">
        <f t="array" ref="G179">_xlfn.XLOOKUP($B179, DB[samplingPoint], DB[noLocation])</f>
        <v>16-3-075</v>
      </c>
      <c r="H179" s="33" t="s">
        <v>327</v>
      </c>
      <c r="I179" s="40" t="str">
        <f t="array" ref="I179">_xlfn.XLOOKUP($B179, DB[samplingPoint], DB[location])</f>
        <v>MFG 5 PROCESS (2000L)</v>
      </c>
      <c r="J179" s="39" t="str">
        <f t="array" ref="J179">_xlfn.XLOOKUP($B179, DB[samplingPoint], DB[waterType])</f>
        <v>PW</v>
      </c>
      <c r="K179" s="43">
        <f t="shared" si="12"/>
        <v>46197</v>
      </c>
      <c r="L179" s="26">
        <v>46200.0</v>
      </c>
      <c r="M179" s="32">
        <v>1.0</v>
      </c>
      <c r="N179" s="32">
        <v>0.0</v>
      </c>
      <c r="O179" s="32">
        <f t="shared" si="10"/>
        <v>1</v>
      </c>
      <c r="P179" s="49"/>
      <c r="Q179" s="49"/>
      <c r="R179" s="32">
        <f t="array" ref="R179">_xlfn.XLOOKUP($B179, DB[samplingPoint], DB[Criteria])</f>
        <v>100</v>
      </c>
      <c r="S179" s="50" t="str">
        <f t="shared" si="3"/>
        <v>PASSED</v>
      </c>
      <c r="T179" s="38" t="b">
        <v>0</v>
      </c>
      <c r="U179" s="39"/>
      <c r="V179" s="32" t="s">
        <v>304</v>
      </c>
    </row>
    <row r="180" ht="22.5" customHeight="1">
      <c r="A180" s="26">
        <v>46196.0</v>
      </c>
      <c r="B180" s="88" t="s">
        <v>483</v>
      </c>
      <c r="C180" s="32" t="str">
        <f t="array" ref="C180">_xlfn.XLOOKUP(B180, DB[samplingPoint], DB[samplingTag])</f>
        <v>DV126.05</v>
      </c>
      <c r="D180" s="33" t="s">
        <v>436</v>
      </c>
      <c r="E180" s="35" t="s">
        <v>138</v>
      </c>
      <c r="F180" s="38" t="b">
        <v>1</v>
      </c>
      <c r="G180" s="39" t="str">
        <f t="array" ref="G180">_xlfn.XLOOKUP($B180, DB[samplingPoint], DB[noLocation])</f>
        <v>16-3-054</v>
      </c>
      <c r="H180" s="33" t="s">
        <v>327</v>
      </c>
      <c r="I180" s="40" t="str">
        <f t="array" ref="I180">_xlfn.XLOOKUP($B180, DB[samplingPoint], DB[location])</f>
        <v>WASHING</v>
      </c>
      <c r="J180" s="39" t="str">
        <f t="array" ref="J180">_xlfn.XLOOKUP($B180, DB[samplingPoint], DB[waterType])</f>
        <v>PW</v>
      </c>
      <c r="K180" s="43">
        <f t="shared" si="12"/>
        <v>46197</v>
      </c>
      <c r="L180" s="26">
        <v>46200.0</v>
      </c>
      <c r="M180" s="32">
        <v>33.0</v>
      </c>
      <c r="N180" s="32">
        <v>37.0</v>
      </c>
      <c r="O180" s="32">
        <f t="shared" si="10"/>
        <v>35</v>
      </c>
      <c r="P180" s="49" t="s">
        <v>712</v>
      </c>
      <c r="R180" s="32">
        <f t="array" ref="R180">_xlfn.XLOOKUP($B180, DB[samplingPoint], DB[Criteria])</f>
        <v>100</v>
      </c>
      <c r="S180" s="50" t="str">
        <f t="shared" si="3"/>
        <v>PASSED</v>
      </c>
      <c r="T180" s="38" t="b">
        <v>0</v>
      </c>
      <c r="U180" s="39"/>
      <c r="V180" s="32" t="s">
        <v>304</v>
      </c>
    </row>
    <row r="181" ht="22.5" customHeight="1">
      <c r="A181" s="26">
        <v>46196.0</v>
      </c>
      <c r="B181" s="48" t="s">
        <v>486</v>
      </c>
      <c r="C181" s="32" t="str">
        <f t="array" ref="C181">_xlfn.XLOOKUP(B181, DB[samplingPoint], DB[samplingTag])</f>
        <v>SV126.04</v>
      </c>
      <c r="D181" s="33" t="s">
        <v>436</v>
      </c>
      <c r="E181" s="35" t="s">
        <v>138</v>
      </c>
      <c r="F181" s="38" t="b">
        <v>1</v>
      </c>
      <c r="G181" s="39" t="str">
        <f t="array" ref="G181">_xlfn.XLOOKUP($B181, DB[samplingPoint], DB[noLocation])</f>
        <v>16-2-010</v>
      </c>
      <c r="H181" s="33" t="s">
        <v>327</v>
      </c>
      <c r="I181" s="40" t="str">
        <f t="array" ref="I181">_xlfn.XLOOKUP($B181, DB[samplingPoint], DB[location])</f>
        <v>WATER SYSTEM (PSG)</v>
      </c>
      <c r="J181" s="39" t="str">
        <f t="array" ref="J181">_xlfn.XLOOKUP($B181, DB[samplingPoint], DB[waterType])</f>
        <v>PW</v>
      </c>
      <c r="K181" s="43">
        <f t="shared" si="12"/>
        <v>46197</v>
      </c>
      <c r="L181" s="26">
        <v>46200.0</v>
      </c>
      <c r="M181" s="32">
        <v>0.0</v>
      </c>
      <c r="N181" s="32">
        <v>0.0</v>
      </c>
      <c r="O181" s="32">
        <f t="shared" si="10"/>
        <v>0</v>
      </c>
      <c r="P181" s="49"/>
      <c r="Q181" s="49"/>
      <c r="R181" s="32">
        <f t="array" ref="R181">_xlfn.XLOOKUP($B181, DB[samplingPoint], DB[Criteria])</f>
        <v>100</v>
      </c>
      <c r="S181" s="50" t="str">
        <f t="shared" si="3"/>
        <v>PASSED</v>
      </c>
      <c r="T181" s="38" t="b">
        <v>0</v>
      </c>
      <c r="U181" s="39"/>
      <c r="V181" s="32" t="s">
        <v>304</v>
      </c>
    </row>
    <row r="182" ht="22.5" customHeight="1">
      <c r="A182" s="26">
        <v>46196.0</v>
      </c>
      <c r="B182" s="27" t="s">
        <v>435</v>
      </c>
      <c r="C182" s="32" t="str">
        <f t="array" ref="C182">_xlfn.XLOOKUP(B182, DB[samplingPoint], DB[samplingTag])</f>
        <v>SV133.01</v>
      </c>
      <c r="D182" s="33" t="s">
        <v>436</v>
      </c>
      <c r="E182" s="35" t="s">
        <v>140</v>
      </c>
      <c r="F182" s="38" t="b">
        <v>1</v>
      </c>
      <c r="G182" s="39" t="str">
        <f t="array" ref="G182">_xlfn.XLOOKUP($B182, DB[samplingPoint], DB[noLocation])</f>
        <v>WATER SYSTEM (B12)</v>
      </c>
      <c r="H182" s="33" t="s">
        <v>437</v>
      </c>
      <c r="I182" s="40" t="str">
        <f t="array" ref="I182">_xlfn.XLOOKUP($B182, DB[samplingPoint], DB[location])</f>
        <v>After Storage tank (B12)</v>
      </c>
      <c r="J182" s="39" t="str">
        <f t="array" ref="J182">_xlfn.XLOOKUP($B182, DB[samplingPoint], DB[waterType])</f>
        <v>PW</v>
      </c>
      <c r="K182" s="43">
        <f t="shared" si="12"/>
        <v>46197</v>
      </c>
      <c r="L182" s="26">
        <v>46200.0</v>
      </c>
      <c r="M182" s="32">
        <v>0.0</v>
      </c>
      <c r="N182" s="32">
        <v>0.0</v>
      </c>
      <c r="O182" s="32">
        <f t="shared" si="10"/>
        <v>0</v>
      </c>
      <c r="P182" s="49"/>
      <c r="Q182" s="49"/>
      <c r="R182" s="32">
        <f t="array" ref="R182">_xlfn.XLOOKUP($B182, DB[samplingPoint], DB[Criteria])</f>
        <v>100</v>
      </c>
      <c r="S182" s="50" t="str">
        <f t="shared" si="3"/>
        <v>PASSED</v>
      </c>
      <c r="T182" s="38" t="b">
        <v>0</v>
      </c>
      <c r="U182" s="39"/>
      <c r="V182" s="32" t="s">
        <v>304</v>
      </c>
    </row>
    <row r="183" ht="22.5" customHeight="1">
      <c r="A183" s="26">
        <v>46196.0</v>
      </c>
      <c r="B183" s="58" t="s">
        <v>438</v>
      </c>
      <c r="C183" s="32" t="str">
        <f t="array" ref="C183">_xlfn.XLOOKUP(B183, DB[samplingPoint], DB[samplingTag])</f>
        <v>SV135.02</v>
      </c>
      <c r="D183" s="33" t="s">
        <v>436</v>
      </c>
      <c r="E183" s="35" t="s">
        <v>140</v>
      </c>
      <c r="F183" s="38" t="b">
        <v>1</v>
      </c>
      <c r="G183" s="39" t="str">
        <f t="array" ref="G183">_xlfn.XLOOKUP($B183, DB[samplingPoint], DB[noLocation])</f>
        <v>WATER SYSTEM (B12)</v>
      </c>
      <c r="H183" s="33" t="s">
        <v>437</v>
      </c>
      <c r="I183" s="40" t="str">
        <f t="array" ref="I183">_xlfn.XLOOKUP($B183, DB[samplingPoint], DB[location])</f>
        <v>After UV (B12)</v>
      </c>
      <c r="J183" s="39" t="str">
        <f t="array" ref="J183">_xlfn.XLOOKUP($B183, DB[samplingPoint], DB[waterType])</f>
        <v>PW</v>
      </c>
      <c r="K183" s="43">
        <f t="shared" si="12"/>
        <v>46197</v>
      </c>
      <c r="L183" s="26">
        <v>46200.0</v>
      </c>
      <c r="M183" s="32">
        <v>0.0</v>
      </c>
      <c r="N183" s="32">
        <v>0.0</v>
      </c>
      <c r="O183" s="32">
        <f t="shared" si="10"/>
        <v>0</v>
      </c>
      <c r="P183" s="49"/>
      <c r="Q183" s="49"/>
      <c r="R183" s="32">
        <f t="array" ref="R183">_xlfn.XLOOKUP($B183, DB[samplingPoint], DB[Criteria])</f>
        <v>100</v>
      </c>
      <c r="S183" s="50" t="str">
        <f t="shared" si="3"/>
        <v>PASSED</v>
      </c>
      <c r="T183" s="38" t="b">
        <v>0</v>
      </c>
      <c r="U183" s="39"/>
      <c r="V183" s="32" t="s">
        <v>304</v>
      </c>
    </row>
    <row r="184" ht="22.5" customHeight="1">
      <c r="A184" s="26">
        <v>46196.0</v>
      </c>
      <c r="B184" s="27" t="s">
        <v>430</v>
      </c>
      <c r="C184" s="32" t="str">
        <f t="array" ref="C184">_xlfn.XLOOKUP(B184, DB[samplingPoint], DB[samplingTag])</f>
        <v>SV137.01</v>
      </c>
      <c r="D184" s="33" t="s">
        <v>436</v>
      </c>
      <c r="E184" s="35" t="s">
        <v>140</v>
      </c>
      <c r="F184" s="38" t="b">
        <v>1</v>
      </c>
      <c r="G184" s="39" t="str">
        <f t="array" ref="G184">_xlfn.XLOOKUP($B184, DB[samplingPoint], DB[noLocation])</f>
        <v>WATER SYSTEM (B12)</v>
      </c>
      <c r="H184" s="33" t="s">
        <v>437</v>
      </c>
      <c r="I184" s="40" t="str">
        <f t="array" ref="I184">_xlfn.XLOOKUP($B184, DB[samplingPoint], DB[location])</f>
        <v>Return loop (B12)</v>
      </c>
      <c r="J184" s="39" t="str">
        <f t="array" ref="J184">_xlfn.XLOOKUP($B184, DB[samplingPoint], DB[waterType])</f>
        <v>PW</v>
      </c>
      <c r="K184" s="43">
        <f t="shared" si="12"/>
        <v>46197</v>
      </c>
      <c r="L184" s="26">
        <v>46200.0</v>
      </c>
      <c r="M184" s="32">
        <v>0.0</v>
      </c>
      <c r="N184" s="32">
        <v>0.0</v>
      </c>
      <c r="O184" s="32">
        <f t="shared" si="10"/>
        <v>0</v>
      </c>
      <c r="P184" s="49"/>
      <c r="Q184" s="49"/>
      <c r="R184" s="32">
        <f t="array" ref="R184">_xlfn.XLOOKUP($B184, DB[samplingPoint], DB[Criteria])</f>
        <v>100</v>
      </c>
      <c r="S184" s="50" t="str">
        <f t="shared" si="3"/>
        <v>PASSED</v>
      </c>
      <c r="T184" s="38" t="b">
        <v>0</v>
      </c>
      <c r="U184" s="39"/>
      <c r="V184" s="32" t="s">
        <v>304</v>
      </c>
    </row>
    <row r="185" ht="22.5" customHeight="1">
      <c r="A185" s="26">
        <v>46196.0</v>
      </c>
      <c r="B185" s="27" t="s">
        <v>443</v>
      </c>
      <c r="C185" s="32" t="str">
        <f t="array" ref="C185">_xlfn.XLOOKUP(B185, DB[samplingPoint], DB[samplingTag])</f>
        <v>SV136.09</v>
      </c>
      <c r="D185" s="33" t="s">
        <v>436</v>
      </c>
      <c r="E185" s="35" t="s">
        <v>140</v>
      </c>
      <c r="F185" s="38" t="b">
        <v>1</v>
      </c>
      <c r="G185" s="39" t="str">
        <f t="array" ref="G185">_xlfn.XLOOKUP($B185, DB[samplingPoint], DB[noLocation])</f>
        <v>12-2-039</v>
      </c>
      <c r="H185" s="33" t="s">
        <v>437</v>
      </c>
      <c r="I185" s="40" t="str">
        <f t="array" ref="I185">_xlfn.XLOOKUP($B185, DB[samplingPoint], DB[location])</f>
        <v>MFG 1</v>
      </c>
      <c r="J185" s="39" t="str">
        <f t="array" ref="J185">_xlfn.XLOOKUP($B185, DB[samplingPoint], DB[waterType])</f>
        <v>PW</v>
      </c>
      <c r="K185" s="43">
        <f t="shared" si="12"/>
        <v>46197</v>
      </c>
      <c r="L185" s="26">
        <v>46200.0</v>
      </c>
      <c r="M185" s="32">
        <v>0.0</v>
      </c>
      <c r="N185" s="32">
        <v>0.0</v>
      </c>
      <c r="O185" s="32">
        <f t="shared" si="10"/>
        <v>0</v>
      </c>
      <c r="P185" s="49"/>
      <c r="Q185" s="49"/>
      <c r="R185" s="32">
        <f t="array" ref="R185">_xlfn.XLOOKUP($B185, DB[samplingPoint], DB[Criteria])</f>
        <v>100</v>
      </c>
      <c r="S185" s="50" t="str">
        <f t="shared" si="3"/>
        <v>PASSED</v>
      </c>
      <c r="T185" s="38" t="b">
        <v>0</v>
      </c>
      <c r="U185" s="39"/>
      <c r="V185" s="32" t="s">
        <v>304</v>
      </c>
    </row>
    <row r="186" ht="22.5" customHeight="1">
      <c r="A186" s="26">
        <v>46196.0</v>
      </c>
      <c r="B186" s="58" t="s">
        <v>445</v>
      </c>
      <c r="C186" s="32" t="str">
        <f t="array" ref="C186">_xlfn.XLOOKUP(B186, DB[samplingPoint], DB[samplingTag])</f>
        <v>SV136.10</v>
      </c>
      <c r="D186" s="33" t="s">
        <v>436</v>
      </c>
      <c r="E186" s="35" t="s">
        <v>140</v>
      </c>
      <c r="F186" s="38" t="b">
        <v>1</v>
      </c>
      <c r="G186" s="39" t="str">
        <f t="array" ref="G186">_xlfn.XLOOKUP($B186, DB[samplingPoint], DB[noLocation])</f>
        <v>12-2-041</v>
      </c>
      <c r="H186" s="33" t="s">
        <v>437</v>
      </c>
      <c r="I186" s="40" t="str">
        <f t="array" ref="I186">_xlfn.XLOOKUP($B186, DB[samplingPoint], DB[location])</f>
        <v>MFG 2</v>
      </c>
      <c r="J186" s="39" t="str">
        <f t="array" ref="J186">_xlfn.XLOOKUP($B186, DB[samplingPoint], DB[waterType])</f>
        <v>PW</v>
      </c>
      <c r="K186" s="43">
        <f t="shared" si="12"/>
        <v>46197</v>
      </c>
      <c r="L186" s="26">
        <v>46200.0</v>
      </c>
      <c r="M186" s="32">
        <v>0.0</v>
      </c>
      <c r="N186" s="32">
        <v>0.0</v>
      </c>
      <c r="O186" s="32">
        <f t="shared" si="10"/>
        <v>0</v>
      </c>
      <c r="P186" s="49"/>
      <c r="Q186" s="49"/>
      <c r="R186" s="32">
        <f t="array" ref="R186">_xlfn.XLOOKUP($B186, DB[samplingPoint], DB[Criteria])</f>
        <v>100</v>
      </c>
      <c r="S186" s="50" t="str">
        <f t="shared" si="3"/>
        <v>PASSED</v>
      </c>
      <c r="T186" s="38" t="b">
        <v>0</v>
      </c>
      <c r="U186" s="39"/>
      <c r="V186" s="32" t="s">
        <v>304</v>
      </c>
    </row>
    <row r="187" ht="22.5" customHeight="1">
      <c r="A187" s="26">
        <v>46196.0</v>
      </c>
      <c r="B187" s="27" t="s">
        <v>449</v>
      </c>
      <c r="C187" s="32" t="str">
        <f t="array" ref="C187">_xlfn.XLOOKUP(B187, DB[samplingPoint], DB[samplingTag])</f>
        <v>SV136.11</v>
      </c>
      <c r="D187" s="33" t="s">
        <v>436</v>
      </c>
      <c r="E187" s="35" t="s">
        <v>140</v>
      </c>
      <c r="F187" s="38" t="b">
        <v>1</v>
      </c>
      <c r="G187" s="39" t="str">
        <f t="array" ref="G187">_xlfn.XLOOKUP($B187, DB[samplingPoint], DB[noLocation])</f>
        <v>12-2-043</v>
      </c>
      <c r="H187" s="33" t="s">
        <v>437</v>
      </c>
      <c r="I187" s="40" t="str">
        <f t="array" ref="I187">_xlfn.XLOOKUP($B187, DB[samplingPoint], DB[location])</f>
        <v>MFG 3</v>
      </c>
      <c r="J187" s="39" t="str">
        <f t="array" ref="J187">_xlfn.XLOOKUP($B187, DB[samplingPoint], DB[waterType])</f>
        <v>PW</v>
      </c>
      <c r="K187" s="43">
        <f t="shared" si="12"/>
        <v>46197</v>
      </c>
      <c r="L187" s="26">
        <v>46200.0</v>
      </c>
      <c r="M187" s="32">
        <v>0.0</v>
      </c>
      <c r="N187" s="32">
        <v>0.0</v>
      </c>
      <c r="O187" s="32">
        <f t="shared" si="10"/>
        <v>0</v>
      </c>
      <c r="P187" s="49"/>
      <c r="Q187" s="49"/>
      <c r="R187" s="32">
        <f t="array" ref="R187">_xlfn.XLOOKUP($B187, DB[samplingPoint], DB[Criteria])</f>
        <v>100</v>
      </c>
      <c r="S187" s="50" t="str">
        <f t="shared" si="3"/>
        <v>PASSED</v>
      </c>
      <c r="T187" s="38" t="b">
        <v>0</v>
      </c>
      <c r="U187" s="39"/>
      <c r="V187" s="32" t="s">
        <v>304</v>
      </c>
    </row>
    <row r="188" ht="22.5" customHeight="1">
      <c r="A188" s="26">
        <v>46196.0</v>
      </c>
      <c r="B188" s="58" t="s">
        <v>453</v>
      </c>
      <c r="C188" s="32" t="str">
        <f t="array" ref="C188">_xlfn.XLOOKUP(B188, DB[samplingPoint], DB[samplingTag])</f>
        <v>SV136.13</v>
      </c>
      <c r="D188" s="33" t="s">
        <v>436</v>
      </c>
      <c r="E188" s="35" t="s">
        <v>140</v>
      </c>
      <c r="F188" s="38" t="b">
        <v>1</v>
      </c>
      <c r="G188" s="39" t="str">
        <f t="array" ref="G188">_xlfn.XLOOKUP($B188, DB[samplingPoint], DB[noLocation])</f>
        <v>12-2-043</v>
      </c>
      <c r="H188" s="33" t="s">
        <v>437</v>
      </c>
      <c r="I188" s="40" t="str">
        <f t="array" ref="I188">_xlfn.XLOOKUP($B188, DB[samplingPoint], DB[location])</f>
        <v>MFG 3</v>
      </c>
      <c r="J188" s="39" t="str">
        <f t="array" ref="J188">_xlfn.XLOOKUP($B188, DB[samplingPoint], DB[waterType])</f>
        <v>PW</v>
      </c>
      <c r="K188" s="43">
        <f t="shared" si="12"/>
        <v>46197</v>
      </c>
      <c r="L188" s="26">
        <v>46200.0</v>
      </c>
      <c r="M188" s="32">
        <v>0.0</v>
      </c>
      <c r="N188" s="32">
        <v>0.0</v>
      </c>
      <c r="O188" s="32">
        <f t="shared" si="10"/>
        <v>0</v>
      </c>
      <c r="P188" s="49"/>
      <c r="Q188" s="49"/>
      <c r="R188" s="32">
        <f t="array" ref="R188">_xlfn.XLOOKUP($B188, DB[samplingPoint], DB[Criteria])</f>
        <v>100</v>
      </c>
      <c r="S188" s="50" t="str">
        <f t="shared" si="3"/>
        <v>PASSED</v>
      </c>
      <c r="T188" s="38" t="b">
        <v>0</v>
      </c>
      <c r="U188" s="39"/>
      <c r="V188" s="32" t="s">
        <v>304</v>
      </c>
    </row>
    <row r="189" ht="22.5" customHeight="1">
      <c r="A189" s="26">
        <v>46196.0</v>
      </c>
      <c r="B189" s="48" t="s">
        <v>455</v>
      </c>
      <c r="C189" s="32" t="str">
        <f t="array" ref="C189">_xlfn.XLOOKUP(B189, DB[samplingPoint], DB[samplingTag])</f>
        <v>SV136.08</v>
      </c>
      <c r="D189" s="33" t="s">
        <v>436</v>
      </c>
      <c r="E189" s="35" t="s">
        <v>140</v>
      </c>
      <c r="F189" s="38" t="b">
        <v>1</v>
      </c>
      <c r="G189" s="39" t="str">
        <f t="array" ref="G189">_xlfn.XLOOKUP($B189, DB[samplingPoint], DB[noLocation])</f>
        <v>12-2-043</v>
      </c>
      <c r="H189" s="33" t="s">
        <v>437</v>
      </c>
      <c r="I189" s="40" t="str">
        <f t="array" ref="I189">_xlfn.XLOOKUP($B189, DB[samplingPoint], DB[location])</f>
        <v>MFG 3</v>
      </c>
      <c r="J189" s="39" t="str">
        <f t="array" ref="J189">_xlfn.XLOOKUP($B189, DB[samplingPoint], DB[waterType])</f>
        <v>PW</v>
      </c>
      <c r="K189" s="43">
        <f t="shared" si="12"/>
        <v>46197</v>
      </c>
      <c r="L189" s="26">
        <v>46200.0</v>
      </c>
      <c r="M189" s="32">
        <v>0.0</v>
      </c>
      <c r="N189" s="32">
        <v>0.0</v>
      </c>
      <c r="O189" s="32">
        <f t="shared" si="10"/>
        <v>0</v>
      </c>
      <c r="P189" s="49"/>
      <c r="Q189" s="49"/>
      <c r="R189" s="32">
        <f t="array" ref="R189">_xlfn.XLOOKUP($B189, DB[samplingPoint], DB[Criteria])</f>
        <v>100</v>
      </c>
      <c r="S189" s="50" t="str">
        <f t="shared" si="3"/>
        <v>PASSED</v>
      </c>
      <c r="T189" s="38" t="b">
        <v>0</v>
      </c>
      <c r="U189" s="39"/>
      <c r="V189" s="32" t="s">
        <v>304</v>
      </c>
    </row>
    <row r="190" ht="22.5" customHeight="1">
      <c r="A190" s="26">
        <v>46196.0</v>
      </c>
      <c r="B190" s="48" t="s">
        <v>458</v>
      </c>
      <c r="C190" s="32" t="str">
        <f t="array" ref="C190">_xlfn.XLOOKUP(B190, DB[samplingPoint], DB[samplingTag])</f>
        <v>SV136.14</v>
      </c>
      <c r="D190" s="33" t="s">
        <v>436</v>
      </c>
      <c r="E190" s="35" t="s">
        <v>140</v>
      </c>
      <c r="F190" s="38" t="b">
        <v>1</v>
      </c>
      <c r="G190" s="39" t="str">
        <f t="array" ref="G190">_xlfn.XLOOKUP($B190, DB[samplingPoint], DB[noLocation])</f>
        <v>12-2-045</v>
      </c>
      <c r="H190" s="33" t="s">
        <v>437</v>
      </c>
      <c r="I190" s="40" t="str">
        <f t="array" ref="I190">_xlfn.XLOOKUP($B190, DB[samplingPoint], DB[location])</f>
        <v>MFG 4</v>
      </c>
      <c r="J190" s="39" t="str">
        <f t="array" ref="J190">_xlfn.XLOOKUP($B190, DB[samplingPoint], DB[waterType])</f>
        <v>PW</v>
      </c>
      <c r="K190" s="43">
        <f t="shared" si="12"/>
        <v>46197</v>
      </c>
      <c r="L190" s="26">
        <v>46200.0</v>
      </c>
      <c r="M190" s="32">
        <v>0.0</v>
      </c>
      <c r="N190" s="32">
        <v>0.0</v>
      </c>
      <c r="O190" s="32">
        <f t="shared" si="10"/>
        <v>0</v>
      </c>
      <c r="P190" s="49"/>
      <c r="Q190" s="49"/>
      <c r="R190" s="32">
        <f t="array" ref="R190">_xlfn.XLOOKUP($B190, DB[samplingPoint], DB[Criteria])</f>
        <v>100</v>
      </c>
      <c r="S190" s="50" t="str">
        <f t="shared" si="3"/>
        <v>PASSED</v>
      </c>
      <c r="T190" s="38" t="b">
        <v>0</v>
      </c>
      <c r="U190" s="39"/>
      <c r="V190" s="32" t="s">
        <v>304</v>
      </c>
    </row>
    <row r="191" ht="22.5" customHeight="1">
      <c r="A191" s="26">
        <v>46196.0</v>
      </c>
      <c r="B191" s="48" t="s">
        <v>460</v>
      </c>
      <c r="C191" s="32" t="str">
        <f t="array" ref="C191">_xlfn.XLOOKUP(B191, DB[samplingPoint], DB[samplingTag])</f>
        <v>SV136.02</v>
      </c>
      <c r="D191" s="33" t="s">
        <v>436</v>
      </c>
      <c r="E191" s="35" t="s">
        <v>140</v>
      </c>
      <c r="F191" s="38" t="b">
        <v>1</v>
      </c>
      <c r="G191" s="39" t="str">
        <f t="array" ref="G191">_xlfn.XLOOKUP($B191, DB[samplingPoint], DB[noLocation])</f>
        <v>12-2-024</v>
      </c>
      <c r="H191" s="33" t="s">
        <v>437</v>
      </c>
      <c r="I191" s="40" t="str">
        <f t="array" ref="I191">_xlfn.XLOOKUP($B191, DB[samplingPoint], DB[location])</f>
        <v>LIQUORICE EXTRACT</v>
      </c>
      <c r="J191" s="39" t="str">
        <f t="array" ref="J191">_xlfn.XLOOKUP($B191, DB[samplingPoint], DB[waterType])</f>
        <v>PW</v>
      </c>
      <c r="K191" s="43">
        <f t="shared" si="12"/>
        <v>46197</v>
      </c>
      <c r="L191" s="26">
        <v>46200.0</v>
      </c>
      <c r="M191" s="32">
        <v>0.0</v>
      </c>
      <c r="N191" s="32">
        <v>0.0</v>
      </c>
      <c r="O191" s="32">
        <f t="shared" si="10"/>
        <v>0</v>
      </c>
      <c r="P191" s="49"/>
      <c r="Q191" s="49"/>
      <c r="R191" s="32">
        <f t="array" ref="R191">_xlfn.XLOOKUP($B191, DB[samplingPoint], DB[Criteria])</f>
        <v>100</v>
      </c>
      <c r="S191" s="50" t="str">
        <f t="shared" si="3"/>
        <v>PASSED</v>
      </c>
      <c r="T191" s="38" t="b">
        <v>0</v>
      </c>
      <c r="U191" s="39"/>
      <c r="V191" s="32" t="s">
        <v>304</v>
      </c>
    </row>
    <row r="192" ht="22.5" customHeight="1">
      <c r="A192" s="26">
        <v>46196.0</v>
      </c>
      <c r="B192" s="48" t="s">
        <v>463</v>
      </c>
      <c r="C192" s="32" t="str">
        <f t="array" ref="C192">_xlfn.XLOOKUP(B192, DB[samplingPoint], DB[samplingTag])</f>
        <v>DV136.08</v>
      </c>
      <c r="D192" s="33" t="s">
        <v>436</v>
      </c>
      <c r="E192" s="35" t="s">
        <v>140</v>
      </c>
      <c r="F192" s="38" t="b">
        <v>1</v>
      </c>
      <c r="G192" s="39" t="str">
        <f t="array" ref="G192">_xlfn.XLOOKUP($B192, DB[samplingPoint], DB[noLocation])</f>
        <v>12-3-042</v>
      </c>
      <c r="H192" s="33" t="s">
        <v>437</v>
      </c>
      <c r="I192" s="40" t="str">
        <f t="array" ref="I192">_xlfn.XLOOKUP($B192, DB[samplingPoint], DB[location])</f>
        <v>SAMPLE PREPARATION</v>
      </c>
      <c r="J192" s="39" t="str">
        <f t="array" ref="J192">_xlfn.XLOOKUP($B192, DB[samplingPoint], DB[waterType])</f>
        <v>PW</v>
      </c>
      <c r="K192" s="43">
        <f t="shared" si="12"/>
        <v>46197</v>
      </c>
      <c r="L192" s="26">
        <v>46200.0</v>
      </c>
      <c r="M192" s="32">
        <v>2.0</v>
      </c>
      <c r="N192" s="32">
        <v>5.0</v>
      </c>
      <c r="O192" s="32">
        <f t="shared" si="10"/>
        <v>4</v>
      </c>
      <c r="P192" s="49"/>
      <c r="Q192" s="49"/>
      <c r="R192" s="32">
        <f t="array" ref="R192">_xlfn.XLOOKUP($B192, DB[samplingPoint], DB[Criteria])</f>
        <v>100</v>
      </c>
      <c r="S192" s="50" t="str">
        <f t="shared" si="3"/>
        <v>PASSED</v>
      </c>
      <c r="T192" s="38" t="b">
        <v>0</v>
      </c>
      <c r="U192" s="39"/>
      <c r="V192" s="32" t="s">
        <v>304</v>
      </c>
    </row>
    <row r="193" ht="22.5" customHeight="1">
      <c r="A193" s="26">
        <v>46196.0</v>
      </c>
      <c r="B193" s="48" t="s">
        <v>465</v>
      </c>
      <c r="C193" s="32" t="str">
        <f t="array" ref="C193">_xlfn.XLOOKUP(B193, DB[samplingPoint], DB[samplingTag])</f>
        <v>DV136.09</v>
      </c>
      <c r="D193" s="33" t="s">
        <v>436</v>
      </c>
      <c r="E193" s="35" t="s">
        <v>140</v>
      </c>
      <c r="F193" s="38" t="b">
        <v>1</v>
      </c>
      <c r="G193" s="39" t="str">
        <f t="array" ref="G193">_xlfn.XLOOKUP($B193, DB[samplingPoint], DB[noLocation])</f>
        <v>12-3-042</v>
      </c>
      <c r="H193" s="33" t="s">
        <v>437</v>
      </c>
      <c r="I193" s="40" t="str">
        <f t="array" ref="I193">_xlfn.XLOOKUP($B193, DB[samplingPoint], DB[location])</f>
        <v>SAMPLE PREPARATION</v>
      </c>
      <c r="J193" s="39" t="str">
        <f t="array" ref="J193">_xlfn.XLOOKUP($B193, DB[samplingPoint], DB[waterType])</f>
        <v>PW</v>
      </c>
      <c r="K193" s="43">
        <f t="shared" si="12"/>
        <v>46197</v>
      </c>
      <c r="L193" s="26">
        <v>46200.0</v>
      </c>
      <c r="M193" s="32">
        <v>37.0</v>
      </c>
      <c r="N193" s="32">
        <v>6.0</v>
      </c>
      <c r="O193" s="32">
        <f t="shared" si="10"/>
        <v>22</v>
      </c>
      <c r="P193" s="49" t="s">
        <v>871</v>
      </c>
      <c r="R193" s="32">
        <f t="array" ref="R193">_xlfn.XLOOKUP($B193, DB[samplingPoint], DB[Criteria])</f>
        <v>100</v>
      </c>
      <c r="S193" s="50" t="str">
        <f t="shared" si="3"/>
        <v>PASSED</v>
      </c>
      <c r="T193" s="38" t="b">
        <v>0</v>
      </c>
      <c r="U193" s="39"/>
      <c r="V193" s="32" t="s">
        <v>304</v>
      </c>
    </row>
    <row r="194" ht="22.5" customHeight="1">
      <c r="A194" s="26">
        <v>46199.0</v>
      </c>
      <c r="B194" s="27" t="s">
        <v>380</v>
      </c>
      <c r="C194" s="32" t="str">
        <f t="array" ref="C194">_xlfn.XLOOKUP(B194, DB[samplingPoint], DB[samplingTag])</f>
        <v>SV113.01</v>
      </c>
      <c r="D194" s="33" t="s">
        <v>436</v>
      </c>
      <c r="E194" s="35" t="s">
        <v>142</v>
      </c>
      <c r="F194" s="38" t="b">
        <v>1</v>
      </c>
      <c r="G194" s="39" t="str">
        <f t="array" ref="G194">_xlfn.XLOOKUP($B194, DB[samplingPoint], DB[noLocation])</f>
        <v>WATER SYSTEM (B10)</v>
      </c>
      <c r="H194" s="33" t="s">
        <v>180</v>
      </c>
      <c r="I194" s="40" t="str">
        <f t="array" ref="I194">_xlfn.XLOOKUP($B194, DB[samplingPoint], DB[location])</f>
        <v>After Storage tank (B10)</v>
      </c>
      <c r="J194" s="39" t="str">
        <f t="array" ref="J194">_xlfn.XLOOKUP($B194, DB[samplingPoint], DB[waterType])</f>
        <v>PW</v>
      </c>
      <c r="K194" s="43">
        <f t="shared" ref="K194:K245" si="13">$A194+0</f>
        <v>46199</v>
      </c>
      <c r="L194" s="26">
        <v>46179.0</v>
      </c>
      <c r="M194" s="32">
        <v>0.0</v>
      </c>
      <c r="N194" s="32">
        <v>0.0</v>
      </c>
      <c r="O194" s="32">
        <f t="shared" si="10"/>
        <v>0</v>
      </c>
      <c r="P194" s="49"/>
      <c r="Q194" s="49"/>
      <c r="R194" s="32">
        <f t="array" ref="R194">_xlfn.XLOOKUP($B194, DB[samplingPoint], DB[Criteria])</f>
        <v>100</v>
      </c>
      <c r="S194" s="50" t="str">
        <f t="shared" si="3"/>
        <v>PASSED</v>
      </c>
      <c r="T194" s="38" t="b">
        <v>0</v>
      </c>
      <c r="U194" s="39"/>
      <c r="V194" s="32" t="s">
        <v>304</v>
      </c>
    </row>
    <row r="195" ht="22.5" customHeight="1">
      <c r="A195" s="26">
        <v>46199.0</v>
      </c>
      <c r="B195" s="58" t="s">
        <v>385</v>
      </c>
      <c r="C195" s="32" t="str">
        <f t="array" ref="C195">_xlfn.XLOOKUP(B195, DB[samplingPoint], DB[samplingTag])</f>
        <v>SV115.02</v>
      </c>
      <c r="D195" s="33" t="s">
        <v>436</v>
      </c>
      <c r="E195" s="35" t="s">
        <v>142</v>
      </c>
      <c r="F195" s="38" t="b">
        <v>1</v>
      </c>
      <c r="G195" s="39" t="str">
        <f t="array" ref="G195">_xlfn.XLOOKUP($B195, DB[samplingPoint], DB[noLocation])</f>
        <v>WATER SYSTEM (B10)</v>
      </c>
      <c r="H195" s="33" t="s">
        <v>180</v>
      </c>
      <c r="I195" s="40" t="str">
        <f t="array" ref="I195">_xlfn.XLOOKUP($B195, DB[samplingPoint], DB[location])</f>
        <v>After UV (B10)</v>
      </c>
      <c r="J195" s="39" t="str">
        <f t="array" ref="J195">_xlfn.XLOOKUP($B195, DB[samplingPoint], DB[waterType])</f>
        <v>PW</v>
      </c>
      <c r="K195" s="43">
        <f t="shared" si="13"/>
        <v>46199</v>
      </c>
      <c r="L195" s="26">
        <v>46202.0</v>
      </c>
      <c r="M195" s="32">
        <v>0.0</v>
      </c>
      <c r="N195" s="32">
        <v>0.0</v>
      </c>
      <c r="O195" s="32">
        <f t="shared" si="10"/>
        <v>0</v>
      </c>
      <c r="P195" s="49"/>
      <c r="Q195" s="49"/>
      <c r="R195" s="32">
        <f t="array" ref="R195">_xlfn.XLOOKUP($B195, DB[samplingPoint], DB[Criteria])</f>
        <v>100</v>
      </c>
      <c r="S195" s="50" t="str">
        <f t="shared" si="3"/>
        <v>PASSED</v>
      </c>
      <c r="T195" s="38" t="b">
        <v>0</v>
      </c>
      <c r="U195" s="39"/>
      <c r="V195" s="32" t="s">
        <v>304</v>
      </c>
    </row>
    <row r="196" ht="22.5" customHeight="1">
      <c r="A196" s="26">
        <v>46199.0</v>
      </c>
      <c r="B196" s="27" t="s">
        <v>390</v>
      </c>
      <c r="C196" s="32" t="str">
        <f t="array" ref="C196">_xlfn.XLOOKUP(B196, DB[samplingPoint], DB[samplingTag])</f>
        <v>SV117.01</v>
      </c>
      <c r="D196" s="33" t="s">
        <v>436</v>
      </c>
      <c r="E196" s="35" t="s">
        <v>142</v>
      </c>
      <c r="F196" s="38" t="b">
        <v>1</v>
      </c>
      <c r="G196" s="39" t="str">
        <f t="array" ref="G196">_xlfn.XLOOKUP($B196, DB[samplingPoint], DB[noLocation])</f>
        <v>WATER SYSTEM (B10)</v>
      </c>
      <c r="H196" s="33" t="s">
        <v>180</v>
      </c>
      <c r="I196" s="40" t="str">
        <f t="array" ref="I196">_xlfn.XLOOKUP($B196, DB[samplingPoint], DB[location])</f>
        <v>Return loop (B10)</v>
      </c>
      <c r="J196" s="39" t="str">
        <f t="array" ref="J196">_xlfn.XLOOKUP($B196, DB[samplingPoint], DB[waterType])</f>
        <v>PW</v>
      </c>
      <c r="K196" s="43">
        <f t="shared" si="13"/>
        <v>46199</v>
      </c>
      <c r="L196" s="26">
        <v>46202.0</v>
      </c>
      <c r="M196" s="32">
        <v>0.0</v>
      </c>
      <c r="N196" s="32">
        <v>0.0</v>
      </c>
      <c r="O196" s="32">
        <f t="shared" si="10"/>
        <v>0</v>
      </c>
      <c r="P196" s="49"/>
      <c r="Q196" s="49"/>
      <c r="R196" s="32">
        <f t="array" ref="R196">_xlfn.XLOOKUP($B196, DB[samplingPoint], DB[Criteria])</f>
        <v>100</v>
      </c>
      <c r="S196" s="50" t="str">
        <f t="shared" si="3"/>
        <v>PASSED</v>
      </c>
      <c r="T196" s="38" t="b">
        <v>0</v>
      </c>
      <c r="U196" s="39"/>
      <c r="V196" s="32" t="s">
        <v>304</v>
      </c>
    </row>
    <row r="197" ht="22.5" customHeight="1">
      <c r="A197" s="26">
        <v>46199.0</v>
      </c>
      <c r="B197" s="58" t="s">
        <v>491</v>
      </c>
      <c r="C197" s="32" t="str">
        <f t="array" ref="C197">_xlfn.XLOOKUP(B197, DB[samplingPoint], DB[samplingTag])</f>
        <v>SV116.15</v>
      </c>
      <c r="D197" s="33" t="s">
        <v>436</v>
      </c>
      <c r="E197" s="35" t="s">
        <v>142</v>
      </c>
      <c r="F197" s="38" t="b">
        <v>1</v>
      </c>
      <c r="G197" s="39" t="str">
        <f t="array" ref="G197">_xlfn.XLOOKUP($B197, DB[samplingPoint], DB[noLocation])</f>
        <v>10-4-012</v>
      </c>
      <c r="H197" s="33" t="s">
        <v>180</v>
      </c>
      <c r="I197" s="40" t="str">
        <f t="array" ref="I197">_xlfn.XLOOKUP($B197, DB[samplingPoint], DB[location])</f>
        <v>CIP SKID-1 FOR BIN WASHING-1</v>
      </c>
      <c r="J197" s="39" t="str">
        <f t="array" ref="J197">_xlfn.XLOOKUP($B197, DB[samplingPoint], DB[waterType])</f>
        <v>PW</v>
      </c>
      <c r="K197" s="43">
        <f t="shared" si="13"/>
        <v>46199</v>
      </c>
      <c r="L197" s="26">
        <v>46202.0</v>
      </c>
      <c r="M197" s="32">
        <v>0.0</v>
      </c>
      <c r="N197" s="32">
        <v>0.0</v>
      </c>
      <c r="O197" s="32">
        <f t="shared" si="10"/>
        <v>0</v>
      </c>
      <c r="P197" s="49"/>
      <c r="Q197" s="49"/>
      <c r="R197" s="32">
        <f t="array" ref="R197">_xlfn.XLOOKUP($B197, DB[samplingPoint], DB[Criteria])</f>
        <v>100</v>
      </c>
      <c r="S197" s="50" t="str">
        <f t="shared" si="3"/>
        <v>PASSED</v>
      </c>
      <c r="T197" s="38" t="b">
        <v>0</v>
      </c>
      <c r="U197" s="39"/>
      <c r="V197" s="32" t="s">
        <v>304</v>
      </c>
    </row>
    <row r="198" ht="22.5" customHeight="1">
      <c r="A198" s="26">
        <v>46199.0</v>
      </c>
      <c r="B198" s="27" t="s">
        <v>493</v>
      </c>
      <c r="C198" s="32" t="str">
        <f t="array" ref="C198">_xlfn.XLOOKUP(B198, DB[samplingPoint], DB[samplingTag])</f>
        <v>SV116.16</v>
      </c>
      <c r="D198" s="33" t="s">
        <v>436</v>
      </c>
      <c r="E198" s="35" t="s">
        <v>142</v>
      </c>
      <c r="F198" s="38" t="b">
        <v>1</v>
      </c>
      <c r="G198" s="39" t="str">
        <f t="array" ref="G198">_xlfn.XLOOKUP($B198, DB[samplingPoint], DB[noLocation])</f>
        <v>10-4-012</v>
      </c>
      <c r="H198" s="33" t="s">
        <v>180</v>
      </c>
      <c r="I198" s="40" t="str">
        <f t="array" ref="I198">_xlfn.XLOOKUP($B198, DB[samplingPoint], DB[location])</f>
        <v>WIP SKID-3 FOR GRANULATION POTENT</v>
      </c>
      <c r="J198" s="39" t="str">
        <f t="array" ref="J198">_xlfn.XLOOKUP($B198, DB[samplingPoint], DB[waterType])</f>
        <v>PW</v>
      </c>
      <c r="K198" s="43">
        <f t="shared" si="13"/>
        <v>46199</v>
      </c>
      <c r="L198" s="26">
        <v>46202.0</v>
      </c>
      <c r="M198" s="32">
        <v>0.0</v>
      </c>
      <c r="N198" s="32">
        <v>0.0</v>
      </c>
      <c r="O198" s="32">
        <f t="shared" si="10"/>
        <v>0</v>
      </c>
      <c r="P198" s="49"/>
      <c r="Q198" s="49"/>
      <c r="R198" s="32">
        <f t="array" ref="R198">_xlfn.XLOOKUP($B198, DB[samplingPoint], DB[Criteria])</f>
        <v>100</v>
      </c>
      <c r="S198" s="50" t="str">
        <f t="shared" si="3"/>
        <v>PASSED</v>
      </c>
      <c r="T198" s="38" t="b">
        <v>0</v>
      </c>
      <c r="U198" s="39"/>
      <c r="V198" s="32" t="s">
        <v>304</v>
      </c>
    </row>
    <row r="199" ht="22.5" customHeight="1">
      <c r="A199" s="26">
        <v>46199.0</v>
      </c>
      <c r="B199" s="58" t="s">
        <v>494</v>
      </c>
      <c r="C199" s="32" t="str">
        <f t="array" ref="C199">_xlfn.XLOOKUP(B199, DB[samplingPoint], DB[samplingTag])</f>
        <v>SV116.17</v>
      </c>
      <c r="D199" s="33" t="s">
        <v>436</v>
      </c>
      <c r="E199" s="35" t="s">
        <v>142</v>
      </c>
      <c r="F199" s="38" t="b">
        <v>1</v>
      </c>
      <c r="G199" s="39" t="str">
        <f t="array" ref="G199">_xlfn.XLOOKUP($B199, DB[samplingPoint], DB[noLocation])</f>
        <v>10-4-012</v>
      </c>
      <c r="H199" s="33" t="s">
        <v>180</v>
      </c>
      <c r="I199" s="40" t="str">
        <f t="array" ref="I199">_xlfn.XLOOKUP($B199, DB[samplingPoint], DB[location])</f>
        <v>CIP SKID-2 FOR BIN WASHING-1</v>
      </c>
      <c r="J199" s="39" t="str">
        <f t="array" ref="J199">_xlfn.XLOOKUP($B199, DB[samplingPoint], DB[waterType])</f>
        <v>PW</v>
      </c>
      <c r="K199" s="43">
        <f t="shared" si="13"/>
        <v>46199</v>
      </c>
      <c r="L199" s="26">
        <v>46202.0</v>
      </c>
      <c r="M199" s="32">
        <v>0.0</v>
      </c>
      <c r="N199" s="32">
        <v>0.0</v>
      </c>
      <c r="O199" s="32">
        <f t="shared" si="10"/>
        <v>0</v>
      </c>
      <c r="P199" s="49"/>
      <c r="Q199" s="49"/>
      <c r="R199" s="32">
        <f t="array" ref="R199">_xlfn.XLOOKUP($B199, DB[samplingPoint], DB[Criteria])</f>
        <v>100</v>
      </c>
      <c r="S199" s="50" t="str">
        <f t="shared" si="3"/>
        <v>PASSED</v>
      </c>
      <c r="T199" s="38" t="b">
        <v>0</v>
      </c>
      <c r="U199" s="39"/>
      <c r="V199" s="32" t="s">
        <v>304</v>
      </c>
    </row>
    <row r="200" ht="22.5" customHeight="1">
      <c r="A200" s="26">
        <v>46199.0</v>
      </c>
      <c r="B200" s="27" t="s">
        <v>495</v>
      </c>
      <c r="C200" s="32" t="str">
        <f t="array" ref="C200">_xlfn.XLOOKUP(B200, DB[samplingPoint], DB[samplingTag])</f>
        <v>SV116.18</v>
      </c>
      <c r="D200" s="33" t="s">
        <v>436</v>
      </c>
      <c r="E200" s="35" t="s">
        <v>142</v>
      </c>
      <c r="F200" s="38" t="b">
        <v>1</v>
      </c>
      <c r="G200" s="39" t="str">
        <f t="array" ref="G200">_xlfn.XLOOKUP($B200, DB[samplingPoint], DB[noLocation])</f>
        <v>10-4-012</v>
      </c>
      <c r="H200" s="33" t="s">
        <v>180</v>
      </c>
      <c r="I200" s="40" t="str">
        <f t="array" ref="I200">_xlfn.XLOOKUP($B200, DB[samplingPoint], DB[location])</f>
        <v>WIP SKID-1 FOR GRANULATION NON POTENT</v>
      </c>
      <c r="J200" s="39" t="str">
        <f t="array" ref="J200">_xlfn.XLOOKUP($B200, DB[samplingPoint], DB[waterType])</f>
        <v>PW</v>
      </c>
      <c r="K200" s="43">
        <f t="shared" si="13"/>
        <v>46199</v>
      </c>
      <c r="L200" s="26">
        <v>46202.0</v>
      </c>
      <c r="M200" s="32">
        <v>0.0</v>
      </c>
      <c r="N200" s="32">
        <v>0.0</v>
      </c>
      <c r="O200" s="32">
        <f t="shared" si="10"/>
        <v>0</v>
      </c>
      <c r="P200" s="49"/>
      <c r="Q200" s="49"/>
      <c r="R200" s="32">
        <f t="array" ref="R200">_xlfn.XLOOKUP($B200, DB[samplingPoint], DB[Criteria])</f>
        <v>100</v>
      </c>
      <c r="S200" s="50" t="str">
        <f t="shared" si="3"/>
        <v>PASSED</v>
      </c>
      <c r="T200" s="38" t="b">
        <v>0</v>
      </c>
      <c r="U200" s="39"/>
      <c r="V200" s="32" t="s">
        <v>304</v>
      </c>
    </row>
    <row r="201" ht="22.5" customHeight="1">
      <c r="A201" s="26">
        <v>46199.0</v>
      </c>
      <c r="B201" s="58" t="s">
        <v>496</v>
      </c>
      <c r="C201" s="32" t="str">
        <f t="array" ref="C201">_xlfn.XLOOKUP(B201, DB[samplingPoint], DB[samplingTag])</f>
        <v>SV116.19</v>
      </c>
      <c r="D201" s="33" t="s">
        <v>436</v>
      </c>
      <c r="E201" s="35" t="s">
        <v>142</v>
      </c>
      <c r="F201" s="38" t="b">
        <v>1</v>
      </c>
      <c r="G201" s="39" t="str">
        <f t="array" ref="G201">_xlfn.XLOOKUP($B201, DB[samplingPoint], DB[noLocation])</f>
        <v>10-4-012</v>
      </c>
      <c r="H201" s="33" t="s">
        <v>180</v>
      </c>
      <c r="I201" s="40" t="str">
        <f t="array" ref="I201">_xlfn.XLOOKUP($B201, DB[samplingPoint], DB[location])</f>
        <v>WIP SKID-2 FOR GRANULATION NON POTENT</v>
      </c>
      <c r="J201" s="39" t="str">
        <f t="array" ref="J201">_xlfn.XLOOKUP($B201, DB[samplingPoint], DB[waterType])</f>
        <v>PW</v>
      </c>
      <c r="K201" s="43">
        <f t="shared" si="13"/>
        <v>46199</v>
      </c>
      <c r="L201" s="26">
        <v>46202.0</v>
      </c>
      <c r="M201" s="32">
        <v>0.0</v>
      </c>
      <c r="N201" s="32">
        <v>0.0</v>
      </c>
      <c r="O201" s="32">
        <f t="shared" si="10"/>
        <v>0</v>
      </c>
      <c r="P201" s="49"/>
      <c r="Q201" s="49"/>
      <c r="R201" s="32">
        <f t="array" ref="R201">_xlfn.XLOOKUP($B201, DB[samplingPoint], DB[Criteria])</f>
        <v>100</v>
      </c>
      <c r="S201" s="50" t="str">
        <f t="shared" si="3"/>
        <v>PASSED</v>
      </c>
      <c r="T201" s="38" t="b">
        <v>0</v>
      </c>
      <c r="U201" s="39"/>
      <c r="V201" s="32" t="s">
        <v>304</v>
      </c>
    </row>
    <row r="202" ht="22.5" customHeight="1">
      <c r="A202" s="26">
        <v>46199.0</v>
      </c>
      <c r="B202" s="27" t="s">
        <v>498</v>
      </c>
      <c r="C202" s="32" t="str">
        <f t="array" ref="C202">_xlfn.XLOOKUP(B202, DB[samplingPoint], DB[samplingTag])</f>
        <v>SV116.02</v>
      </c>
      <c r="D202" s="33" t="s">
        <v>436</v>
      </c>
      <c r="E202" s="35" t="s">
        <v>142</v>
      </c>
      <c r="F202" s="38" t="b">
        <v>1</v>
      </c>
      <c r="G202" s="39" t="str">
        <f t="array" ref="G202">_xlfn.XLOOKUP($B202, DB[samplingPoint], DB[noLocation])</f>
        <v>10-2-037</v>
      </c>
      <c r="H202" s="33" t="s">
        <v>180</v>
      </c>
      <c r="I202" s="40" t="str">
        <f t="array" ref="I202">_xlfn.XLOOKUP($B202, DB[samplingPoint], DB[location])</f>
        <v>SKID FOR BIN WASHING-2</v>
      </c>
      <c r="J202" s="39" t="str">
        <f t="array" ref="J202">_xlfn.XLOOKUP($B202, DB[samplingPoint], DB[waterType])</f>
        <v>PW</v>
      </c>
      <c r="K202" s="43">
        <f t="shared" si="13"/>
        <v>46199</v>
      </c>
      <c r="L202" s="26">
        <v>46202.0</v>
      </c>
      <c r="M202" s="32">
        <v>0.0</v>
      </c>
      <c r="N202" s="32">
        <v>0.0</v>
      </c>
      <c r="O202" s="32">
        <f t="shared" si="10"/>
        <v>0</v>
      </c>
      <c r="P202" s="49"/>
      <c r="Q202" s="49"/>
      <c r="R202" s="32">
        <f t="array" ref="R202">_xlfn.XLOOKUP($B202, DB[samplingPoint], DB[Criteria])</f>
        <v>100</v>
      </c>
      <c r="S202" s="50" t="str">
        <f t="shared" si="3"/>
        <v>PASSED</v>
      </c>
      <c r="T202" s="38" t="b">
        <v>0</v>
      </c>
      <c r="U202" s="39"/>
      <c r="V202" s="32" t="s">
        <v>304</v>
      </c>
    </row>
    <row r="203" ht="22.5" customHeight="1">
      <c r="A203" s="26">
        <v>46199.0</v>
      </c>
      <c r="B203" s="58" t="s">
        <v>499</v>
      </c>
      <c r="C203" s="32" t="str">
        <f t="array" ref="C203">_xlfn.XLOOKUP(B203, DB[samplingPoint], DB[samplingTag])</f>
        <v>SV116.01</v>
      </c>
      <c r="D203" s="33" t="s">
        <v>436</v>
      </c>
      <c r="E203" s="35" t="s">
        <v>142</v>
      </c>
      <c r="F203" s="38" t="b">
        <v>1</v>
      </c>
      <c r="G203" s="39" t="str">
        <f t="array" ref="G203">_xlfn.XLOOKUP($B203, DB[samplingPoint], DB[noLocation])</f>
        <v>10-2-021</v>
      </c>
      <c r="H203" s="33" t="s">
        <v>180</v>
      </c>
      <c r="I203" s="40" t="str">
        <f t="array" ref="I203">_xlfn.XLOOKUP($B203, DB[samplingPoint], DB[location])</f>
        <v>INSTRUMENT-1</v>
      </c>
      <c r="J203" s="39" t="str">
        <f t="array" ref="J203">_xlfn.XLOOKUP($B203, DB[samplingPoint], DB[waterType])</f>
        <v>PW</v>
      </c>
      <c r="K203" s="43">
        <f t="shared" si="13"/>
        <v>46199</v>
      </c>
      <c r="L203" s="26">
        <v>46202.0</v>
      </c>
      <c r="M203" s="32">
        <v>0.0</v>
      </c>
      <c r="N203" s="32">
        <v>0.0</v>
      </c>
      <c r="O203" s="32">
        <f t="shared" si="10"/>
        <v>0</v>
      </c>
      <c r="P203" s="49"/>
      <c r="Q203" s="49"/>
      <c r="R203" s="32">
        <f t="array" ref="R203">_xlfn.XLOOKUP($B203, DB[samplingPoint], DB[Criteria])</f>
        <v>100</v>
      </c>
      <c r="S203" s="50" t="str">
        <f t="shared" si="3"/>
        <v>PASSED</v>
      </c>
      <c r="T203" s="38" t="b">
        <v>0</v>
      </c>
      <c r="U203" s="39"/>
      <c r="V203" s="32" t="s">
        <v>304</v>
      </c>
    </row>
    <row r="204" ht="22.5" customHeight="1">
      <c r="A204" s="26">
        <v>46199.0</v>
      </c>
      <c r="B204" s="48" t="s">
        <v>502</v>
      </c>
      <c r="C204" s="32" t="str">
        <f t="array" ref="C204">_xlfn.XLOOKUP(B204, DB[samplingPoint], DB[samplingTag])</f>
        <v>DV116.26</v>
      </c>
      <c r="D204" s="33" t="s">
        <v>436</v>
      </c>
      <c r="E204" s="35" t="s">
        <v>142</v>
      </c>
      <c r="F204" s="38" t="b">
        <v>1</v>
      </c>
      <c r="G204" s="39" t="str">
        <f t="array" ref="G204">_xlfn.XLOOKUP($B204, DB[samplingPoint], DB[noLocation])</f>
        <v>10-4-015</v>
      </c>
      <c r="H204" s="33" t="s">
        <v>180</v>
      </c>
      <c r="I204" s="40" t="str">
        <f t="array" ref="I204">_xlfn.XLOOKUP($B204, DB[samplingPoint], DB[location])</f>
        <v>WATER SYSTEM ROOM</v>
      </c>
      <c r="J204" s="39" t="str">
        <f t="array" ref="J204">_xlfn.XLOOKUP($B204, DB[samplingPoint], DB[waterType])</f>
        <v>PW</v>
      </c>
      <c r="K204" s="43">
        <f t="shared" si="13"/>
        <v>46199</v>
      </c>
      <c r="L204" s="26">
        <v>46202.0</v>
      </c>
      <c r="M204" s="32">
        <v>0.0</v>
      </c>
      <c r="N204" s="32">
        <v>0.0</v>
      </c>
      <c r="O204" s="32">
        <f t="shared" si="10"/>
        <v>0</v>
      </c>
      <c r="P204" s="49"/>
      <c r="Q204" s="49"/>
      <c r="R204" s="32">
        <f t="array" ref="R204">_xlfn.XLOOKUP($B204, DB[samplingPoint], DB[Criteria])</f>
        <v>100</v>
      </c>
      <c r="S204" s="50" t="str">
        <f t="shared" si="3"/>
        <v>PASSED</v>
      </c>
      <c r="T204" s="38" t="b">
        <v>0</v>
      </c>
      <c r="U204" s="39"/>
      <c r="V204" s="32" t="s">
        <v>304</v>
      </c>
    </row>
    <row r="205" ht="22.5" customHeight="1">
      <c r="A205" s="26">
        <v>46204.0</v>
      </c>
      <c r="B205" s="113" t="s">
        <v>444</v>
      </c>
      <c r="C205" s="32" t="str">
        <f t="array" ref="C205">_xlfn.XLOOKUP(B205, DB[samplingPoint], DB[samplingTag])</f>
        <v>VB-05 (12)</v>
      </c>
      <c r="D205" s="33" t="s">
        <v>375</v>
      </c>
      <c r="E205" s="35" t="s">
        <v>161</v>
      </c>
      <c r="F205" s="38" t="b">
        <v>1</v>
      </c>
      <c r="G205" s="39" t="str">
        <f t="array" ref="G205">_xlfn.XLOOKUP($B205, DB[samplingPoint], DB[noLocation])</f>
        <v>WATER SYSTEM (B12)</v>
      </c>
      <c r="H205" s="33" t="s">
        <v>437</v>
      </c>
      <c r="I205" s="40" t="str">
        <f t="array" ref="I205">_xlfn.XLOOKUP($B205, DB[samplingPoint], DB[location])</f>
        <v>After Chlorine circulation tank</v>
      </c>
      <c r="J205" s="39" t="str">
        <f t="array" ref="J205">_xlfn.XLOOKUP($B205, DB[samplingPoint], DB[waterType])</f>
        <v>PRW</v>
      </c>
      <c r="K205" s="43">
        <f t="shared" si="13"/>
        <v>46204</v>
      </c>
      <c r="L205" s="26">
        <v>46209.0</v>
      </c>
      <c r="M205" s="32">
        <v>675.0</v>
      </c>
      <c r="N205" s="32">
        <v>500.0</v>
      </c>
      <c r="O205" s="96">
        <f t="shared" si="10"/>
        <v>588</v>
      </c>
      <c r="P205" s="49" t="s">
        <v>959</v>
      </c>
      <c r="R205" s="32">
        <f t="array" ref="R205">_xlfn.XLOOKUP($B205, DB[samplingPoint], DB[Criteria])</f>
        <v>500</v>
      </c>
      <c r="S205" s="50" t="str">
        <f t="shared" si="3"/>
        <v>NOT-PASSED</v>
      </c>
      <c r="T205" s="38" t="b">
        <v>0</v>
      </c>
      <c r="U205" s="39"/>
      <c r="V205" s="32" t="s">
        <v>304</v>
      </c>
    </row>
    <row r="206" ht="22.5" customHeight="1">
      <c r="A206" s="26">
        <v>46204.0</v>
      </c>
      <c r="B206" s="58" t="s">
        <v>442</v>
      </c>
      <c r="C206" s="32" t="str">
        <f t="array" ref="C206">_xlfn.XLOOKUP(B206, DB[samplingPoint], DB[samplingTag])</f>
        <v>V50-61 (12)</v>
      </c>
      <c r="D206" s="33" t="s">
        <v>375</v>
      </c>
      <c r="E206" s="35" t="s">
        <v>161</v>
      </c>
      <c r="F206" s="38" t="b">
        <v>1</v>
      </c>
      <c r="G206" s="39" t="str">
        <f t="array" ref="G206">_xlfn.XLOOKUP($B206, DB[samplingPoint], DB[noLocation])</f>
        <v>WATER SYSTEM (B12)</v>
      </c>
      <c r="H206" s="33" t="s">
        <v>437</v>
      </c>
      <c r="I206" s="40" t="str">
        <f t="array" ref="I206">_xlfn.XLOOKUP($B206, DB[samplingPoint], DB[location])</f>
        <v>After Cartridge filter 5 µm (B12)</v>
      </c>
      <c r="J206" s="39" t="str">
        <f t="array" ref="J206">_xlfn.XLOOKUP($B206, DB[samplingPoint], DB[waterType])</f>
        <v>PRW</v>
      </c>
      <c r="K206" s="43">
        <f t="shared" si="13"/>
        <v>46204</v>
      </c>
      <c r="L206" s="26">
        <v>46209.0</v>
      </c>
      <c r="M206" s="32">
        <v>215.0</v>
      </c>
      <c r="N206" s="32">
        <v>408.0</v>
      </c>
      <c r="O206" s="32">
        <f t="shared" si="10"/>
        <v>312</v>
      </c>
      <c r="P206" s="49"/>
      <c r="Q206" s="49"/>
      <c r="R206" s="32">
        <f t="array" ref="R206">_xlfn.XLOOKUP($B206, DB[samplingPoint], DB[Criteria])</f>
        <v>500</v>
      </c>
      <c r="S206" s="50" t="str">
        <f t="shared" si="3"/>
        <v>PASSED</v>
      </c>
      <c r="T206" s="38" t="b">
        <v>0</v>
      </c>
      <c r="U206" s="39"/>
      <c r="V206" s="32" t="s">
        <v>304</v>
      </c>
    </row>
    <row r="207" ht="22.5" customHeight="1">
      <c r="A207" s="26">
        <v>46204.0</v>
      </c>
      <c r="B207" s="27" t="s">
        <v>434</v>
      </c>
      <c r="C207" s="32" t="str">
        <f t="array" ref="C207">_xlfn.XLOOKUP(B207, DB[samplingPoint], DB[samplingTag])</f>
        <v>V50-11C (12)</v>
      </c>
      <c r="D207" s="33" t="s">
        <v>375</v>
      </c>
      <c r="E207" s="35" t="s">
        <v>161</v>
      </c>
      <c r="F207" s="38" t="b">
        <v>1</v>
      </c>
      <c r="G207" s="39" t="str">
        <f t="array" ref="G207">_xlfn.XLOOKUP($B207, DB[samplingPoint], DB[noLocation])</f>
        <v>WATER SYSTEM (B12)</v>
      </c>
      <c r="H207" s="33" t="s">
        <v>437</v>
      </c>
      <c r="I207" s="40" t="str">
        <f t="array" ref="I207">_xlfn.XLOOKUP($B207, DB[samplingPoint], DB[location])</f>
        <v>After RO (Before EDI) (B12)</v>
      </c>
      <c r="J207" s="39" t="str">
        <f t="array" ref="J207">_xlfn.XLOOKUP($B207, DB[samplingPoint], DB[waterType])</f>
        <v>RO water</v>
      </c>
      <c r="K207" s="43">
        <f t="shared" si="13"/>
        <v>46204</v>
      </c>
      <c r="L207" s="26">
        <v>46209.0</v>
      </c>
      <c r="M207" s="32">
        <v>0.0</v>
      </c>
      <c r="N207" s="32">
        <v>0.0</v>
      </c>
      <c r="O207" s="32">
        <f t="shared" si="10"/>
        <v>0</v>
      </c>
      <c r="P207" s="49"/>
      <c r="Q207" s="49"/>
      <c r="R207" s="32">
        <f t="array" ref="R207">_xlfn.XLOOKUP($B207, DB[samplingPoint], DB[Criteria])</f>
        <v>500</v>
      </c>
      <c r="S207" s="50" t="str">
        <f t="shared" si="3"/>
        <v>PASSED</v>
      </c>
      <c r="T207" s="38" t="b">
        <v>0</v>
      </c>
      <c r="U207" s="39"/>
      <c r="V207" s="32" t="s">
        <v>304</v>
      </c>
    </row>
    <row r="208" ht="22.5" customHeight="1">
      <c r="A208" s="26">
        <v>46204.0</v>
      </c>
      <c r="B208" s="58" t="s">
        <v>440</v>
      </c>
      <c r="C208" s="32" t="str">
        <f t="array" ref="C208">_xlfn.XLOOKUP(B208, DB[samplingPoint], DB[samplingTag])</f>
        <v>V50-39 (12)</v>
      </c>
      <c r="D208" s="33" t="s">
        <v>375</v>
      </c>
      <c r="E208" s="35" t="s">
        <v>161</v>
      </c>
      <c r="F208" s="38" t="b">
        <v>1</v>
      </c>
      <c r="G208" s="39" t="str">
        <f t="array" ref="G208">_xlfn.XLOOKUP($B208, DB[samplingPoint], DB[noLocation])</f>
        <v>WATER SYSTEM (B12)</v>
      </c>
      <c r="H208" s="33" t="s">
        <v>437</v>
      </c>
      <c r="I208" s="40" t="str">
        <f t="array" ref="I208">_xlfn.XLOOKUP($B208, DB[samplingPoint], DB[location])</f>
        <v>After EDI (B12)</v>
      </c>
      <c r="J208" s="39" t="str">
        <f t="array" ref="J208">_xlfn.XLOOKUP($B208, DB[samplingPoint], DB[waterType])</f>
        <v>PW</v>
      </c>
      <c r="K208" s="43">
        <f t="shared" si="13"/>
        <v>46204</v>
      </c>
      <c r="L208" s="26">
        <v>46209.0</v>
      </c>
      <c r="M208" s="32">
        <v>0.0</v>
      </c>
      <c r="N208" s="32">
        <v>0.0</v>
      </c>
      <c r="O208" s="32">
        <f t="shared" si="10"/>
        <v>0</v>
      </c>
      <c r="P208" s="49"/>
      <c r="Q208" s="49"/>
      <c r="R208" s="32">
        <f t="array" ref="R208">_xlfn.XLOOKUP($B208, DB[samplingPoint], DB[Criteria])</f>
        <v>100</v>
      </c>
      <c r="S208" s="50" t="str">
        <f t="shared" si="3"/>
        <v>PASSED</v>
      </c>
      <c r="T208" s="38" t="b">
        <v>0</v>
      </c>
      <c r="U208" s="39"/>
      <c r="V208" s="32" t="s">
        <v>304</v>
      </c>
    </row>
    <row r="209" ht="22.5" customHeight="1">
      <c r="A209" s="26">
        <v>46204.0</v>
      </c>
      <c r="B209" s="27" t="s">
        <v>430</v>
      </c>
      <c r="C209" s="32" t="str">
        <f t="array" ref="C209">_xlfn.XLOOKUP(B209, DB[samplingPoint], DB[samplingTag])</f>
        <v>SV137.01</v>
      </c>
      <c r="D209" s="33" t="s">
        <v>375</v>
      </c>
      <c r="E209" s="35" t="s">
        <v>161</v>
      </c>
      <c r="F209" s="38" t="b">
        <v>1</v>
      </c>
      <c r="G209" s="39" t="str">
        <f t="array" ref="G209">_xlfn.XLOOKUP($B209, DB[samplingPoint], DB[noLocation])</f>
        <v>WATER SYSTEM (B12)</v>
      </c>
      <c r="H209" s="33" t="s">
        <v>437</v>
      </c>
      <c r="I209" s="40" t="str">
        <f t="array" ref="I209">_xlfn.XLOOKUP($B209, DB[samplingPoint], DB[location])</f>
        <v>Return loop (B12)</v>
      </c>
      <c r="J209" s="39" t="str">
        <f t="array" ref="J209">_xlfn.XLOOKUP($B209, DB[samplingPoint], DB[waterType])</f>
        <v>PW</v>
      </c>
      <c r="K209" s="43">
        <f t="shared" si="13"/>
        <v>46204</v>
      </c>
      <c r="L209" s="26">
        <v>46209.0</v>
      </c>
      <c r="M209" s="32">
        <v>0.0</v>
      </c>
      <c r="N209" s="32">
        <v>0.0</v>
      </c>
      <c r="O209" s="32">
        <f t="shared" si="10"/>
        <v>0</v>
      </c>
      <c r="P209" s="49"/>
      <c r="Q209" s="49"/>
      <c r="R209" s="32">
        <f t="array" ref="R209">_xlfn.XLOOKUP($B209, DB[samplingPoint], DB[Criteria])</f>
        <v>100</v>
      </c>
      <c r="S209" s="50" t="str">
        <f t="shared" si="3"/>
        <v>PASSED</v>
      </c>
      <c r="T209" s="38" t="b">
        <v>0</v>
      </c>
      <c r="U209" s="39"/>
      <c r="V209" s="32" t="s">
        <v>304</v>
      </c>
    </row>
    <row r="210" ht="22.5" customHeight="1">
      <c r="A210" s="26">
        <v>46204.0</v>
      </c>
      <c r="B210" s="58" t="s">
        <v>419</v>
      </c>
      <c r="C210" s="32" t="str">
        <f t="array" ref="C210">_xlfn.XLOOKUP(B210, DB[samplingPoint], DB[samplingTag])</f>
        <v>DV136.15</v>
      </c>
      <c r="D210" s="33" t="s">
        <v>375</v>
      </c>
      <c r="E210" s="35" t="s">
        <v>161</v>
      </c>
      <c r="F210" s="38" t="b">
        <v>1</v>
      </c>
      <c r="G210" s="39" t="str">
        <f t="array" ref="G210">_xlfn.XLOOKUP($B210, DB[samplingPoint], DB[noLocation])</f>
        <v>12-3-078</v>
      </c>
      <c r="H210" s="33" t="s">
        <v>437</v>
      </c>
      <c r="I210" s="40" t="str">
        <f t="array" ref="I210">_xlfn.XLOOKUP($B210, DB[samplingPoint], DB[location])</f>
        <v>GLASSWARE WASHING 2</v>
      </c>
      <c r="J210" s="39" t="str">
        <f t="array" ref="J210">_xlfn.XLOOKUP($B210, DB[samplingPoint], DB[waterType])</f>
        <v>PW</v>
      </c>
      <c r="K210" s="43">
        <f t="shared" si="13"/>
        <v>46204</v>
      </c>
      <c r="L210" s="26">
        <v>46209.0</v>
      </c>
      <c r="M210" s="32">
        <v>0.0</v>
      </c>
      <c r="N210" s="32">
        <v>0.0</v>
      </c>
      <c r="O210" s="32">
        <f t="shared" si="10"/>
        <v>0</v>
      </c>
      <c r="P210" s="49"/>
      <c r="Q210" s="49"/>
      <c r="R210" s="32">
        <f t="array" ref="R210">_xlfn.XLOOKUP($B210, DB[samplingPoint], DB[Criteria])</f>
        <v>100</v>
      </c>
      <c r="S210" s="50" t="str">
        <f t="shared" si="3"/>
        <v>PASSED</v>
      </c>
      <c r="T210" s="38" t="b">
        <v>0</v>
      </c>
      <c r="U210" s="39"/>
      <c r="V210" s="32" t="s">
        <v>304</v>
      </c>
    </row>
    <row r="211" ht="22.5" customHeight="1">
      <c r="A211" s="26">
        <v>46204.0</v>
      </c>
      <c r="B211" s="27" t="s">
        <v>409</v>
      </c>
      <c r="C211" s="32" t="str">
        <f t="array" ref="C211">_xlfn.XLOOKUP(B211, DB[samplingPoint], DB[samplingTag])</f>
        <v>DV136.13</v>
      </c>
      <c r="D211" s="33" t="s">
        <v>375</v>
      </c>
      <c r="E211" s="35" t="s">
        <v>161</v>
      </c>
      <c r="F211" s="38" t="b">
        <v>1</v>
      </c>
      <c r="G211" s="39" t="str">
        <f t="array" ref="G211">_xlfn.XLOOKUP($B211, DB[samplingPoint], DB[noLocation])</f>
        <v>12-3-057</v>
      </c>
      <c r="H211" s="33" t="s">
        <v>437</v>
      </c>
      <c r="I211" s="40" t="str">
        <f t="array" ref="I211">_xlfn.XLOOKUP($B211, DB[samplingPoint], DB[location])</f>
        <v>STERILIZATION</v>
      </c>
      <c r="J211" s="39" t="str">
        <f t="array" ref="J211">_xlfn.XLOOKUP($B211, DB[samplingPoint], DB[waterType])</f>
        <v>PW</v>
      </c>
      <c r="K211" s="43">
        <f t="shared" si="13"/>
        <v>46204</v>
      </c>
      <c r="L211" s="26">
        <v>46209.0</v>
      </c>
      <c r="M211" s="32">
        <v>0.0</v>
      </c>
      <c r="N211" s="32">
        <v>0.0</v>
      </c>
      <c r="O211" s="32">
        <f t="shared" si="10"/>
        <v>0</v>
      </c>
      <c r="P211" s="49"/>
      <c r="Q211" s="49"/>
      <c r="R211" s="32">
        <f t="array" ref="R211">_xlfn.XLOOKUP($B211, DB[samplingPoint], DB[Criteria])</f>
        <v>100</v>
      </c>
      <c r="S211" s="50" t="str">
        <f t="shared" si="3"/>
        <v>PASSED</v>
      </c>
      <c r="T211" s="38" t="b">
        <v>0</v>
      </c>
      <c r="U211" s="39"/>
      <c r="V211" s="32" t="s">
        <v>304</v>
      </c>
    </row>
    <row r="212" ht="22.5" customHeight="1">
      <c r="A212" s="26">
        <v>46204.0</v>
      </c>
      <c r="B212" s="58" t="s">
        <v>427</v>
      </c>
      <c r="C212" s="32" t="str">
        <f t="array" ref="C212">_xlfn.XLOOKUP(B212, DB[samplingPoint], DB[samplingTag])</f>
        <v>SV136.18</v>
      </c>
      <c r="D212" s="33" t="s">
        <v>375</v>
      </c>
      <c r="E212" s="35" t="s">
        <v>161</v>
      </c>
      <c r="F212" s="38" t="b">
        <v>1</v>
      </c>
      <c r="G212" s="39" t="str">
        <f t="array" ref="G212">_xlfn.XLOOKUP($B212, DB[samplingPoint], DB[noLocation])</f>
        <v>12-3-059</v>
      </c>
      <c r="H212" s="33" t="s">
        <v>437</v>
      </c>
      <c r="I212" s="40" t="str">
        <f t="array" ref="I212">_xlfn.XLOOKUP($B212, DB[samplingPoint], DB[location])</f>
        <v>AUTOCLAVE</v>
      </c>
      <c r="J212" s="39" t="str">
        <f t="array" ref="J212">_xlfn.XLOOKUP($B212, DB[samplingPoint], DB[waterType])</f>
        <v>PW</v>
      </c>
      <c r="K212" s="43">
        <f t="shared" si="13"/>
        <v>46204</v>
      </c>
      <c r="L212" s="26">
        <v>46209.0</v>
      </c>
      <c r="M212" s="32">
        <v>0.0</v>
      </c>
      <c r="N212" s="32">
        <v>0.0</v>
      </c>
      <c r="O212" s="32">
        <f t="shared" si="10"/>
        <v>0</v>
      </c>
      <c r="P212" s="49"/>
      <c r="Q212" s="49"/>
      <c r="R212" s="32">
        <f t="array" ref="R212">_xlfn.XLOOKUP($B212, DB[samplingPoint], DB[Criteria])</f>
        <v>100</v>
      </c>
      <c r="S212" s="50" t="str">
        <f t="shared" si="3"/>
        <v>PASSED</v>
      </c>
      <c r="T212" s="38" t="b">
        <v>0</v>
      </c>
      <c r="U212" s="39"/>
      <c r="V212" s="32" t="s">
        <v>304</v>
      </c>
    </row>
    <row r="213" ht="22.5" customHeight="1">
      <c r="A213" s="26">
        <v>46204.0</v>
      </c>
      <c r="B213" s="27" t="s">
        <v>399</v>
      </c>
      <c r="C213" s="32" t="str">
        <f t="array" ref="C213">_xlfn.XLOOKUP(B213, DB[samplingPoint], DB[samplingTag])</f>
        <v>DV136.11</v>
      </c>
      <c r="D213" s="33" t="s">
        <v>375</v>
      </c>
      <c r="E213" s="35" t="s">
        <v>161</v>
      </c>
      <c r="F213" s="38" t="b">
        <v>1</v>
      </c>
      <c r="G213" s="39" t="str">
        <f t="array" ref="G213">_xlfn.XLOOKUP($B213, DB[samplingPoint], DB[noLocation])</f>
        <v>12-3-059</v>
      </c>
      <c r="H213" s="33" t="s">
        <v>437</v>
      </c>
      <c r="I213" s="40" t="str">
        <f t="array" ref="I213">_xlfn.XLOOKUP($B213, DB[samplingPoint], DB[location])</f>
        <v>AUTOCLAVE</v>
      </c>
      <c r="J213" s="39" t="str">
        <f t="array" ref="J213">_xlfn.XLOOKUP($B213, DB[samplingPoint], DB[waterType])</f>
        <v>PW</v>
      </c>
      <c r="K213" s="43">
        <f t="shared" si="13"/>
        <v>46204</v>
      </c>
      <c r="L213" s="26">
        <v>46209.0</v>
      </c>
      <c r="M213" s="32">
        <v>8.0</v>
      </c>
      <c r="N213" s="32">
        <v>13.0</v>
      </c>
      <c r="O213" s="193">
        <f t="shared" si="10"/>
        <v>11</v>
      </c>
      <c r="P213" s="49" t="s">
        <v>962</v>
      </c>
      <c r="R213" s="32">
        <f t="array" ref="R213">_xlfn.XLOOKUP($B213, DB[samplingPoint], DB[Criteria])</f>
        <v>100</v>
      </c>
      <c r="S213" s="50" t="str">
        <f t="shared" si="3"/>
        <v>PASSED</v>
      </c>
      <c r="T213" s="38" t="b">
        <v>0</v>
      </c>
      <c r="U213" s="39"/>
      <c r="V213" s="32" t="s">
        <v>304</v>
      </c>
    </row>
    <row r="214" ht="22.5" customHeight="1">
      <c r="A214" s="26">
        <v>46204.0</v>
      </c>
      <c r="B214" s="58" t="s">
        <v>405</v>
      </c>
      <c r="C214" s="32" t="str">
        <f t="array" ref="C214">_xlfn.XLOOKUP(B214, DB[samplingPoint], DB[samplingTag])</f>
        <v>DV136.12</v>
      </c>
      <c r="D214" s="33" t="s">
        <v>375</v>
      </c>
      <c r="E214" s="35" t="s">
        <v>161</v>
      </c>
      <c r="F214" s="38" t="b">
        <v>1</v>
      </c>
      <c r="G214" s="39" t="str">
        <f t="array" ref="G214">_xlfn.XLOOKUP($B214, DB[samplingPoint], DB[noLocation])</f>
        <v>12-3-056</v>
      </c>
      <c r="H214" s="33" t="s">
        <v>437</v>
      </c>
      <c r="I214" s="40" t="str">
        <f t="array" ref="I214">_xlfn.XLOOKUP($B214, DB[samplingPoint], DB[location])</f>
        <v>MEDIA PREPARATION</v>
      </c>
      <c r="J214" s="39" t="str">
        <f t="array" ref="J214">_xlfn.XLOOKUP($B214, DB[samplingPoint], DB[waterType])</f>
        <v>PW</v>
      </c>
      <c r="K214" s="43">
        <f t="shared" si="13"/>
        <v>46204</v>
      </c>
      <c r="L214" s="26">
        <v>46209.0</v>
      </c>
      <c r="M214" s="32">
        <v>0.0</v>
      </c>
      <c r="N214" s="32">
        <v>0.0</v>
      </c>
      <c r="O214" s="32">
        <f t="shared" si="10"/>
        <v>0</v>
      </c>
      <c r="P214" s="49"/>
      <c r="Q214" s="49"/>
      <c r="R214" s="32">
        <f t="array" ref="R214">_xlfn.XLOOKUP($B214, DB[samplingPoint], DB[Criteria])</f>
        <v>100</v>
      </c>
      <c r="S214" s="50" t="str">
        <f t="shared" si="3"/>
        <v>PASSED</v>
      </c>
      <c r="T214" s="38" t="b">
        <v>0</v>
      </c>
      <c r="U214" s="39"/>
      <c r="V214" s="32" t="s">
        <v>304</v>
      </c>
    </row>
    <row r="215" ht="22.5" customHeight="1">
      <c r="A215" s="26">
        <v>46204.0</v>
      </c>
      <c r="B215" s="27" t="s">
        <v>393</v>
      </c>
      <c r="C215" s="32" t="str">
        <f t="array" ref="C215">_xlfn.XLOOKUP(B215, DB[samplingPoint], DB[samplingTag])</f>
        <v>DV136.10</v>
      </c>
      <c r="D215" s="33" t="s">
        <v>375</v>
      </c>
      <c r="E215" s="35" t="s">
        <v>161</v>
      </c>
      <c r="F215" s="38" t="b">
        <v>1</v>
      </c>
      <c r="G215" s="39" t="str">
        <f t="array" ref="G215">_xlfn.XLOOKUP($B215, DB[samplingPoint], DB[noLocation])</f>
        <v>12-3-056</v>
      </c>
      <c r="H215" s="33" t="s">
        <v>437</v>
      </c>
      <c r="I215" s="40" t="str">
        <f t="array" ref="I215">_xlfn.XLOOKUP($B215, DB[samplingPoint], DB[location])</f>
        <v>MEDIA PREPARATION</v>
      </c>
      <c r="J215" s="39" t="str">
        <f t="array" ref="J215">_xlfn.XLOOKUP($B215, DB[samplingPoint], DB[waterType])</f>
        <v>PW</v>
      </c>
      <c r="K215" s="43">
        <f t="shared" si="13"/>
        <v>46204</v>
      </c>
      <c r="L215" s="26">
        <v>46209.0</v>
      </c>
      <c r="M215" s="32">
        <v>0.0</v>
      </c>
      <c r="N215" s="32">
        <v>0.0</v>
      </c>
      <c r="O215" s="32">
        <f t="shared" si="10"/>
        <v>0</v>
      </c>
      <c r="P215" s="49"/>
      <c r="Q215" s="49"/>
      <c r="R215" s="32">
        <f t="array" ref="R215">_xlfn.XLOOKUP($B215, DB[samplingPoint], DB[Criteria])</f>
        <v>100</v>
      </c>
      <c r="S215" s="50" t="str">
        <f t="shared" si="3"/>
        <v>PASSED</v>
      </c>
      <c r="T215" s="38" t="b">
        <v>0</v>
      </c>
      <c r="U215" s="39"/>
      <c r="V215" s="32" t="s">
        <v>304</v>
      </c>
    </row>
    <row r="216" ht="22.5" customHeight="1">
      <c r="A216" s="26">
        <v>46204.0</v>
      </c>
      <c r="B216" s="58" t="s">
        <v>413</v>
      </c>
      <c r="C216" s="32" t="str">
        <f t="array" ref="C216">_xlfn.XLOOKUP(B216, DB[samplingPoint], DB[samplingTag])</f>
        <v>DV136.14</v>
      </c>
      <c r="D216" s="33" t="s">
        <v>375</v>
      </c>
      <c r="E216" s="35" t="s">
        <v>161</v>
      </c>
      <c r="F216" s="38" t="b">
        <v>1</v>
      </c>
      <c r="G216" s="39" t="str">
        <f t="array" ref="G216">_xlfn.XLOOKUP($B216, DB[samplingPoint], DB[noLocation])</f>
        <v>12-3-074</v>
      </c>
      <c r="H216" s="33" t="s">
        <v>437</v>
      </c>
      <c r="I216" s="40" t="str">
        <f t="array" ref="I216">_xlfn.XLOOKUP($B216, DB[samplingPoint], DB[location])</f>
        <v>DECONTAMINATION</v>
      </c>
      <c r="J216" s="39" t="str">
        <f t="array" ref="J216">_xlfn.XLOOKUP($B216, DB[samplingPoint], DB[waterType])</f>
        <v>PW</v>
      </c>
      <c r="K216" s="43">
        <f t="shared" si="13"/>
        <v>46204</v>
      </c>
      <c r="L216" s="26">
        <v>46209.0</v>
      </c>
      <c r="M216" s="32">
        <v>0.0</v>
      </c>
      <c r="N216" s="32">
        <v>0.0</v>
      </c>
      <c r="O216" s="32">
        <f t="shared" si="10"/>
        <v>0</v>
      </c>
      <c r="P216" s="49"/>
      <c r="Q216" s="49"/>
      <c r="R216" s="32">
        <f t="array" ref="R216">_xlfn.XLOOKUP($B216, DB[samplingPoint], DB[Criteria])</f>
        <v>100</v>
      </c>
      <c r="S216" s="50" t="str">
        <f t="shared" si="3"/>
        <v>PASSED</v>
      </c>
      <c r="T216" s="38" t="b">
        <v>0</v>
      </c>
      <c r="U216" s="39"/>
      <c r="V216" s="32" t="s">
        <v>304</v>
      </c>
    </row>
    <row r="217" ht="22.5" customHeight="1">
      <c r="A217" s="26">
        <v>46204.0</v>
      </c>
      <c r="B217" s="27" t="s">
        <v>422</v>
      </c>
      <c r="C217" s="32" t="str">
        <f t="array" ref="C217">_xlfn.XLOOKUP(B217, DB[samplingPoint], DB[samplingTag])</f>
        <v>DV136.18</v>
      </c>
      <c r="D217" s="33" t="s">
        <v>375</v>
      </c>
      <c r="E217" s="35" t="s">
        <v>161</v>
      </c>
      <c r="F217" s="38" t="b">
        <v>1</v>
      </c>
      <c r="G217" s="39" t="str">
        <f t="array" ref="G217">_xlfn.XLOOKUP($B217, DB[samplingPoint], DB[noLocation])</f>
        <v>12-3-037</v>
      </c>
      <c r="H217" s="33" t="s">
        <v>437</v>
      </c>
      <c r="I217" s="40" t="str">
        <f t="array" ref="I217">_xlfn.XLOOKUP($B217, DB[samplingPoint], DB[location])</f>
        <v>GLASSWARE WASHING 1</v>
      </c>
      <c r="J217" s="39" t="str">
        <f t="array" ref="J217">_xlfn.XLOOKUP($B217, DB[samplingPoint], DB[waterType])</f>
        <v>PW</v>
      </c>
      <c r="K217" s="43">
        <f t="shared" si="13"/>
        <v>46204</v>
      </c>
      <c r="L217" s="26">
        <v>46209.0</v>
      </c>
      <c r="M217" s="32">
        <v>0.0</v>
      </c>
      <c r="N217" s="32">
        <v>0.0</v>
      </c>
      <c r="O217" s="32">
        <f t="shared" si="10"/>
        <v>0</v>
      </c>
      <c r="P217" s="49"/>
      <c r="Q217" s="49"/>
      <c r="R217" s="32">
        <f t="array" ref="R217">_xlfn.XLOOKUP($B217, DB[samplingPoint], DB[Criteria])</f>
        <v>100</v>
      </c>
      <c r="S217" s="50" t="str">
        <f t="shared" si="3"/>
        <v>PASSED</v>
      </c>
      <c r="T217" s="38" t="b">
        <v>0</v>
      </c>
      <c r="U217" s="39"/>
      <c r="V217" s="32" t="s">
        <v>304</v>
      </c>
    </row>
    <row r="218" ht="22.5" customHeight="1">
      <c r="A218" s="26">
        <v>46204.0</v>
      </c>
      <c r="B218" s="58" t="s">
        <v>373</v>
      </c>
      <c r="C218" s="32" t="str">
        <f t="array" ref="C218">_xlfn.XLOOKUP(B218, DB[samplingPoint], DB[samplingTag])</f>
        <v>DV136.05</v>
      </c>
      <c r="D218" s="33" t="s">
        <v>375</v>
      </c>
      <c r="E218" s="35" t="s">
        <v>161</v>
      </c>
      <c r="F218" s="38" t="b">
        <v>1</v>
      </c>
      <c r="G218" s="39" t="str">
        <f t="array" ref="G218">_xlfn.XLOOKUP($B218, DB[samplingPoint], DB[noLocation])</f>
        <v>12-3-037</v>
      </c>
      <c r="H218" s="33" t="s">
        <v>437</v>
      </c>
      <c r="I218" s="40" t="str">
        <f t="array" ref="I218">_xlfn.XLOOKUP($B218, DB[samplingPoint], DB[location])</f>
        <v>GLASSWARE WASHING 1</v>
      </c>
      <c r="J218" s="39" t="str">
        <f t="array" ref="J218">_xlfn.XLOOKUP($B218, DB[samplingPoint], DB[waterType])</f>
        <v>PW</v>
      </c>
      <c r="K218" s="43">
        <f t="shared" si="13"/>
        <v>46204</v>
      </c>
      <c r="L218" s="26">
        <v>46209.0</v>
      </c>
      <c r="M218" s="32">
        <v>0.0</v>
      </c>
      <c r="N218" s="32">
        <v>0.0</v>
      </c>
      <c r="O218" s="32">
        <f t="shared" si="10"/>
        <v>0</v>
      </c>
      <c r="P218" s="49"/>
      <c r="Q218" s="49"/>
      <c r="R218" s="32">
        <f t="array" ref="R218">_xlfn.XLOOKUP($B218, DB[samplingPoint], DB[Criteria])</f>
        <v>100</v>
      </c>
      <c r="S218" s="50" t="str">
        <f t="shared" si="3"/>
        <v>PASSED</v>
      </c>
      <c r="T218" s="38" t="b">
        <v>0</v>
      </c>
      <c r="U218" s="39"/>
      <c r="V218" s="32" t="s">
        <v>304</v>
      </c>
    </row>
    <row r="219" ht="22.5" customHeight="1">
      <c r="A219" s="26">
        <v>46204.0</v>
      </c>
      <c r="B219" s="27" t="s">
        <v>389</v>
      </c>
      <c r="C219" s="32" t="str">
        <f t="array" ref="C219">_xlfn.XLOOKUP(B219, DB[samplingPoint], DB[samplingTag])</f>
        <v>DV136.06</v>
      </c>
      <c r="D219" s="33" t="s">
        <v>375</v>
      </c>
      <c r="E219" s="35" t="s">
        <v>161</v>
      </c>
      <c r="F219" s="38" t="b">
        <v>1</v>
      </c>
      <c r="G219" s="39" t="str">
        <f t="array" ref="G219">_xlfn.XLOOKUP($B219, DB[samplingPoint], DB[noLocation])</f>
        <v>12-3-037</v>
      </c>
      <c r="H219" s="33" t="s">
        <v>437</v>
      </c>
      <c r="I219" s="40" t="str">
        <f t="array" ref="I219">_xlfn.XLOOKUP($B219, DB[samplingPoint], DB[location])</f>
        <v>GLASSWARE WASHING 1</v>
      </c>
      <c r="J219" s="39" t="str">
        <f t="array" ref="J219">_xlfn.XLOOKUP($B219, DB[samplingPoint], DB[waterType])</f>
        <v>PW</v>
      </c>
      <c r="K219" s="43">
        <f t="shared" si="13"/>
        <v>46204</v>
      </c>
      <c r="L219" s="26">
        <v>46209.0</v>
      </c>
      <c r="M219" s="32">
        <v>0.0</v>
      </c>
      <c r="N219" s="32">
        <v>0.0</v>
      </c>
      <c r="O219" s="32">
        <f t="shared" si="10"/>
        <v>0</v>
      </c>
      <c r="P219" s="49"/>
      <c r="Q219" s="49"/>
      <c r="R219" s="32">
        <f t="array" ref="R219">_xlfn.XLOOKUP($B219, DB[samplingPoint], DB[Criteria])</f>
        <v>100</v>
      </c>
      <c r="S219" s="50" t="str">
        <f t="shared" si="3"/>
        <v>PASSED</v>
      </c>
      <c r="T219" s="38" t="b">
        <v>0</v>
      </c>
      <c r="U219" s="39"/>
      <c r="V219" s="32" t="s">
        <v>304</v>
      </c>
    </row>
    <row r="220" ht="22.5" customHeight="1">
      <c r="A220" s="26">
        <v>46204.0</v>
      </c>
      <c r="B220" s="58" t="s">
        <v>471</v>
      </c>
      <c r="C220" s="32" t="str">
        <f t="array" ref="C220">_xlfn.XLOOKUP(B220, DB[samplingPoint], DB[samplingTag])</f>
        <v>VB-05 (16)</v>
      </c>
      <c r="D220" s="33" t="s">
        <v>375</v>
      </c>
      <c r="E220" s="35" t="s">
        <v>163</v>
      </c>
      <c r="F220" s="38" t="b">
        <v>1</v>
      </c>
      <c r="G220" s="39" t="str">
        <f t="array" ref="G220">_xlfn.XLOOKUP($B220, DB[samplingPoint], DB[noLocation])</f>
        <v>WATER SYSTEM (B16)</v>
      </c>
      <c r="H220" s="33" t="s">
        <v>327</v>
      </c>
      <c r="I220" s="40" t="str">
        <f t="array" ref="I220">_xlfn.XLOOKUP($B220, DB[samplingPoint], DB[location])</f>
        <v>After Chlorine circulation tank (B16)</v>
      </c>
      <c r="J220" s="39" t="str">
        <f t="array" ref="J220">_xlfn.XLOOKUP($B220, DB[samplingPoint], DB[waterType])</f>
        <v>PRW</v>
      </c>
      <c r="K220" s="43">
        <f t="shared" si="13"/>
        <v>46204</v>
      </c>
      <c r="L220" s="26">
        <v>46209.0</v>
      </c>
      <c r="M220" s="32">
        <v>707.0</v>
      </c>
      <c r="N220" s="32">
        <v>701.0</v>
      </c>
      <c r="O220" s="96">
        <f t="shared" si="10"/>
        <v>704</v>
      </c>
      <c r="P220" s="49" t="s">
        <v>966</v>
      </c>
      <c r="R220" s="32">
        <f t="array" ref="R220">_xlfn.XLOOKUP($B220, DB[samplingPoint], DB[Criteria])</f>
        <v>500</v>
      </c>
      <c r="S220" s="50" t="str">
        <f t="shared" si="3"/>
        <v>NOT-PASSED</v>
      </c>
      <c r="T220" s="38" t="b">
        <v>0</v>
      </c>
      <c r="U220" s="39"/>
      <c r="V220" s="32" t="s">
        <v>304</v>
      </c>
    </row>
    <row r="221" ht="22.5" customHeight="1">
      <c r="A221" s="26">
        <v>46204.0</v>
      </c>
      <c r="B221" s="58" t="s">
        <v>470</v>
      </c>
      <c r="C221" s="32" t="str">
        <f t="array" ref="C221">_xlfn.XLOOKUP(B221, DB[samplingPoint], DB[samplingTag])</f>
        <v>V50-61 (16)</v>
      </c>
      <c r="D221" s="33" t="s">
        <v>375</v>
      </c>
      <c r="E221" s="35" t="s">
        <v>163</v>
      </c>
      <c r="F221" s="38" t="b">
        <v>1</v>
      </c>
      <c r="G221" s="39" t="str">
        <f t="array" ref="G221">_xlfn.XLOOKUP($B221, DB[samplingPoint], DB[noLocation])</f>
        <v>WATER SYSTEM (B16)</v>
      </c>
      <c r="H221" s="33" t="s">
        <v>327</v>
      </c>
      <c r="I221" s="40" t="str">
        <f t="array" ref="I221">_xlfn.XLOOKUP($B221, DB[samplingPoint], DB[location])</f>
        <v>After Cartridge filter 5 µm (B16)</v>
      </c>
      <c r="J221" s="39" t="str">
        <f t="array" ref="J221">_xlfn.XLOOKUP($B221, DB[samplingPoint], DB[waterType])</f>
        <v>PRW</v>
      </c>
      <c r="K221" s="43">
        <f t="shared" si="13"/>
        <v>46204</v>
      </c>
      <c r="L221" s="26">
        <v>46209.0</v>
      </c>
      <c r="M221" s="32">
        <v>223.0</v>
      </c>
      <c r="N221" s="32">
        <v>173.0</v>
      </c>
      <c r="O221" s="32">
        <f t="shared" si="10"/>
        <v>198</v>
      </c>
      <c r="P221" s="49"/>
      <c r="Q221" s="49"/>
      <c r="R221" s="32">
        <f t="array" ref="R221">_xlfn.XLOOKUP($B221, DB[samplingPoint], DB[Criteria])</f>
        <v>500</v>
      </c>
      <c r="S221" s="50" t="str">
        <f t="shared" si="3"/>
        <v>PASSED</v>
      </c>
      <c r="T221" s="38" t="b">
        <v>0</v>
      </c>
      <c r="U221" s="39"/>
      <c r="V221" s="32" t="s">
        <v>304</v>
      </c>
    </row>
    <row r="222" ht="22.5" customHeight="1">
      <c r="A222" s="26">
        <v>46204.0</v>
      </c>
      <c r="B222" s="58" t="s">
        <v>466</v>
      </c>
      <c r="C222" s="32" t="str">
        <f t="array" ref="C222">_xlfn.XLOOKUP(B222, DB[samplingPoint], DB[samplingTag])</f>
        <v>V50-11C (16)</v>
      </c>
      <c r="D222" s="33" t="s">
        <v>375</v>
      </c>
      <c r="E222" s="35" t="s">
        <v>163</v>
      </c>
      <c r="F222" s="38" t="b">
        <v>1</v>
      </c>
      <c r="G222" s="39" t="str">
        <f t="array" ref="G222">_xlfn.XLOOKUP($B222, DB[samplingPoint], DB[noLocation])</f>
        <v>WATER SYSTEM (B16)</v>
      </c>
      <c r="H222" s="33" t="s">
        <v>327</v>
      </c>
      <c r="I222" s="40" t="str">
        <f t="array" ref="I222">_xlfn.XLOOKUP($B222, DB[samplingPoint], DB[location])</f>
        <v>After RO (Before EDI) (B16)</v>
      </c>
      <c r="J222" s="39" t="str">
        <f t="array" ref="J222">_xlfn.XLOOKUP($B222, DB[samplingPoint], DB[waterType])</f>
        <v>RO water</v>
      </c>
      <c r="K222" s="43">
        <f t="shared" si="13"/>
        <v>46204</v>
      </c>
      <c r="L222" s="26">
        <v>46209.0</v>
      </c>
      <c r="M222" s="32">
        <v>0.0</v>
      </c>
      <c r="N222" s="32">
        <v>0.0</v>
      </c>
      <c r="O222" s="32">
        <f t="shared" si="10"/>
        <v>0</v>
      </c>
      <c r="P222" s="49"/>
      <c r="Q222" s="49" t="s">
        <v>967</v>
      </c>
      <c r="R222" s="32">
        <f t="array" ref="R222">_xlfn.XLOOKUP($B222, DB[samplingPoint], DB[Criteria])</f>
        <v>500</v>
      </c>
      <c r="S222" s="50" t="str">
        <f t="shared" si="3"/>
        <v>PASSED</v>
      </c>
      <c r="T222" s="38" t="b">
        <v>0</v>
      </c>
      <c r="U222" s="39"/>
      <c r="V222" s="32" t="s">
        <v>304</v>
      </c>
    </row>
    <row r="223" ht="22.5" customHeight="1">
      <c r="A223" s="26">
        <v>46204.0</v>
      </c>
      <c r="B223" s="58" t="s">
        <v>468</v>
      </c>
      <c r="C223" s="32" t="str">
        <f t="array" ref="C223">_xlfn.XLOOKUP(B223, DB[samplingPoint], DB[samplingTag])</f>
        <v>V50-39 (16)</v>
      </c>
      <c r="D223" s="33" t="s">
        <v>375</v>
      </c>
      <c r="E223" s="35" t="s">
        <v>163</v>
      </c>
      <c r="F223" s="38" t="b">
        <v>1</v>
      </c>
      <c r="G223" s="39" t="str">
        <f t="array" ref="G223">_xlfn.XLOOKUP($B223, DB[samplingPoint], DB[noLocation])</f>
        <v>WATER SYSTEM (B16)</v>
      </c>
      <c r="H223" s="33" t="s">
        <v>327</v>
      </c>
      <c r="I223" s="40" t="str">
        <f t="array" ref="I223">_xlfn.XLOOKUP($B223, DB[samplingPoint], DB[location])</f>
        <v>After EDI (B16)</v>
      </c>
      <c r="J223" s="39" t="str">
        <f t="array" ref="J223">_xlfn.XLOOKUP($B223, DB[samplingPoint], DB[waterType])</f>
        <v>PW</v>
      </c>
      <c r="K223" s="43">
        <f t="shared" si="13"/>
        <v>46204</v>
      </c>
      <c r="L223" s="26">
        <v>46209.0</v>
      </c>
      <c r="M223" s="32">
        <v>0.0</v>
      </c>
      <c r="N223" s="32">
        <v>0.0</v>
      </c>
      <c r="O223" s="32">
        <f t="shared" si="10"/>
        <v>0</v>
      </c>
      <c r="P223" s="49"/>
      <c r="Q223" s="49"/>
      <c r="R223" s="32">
        <f t="array" ref="R223">_xlfn.XLOOKUP($B223, DB[samplingPoint], DB[Criteria])</f>
        <v>100</v>
      </c>
      <c r="S223" s="50" t="str">
        <f t="shared" si="3"/>
        <v>PASSED</v>
      </c>
      <c r="T223" s="38" t="b">
        <v>0</v>
      </c>
      <c r="U223" s="39"/>
      <c r="V223" s="32" t="s">
        <v>304</v>
      </c>
    </row>
    <row r="224" ht="22.5" customHeight="1">
      <c r="A224" s="26">
        <v>46204.0</v>
      </c>
      <c r="B224" s="58" t="s">
        <v>464</v>
      </c>
      <c r="C224" s="32" t="str">
        <f t="array" ref="C224">_xlfn.XLOOKUP(B224, DB[samplingPoint], DB[samplingTag])</f>
        <v>SV127.01</v>
      </c>
      <c r="D224" s="33" t="s">
        <v>375</v>
      </c>
      <c r="E224" s="35" t="s">
        <v>163</v>
      </c>
      <c r="F224" s="38" t="b">
        <v>1</v>
      </c>
      <c r="G224" s="39" t="str">
        <f t="array" ref="G224">_xlfn.XLOOKUP($B224, DB[samplingPoint], DB[noLocation])</f>
        <v>WATER SYSTEM (B16)</v>
      </c>
      <c r="H224" s="33" t="s">
        <v>327</v>
      </c>
      <c r="I224" s="40" t="str">
        <f t="array" ref="I224">_xlfn.XLOOKUP($B224, DB[samplingPoint], DB[location])</f>
        <v>Return loop (B16)</v>
      </c>
      <c r="J224" s="39" t="str">
        <f t="array" ref="J224">_xlfn.XLOOKUP($B224, DB[samplingPoint], DB[waterType])</f>
        <v>PW</v>
      </c>
      <c r="K224" s="43">
        <f t="shared" si="13"/>
        <v>46204</v>
      </c>
      <c r="L224" s="26">
        <v>46209.0</v>
      </c>
      <c r="M224" s="32">
        <v>0.0</v>
      </c>
      <c r="N224" s="32">
        <v>0.0</v>
      </c>
      <c r="O224" s="32">
        <f t="shared" si="10"/>
        <v>0</v>
      </c>
      <c r="P224" s="49"/>
      <c r="Q224" s="49"/>
      <c r="R224" s="32">
        <f t="array" ref="R224">_xlfn.XLOOKUP($B224, DB[samplingPoint], DB[Criteria])</f>
        <v>100</v>
      </c>
      <c r="S224" s="50" t="str">
        <f t="shared" si="3"/>
        <v>PASSED</v>
      </c>
      <c r="T224" s="38" t="b">
        <v>0</v>
      </c>
      <c r="U224" s="39"/>
      <c r="V224" s="32" t="s">
        <v>304</v>
      </c>
    </row>
    <row r="225" ht="22.5" customHeight="1">
      <c r="A225" s="26">
        <v>46204.0</v>
      </c>
      <c r="B225" s="27" t="s">
        <v>451</v>
      </c>
      <c r="C225" s="32" t="str">
        <f t="array" ref="C225">_xlfn.XLOOKUP(B225, DB[samplingPoint], DB[samplingTag])</f>
        <v>DV126.02</v>
      </c>
      <c r="D225" s="33" t="s">
        <v>375</v>
      </c>
      <c r="E225" s="35" t="s">
        <v>163</v>
      </c>
      <c r="F225" s="38" t="b">
        <v>1</v>
      </c>
      <c r="G225" s="39" t="str">
        <f t="array" ref="G225">_xlfn.XLOOKUP($B225, DB[samplingPoint], DB[noLocation])</f>
        <v>16-1-082</v>
      </c>
      <c r="H225" s="33" t="s">
        <v>327</v>
      </c>
      <c r="I225" s="40" t="str">
        <f t="array" ref="I225">_xlfn.XLOOKUP($B225, DB[samplingPoint], DB[location])</f>
        <v>WASHING</v>
      </c>
      <c r="J225" s="39" t="str">
        <f t="array" ref="J225">_xlfn.XLOOKUP($B225, DB[samplingPoint], DB[waterType])</f>
        <v>PW</v>
      </c>
      <c r="K225" s="43">
        <f t="shared" si="13"/>
        <v>46204</v>
      </c>
      <c r="L225" s="26">
        <v>46209.0</v>
      </c>
      <c r="M225" s="32">
        <v>0.0</v>
      </c>
      <c r="N225" s="32">
        <v>0.0</v>
      </c>
      <c r="O225" s="32">
        <f t="shared" si="10"/>
        <v>0</v>
      </c>
      <c r="P225" s="49"/>
      <c r="Q225" s="49"/>
      <c r="R225" s="32">
        <f t="array" ref="R225">_xlfn.XLOOKUP($B225, DB[samplingPoint], DB[Criteria])</f>
        <v>100</v>
      </c>
      <c r="S225" s="50" t="str">
        <f t="shared" si="3"/>
        <v>PASSED</v>
      </c>
      <c r="T225" s="38" t="b">
        <v>0</v>
      </c>
      <c r="U225" s="39"/>
      <c r="V225" s="32" t="s">
        <v>304</v>
      </c>
    </row>
    <row r="226" ht="22.5" customHeight="1">
      <c r="A226" s="26">
        <v>46204.0</v>
      </c>
      <c r="B226" s="58" t="s">
        <v>447</v>
      </c>
      <c r="C226" s="32" t="str">
        <f t="array" ref="C226">_xlfn.XLOOKUP(B226, DB[samplingPoint], DB[samplingTag])</f>
        <v>DV126.01</v>
      </c>
      <c r="D226" s="33" t="s">
        <v>375</v>
      </c>
      <c r="E226" s="35" t="s">
        <v>163</v>
      </c>
      <c r="F226" s="38" t="b">
        <v>1</v>
      </c>
      <c r="G226" s="39" t="str">
        <f t="array" ref="G226">_xlfn.XLOOKUP($B226, DB[samplingPoint], DB[noLocation])</f>
        <v>16-1-082</v>
      </c>
      <c r="H226" s="33" t="s">
        <v>327</v>
      </c>
      <c r="I226" s="40" t="str">
        <f t="array" ref="I226">_xlfn.XLOOKUP($B226, DB[samplingPoint], DB[location])</f>
        <v>WASHING</v>
      </c>
      <c r="J226" s="39" t="str">
        <f t="array" ref="J226">_xlfn.XLOOKUP($B226, DB[samplingPoint], DB[waterType])</f>
        <v>PW</v>
      </c>
      <c r="K226" s="43">
        <f t="shared" si="13"/>
        <v>46204</v>
      </c>
      <c r="L226" s="26">
        <v>46209.0</v>
      </c>
      <c r="M226" s="32">
        <v>0.0</v>
      </c>
      <c r="N226" s="32">
        <v>0.0</v>
      </c>
      <c r="O226" s="32">
        <f t="shared" si="10"/>
        <v>0</v>
      </c>
      <c r="P226" s="49"/>
      <c r="Q226" s="49"/>
      <c r="R226" s="32">
        <f t="array" ref="R226">_xlfn.XLOOKUP($B226, DB[samplingPoint], DB[Criteria])</f>
        <v>100</v>
      </c>
      <c r="S226" s="50" t="str">
        <f t="shared" si="3"/>
        <v>PASSED</v>
      </c>
      <c r="T226" s="38" t="b">
        <v>0</v>
      </c>
      <c r="U226" s="39"/>
      <c r="V226" s="32" t="s">
        <v>304</v>
      </c>
    </row>
    <row r="227" ht="22.5" customHeight="1">
      <c r="A227" s="26">
        <v>46204.0</v>
      </c>
      <c r="B227" s="27" t="s">
        <v>459</v>
      </c>
      <c r="C227" s="32" t="str">
        <f t="array" ref="C227">_xlfn.XLOOKUP(B227, DB[samplingPoint], DB[samplingTag])</f>
        <v>SV126.02</v>
      </c>
      <c r="D227" s="33" t="s">
        <v>375</v>
      </c>
      <c r="E227" s="35" t="s">
        <v>163</v>
      </c>
      <c r="F227" s="38" t="b">
        <v>1</v>
      </c>
      <c r="G227" s="39" t="str">
        <f t="array" ref="G227">_xlfn.XLOOKUP($B227, DB[samplingPoint], DB[noLocation])</f>
        <v>16-1-098</v>
      </c>
      <c r="H227" s="33" t="s">
        <v>327</v>
      </c>
      <c r="I227" s="40" t="str">
        <f t="array" ref="I227">_xlfn.XLOOKUP($B227, DB[samplingPoint], DB[location])</f>
        <v>CIP/SIP (EQUIPMENT REQUIREMENT – 200L)</v>
      </c>
      <c r="J227" s="39" t="str">
        <f t="array" ref="J227">_xlfn.XLOOKUP($B227, DB[samplingPoint], DB[waterType])</f>
        <v>PW</v>
      </c>
      <c r="K227" s="43">
        <f t="shared" si="13"/>
        <v>46204</v>
      </c>
      <c r="L227" s="26">
        <v>46209.0</v>
      </c>
      <c r="M227" s="32">
        <v>0.0</v>
      </c>
      <c r="N227" s="32">
        <v>0.0</v>
      </c>
      <c r="O227" s="32">
        <f t="shared" si="10"/>
        <v>0</v>
      </c>
      <c r="P227" s="49"/>
      <c r="Q227" s="49"/>
      <c r="R227" s="32">
        <f t="array" ref="R227">_xlfn.XLOOKUP($B227, DB[samplingPoint], DB[Criteria])</f>
        <v>100</v>
      </c>
      <c r="S227" s="50" t="str">
        <f t="shared" si="3"/>
        <v>PASSED</v>
      </c>
      <c r="T227" s="38" t="b">
        <v>0</v>
      </c>
      <c r="U227" s="39"/>
      <c r="V227" s="32" t="s">
        <v>304</v>
      </c>
    </row>
    <row r="228" ht="22.5" customHeight="1">
      <c r="A228" s="26">
        <v>46204.0</v>
      </c>
      <c r="B228" s="58" t="s">
        <v>454</v>
      </c>
      <c r="C228" s="32" t="str">
        <f t="array" ref="C228">_xlfn.XLOOKUP(B228, DB[samplingPoint], DB[samplingTag])</f>
        <v>DV126.03</v>
      </c>
      <c r="D228" s="33" t="s">
        <v>375</v>
      </c>
      <c r="E228" s="35" t="s">
        <v>163</v>
      </c>
      <c r="F228" s="38" t="b">
        <v>1</v>
      </c>
      <c r="G228" s="39" t="str">
        <f t="array" ref="G228">_xlfn.XLOOKUP($B228, DB[samplingPoint], DB[noLocation])</f>
        <v>16-1-098</v>
      </c>
      <c r="H228" s="33" t="s">
        <v>327</v>
      </c>
      <c r="I228" s="40" t="str">
        <f t="array" ref="I228">_xlfn.XLOOKUP($B228, DB[samplingPoint], DB[location])</f>
        <v>CIP/SIP (SINK WASHING)</v>
      </c>
      <c r="J228" s="39" t="str">
        <f t="array" ref="J228">_xlfn.XLOOKUP($B228, DB[samplingPoint], DB[waterType])</f>
        <v>PW</v>
      </c>
      <c r="K228" s="43">
        <f t="shared" si="13"/>
        <v>46204</v>
      </c>
      <c r="L228" s="26">
        <v>46209.0</v>
      </c>
      <c r="M228" s="32">
        <v>0.0</v>
      </c>
      <c r="N228" s="32">
        <v>0.0</v>
      </c>
      <c r="O228" s="32">
        <f t="shared" si="10"/>
        <v>0</v>
      </c>
      <c r="P228" s="49"/>
      <c r="Q228" s="49"/>
      <c r="R228" s="32">
        <f t="array" ref="R228">_xlfn.XLOOKUP($B228, DB[samplingPoint], DB[Criteria])</f>
        <v>100</v>
      </c>
      <c r="S228" s="50" t="str">
        <f t="shared" si="3"/>
        <v>PASSED</v>
      </c>
      <c r="T228" s="38" t="b">
        <v>0</v>
      </c>
      <c r="U228" s="39"/>
      <c r="V228" s="32" t="s">
        <v>304</v>
      </c>
    </row>
    <row r="229" ht="22.5" customHeight="1">
      <c r="A229" s="26">
        <v>46204.0</v>
      </c>
      <c r="B229" s="27" t="s">
        <v>457</v>
      </c>
      <c r="C229" s="32" t="str">
        <f t="array" ref="C229">_xlfn.XLOOKUP(B229, DB[samplingPoint], DB[samplingTag])</f>
        <v>SV126.01</v>
      </c>
      <c r="D229" s="33" t="s">
        <v>375</v>
      </c>
      <c r="E229" s="35" t="s">
        <v>163</v>
      </c>
      <c r="F229" s="38" t="b">
        <v>1</v>
      </c>
      <c r="G229" s="39" t="str">
        <f t="array" ref="G229">_xlfn.XLOOKUP($B229, DB[samplingPoint], DB[noLocation])</f>
        <v>16-1-092</v>
      </c>
      <c r="H229" s="33" t="s">
        <v>327</v>
      </c>
      <c r="I229" s="40" t="str">
        <f t="array" ref="I229">_xlfn.XLOOKUP($B229, DB[samplingPoint], DB[location])</f>
        <v>LINEN WASHING</v>
      </c>
      <c r="J229" s="39" t="str">
        <f t="array" ref="J229">_xlfn.XLOOKUP($B229, DB[samplingPoint], DB[waterType])</f>
        <v>PW</v>
      </c>
      <c r="K229" s="43">
        <f t="shared" si="13"/>
        <v>46204</v>
      </c>
      <c r="L229" s="26">
        <v>46209.0</v>
      </c>
      <c r="M229" s="32">
        <v>0.0</v>
      </c>
      <c r="N229" s="32">
        <v>0.0</v>
      </c>
      <c r="O229" s="32">
        <f t="shared" si="10"/>
        <v>0</v>
      </c>
      <c r="P229" s="49"/>
      <c r="Q229" s="49"/>
      <c r="R229" s="32">
        <f t="array" ref="R229">_xlfn.XLOOKUP($B229, DB[samplingPoint], DB[Criteria])</f>
        <v>100</v>
      </c>
      <c r="S229" s="50" t="str">
        <f t="shared" si="3"/>
        <v>PASSED</v>
      </c>
      <c r="T229" s="38" t="b">
        <v>0</v>
      </c>
      <c r="U229" s="39"/>
      <c r="V229" s="32" t="s">
        <v>304</v>
      </c>
    </row>
    <row r="230" ht="22.5" customHeight="1">
      <c r="A230" s="26">
        <v>46204.0</v>
      </c>
      <c r="B230" s="58" t="s">
        <v>461</v>
      </c>
      <c r="C230" s="32" t="str">
        <f t="array" ref="C230">_xlfn.XLOOKUP(B230, DB[samplingPoint], DB[samplingTag])</f>
        <v>SV126.03</v>
      </c>
      <c r="D230" s="33" t="s">
        <v>375</v>
      </c>
      <c r="E230" s="35" t="s">
        <v>163</v>
      </c>
      <c r="F230" s="38" t="b">
        <v>1</v>
      </c>
      <c r="G230" s="39" t="str">
        <f t="array" ref="G230">_xlfn.XLOOKUP($B230, DB[samplingPoint], DB[noLocation])</f>
        <v>16-2-010</v>
      </c>
      <c r="H230" s="33" t="s">
        <v>327</v>
      </c>
      <c r="I230" s="40" t="str">
        <f t="array" ref="I230">_xlfn.XLOOKUP($B230, DB[samplingPoint], DB[location])</f>
        <v>WATER SYSTEM (WFI)</v>
      </c>
      <c r="J230" s="39" t="str">
        <f t="array" ref="J230">_xlfn.XLOOKUP($B230, DB[samplingPoint], DB[waterType])</f>
        <v>PW</v>
      </c>
      <c r="K230" s="43">
        <f t="shared" si="13"/>
        <v>46204</v>
      </c>
      <c r="L230" s="26">
        <v>46209.0</v>
      </c>
      <c r="M230" s="32">
        <v>0.0</v>
      </c>
      <c r="N230" s="32">
        <v>0.0</v>
      </c>
      <c r="O230" s="32">
        <f t="shared" si="10"/>
        <v>0</v>
      </c>
      <c r="P230" s="49"/>
      <c r="Q230" s="49"/>
      <c r="R230" s="32">
        <f t="array" ref="R230">_xlfn.XLOOKUP($B230, DB[samplingPoint], DB[Criteria])</f>
        <v>100</v>
      </c>
      <c r="S230" s="50" t="str">
        <f t="shared" si="3"/>
        <v>PASSED</v>
      </c>
      <c r="T230" s="38" t="b">
        <v>0</v>
      </c>
      <c r="U230" s="39"/>
      <c r="V230" s="32" t="s">
        <v>304</v>
      </c>
    </row>
    <row r="231" ht="22.5" customHeight="1">
      <c r="A231" s="26">
        <v>46206.0</v>
      </c>
      <c r="B231" s="73" t="s">
        <v>431</v>
      </c>
      <c r="C231" s="32" t="str">
        <f t="array" ref="C231">_xlfn.XLOOKUP(B231, DB[samplingPoint], DB[samplingTag])</f>
        <v>SV-14</v>
      </c>
      <c r="D231" s="33" t="s">
        <v>375</v>
      </c>
      <c r="E231" s="35" t="s">
        <v>171</v>
      </c>
      <c r="F231" s="38" t="b">
        <v>1</v>
      </c>
      <c r="G231" s="39" t="str">
        <f t="array" ref="G231">_xlfn.XLOOKUP($B231, DB[samplingPoint], DB[noLocation])</f>
        <v>PROCESS WATER (B19)</v>
      </c>
      <c r="H231" s="33" t="s">
        <v>432</v>
      </c>
      <c r="I231" s="40" t="str">
        <f t="array" ref="I231">_xlfn.XLOOKUP($B231, DB[samplingPoint], DB[location])</f>
        <v>AFTER RO SYSTEM NO.12 SV14</v>
      </c>
      <c r="J231" s="39" t="str">
        <f t="array" ref="J231">_xlfn.XLOOKUP($B231, DB[samplingPoint], DB[waterType])</f>
        <v>PRW</v>
      </c>
      <c r="K231" s="43">
        <f t="shared" si="13"/>
        <v>46206</v>
      </c>
      <c r="L231" s="26">
        <v>46209.0</v>
      </c>
      <c r="M231" s="32">
        <v>390.0</v>
      </c>
      <c r="N231" s="32">
        <v>308.0</v>
      </c>
      <c r="O231" s="32">
        <f t="shared" si="10"/>
        <v>349</v>
      </c>
      <c r="P231" s="49"/>
      <c r="Q231" s="49"/>
      <c r="R231" s="32">
        <f t="array" ref="R231">_xlfn.XLOOKUP($B231, DB[samplingPoint], DB[Criteria])</f>
        <v>500</v>
      </c>
      <c r="S231" s="50" t="str">
        <f t="shared" si="3"/>
        <v>PASSED</v>
      </c>
      <c r="T231" s="38" t="b">
        <v>0</v>
      </c>
      <c r="U231" s="39"/>
      <c r="V231" s="32" t="s">
        <v>304</v>
      </c>
    </row>
    <row r="232" ht="22.5" customHeight="1">
      <c r="A232" s="26">
        <v>46206.0</v>
      </c>
      <c r="B232" s="58" t="s">
        <v>349</v>
      </c>
      <c r="C232" s="32" t="str">
        <f t="array" ref="C232">_xlfn.XLOOKUP(B232, DB[samplingPoint], DB[samplingTag])</f>
        <v>VB-05(10)</v>
      </c>
      <c r="D232" s="33" t="s">
        <v>375</v>
      </c>
      <c r="E232" s="35" t="s">
        <v>173</v>
      </c>
      <c r="F232" s="38" t="b">
        <v>1</v>
      </c>
      <c r="G232" s="39" t="str">
        <f t="array" ref="G232">_xlfn.XLOOKUP($B232, DB[samplingPoint], DB[noLocation])</f>
        <v>WATER SYSTEM (B10)</v>
      </c>
      <c r="H232" s="33" t="s">
        <v>180</v>
      </c>
      <c r="I232" s="40" t="str">
        <f t="array" ref="I232">_xlfn.XLOOKUP($B232, DB[samplingPoint], DB[location])</f>
        <v>After Chlorine circulation tank (B10)</v>
      </c>
      <c r="J232" s="39" t="str">
        <f t="array" ref="J232">_xlfn.XLOOKUP($B232, DB[samplingPoint], DB[waterType])</f>
        <v>PRW</v>
      </c>
      <c r="K232" s="43">
        <f t="shared" si="13"/>
        <v>46206</v>
      </c>
      <c r="L232" s="26">
        <v>46209.0</v>
      </c>
      <c r="M232" s="32">
        <v>246.0</v>
      </c>
      <c r="N232" s="32">
        <v>65.0</v>
      </c>
      <c r="O232" s="32">
        <f t="shared" si="10"/>
        <v>156</v>
      </c>
      <c r="P232" s="49"/>
      <c r="Q232" s="49"/>
      <c r="R232" s="32">
        <f t="array" ref="R232">_xlfn.XLOOKUP($B232, DB[samplingPoint], DB[Criteria])</f>
        <v>500</v>
      </c>
      <c r="S232" s="50" t="str">
        <f t="shared" si="3"/>
        <v>PASSED</v>
      </c>
      <c r="T232" s="38" t="b">
        <v>0</v>
      </c>
      <c r="U232" s="39"/>
      <c r="V232" s="32" t="s">
        <v>304</v>
      </c>
    </row>
    <row r="233" ht="22.5" customHeight="1">
      <c r="A233" s="26">
        <v>46206.0</v>
      </c>
      <c r="B233" s="58" t="s">
        <v>366</v>
      </c>
      <c r="C233" s="32" t="str">
        <f t="array" ref="C233">_xlfn.XLOOKUP(B233, DB[samplingPoint], DB[samplingTag])</f>
        <v>V50-61(10)</v>
      </c>
      <c r="D233" s="33" t="s">
        <v>375</v>
      </c>
      <c r="E233" s="35" t="s">
        <v>173</v>
      </c>
      <c r="F233" s="38" t="b">
        <v>1</v>
      </c>
      <c r="G233" s="39" t="str">
        <f t="array" ref="G233">_xlfn.XLOOKUP($B233, DB[samplingPoint], DB[noLocation])</f>
        <v>WATER SYSTEM (B10)</v>
      </c>
      <c r="H233" s="33" t="s">
        <v>180</v>
      </c>
      <c r="I233" s="40" t="str">
        <f t="array" ref="I233">_xlfn.XLOOKUP($B233, DB[samplingPoint], DB[location])</f>
        <v>After Cartridge filter 5 µm (B10)</v>
      </c>
      <c r="J233" s="39" t="str">
        <f t="array" ref="J233">_xlfn.XLOOKUP($B233, DB[samplingPoint], DB[waterType])</f>
        <v>PRW</v>
      </c>
      <c r="K233" s="43">
        <f t="shared" si="13"/>
        <v>46206</v>
      </c>
      <c r="L233" s="26">
        <v>46209.0</v>
      </c>
      <c r="M233" s="32">
        <v>38.0</v>
      </c>
      <c r="N233" s="32">
        <v>74.0</v>
      </c>
      <c r="O233" s="32">
        <f t="shared" si="10"/>
        <v>56</v>
      </c>
      <c r="P233" s="49"/>
      <c r="Q233" s="49"/>
      <c r="R233" s="32">
        <f t="array" ref="R233">_xlfn.XLOOKUP($B233, DB[samplingPoint], DB[Criteria])</f>
        <v>500</v>
      </c>
      <c r="S233" s="50" t="str">
        <f t="shared" si="3"/>
        <v>PASSED</v>
      </c>
      <c r="T233" s="38" t="b">
        <v>0</v>
      </c>
      <c r="U233" s="39"/>
      <c r="V233" s="32" t="s">
        <v>304</v>
      </c>
    </row>
    <row r="234" ht="22.5" customHeight="1">
      <c r="A234" s="26">
        <v>46206.0</v>
      </c>
      <c r="B234" s="27" t="s">
        <v>368</v>
      </c>
      <c r="C234" s="32" t="str">
        <f t="array" ref="C234">_xlfn.XLOOKUP(B234, DB[samplingPoint], DB[samplingTag])</f>
        <v>V50-11C(10)</v>
      </c>
      <c r="D234" s="33" t="s">
        <v>375</v>
      </c>
      <c r="E234" s="35" t="s">
        <v>173</v>
      </c>
      <c r="F234" s="38" t="b">
        <v>1</v>
      </c>
      <c r="G234" s="39" t="str">
        <f t="array" ref="G234">_xlfn.XLOOKUP($B234, DB[samplingPoint], DB[noLocation])</f>
        <v>WATER SYSTEM (B10)</v>
      </c>
      <c r="H234" s="33" t="s">
        <v>180</v>
      </c>
      <c r="I234" s="40" t="str">
        <f t="array" ref="I234">_xlfn.XLOOKUP($B234, DB[samplingPoint], DB[location])</f>
        <v>After RO (Before EDI) (B10)</v>
      </c>
      <c r="J234" s="39" t="str">
        <f t="array" ref="J234">_xlfn.XLOOKUP($B234, DB[samplingPoint], DB[waterType])</f>
        <v>RO water</v>
      </c>
      <c r="K234" s="43">
        <f t="shared" si="13"/>
        <v>46206</v>
      </c>
      <c r="L234" s="26">
        <v>46209.0</v>
      </c>
      <c r="M234" s="32">
        <v>0.0</v>
      </c>
      <c r="N234" s="32">
        <v>0.0</v>
      </c>
      <c r="O234" s="32">
        <f t="shared" si="10"/>
        <v>0</v>
      </c>
      <c r="P234" s="49"/>
      <c r="Q234" s="49"/>
      <c r="R234" s="32">
        <f t="array" ref="R234">_xlfn.XLOOKUP($B234, DB[samplingPoint], DB[Criteria])</f>
        <v>500</v>
      </c>
      <c r="S234" s="50" t="str">
        <f t="shared" si="3"/>
        <v>PASSED</v>
      </c>
      <c r="T234" s="38" t="b">
        <v>0</v>
      </c>
      <c r="U234" s="39"/>
      <c r="V234" s="32" t="s">
        <v>304</v>
      </c>
    </row>
    <row r="235" ht="22.5" customHeight="1">
      <c r="A235" s="26">
        <v>46206.0</v>
      </c>
      <c r="B235" s="58" t="s">
        <v>374</v>
      </c>
      <c r="C235" s="32" t="str">
        <f t="array" ref="C235">_xlfn.XLOOKUP(B235, DB[samplingPoint], DB[samplingTag])</f>
        <v>V50-39(10)</v>
      </c>
      <c r="D235" s="33" t="s">
        <v>375</v>
      </c>
      <c r="E235" s="35" t="s">
        <v>173</v>
      </c>
      <c r="F235" s="38" t="b">
        <v>1</v>
      </c>
      <c r="G235" s="39" t="str">
        <f t="array" ref="G235">_xlfn.XLOOKUP($B235, DB[samplingPoint], DB[noLocation])</f>
        <v>WATER SYSTEM (B10)</v>
      </c>
      <c r="H235" s="33" t="s">
        <v>180</v>
      </c>
      <c r="I235" s="40" t="str">
        <f t="array" ref="I235">_xlfn.XLOOKUP($B235, DB[samplingPoint], DB[location])</f>
        <v>After EDI (B10)</v>
      </c>
      <c r="J235" s="39" t="str">
        <f t="array" ref="J235">_xlfn.XLOOKUP($B235, DB[samplingPoint], DB[waterType])</f>
        <v>PW</v>
      </c>
      <c r="K235" s="43">
        <f t="shared" si="13"/>
        <v>46206</v>
      </c>
      <c r="L235" s="26">
        <v>46209.0</v>
      </c>
      <c r="M235" s="32">
        <v>0.0</v>
      </c>
      <c r="N235" s="32">
        <v>0.0</v>
      </c>
      <c r="O235" s="32">
        <f t="shared" si="10"/>
        <v>0</v>
      </c>
      <c r="P235" s="49"/>
      <c r="Q235" s="49"/>
      <c r="R235" s="32">
        <f t="array" ref="R235">_xlfn.XLOOKUP($B235, DB[samplingPoint], DB[Criteria])</f>
        <v>100</v>
      </c>
      <c r="S235" s="50" t="str">
        <f t="shared" si="3"/>
        <v>PASSED</v>
      </c>
      <c r="T235" s="38" t="b">
        <v>0</v>
      </c>
      <c r="U235" s="39"/>
      <c r="V235" s="32" t="s">
        <v>304</v>
      </c>
    </row>
    <row r="236" ht="22.5" customHeight="1">
      <c r="A236" s="26">
        <v>46206.0</v>
      </c>
      <c r="B236" s="27" t="s">
        <v>390</v>
      </c>
      <c r="C236" s="32" t="str">
        <f t="array" ref="C236">_xlfn.XLOOKUP(B236, DB[samplingPoint], DB[samplingTag])</f>
        <v>SV117.01</v>
      </c>
      <c r="D236" s="33" t="s">
        <v>375</v>
      </c>
      <c r="E236" s="35" t="s">
        <v>173</v>
      </c>
      <c r="F236" s="38" t="b">
        <v>1</v>
      </c>
      <c r="G236" s="39" t="str">
        <f t="array" ref="G236">_xlfn.XLOOKUP($B236, DB[samplingPoint], DB[noLocation])</f>
        <v>WATER SYSTEM (B10)</v>
      </c>
      <c r="H236" s="33" t="s">
        <v>180</v>
      </c>
      <c r="I236" s="40" t="str">
        <f t="array" ref="I236">_xlfn.XLOOKUP($B236, DB[samplingPoint], DB[location])</f>
        <v>Return loop (B10)</v>
      </c>
      <c r="J236" s="39" t="str">
        <f t="array" ref="J236">_xlfn.XLOOKUP($B236, DB[samplingPoint], DB[waterType])</f>
        <v>PW</v>
      </c>
      <c r="K236" s="43">
        <f t="shared" si="13"/>
        <v>46206</v>
      </c>
      <c r="L236" s="26">
        <v>46209.0</v>
      </c>
      <c r="M236" s="32">
        <v>0.0</v>
      </c>
      <c r="N236" s="32">
        <v>0.0</v>
      </c>
      <c r="O236" s="32">
        <f t="shared" si="10"/>
        <v>0</v>
      </c>
      <c r="P236" s="49"/>
      <c r="Q236" s="49"/>
      <c r="R236" s="32">
        <f t="array" ref="R236">_xlfn.XLOOKUP($B236, DB[samplingPoint], DB[Criteria])</f>
        <v>100</v>
      </c>
      <c r="S236" s="50" t="str">
        <f t="shared" si="3"/>
        <v>PASSED</v>
      </c>
      <c r="T236" s="38" t="b">
        <v>0</v>
      </c>
      <c r="U236" s="39"/>
      <c r="V236" s="32" t="s">
        <v>304</v>
      </c>
    </row>
    <row r="237" ht="22.5" customHeight="1">
      <c r="A237" s="26">
        <v>46206.0</v>
      </c>
      <c r="B237" s="27" t="s">
        <v>489</v>
      </c>
      <c r="C237" s="32" t="str">
        <f t="array" ref="C237">_xlfn.XLOOKUP(B237, DB[samplingPoint], DB[samplingTag])</f>
        <v>DV116.18</v>
      </c>
      <c r="D237" s="33" t="s">
        <v>375</v>
      </c>
      <c r="E237" s="35" t="s">
        <v>173</v>
      </c>
      <c r="F237" s="38" t="b">
        <v>1</v>
      </c>
      <c r="G237" s="39" t="str">
        <f t="array" ref="G237">_xlfn.XLOOKUP($B237, DB[samplingPoint], DB[noLocation])</f>
        <v>10-3-111</v>
      </c>
      <c r="H237" s="33" t="s">
        <v>180</v>
      </c>
      <c r="I237" s="40" t="str">
        <f t="array" ref="I237">_xlfn.XLOOKUP($B237, DB[samplingPoint], DB[location])</f>
        <v>WET GRANULATION-5</v>
      </c>
      <c r="J237" s="39" t="str">
        <f t="array" ref="J237">_xlfn.XLOOKUP($B237, DB[samplingPoint], DB[waterType])</f>
        <v>PW</v>
      </c>
      <c r="K237" s="43">
        <f t="shared" si="13"/>
        <v>46206</v>
      </c>
      <c r="L237" s="26">
        <v>46209.0</v>
      </c>
      <c r="M237" s="32">
        <v>0.0</v>
      </c>
      <c r="N237" s="32">
        <v>0.0</v>
      </c>
      <c r="O237" s="32">
        <f t="shared" si="10"/>
        <v>0</v>
      </c>
      <c r="P237" s="49"/>
      <c r="Q237" s="49"/>
      <c r="R237" s="32">
        <f t="array" ref="R237">_xlfn.XLOOKUP($B237, DB[samplingPoint], DB[Criteria])</f>
        <v>100</v>
      </c>
      <c r="S237" s="50" t="str">
        <f t="shared" si="3"/>
        <v>PASSED</v>
      </c>
      <c r="T237" s="38" t="b">
        <v>0</v>
      </c>
      <c r="U237" s="39"/>
      <c r="V237" s="32" t="s">
        <v>304</v>
      </c>
    </row>
    <row r="238" ht="22.5" customHeight="1">
      <c r="A238" s="26">
        <v>46206.0</v>
      </c>
      <c r="B238" s="58" t="s">
        <v>485</v>
      </c>
      <c r="C238" s="32" t="str">
        <f t="array" ref="C238">_xlfn.XLOOKUP(B238, DB[samplingPoint], DB[samplingTag])</f>
        <v>DV116.16</v>
      </c>
      <c r="D238" s="33" t="s">
        <v>375</v>
      </c>
      <c r="E238" s="35" t="s">
        <v>173</v>
      </c>
      <c r="F238" s="38" t="b">
        <v>1</v>
      </c>
      <c r="G238" s="39" t="str">
        <f t="array" ref="G238">_xlfn.XLOOKUP($B238, DB[samplingPoint], DB[noLocation])</f>
        <v>10-3-107</v>
      </c>
      <c r="H238" s="33" t="s">
        <v>180</v>
      </c>
      <c r="I238" s="40" t="str">
        <f t="array" ref="I238">_xlfn.XLOOKUP($B238, DB[samplingPoint], DB[location])</f>
        <v>WET GRANULATION-2</v>
      </c>
      <c r="J238" s="39" t="str">
        <f t="array" ref="J238">_xlfn.XLOOKUP($B238, DB[samplingPoint], DB[waterType])</f>
        <v>PW</v>
      </c>
      <c r="K238" s="43">
        <f t="shared" si="13"/>
        <v>46206</v>
      </c>
      <c r="L238" s="26">
        <v>46209.0</v>
      </c>
      <c r="M238" s="32">
        <v>0.0</v>
      </c>
      <c r="N238" s="32">
        <v>0.0</v>
      </c>
      <c r="O238" s="32">
        <f t="shared" si="10"/>
        <v>0</v>
      </c>
      <c r="P238" s="49"/>
      <c r="Q238" s="49"/>
      <c r="R238" s="32">
        <f t="array" ref="R238">_xlfn.XLOOKUP($B238, DB[samplingPoint], DB[Criteria])</f>
        <v>100</v>
      </c>
      <c r="S238" s="50" t="str">
        <f t="shared" si="3"/>
        <v>PASSED</v>
      </c>
      <c r="T238" s="38" t="b">
        <v>0</v>
      </c>
      <c r="U238" s="39"/>
      <c r="V238" s="32" t="s">
        <v>304</v>
      </c>
    </row>
    <row r="239" ht="22.5" customHeight="1">
      <c r="A239" s="26">
        <v>46206.0</v>
      </c>
      <c r="B239" s="27" t="s">
        <v>492</v>
      </c>
      <c r="C239" s="32" t="str">
        <f t="array" ref="C239">_xlfn.XLOOKUP(B239, DB[samplingPoint], DB[samplingTag])</f>
        <v>SV116.11</v>
      </c>
      <c r="D239" s="33" t="s">
        <v>375</v>
      </c>
      <c r="E239" s="35" t="s">
        <v>173</v>
      </c>
      <c r="F239" s="38" t="b">
        <v>1</v>
      </c>
      <c r="G239" s="39" t="str">
        <f t="array" ref="G239">_xlfn.XLOOKUP($B239, DB[samplingPoint], DB[noLocation])</f>
        <v>10-3-107</v>
      </c>
      <c r="H239" s="33" t="s">
        <v>180</v>
      </c>
      <c r="I239" s="40" t="str">
        <f t="array" ref="I239">_xlfn.XLOOKUP($B239, DB[samplingPoint], DB[location])</f>
        <v>WET GRANULATION-2</v>
      </c>
      <c r="J239" s="39" t="str">
        <f t="array" ref="J239">_xlfn.XLOOKUP($B239, DB[samplingPoint], DB[waterType])</f>
        <v>PW</v>
      </c>
      <c r="K239" s="43">
        <f t="shared" si="13"/>
        <v>46206</v>
      </c>
      <c r="L239" s="26">
        <v>46209.0</v>
      </c>
      <c r="M239" s="32">
        <v>1.0</v>
      </c>
      <c r="N239" s="32">
        <v>0.0</v>
      </c>
      <c r="O239" s="32">
        <f t="shared" si="10"/>
        <v>1</v>
      </c>
      <c r="P239" s="49"/>
      <c r="Q239" s="49"/>
      <c r="R239" s="32">
        <f t="array" ref="R239">_xlfn.XLOOKUP($B239, DB[samplingPoint], DB[Criteria])</f>
        <v>100</v>
      </c>
      <c r="S239" s="50" t="str">
        <f t="shared" si="3"/>
        <v>PASSED</v>
      </c>
      <c r="T239" s="38" t="b">
        <v>0</v>
      </c>
      <c r="U239" s="39"/>
      <c r="V239" s="32" t="s">
        <v>304</v>
      </c>
    </row>
    <row r="240" ht="22.5" customHeight="1">
      <c r="A240" s="26">
        <v>46206.0</v>
      </c>
      <c r="B240" s="58" t="s">
        <v>482</v>
      </c>
      <c r="C240" s="32" t="str">
        <f t="array" ref="C240">_xlfn.XLOOKUP(B240, DB[samplingPoint], DB[samplingTag])</f>
        <v>DV116.14</v>
      </c>
      <c r="D240" s="33" t="s">
        <v>375</v>
      </c>
      <c r="E240" s="35" t="s">
        <v>173</v>
      </c>
      <c r="F240" s="38" t="b">
        <v>1</v>
      </c>
      <c r="G240" s="39" t="str">
        <f t="array" ref="G240">_xlfn.XLOOKUP($B240, DB[samplingPoint], DB[noLocation])</f>
        <v>10-3-086</v>
      </c>
      <c r="H240" s="33" t="s">
        <v>180</v>
      </c>
      <c r="I240" s="40" t="str">
        <f t="array" ref="I240">_xlfn.XLOOKUP($B240, DB[samplingPoint], DB[location])</f>
        <v>TOOL WASHING</v>
      </c>
      <c r="J240" s="39" t="str">
        <f t="array" ref="J240">_xlfn.XLOOKUP($B240, DB[samplingPoint], DB[waterType])</f>
        <v>PW</v>
      </c>
      <c r="K240" s="43">
        <f t="shared" si="13"/>
        <v>46206</v>
      </c>
      <c r="L240" s="26">
        <v>46209.0</v>
      </c>
      <c r="M240" s="32">
        <v>0.0</v>
      </c>
      <c r="N240" s="32">
        <v>0.0</v>
      </c>
      <c r="O240" s="32">
        <f t="shared" si="10"/>
        <v>0</v>
      </c>
      <c r="P240" s="49"/>
      <c r="Q240" s="49"/>
      <c r="R240" s="32">
        <f t="array" ref="R240">_xlfn.XLOOKUP($B240, DB[samplingPoint], DB[Criteria])</f>
        <v>100</v>
      </c>
      <c r="S240" s="50" t="str">
        <f t="shared" si="3"/>
        <v>PASSED</v>
      </c>
      <c r="T240" s="38" t="b">
        <v>0</v>
      </c>
      <c r="U240" s="39"/>
      <c r="V240" s="32" t="s">
        <v>304</v>
      </c>
    </row>
    <row r="241" ht="22.5" customHeight="1">
      <c r="A241" s="26">
        <v>46206.0</v>
      </c>
      <c r="B241" s="27" t="s">
        <v>490</v>
      </c>
      <c r="C241" s="32" t="str">
        <f t="array" ref="C241">_xlfn.XLOOKUP(B241, DB[samplingPoint], DB[samplingTag])</f>
        <v>SV116.09</v>
      </c>
      <c r="D241" s="33" t="s">
        <v>375</v>
      </c>
      <c r="E241" s="35" t="s">
        <v>173</v>
      </c>
      <c r="F241" s="38" t="b">
        <v>1</v>
      </c>
      <c r="G241" s="39" t="str">
        <f t="array" ref="G241">_xlfn.XLOOKUP($B241, DB[samplingPoint], DB[noLocation])</f>
        <v>10-3-078</v>
      </c>
      <c r="H241" s="33" t="s">
        <v>180</v>
      </c>
      <c r="I241" s="40" t="str">
        <f t="array" ref="I241">_xlfn.XLOOKUP($B241, DB[samplingPoint], DB[location])</f>
        <v>WASHING</v>
      </c>
      <c r="J241" s="39" t="str">
        <f t="array" ref="J241">_xlfn.XLOOKUP($B241, DB[samplingPoint], DB[waterType])</f>
        <v>PW</v>
      </c>
      <c r="K241" s="43">
        <f t="shared" si="13"/>
        <v>46206</v>
      </c>
      <c r="L241" s="26">
        <v>46209.0</v>
      </c>
      <c r="M241" s="32">
        <v>0.0</v>
      </c>
      <c r="N241" s="32">
        <v>0.0</v>
      </c>
      <c r="O241" s="32">
        <f t="shared" si="10"/>
        <v>0</v>
      </c>
      <c r="P241" s="49"/>
      <c r="Q241" s="49"/>
      <c r="R241" s="32">
        <f t="array" ref="R241">_xlfn.XLOOKUP($B241, DB[samplingPoint], DB[Criteria])</f>
        <v>100</v>
      </c>
      <c r="S241" s="50" t="str">
        <f t="shared" si="3"/>
        <v>PASSED</v>
      </c>
      <c r="T241" s="38" t="b">
        <v>0</v>
      </c>
      <c r="U241" s="39"/>
      <c r="V241" s="32" t="s">
        <v>304</v>
      </c>
    </row>
    <row r="242" ht="22.5" customHeight="1">
      <c r="A242" s="26">
        <v>46206.0</v>
      </c>
      <c r="B242" s="58" t="s">
        <v>479</v>
      </c>
      <c r="C242" s="32" t="str">
        <f t="array" ref="C242">_xlfn.XLOOKUP(B242, DB[samplingPoint], DB[samplingTag])</f>
        <v>DV116.13</v>
      </c>
      <c r="D242" s="33" t="s">
        <v>375</v>
      </c>
      <c r="E242" s="35" t="s">
        <v>173</v>
      </c>
      <c r="F242" s="38" t="b">
        <v>1</v>
      </c>
      <c r="G242" s="39" t="str">
        <f t="array" ref="G242">_xlfn.XLOOKUP($B242, DB[samplingPoint], DB[noLocation])</f>
        <v>10-3-078</v>
      </c>
      <c r="H242" s="33" t="s">
        <v>180</v>
      </c>
      <c r="I242" s="40" t="str">
        <f t="array" ref="I242">_xlfn.XLOOKUP($B242, DB[samplingPoint], DB[location])</f>
        <v>WASHING</v>
      </c>
      <c r="J242" s="39" t="str">
        <f t="array" ref="J242">_xlfn.XLOOKUP($B242, DB[samplingPoint], DB[waterType])</f>
        <v>PW</v>
      </c>
      <c r="K242" s="43">
        <f t="shared" si="13"/>
        <v>46206</v>
      </c>
      <c r="L242" s="26">
        <v>46209.0</v>
      </c>
      <c r="M242" s="32">
        <v>0.0</v>
      </c>
      <c r="N242" s="32">
        <v>0.0</v>
      </c>
      <c r="O242" s="32">
        <f t="shared" si="10"/>
        <v>0</v>
      </c>
      <c r="P242" s="49"/>
      <c r="Q242" s="49"/>
      <c r="R242" s="32">
        <f t="array" ref="R242">_xlfn.XLOOKUP($B242, DB[samplingPoint], DB[Criteria])</f>
        <v>100</v>
      </c>
      <c r="S242" s="50" t="str">
        <f t="shared" si="3"/>
        <v>PASSED</v>
      </c>
      <c r="T242" s="38" t="b">
        <v>0</v>
      </c>
      <c r="U242" s="39"/>
      <c r="V242" s="32" t="s">
        <v>304</v>
      </c>
    </row>
    <row r="243" ht="22.5" customHeight="1">
      <c r="A243" s="26">
        <v>46206.0</v>
      </c>
      <c r="B243" s="27" t="s">
        <v>476</v>
      </c>
      <c r="C243" s="32" t="str">
        <f t="array" ref="C243">_xlfn.XLOOKUP(B243, DB[samplingPoint], DB[samplingTag])</f>
        <v>DV116.12</v>
      </c>
      <c r="D243" s="33" t="s">
        <v>375</v>
      </c>
      <c r="E243" s="35" t="s">
        <v>173</v>
      </c>
      <c r="F243" s="38" t="b">
        <v>1</v>
      </c>
      <c r="G243" s="39" t="str">
        <f t="array" ref="G243">_xlfn.XLOOKUP($B243, DB[samplingPoint], DB[noLocation])</f>
        <v>10-3-078</v>
      </c>
      <c r="H243" s="33" t="s">
        <v>180</v>
      </c>
      <c r="I243" s="40" t="str">
        <f t="array" ref="I243">_xlfn.XLOOKUP($B243, DB[samplingPoint], DB[location])</f>
        <v>WASHING</v>
      </c>
      <c r="J243" s="39" t="str">
        <f t="array" ref="J243">_xlfn.XLOOKUP($B243, DB[samplingPoint], DB[waterType])</f>
        <v>PW</v>
      </c>
      <c r="K243" s="43">
        <f t="shared" si="13"/>
        <v>46206</v>
      </c>
      <c r="L243" s="26">
        <v>46209.0</v>
      </c>
      <c r="M243" s="32">
        <v>0.0</v>
      </c>
      <c r="N243" s="32">
        <v>0.0</v>
      </c>
      <c r="O243" s="32">
        <f t="shared" si="10"/>
        <v>0</v>
      </c>
      <c r="P243" s="49"/>
      <c r="Q243" s="49"/>
      <c r="R243" s="32">
        <f t="array" ref="R243">_xlfn.XLOOKUP($B243, DB[samplingPoint], DB[Criteria])</f>
        <v>100</v>
      </c>
      <c r="S243" s="50" t="str">
        <f t="shared" si="3"/>
        <v>PASSED</v>
      </c>
      <c r="T243" s="38" t="b">
        <v>0</v>
      </c>
      <c r="U243" s="39"/>
      <c r="V243" s="32" t="s">
        <v>304</v>
      </c>
    </row>
    <row r="244" ht="22.5" customHeight="1">
      <c r="A244" s="26">
        <v>46206.0</v>
      </c>
      <c r="B244" s="58" t="s">
        <v>488</v>
      </c>
      <c r="C244" s="32" t="str">
        <f t="array" ref="C244">_xlfn.XLOOKUP(B244, DB[samplingPoint], DB[samplingTag])</f>
        <v>DV116.17</v>
      </c>
      <c r="D244" s="33" t="s">
        <v>375</v>
      </c>
      <c r="E244" s="35" t="s">
        <v>173</v>
      </c>
      <c r="F244" s="38" t="b">
        <v>1</v>
      </c>
      <c r="G244" s="39" t="str">
        <f t="array" ref="G244">_xlfn.XLOOKUP($B244, DB[samplingPoint], DB[noLocation])</f>
        <v>10-3-117</v>
      </c>
      <c r="H244" s="33" t="s">
        <v>180</v>
      </c>
      <c r="I244" s="40" t="str">
        <f t="array" ref="I244">_xlfn.XLOOKUP($B244, DB[samplingPoint], DB[location])</f>
        <v>IPQC-2</v>
      </c>
      <c r="J244" s="39" t="str">
        <f t="array" ref="J244">_xlfn.XLOOKUP($B244, DB[samplingPoint], DB[waterType])</f>
        <v>PW</v>
      </c>
      <c r="K244" s="43">
        <f t="shared" si="13"/>
        <v>46206</v>
      </c>
      <c r="L244" s="26">
        <v>46209.0</v>
      </c>
      <c r="M244" s="32">
        <v>0.0</v>
      </c>
      <c r="N244" s="32">
        <v>0.0</v>
      </c>
      <c r="O244" s="32">
        <f t="shared" si="10"/>
        <v>0</v>
      </c>
      <c r="P244" s="49"/>
      <c r="Q244" s="49"/>
      <c r="R244" s="32">
        <f t="array" ref="R244">_xlfn.XLOOKUP($B244, DB[samplingPoint], DB[Criteria])</f>
        <v>100</v>
      </c>
      <c r="S244" s="50" t="str">
        <f t="shared" si="3"/>
        <v>PASSED</v>
      </c>
      <c r="T244" s="38" t="b">
        <v>0</v>
      </c>
      <c r="U244" s="39"/>
      <c r="V244" s="32" t="s">
        <v>304</v>
      </c>
    </row>
    <row r="245" ht="22.5" customHeight="1">
      <c r="A245" s="26">
        <v>46206.0</v>
      </c>
      <c r="B245" s="27" t="s">
        <v>119</v>
      </c>
      <c r="C245" s="32" t="str">
        <f t="array" ref="C245">_xlfn.XLOOKUP(B245, DB[samplingPoint], DB[samplingTag])</f>
        <v>DV116.15</v>
      </c>
      <c r="D245" s="33" t="s">
        <v>375</v>
      </c>
      <c r="E245" s="35" t="s">
        <v>173</v>
      </c>
      <c r="F245" s="38" t="b">
        <v>1</v>
      </c>
      <c r="G245" s="39" t="str">
        <f t="array" ref="G245">_xlfn.XLOOKUP($B245, DB[samplingPoint], DB[noLocation])</f>
        <v>10-3-104</v>
      </c>
      <c r="H245" s="33" t="s">
        <v>180</v>
      </c>
      <c r="I245" s="40" t="str">
        <f t="array" ref="I245">_xlfn.XLOOKUP($B245, DB[samplingPoint], DB[location])</f>
        <v>BINDER PREPARATION</v>
      </c>
      <c r="J245" s="39" t="str">
        <f t="array" ref="J245">_xlfn.XLOOKUP($B245, DB[samplingPoint], DB[waterType])</f>
        <v>PW</v>
      </c>
      <c r="K245" s="43">
        <f t="shared" si="13"/>
        <v>46206</v>
      </c>
      <c r="L245" s="26">
        <v>46209.0</v>
      </c>
      <c r="M245" s="32">
        <v>0.0</v>
      </c>
      <c r="N245" s="32">
        <v>0.0</v>
      </c>
      <c r="O245" s="32">
        <f t="shared" si="10"/>
        <v>0</v>
      </c>
      <c r="P245" s="49"/>
      <c r="Q245" s="49"/>
      <c r="R245" s="32">
        <f t="array" ref="R245">_xlfn.XLOOKUP($B245, DB[samplingPoint], DB[Criteria])</f>
        <v>100</v>
      </c>
      <c r="S245" s="50" t="str">
        <f t="shared" si="3"/>
        <v>PASSED</v>
      </c>
      <c r="T245" s="38" t="b">
        <v>0</v>
      </c>
      <c r="U245" s="39"/>
      <c r="V245" s="32" t="s">
        <v>304</v>
      </c>
    </row>
    <row r="246" ht="22.5" customHeight="1">
      <c r="A246" s="26">
        <v>46210.0</v>
      </c>
      <c r="B246" s="27" t="s">
        <v>435</v>
      </c>
      <c r="C246" s="32" t="str">
        <f t="array" ref="C246">_xlfn.XLOOKUP(B246, DB[samplingPoint], DB[samplingTag])</f>
        <v>SV133.01</v>
      </c>
      <c r="D246" s="33" t="s">
        <v>500</v>
      </c>
      <c r="E246" s="35" t="s">
        <v>177</v>
      </c>
      <c r="F246" s="38" t="b">
        <v>1</v>
      </c>
      <c r="G246" s="39" t="str">
        <f t="array" ref="G246">_xlfn.XLOOKUP($B246, DB[samplingPoint], DB[noLocation])</f>
        <v>WATER SYSTEM (B12)</v>
      </c>
      <c r="H246" s="33" t="s">
        <v>437</v>
      </c>
      <c r="I246" s="40" t="str">
        <f t="array" ref="I246">_xlfn.XLOOKUP($B246, DB[samplingPoint], DB[location])</f>
        <v>After Storage tank (B12)</v>
      </c>
      <c r="J246" s="39" t="str">
        <f t="array" ref="J246">_xlfn.XLOOKUP($B246, DB[samplingPoint], DB[waterType])</f>
        <v>PW</v>
      </c>
      <c r="K246" s="43">
        <f t="shared" ref="K246:K257" si="14">$A246+1</f>
        <v>46211</v>
      </c>
      <c r="L246" s="26">
        <v>46214.0</v>
      </c>
      <c r="M246" s="32">
        <v>0.0</v>
      </c>
      <c r="N246" s="32">
        <v>0.0</v>
      </c>
      <c r="O246" s="32">
        <f t="shared" si="10"/>
        <v>0</v>
      </c>
      <c r="P246" s="49"/>
      <c r="Q246" s="49"/>
      <c r="R246" s="32">
        <f t="array" ref="R246">_xlfn.XLOOKUP($B246, DB[samplingPoint], DB[Criteria])</f>
        <v>100</v>
      </c>
      <c r="S246" s="50" t="str">
        <f t="shared" si="3"/>
        <v>PASSED</v>
      </c>
      <c r="T246" s="38" t="b">
        <v>0</v>
      </c>
      <c r="U246" s="39"/>
      <c r="V246" s="32" t="s">
        <v>304</v>
      </c>
    </row>
    <row r="247" ht="22.5" customHeight="1">
      <c r="A247" s="26">
        <v>46210.0</v>
      </c>
      <c r="B247" s="58" t="s">
        <v>438</v>
      </c>
      <c r="C247" s="32" t="str">
        <f t="array" ref="C247">_xlfn.XLOOKUP(B247, DB[samplingPoint], DB[samplingTag])</f>
        <v>SV135.02</v>
      </c>
      <c r="D247" s="33" t="s">
        <v>500</v>
      </c>
      <c r="E247" s="35" t="s">
        <v>177</v>
      </c>
      <c r="F247" s="38" t="b">
        <v>1</v>
      </c>
      <c r="G247" s="39" t="str">
        <f t="array" ref="G247">_xlfn.XLOOKUP($B247, DB[samplingPoint], DB[noLocation])</f>
        <v>WATER SYSTEM (B12)</v>
      </c>
      <c r="H247" s="33" t="s">
        <v>437</v>
      </c>
      <c r="I247" s="40" t="str">
        <f t="array" ref="I247">_xlfn.XLOOKUP($B247, DB[samplingPoint], DB[location])</f>
        <v>After UV (B12)</v>
      </c>
      <c r="J247" s="39" t="str">
        <f t="array" ref="J247">_xlfn.XLOOKUP($B247, DB[samplingPoint], DB[waterType])</f>
        <v>PW</v>
      </c>
      <c r="K247" s="43">
        <f t="shared" si="14"/>
        <v>46211</v>
      </c>
      <c r="L247" s="26">
        <v>46214.0</v>
      </c>
      <c r="M247" s="32">
        <v>0.0</v>
      </c>
      <c r="N247" s="32">
        <v>0.0</v>
      </c>
      <c r="O247" s="32">
        <f t="shared" si="10"/>
        <v>0</v>
      </c>
      <c r="P247" s="49"/>
      <c r="Q247" s="49"/>
      <c r="R247" s="32">
        <f t="array" ref="R247">_xlfn.XLOOKUP($B247, DB[samplingPoint], DB[Criteria])</f>
        <v>100</v>
      </c>
      <c r="S247" s="50" t="str">
        <f t="shared" si="3"/>
        <v>PASSED</v>
      </c>
      <c r="T247" s="38" t="b">
        <v>0</v>
      </c>
      <c r="U247" s="39"/>
      <c r="V247" s="32" t="s">
        <v>304</v>
      </c>
    </row>
    <row r="248" ht="22.5" customHeight="1">
      <c r="A248" s="26">
        <v>46210.0</v>
      </c>
      <c r="B248" s="27" t="s">
        <v>430</v>
      </c>
      <c r="C248" s="32" t="str">
        <f t="array" ref="C248">_xlfn.XLOOKUP(B248, DB[samplingPoint], DB[samplingTag])</f>
        <v>SV137.01</v>
      </c>
      <c r="D248" s="33" t="s">
        <v>500</v>
      </c>
      <c r="E248" s="35" t="s">
        <v>177</v>
      </c>
      <c r="F248" s="38" t="b">
        <v>1</v>
      </c>
      <c r="G248" s="39" t="str">
        <f t="array" ref="G248">_xlfn.XLOOKUP($B248, DB[samplingPoint], DB[noLocation])</f>
        <v>WATER SYSTEM (B12)</v>
      </c>
      <c r="H248" s="33" t="s">
        <v>437</v>
      </c>
      <c r="I248" s="40" t="str">
        <f t="array" ref="I248">_xlfn.XLOOKUP($B248, DB[samplingPoint], DB[location])</f>
        <v>Return loop (B12)</v>
      </c>
      <c r="J248" s="39" t="str">
        <f t="array" ref="J248">_xlfn.XLOOKUP($B248, DB[samplingPoint], DB[waterType])</f>
        <v>PW</v>
      </c>
      <c r="K248" s="43">
        <f t="shared" si="14"/>
        <v>46211</v>
      </c>
      <c r="L248" s="26">
        <v>46214.0</v>
      </c>
      <c r="M248" s="32">
        <v>0.0</v>
      </c>
      <c r="N248" s="32">
        <v>0.0</v>
      </c>
      <c r="O248" s="32">
        <f t="shared" si="10"/>
        <v>0</v>
      </c>
      <c r="P248" s="49"/>
      <c r="Q248" s="49"/>
      <c r="R248" s="32">
        <f t="array" ref="R248">_xlfn.XLOOKUP($B248, DB[samplingPoint], DB[Criteria])</f>
        <v>100</v>
      </c>
      <c r="S248" s="50" t="str">
        <f t="shared" si="3"/>
        <v>PASSED</v>
      </c>
      <c r="T248" s="38" t="b">
        <v>0</v>
      </c>
      <c r="U248" s="39"/>
      <c r="V248" s="32" t="s">
        <v>304</v>
      </c>
    </row>
    <row r="249" ht="22.5" customHeight="1">
      <c r="A249" s="26">
        <v>46210.0</v>
      </c>
      <c r="B249" s="58" t="s">
        <v>518</v>
      </c>
      <c r="C249" s="32" t="str">
        <f t="array" ref="C249">_xlfn.XLOOKUP(B249, DB[samplingPoint], DB[samplingTag])</f>
        <v>SV136.12</v>
      </c>
      <c r="D249" s="33" t="s">
        <v>500</v>
      </c>
      <c r="E249" s="35" t="s">
        <v>177</v>
      </c>
      <c r="F249" s="38" t="b">
        <v>1</v>
      </c>
      <c r="G249" s="39" t="str">
        <f t="array" ref="G249">_xlfn.XLOOKUP($B249, DB[samplingPoint], DB[noLocation])</f>
        <v>12-2-036</v>
      </c>
      <c r="H249" s="33" t="s">
        <v>437</v>
      </c>
      <c r="I249" s="40" t="str">
        <f t="array" ref="I249">_xlfn.XLOOKUP($B249, DB[samplingPoint], DB[location])</f>
        <v>CIP 1</v>
      </c>
      <c r="J249" s="39" t="str">
        <f t="array" ref="J249">_xlfn.XLOOKUP($B249, DB[samplingPoint], DB[waterType])</f>
        <v>PW</v>
      </c>
      <c r="K249" s="43">
        <f t="shared" si="14"/>
        <v>46211</v>
      </c>
      <c r="L249" s="26">
        <v>46214.0</v>
      </c>
      <c r="M249" s="32">
        <v>0.0</v>
      </c>
      <c r="N249" s="32">
        <v>0.0</v>
      </c>
      <c r="O249" s="32">
        <f t="shared" si="10"/>
        <v>0</v>
      </c>
      <c r="P249" s="49"/>
      <c r="Q249" s="49"/>
      <c r="R249" s="32">
        <f t="array" ref="R249">_xlfn.XLOOKUP($B249, DB[samplingPoint], DB[Criteria])</f>
        <v>100</v>
      </c>
      <c r="S249" s="50" t="str">
        <f t="shared" si="3"/>
        <v>PASSED</v>
      </c>
      <c r="T249" s="38" t="b">
        <v>0</v>
      </c>
      <c r="U249" s="39"/>
      <c r="V249" s="32" t="s">
        <v>304</v>
      </c>
    </row>
    <row r="250" ht="22.5" customHeight="1">
      <c r="A250" s="26">
        <v>46210.0</v>
      </c>
      <c r="B250" s="27" t="s">
        <v>517</v>
      </c>
      <c r="C250" s="32" t="str">
        <f t="array" ref="C250">_xlfn.XLOOKUP(B250, DB[samplingPoint], DB[samplingTag])</f>
        <v>SV136.07</v>
      </c>
      <c r="D250" s="33" t="s">
        <v>500</v>
      </c>
      <c r="E250" s="35" t="s">
        <v>177</v>
      </c>
      <c r="F250" s="38" t="b">
        <v>1</v>
      </c>
      <c r="G250" s="39" t="str">
        <f t="array" ref="G250">_xlfn.XLOOKUP($B250, DB[samplingPoint], DB[noLocation])</f>
        <v>12-2-034</v>
      </c>
      <c r="H250" s="33" t="s">
        <v>437</v>
      </c>
      <c r="I250" s="40" t="str">
        <f t="array" ref="I250">_xlfn.XLOOKUP($B250, DB[samplingPoint], DB[location])</f>
        <v>SYRUP PREPARATION</v>
      </c>
      <c r="J250" s="39" t="str">
        <f t="array" ref="J250">_xlfn.XLOOKUP($B250, DB[samplingPoint], DB[waterType])</f>
        <v>PW</v>
      </c>
      <c r="K250" s="43">
        <f t="shared" si="14"/>
        <v>46211</v>
      </c>
      <c r="L250" s="26">
        <v>46214.0</v>
      </c>
      <c r="M250" s="32">
        <v>0.0</v>
      </c>
      <c r="N250" s="32">
        <v>0.0</v>
      </c>
      <c r="O250" s="32">
        <f t="shared" si="10"/>
        <v>0</v>
      </c>
      <c r="P250" s="49"/>
      <c r="Q250" s="49"/>
      <c r="R250" s="32">
        <f t="array" ref="R250">_xlfn.XLOOKUP($B250, DB[samplingPoint], DB[Criteria])</f>
        <v>100</v>
      </c>
      <c r="S250" s="50" t="str">
        <f t="shared" si="3"/>
        <v>PASSED</v>
      </c>
      <c r="T250" s="38" t="b">
        <v>0</v>
      </c>
      <c r="U250" s="39"/>
      <c r="V250" s="32" t="s">
        <v>304</v>
      </c>
    </row>
    <row r="251" ht="22.5" customHeight="1">
      <c r="A251" s="26">
        <v>46210.0</v>
      </c>
      <c r="B251" s="58" t="s">
        <v>516</v>
      </c>
      <c r="C251" s="32" t="str">
        <f t="array" ref="C251">_xlfn.XLOOKUP(B251, DB[samplingPoint], DB[samplingTag])</f>
        <v>SV136.06</v>
      </c>
      <c r="D251" s="33" t="s">
        <v>500</v>
      </c>
      <c r="E251" s="35" t="s">
        <v>177</v>
      </c>
      <c r="F251" s="38" t="b">
        <v>1</v>
      </c>
      <c r="G251" s="39" t="str">
        <f t="array" ref="G251">_xlfn.XLOOKUP($B251, DB[samplingPoint], DB[noLocation])</f>
        <v>12-2-034</v>
      </c>
      <c r="H251" s="33" t="s">
        <v>437</v>
      </c>
      <c r="I251" s="40" t="str">
        <f t="array" ref="I251">_xlfn.XLOOKUP($B251, DB[samplingPoint], DB[location])</f>
        <v>SYRUP PREPARATION</v>
      </c>
      <c r="J251" s="39" t="str">
        <f t="array" ref="J251">_xlfn.XLOOKUP($B251, DB[samplingPoint], DB[waterType])</f>
        <v>PW</v>
      </c>
      <c r="K251" s="43">
        <f t="shared" si="14"/>
        <v>46211</v>
      </c>
      <c r="L251" s="26">
        <v>46214.0</v>
      </c>
      <c r="M251" s="32">
        <v>0.0</v>
      </c>
      <c r="N251" s="32">
        <v>0.0</v>
      </c>
      <c r="O251" s="32">
        <f t="shared" si="10"/>
        <v>0</v>
      </c>
      <c r="P251" s="49"/>
      <c r="Q251" s="49"/>
      <c r="R251" s="32">
        <f t="array" ref="R251">_xlfn.XLOOKUP($B251, DB[samplingPoint], DB[Criteria])</f>
        <v>100</v>
      </c>
      <c r="S251" s="50" t="str">
        <f t="shared" si="3"/>
        <v>PASSED</v>
      </c>
      <c r="T251" s="38" t="b">
        <v>0</v>
      </c>
      <c r="U251" s="39"/>
      <c r="V251" s="32" t="s">
        <v>304</v>
      </c>
    </row>
    <row r="252" ht="22.5" customHeight="1">
      <c r="A252" s="26">
        <v>46210.0</v>
      </c>
      <c r="B252" s="27" t="s">
        <v>510</v>
      </c>
      <c r="C252" s="32" t="str">
        <f t="array" ref="C252">_xlfn.XLOOKUP(B252, DB[samplingPoint], DB[samplingTag])</f>
        <v>SV136.03</v>
      </c>
      <c r="D252" s="33" t="s">
        <v>500</v>
      </c>
      <c r="E252" s="35" t="s">
        <v>177</v>
      </c>
      <c r="F252" s="38" t="b">
        <v>1</v>
      </c>
      <c r="G252" s="39" t="str">
        <f t="array" ref="G252">_xlfn.XLOOKUP($B252, DB[samplingPoint], DB[noLocation])</f>
        <v>12-2-032</v>
      </c>
      <c r="H252" s="33" t="s">
        <v>437</v>
      </c>
      <c r="I252" s="40" t="str">
        <f t="array" ref="I252">_xlfn.XLOOKUP($B252, DB[samplingPoint], DB[location])</f>
        <v>CAMPHORATED OPIUM TINCTURE</v>
      </c>
      <c r="J252" s="39" t="str">
        <f t="array" ref="J252">_xlfn.XLOOKUP($B252, DB[samplingPoint], DB[waterType])</f>
        <v>PW</v>
      </c>
      <c r="K252" s="43">
        <f t="shared" si="14"/>
        <v>46211</v>
      </c>
      <c r="L252" s="26">
        <v>46214.0</v>
      </c>
      <c r="M252" s="32">
        <v>0.0</v>
      </c>
      <c r="N252" s="32">
        <v>0.0</v>
      </c>
      <c r="O252" s="32">
        <f t="shared" si="10"/>
        <v>0</v>
      </c>
      <c r="P252" s="49"/>
      <c r="Q252" s="49"/>
      <c r="R252" s="32">
        <f t="array" ref="R252">_xlfn.XLOOKUP($B252, DB[samplingPoint], DB[Criteria])</f>
        <v>100</v>
      </c>
      <c r="S252" s="50" t="str">
        <f t="shared" si="3"/>
        <v>PASSED</v>
      </c>
      <c r="T252" s="38" t="b">
        <v>0</v>
      </c>
      <c r="U252" s="39"/>
      <c r="V252" s="32" t="s">
        <v>304</v>
      </c>
    </row>
    <row r="253" ht="22.5" customHeight="1">
      <c r="A253" s="26">
        <v>46210.0</v>
      </c>
      <c r="B253" s="58" t="s">
        <v>514</v>
      </c>
      <c r="C253" s="32" t="str">
        <f t="array" ref="C253">_xlfn.XLOOKUP(B253, DB[samplingPoint], DB[samplingTag])</f>
        <v>SV136.05</v>
      </c>
      <c r="D253" s="33" t="s">
        <v>500</v>
      </c>
      <c r="E253" s="35" t="s">
        <v>177</v>
      </c>
      <c r="F253" s="38" t="b">
        <v>1</v>
      </c>
      <c r="G253" s="39" t="str">
        <f t="array" ref="G253">_xlfn.XLOOKUP($B253, DB[samplingPoint], DB[noLocation])</f>
        <v>12-2-032</v>
      </c>
      <c r="H253" s="33" t="s">
        <v>437</v>
      </c>
      <c r="I253" s="40" t="str">
        <f t="array" ref="I253">_xlfn.XLOOKUP($B253, DB[samplingPoint], DB[location])</f>
        <v>CAMPHORATED OPIUM TINCTURE</v>
      </c>
      <c r="J253" s="39" t="str">
        <f t="array" ref="J253">_xlfn.XLOOKUP($B253, DB[samplingPoint], DB[waterType])</f>
        <v>PW</v>
      </c>
      <c r="K253" s="43">
        <f t="shared" si="14"/>
        <v>46211</v>
      </c>
      <c r="L253" s="26">
        <v>46214.0</v>
      </c>
      <c r="M253" s="32">
        <v>0.0</v>
      </c>
      <c r="N253" s="32">
        <v>0.0</v>
      </c>
      <c r="O253" s="32">
        <f t="shared" si="10"/>
        <v>0</v>
      </c>
      <c r="P253" s="49"/>
      <c r="Q253" s="49"/>
      <c r="R253" s="32">
        <f t="array" ref="R253">_xlfn.XLOOKUP($B253, DB[samplingPoint], DB[Criteria])</f>
        <v>100</v>
      </c>
      <c r="S253" s="50" t="str">
        <f t="shared" si="3"/>
        <v>PASSED</v>
      </c>
      <c r="T253" s="38" t="b">
        <v>0</v>
      </c>
      <c r="U253" s="39"/>
      <c r="V253" s="32" t="s">
        <v>304</v>
      </c>
    </row>
    <row r="254" ht="22.5" customHeight="1">
      <c r="A254" s="26">
        <v>46210.0</v>
      </c>
      <c r="B254" s="27" t="s">
        <v>513</v>
      </c>
      <c r="C254" s="32" t="str">
        <f t="array" ref="C254">_xlfn.XLOOKUP(B254, DB[samplingPoint], DB[samplingTag])</f>
        <v>SV136.04</v>
      </c>
      <c r="D254" s="33" t="s">
        <v>500</v>
      </c>
      <c r="E254" s="35" t="s">
        <v>177</v>
      </c>
      <c r="F254" s="38" t="b">
        <v>1</v>
      </c>
      <c r="G254" s="39" t="str">
        <f t="array" ref="G254">_xlfn.XLOOKUP($B254, DB[samplingPoint], DB[noLocation])</f>
        <v>12-2-030</v>
      </c>
      <c r="H254" s="33" t="s">
        <v>437</v>
      </c>
      <c r="I254" s="40" t="str">
        <f t="array" ref="I254">_xlfn.XLOOKUP($B254, DB[samplingPoint], DB[location])</f>
        <v>OPIUM TINCTURE</v>
      </c>
      <c r="J254" s="39" t="str">
        <f t="array" ref="J254">_xlfn.XLOOKUP($B254, DB[samplingPoint], DB[waterType])</f>
        <v>PW</v>
      </c>
      <c r="K254" s="43">
        <f t="shared" si="14"/>
        <v>46211</v>
      </c>
      <c r="L254" s="26">
        <v>46214.0</v>
      </c>
      <c r="M254" s="32">
        <v>0.0</v>
      </c>
      <c r="N254" s="32">
        <v>0.0</v>
      </c>
      <c r="O254" s="32">
        <f t="shared" si="10"/>
        <v>0</v>
      </c>
      <c r="P254" s="49"/>
      <c r="Q254" s="49"/>
      <c r="R254" s="32">
        <f t="array" ref="R254">_xlfn.XLOOKUP($B254, DB[samplingPoint], DB[Criteria])</f>
        <v>100</v>
      </c>
      <c r="S254" s="50" t="str">
        <f t="shared" si="3"/>
        <v>PASSED</v>
      </c>
      <c r="T254" s="38" t="b">
        <v>0</v>
      </c>
      <c r="U254" s="39"/>
      <c r="V254" s="32" t="s">
        <v>304</v>
      </c>
    </row>
    <row r="255" ht="22.5" customHeight="1">
      <c r="A255" s="26">
        <v>46210.0</v>
      </c>
      <c r="B255" s="58" t="s">
        <v>506</v>
      </c>
      <c r="C255" s="32" t="str">
        <f t="array" ref="C255">_xlfn.XLOOKUP(B255, DB[samplingPoint], DB[samplingTag])</f>
        <v>DV136.02</v>
      </c>
      <c r="D255" s="33" t="s">
        <v>500</v>
      </c>
      <c r="E255" s="35" t="s">
        <v>177</v>
      </c>
      <c r="F255" s="38" t="b">
        <v>1</v>
      </c>
      <c r="G255" s="39" t="str">
        <f t="array" ref="G255">_xlfn.XLOOKUP($B255, DB[samplingPoint], DB[noLocation])</f>
        <v>12-2-028</v>
      </c>
      <c r="H255" s="33" t="s">
        <v>437</v>
      </c>
      <c r="I255" s="40" t="str">
        <f t="array" ref="I255">_xlfn.XLOOKUP($B255, DB[samplingPoint], DB[location])</f>
        <v>ALCOHOL STORAGE</v>
      </c>
      <c r="J255" s="39" t="str">
        <f t="array" ref="J255">_xlfn.XLOOKUP($B255, DB[samplingPoint], DB[waterType])</f>
        <v>PW</v>
      </c>
      <c r="K255" s="43">
        <f t="shared" si="14"/>
        <v>46211</v>
      </c>
      <c r="L255" s="26">
        <v>46214.0</v>
      </c>
      <c r="M255" s="32">
        <v>0.0</v>
      </c>
      <c r="N255" s="32">
        <v>0.0</v>
      </c>
      <c r="O255" s="32">
        <f t="shared" si="10"/>
        <v>0</v>
      </c>
      <c r="P255" s="49"/>
      <c r="Q255" s="49"/>
      <c r="R255" s="32">
        <f t="array" ref="R255">_xlfn.XLOOKUP($B255, DB[samplingPoint], DB[Criteria])</f>
        <v>100</v>
      </c>
      <c r="S255" s="50" t="str">
        <f t="shared" si="3"/>
        <v>PASSED</v>
      </c>
      <c r="T255" s="38" t="b">
        <v>0</v>
      </c>
      <c r="U255" s="39"/>
      <c r="V255" s="32" t="s">
        <v>304</v>
      </c>
    </row>
    <row r="256" ht="22.5" customHeight="1">
      <c r="A256" s="26">
        <v>46210.0</v>
      </c>
      <c r="B256" s="58" t="s">
        <v>508</v>
      </c>
      <c r="C256" s="32" t="str">
        <f t="array" ref="C256">_xlfn.XLOOKUP(B256, DB[samplingPoint], DB[samplingTag])</f>
        <v>DV136.07</v>
      </c>
      <c r="D256" s="33" t="s">
        <v>500</v>
      </c>
      <c r="E256" s="35" t="s">
        <v>177</v>
      </c>
      <c r="F256" s="38" t="b">
        <v>1</v>
      </c>
      <c r="G256" s="39" t="str">
        <f t="array" ref="G256">_xlfn.XLOOKUP($B256, DB[samplingPoint], DB[noLocation])</f>
        <v>12-3-039</v>
      </c>
      <c r="H256" s="33" t="s">
        <v>437</v>
      </c>
      <c r="I256" s="40" t="str">
        <f t="array" ref="I256">_xlfn.XLOOKUP($B256, DB[samplingPoint], DB[location])</f>
        <v>INSTRUMENT 7</v>
      </c>
      <c r="J256" s="39" t="str">
        <f t="array" ref="J256">_xlfn.XLOOKUP($B256, DB[samplingPoint], DB[waterType])</f>
        <v>PW</v>
      </c>
      <c r="K256" s="43">
        <f t="shared" si="14"/>
        <v>46211</v>
      </c>
      <c r="L256" s="26">
        <v>46214.0</v>
      </c>
      <c r="M256" s="32">
        <v>0.0</v>
      </c>
      <c r="N256" s="32">
        <v>0.0</v>
      </c>
      <c r="O256" s="32">
        <f t="shared" si="10"/>
        <v>0</v>
      </c>
      <c r="P256" s="49"/>
      <c r="Q256" s="49"/>
      <c r="R256" s="32">
        <f t="array" ref="R256">_xlfn.XLOOKUP($B256, DB[samplingPoint], DB[Criteria])</f>
        <v>100</v>
      </c>
      <c r="S256" s="50" t="str">
        <f t="shared" si="3"/>
        <v>PASSED</v>
      </c>
      <c r="T256" s="38" t="b">
        <v>0</v>
      </c>
      <c r="U256" s="39"/>
      <c r="V256" s="32" t="s">
        <v>304</v>
      </c>
    </row>
    <row r="257" ht="22.5" customHeight="1">
      <c r="A257" s="26">
        <v>46210.0</v>
      </c>
      <c r="B257" s="48" t="s">
        <v>548</v>
      </c>
      <c r="C257" s="32" t="s">
        <v>755</v>
      </c>
      <c r="D257" s="33" t="s">
        <v>158</v>
      </c>
      <c r="E257" s="35"/>
      <c r="F257" s="38" t="b">
        <v>0</v>
      </c>
      <c r="G257" s="39" t="str">
        <f t="array" ref="G257">_xlfn.XLOOKUP($B257, DB[samplingPoint], DB[noLocation])</f>
        <v>12-2-065</v>
      </c>
      <c r="H257" s="33" t="s">
        <v>437</v>
      </c>
      <c r="I257" s="40" t="str">
        <f t="array" ref="I257">_xlfn.XLOOKUP($B257, DB[samplingPoint], DB[location])</f>
        <v>WASHING</v>
      </c>
      <c r="J257" s="39" t="str">
        <f t="array" ref="J257">_xlfn.XLOOKUP($B257, DB[samplingPoint], DB[waterType])</f>
        <v>PW</v>
      </c>
      <c r="K257" s="43">
        <f t="shared" si="14"/>
        <v>46211</v>
      </c>
      <c r="L257" s="26">
        <v>46214.0</v>
      </c>
      <c r="M257" s="32">
        <v>8.0</v>
      </c>
      <c r="N257" s="32">
        <v>9.0</v>
      </c>
      <c r="O257" s="32">
        <f t="shared" si="10"/>
        <v>9</v>
      </c>
      <c r="P257" s="49"/>
      <c r="Q257" s="49"/>
      <c r="R257" s="32">
        <f t="array" ref="R257">_xlfn.XLOOKUP($B257, DB[samplingPoint], DB[Criteria])</f>
        <v>100</v>
      </c>
      <c r="S257" s="50" t="str">
        <f t="shared" si="3"/>
        <v>PASSED</v>
      </c>
      <c r="T257" s="38" t="b">
        <v>0</v>
      </c>
      <c r="U257" s="39"/>
      <c r="V257" s="32"/>
    </row>
    <row r="258" ht="22.5" customHeight="1">
      <c r="A258" s="26">
        <v>46209.0</v>
      </c>
      <c r="B258" s="58" t="s">
        <v>472</v>
      </c>
      <c r="C258" s="195" t="s">
        <v>877</v>
      </c>
      <c r="D258" s="33" t="s">
        <v>500</v>
      </c>
      <c r="E258" s="35" t="s">
        <v>984</v>
      </c>
      <c r="F258" s="38" t="b">
        <v>1</v>
      </c>
      <c r="G258" s="39" t="str">
        <f t="array" ref="G258">_xlfn.XLOOKUP($B258, DB[samplingPoint], DB[noLocation])</f>
        <v>16-3-087</v>
      </c>
      <c r="H258" s="33" t="s">
        <v>327</v>
      </c>
      <c r="I258" s="40" t="str">
        <f t="array" ref="I258">_xlfn.XLOOKUP($B258, DB[samplingPoint], DB[location])</f>
        <v>CIP 2 (EQUIPMENT REQUIREMENT)</v>
      </c>
      <c r="J258" s="39" t="str">
        <f t="array" ref="J258">_xlfn.XLOOKUP($B258, DB[samplingPoint], DB[waterType])</f>
        <v>PW</v>
      </c>
      <c r="K258" s="43">
        <f t="shared" ref="K258:K259" si="15">$A258+2</f>
        <v>46211</v>
      </c>
      <c r="L258" s="26">
        <v>46214.0</v>
      </c>
      <c r="M258" s="32">
        <v>208.0</v>
      </c>
      <c r="N258" s="32">
        <v>118.0</v>
      </c>
      <c r="O258" s="32">
        <f t="shared" si="10"/>
        <v>163</v>
      </c>
      <c r="P258" s="49" t="s">
        <v>986</v>
      </c>
      <c r="Q258" s="49"/>
      <c r="R258" s="32">
        <f t="array" ref="R258">_xlfn.XLOOKUP($B258, DB[samplingPoint], DB[Criteria])</f>
        <v>100</v>
      </c>
      <c r="S258" s="50" t="str">
        <f t="shared" si="3"/>
        <v>NOT-PASSED</v>
      </c>
      <c r="T258" s="38" t="b">
        <v>0</v>
      </c>
      <c r="U258" s="39"/>
      <c r="V258" s="32" t="s">
        <v>304</v>
      </c>
    </row>
    <row r="259" ht="22.5" customHeight="1">
      <c r="A259" s="26">
        <v>46209.0</v>
      </c>
      <c r="B259" s="58" t="s">
        <v>478</v>
      </c>
      <c r="C259" s="195" t="s">
        <v>883</v>
      </c>
      <c r="D259" s="33" t="s">
        <v>500</v>
      </c>
      <c r="E259" s="35" t="s">
        <v>984</v>
      </c>
      <c r="F259" s="38" t="b">
        <v>1</v>
      </c>
      <c r="G259" s="39" t="str">
        <f t="array" ref="G259">_xlfn.XLOOKUP($B259, DB[samplingPoint], DB[noLocation])</f>
        <v>16-3-073</v>
      </c>
      <c r="H259" s="33" t="s">
        <v>327</v>
      </c>
      <c r="I259" s="40" t="str">
        <f t="array" ref="I259">_xlfn.XLOOKUP($B259, DB[samplingPoint], DB[location])</f>
        <v>MFG 4 (400L)</v>
      </c>
      <c r="J259" s="39" t="str">
        <f t="array" ref="J259">_xlfn.XLOOKUP($B259, DB[samplingPoint], DB[waterType])</f>
        <v>PW</v>
      </c>
      <c r="K259" s="43">
        <f t="shared" si="15"/>
        <v>46211</v>
      </c>
      <c r="L259" s="26">
        <v>46214.0</v>
      </c>
      <c r="M259" s="32">
        <v>298.0</v>
      </c>
      <c r="N259" s="32">
        <v>116.0</v>
      </c>
      <c r="O259" s="32">
        <f t="shared" si="10"/>
        <v>207</v>
      </c>
      <c r="P259" s="49" t="s">
        <v>986</v>
      </c>
      <c r="Q259" s="49"/>
      <c r="R259" s="32">
        <f t="array" ref="R259">_xlfn.XLOOKUP($B259, DB[samplingPoint], DB[Criteria])</f>
        <v>100</v>
      </c>
      <c r="S259" s="50" t="str">
        <f t="shared" si="3"/>
        <v>NOT-PASSED</v>
      </c>
      <c r="T259" s="38" t="b">
        <v>0</v>
      </c>
      <c r="U259" s="39"/>
      <c r="V259" s="32" t="s">
        <v>304</v>
      </c>
    </row>
    <row r="260" ht="22.5" customHeight="1">
      <c r="A260" s="26">
        <v>46210.0</v>
      </c>
      <c r="B260" s="58" t="s">
        <v>467</v>
      </c>
      <c r="C260" s="32" t="str">
        <f t="array" ref="C260">_xlfn.XLOOKUP(B260, DB[samplingPoint], DB[samplingTag])</f>
        <v>SV123.01</v>
      </c>
      <c r="D260" s="33" t="s">
        <v>500</v>
      </c>
      <c r="E260" s="35" t="s">
        <v>181</v>
      </c>
      <c r="F260" s="38" t="b">
        <v>1</v>
      </c>
      <c r="G260" s="39" t="str">
        <f t="array" ref="G260">_xlfn.XLOOKUP($B260, DB[samplingPoint], DB[noLocation])</f>
        <v>WATER SYSTEM (B16)</v>
      </c>
      <c r="H260" s="33" t="s">
        <v>327</v>
      </c>
      <c r="I260" s="40" t="str">
        <f t="array" ref="I260">_xlfn.XLOOKUP($B260, DB[samplingPoint], DB[location])</f>
        <v>After Storage tank (B16)</v>
      </c>
      <c r="J260" s="39" t="str">
        <f t="array" ref="J260">_xlfn.XLOOKUP($B260, DB[samplingPoint], DB[waterType])</f>
        <v>PW</v>
      </c>
      <c r="K260" s="43">
        <f t="shared" ref="K260:K268" si="16">$A260+1</f>
        <v>46211</v>
      </c>
      <c r="L260" s="26">
        <v>46214.0</v>
      </c>
      <c r="M260" s="32">
        <v>0.0</v>
      </c>
      <c r="N260" s="32">
        <v>0.0</v>
      </c>
      <c r="O260" s="32">
        <f t="shared" si="10"/>
        <v>0</v>
      </c>
      <c r="P260" s="49"/>
      <c r="Q260" s="49"/>
      <c r="R260" s="32">
        <f t="array" ref="R260">_xlfn.XLOOKUP($B260, DB[samplingPoint], DB[Criteria])</f>
        <v>100</v>
      </c>
      <c r="S260" s="50" t="str">
        <f t="shared" si="3"/>
        <v>PASSED</v>
      </c>
      <c r="T260" s="38" t="b">
        <v>0</v>
      </c>
      <c r="U260" s="39"/>
      <c r="V260" s="32" t="s">
        <v>304</v>
      </c>
    </row>
    <row r="261" ht="22.5" customHeight="1">
      <c r="A261" s="26">
        <v>46210.0</v>
      </c>
      <c r="B261" s="48" t="s">
        <v>469</v>
      </c>
      <c r="C261" s="32" t="str">
        <f t="array" ref="C261">_xlfn.XLOOKUP(B261, DB[samplingPoint], DB[samplingTag])</f>
        <v>SV125.02</v>
      </c>
      <c r="D261" s="33" t="s">
        <v>500</v>
      </c>
      <c r="E261" s="35" t="s">
        <v>181</v>
      </c>
      <c r="F261" s="38" t="b">
        <v>1</v>
      </c>
      <c r="G261" s="39" t="str">
        <f t="array" ref="G261">_xlfn.XLOOKUP($B261, DB[samplingPoint], DB[noLocation])</f>
        <v>WATER SYSTEM (B16)</v>
      </c>
      <c r="H261" s="33" t="s">
        <v>327</v>
      </c>
      <c r="I261" s="40" t="str">
        <f t="array" ref="I261">_xlfn.XLOOKUP($B261, DB[samplingPoint], DB[location])</f>
        <v>After UV (B16)</v>
      </c>
      <c r="J261" s="39" t="str">
        <f t="array" ref="J261">_xlfn.XLOOKUP($B261, DB[samplingPoint], DB[waterType])</f>
        <v>PW</v>
      </c>
      <c r="K261" s="43">
        <f t="shared" si="16"/>
        <v>46211</v>
      </c>
      <c r="L261" s="26">
        <v>46214.0</v>
      </c>
      <c r="M261" s="32">
        <v>0.0</v>
      </c>
      <c r="N261" s="32">
        <v>0.0</v>
      </c>
      <c r="O261" s="32">
        <f t="shared" si="10"/>
        <v>0</v>
      </c>
      <c r="P261" s="49"/>
      <c r="Q261" s="49"/>
      <c r="R261" s="32">
        <f t="array" ref="R261">_xlfn.XLOOKUP($B261, DB[samplingPoint], DB[Criteria])</f>
        <v>100</v>
      </c>
      <c r="S261" s="50" t="str">
        <f t="shared" si="3"/>
        <v>PASSED</v>
      </c>
      <c r="T261" s="38" t="b">
        <v>0</v>
      </c>
      <c r="U261" s="39"/>
      <c r="V261" s="32" t="s">
        <v>304</v>
      </c>
    </row>
    <row r="262" ht="22.5" customHeight="1">
      <c r="A262" s="26">
        <v>46210.0</v>
      </c>
      <c r="B262" s="48" t="s">
        <v>464</v>
      </c>
      <c r="C262" s="32" t="str">
        <f t="array" ref="C262">_xlfn.XLOOKUP(B262, DB[samplingPoint], DB[samplingTag])</f>
        <v>SV127.01</v>
      </c>
      <c r="D262" s="33" t="s">
        <v>500</v>
      </c>
      <c r="E262" s="35" t="s">
        <v>181</v>
      </c>
      <c r="F262" s="38" t="b">
        <v>1</v>
      </c>
      <c r="G262" s="39" t="str">
        <f t="array" ref="G262">_xlfn.XLOOKUP($B262, DB[samplingPoint], DB[noLocation])</f>
        <v>WATER SYSTEM (B16)</v>
      </c>
      <c r="H262" s="33" t="s">
        <v>327</v>
      </c>
      <c r="I262" s="40" t="str">
        <f t="array" ref="I262">_xlfn.XLOOKUP($B262, DB[samplingPoint], DB[location])</f>
        <v>Return loop (B16)</v>
      </c>
      <c r="J262" s="39" t="str">
        <f t="array" ref="J262">_xlfn.XLOOKUP($B262, DB[samplingPoint], DB[waterType])</f>
        <v>PW</v>
      </c>
      <c r="K262" s="43">
        <f t="shared" si="16"/>
        <v>46211</v>
      </c>
      <c r="L262" s="26">
        <v>46214.0</v>
      </c>
      <c r="M262" s="32">
        <v>0.0</v>
      </c>
      <c r="N262" s="32">
        <v>0.0</v>
      </c>
      <c r="O262" s="32">
        <f t="shared" si="10"/>
        <v>0</v>
      </c>
      <c r="P262" s="49"/>
      <c r="Q262" s="49"/>
      <c r="R262" s="32">
        <f t="array" ref="R262">_xlfn.XLOOKUP($B262, DB[samplingPoint], DB[Criteria])</f>
        <v>100</v>
      </c>
      <c r="S262" s="50" t="str">
        <f t="shared" si="3"/>
        <v>PASSED</v>
      </c>
      <c r="T262" s="38" t="b">
        <v>0</v>
      </c>
      <c r="U262" s="39"/>
      <c r="V262" s="32" t="s">
        <v>304</v>
      </c>
    </row>
    <row r="263" ht="22.5" customHeight="1">
      <c r="A263" s="26">
        <v>46210.0</v>
      </c>
      <c r="B263" s="27" t="s">
        <v>553</v>
      </c>
      <c r="C263" s="32" t="str">
        <f t="array" ref="C263">_xlfn.XLOOKUP(B263, DB[samplingPoint], DB[samplingTag])</f>
        <v>DV126.10</v>
      </c>
      <c r="D263" s="33" t="s">
        <v>500</v>
      </c>
      <c r="E263" s="35" t="s">
        <v>181</v>
      </c>
      <c r="F263" s="38" t="b">
        <v>1</v>
      </c>
      <c r="G263" s="39" t="str">
        <f t="array" ref="G263">_xlfn.XLOOKUP($B263, DB[samplingPoint], DB[noLocation])</f>
        <v>16-3-069</v>
      </c>
      <c r="H263" s="33" t="s">
        <v>327</v>
      </c>
      <c r="I263" s="40" t="str">
        <f t="array" ref="I263">_xlfn.XLOOKUP($B263, DB[samplingPoint], DB[location])</f>
        <v>MFG 2</v>
      </c>
      <c r="J263" s="39" t="str">
        <f t="array" ref="J263">_xlfn.XLOOKUP($B263, DB[samplingPoint], DB[waterType])</f>
        <v>PW</v>
      </c>
      <c r="K263" s="43">
        <f t="shared" si="16"/>
        <v>46211</v>
      </c>
      <c r="L263" s="26">
        <v>46214.0</v>
      </c>
      <c r="M263" s="32">
        <v>1.0</v>
      </c>
      <c r="N263" s="32">
        <v>0.0</v>
      </c>
      <c r="O263" s="32">
        <f t="shared" si="10"/>
        <v>1</v>
      </c>
      <c r="P263" s="49"/>
      <c r="Q263" s="49"/>
      <c r="R263" s="32">
        <f t="array" ref="R263">_xlfn.XLOOKUP($B263, DB[samplingPoint], DB[Criteria])</f>
        <v>100</v>
      </c>
      <c r="S263" s="50" t="str">
        <f t="shared" si="3"/>
        <v>PASSED</v>
      </c>
      <c r="T263" s="38" t="b">
        <v>0</v>
      </c>
      <c r="U263" s="39"/>
      <c r="V263" s="32" t="s">
        <v>304</v>
      </c>
    </row>
    <row r="264" ht="22.5" customHeight="1">
      <c r="A264" s="26">
        <v>46210.0</v>
      </c>
      <c r="B264" s="58" t="s">
        <v>555</v>
      </c>
      <c r="C264" s="32" t="str">
        <f t="array" ref="C264">_xlfn.XLOOKUP(B264, DB[samplingPoint], DB[samplingTag])</f>
        <v>DV126.06</v>
      </c>
      <c r="D264" s="33" t="s">
        <v>500</v>
      </c>
      <c r="E264" s="35" t="s">
        <v>181</v>
      </c>
      <c r="F264" s="38" t="b">
        <v>1</v>
      </c>
      <c r="G264" s="39" t="str">
        <f t="array" ref="G264">_xlfn.XLOOKUP($B264, DB[samplingPoint], DB[noLocation])</f>
        <v>16-3-069</v>
      </c>
      <c r="H264" s="33" t="s">
        <v>327</v>
      </c>
      <c r="I264" s="40" t="str">
        <f t="array" ref="I264">_xlfn.XLOOKUP($B264, DB[samplingPoint], DB[location])</f>
        <v>MFG 2</v>
      </c>
      <c r="J264" s="39" t="str">
        <f t="array" ref="J264">_xlfn.XLOOKUP($B264, DB[samplingPoint], DB[waterType])</f>
        <v>PW</v>
      </c>
      <c r="K264" s="43">
        <f t="shared" si="16"/>
        <v>46211</v>
      </c>
      <c r="L264" s="26">
        <v>46214.0</v>
      </c>
      <c r="M264" s="32">
        <v>0.0</v>
      </c>
      <c r="N264" s="32">
        <v>0.0</v>
      </c>
      <c r="O264" s="32">
        <f t="shared" si="10"/>
        <v>0</v>
      </c>
      <c r="P264" s="49"/>
      <c r="Q264" s="49"/>
      <c r="R264" s="32">
        <f t="array" ref="R264">_xlfn.XLOOKUP($B264, DB[samplingPoint], DB[Criteria])</f>
        <v>100</v>
      </c>
      <c r="S264" s="50" t="str">
        <f t="shared" si="3"/>
        <v>PASSED</v>
      </c>
      <c r="T264" s="38" t="b">
        <v>0</v>
      </c>
      <c r="U264" s="39"/>
      <c r="V264" s="32" t="s">
        <v>304</v>
      </c>
    </row>
    <row r="265" ht="22.5" customHeight="1">
      <c r="A265" s="26">
        <v>46210.0</v>
      </c>
      <c r="B265" s="27" t="s">
        <v>557</v>
      </c>
      <c r="C265" s="32" t="str">
        <f t="array" ref="C265">_xlfn.XLOOKUP(B265, DB[samplingPoint], DB[samplingTag])</f>
        <v>SV126.10</v>
      </c>
      <c r="D265" s="33" t="s">
        <v>500</v>
      </c>
      <c r="E265" s="35" t="s">
        <v>181</v>
      </c>
      <c r="F265" s="38" t="b">
        <v>1</v>
      </c>
      <c r="G265" s="39" t="str">
        <f t="array" ref="G265">_xlfn.XLOOKUP($B265, DB[samplingPoint], DB[noLocation])</f>
        <v>16-3-071</v>
      </c>
      <c r="H265" s="33" t="s">
        <v>327</v>
      </c>
      <c r="I265" s="40" t="str">
        <f t="array" ref="I265">_xlfn.XLOOKUP($B265, DB[samplingPoint], DB[location])</f>
        <v>MFG 3 (1200L)</v>
      </c>
      <c r="J265" s="39" t="str">
        <f t="array" ref="J265">_xlfn.XLOOKUP($B265, DB[samplingPoint], DB[waterType])</f>
        <v>PW</v>
      </c>
      <c r="K265" s="43">
        <f t="shared" si="16"/>
        <v>46211</v>
      </c>
      <c r="L265" s="26">
        <v>46214.0</v>
      </c>
      <c r="M265" s="32">
        <v>0.0</v>
      </c>
      <c r="N265" s="32">
        <v>0.0</v>
      </c>
      <c r="O265" s="32">
        <f t="shared" si="10"/>
        <v>0</v>
      </c>
      <c r="P265" s="49"/>
      <c r="Q265" s="49"/>
      <c r="R265" s="32">
        <f t="array" ref="R265">_xlfn.XLOOKUP($B265, DB[samplingPoint], DB[Criteria])</f>
        <v>100</v>
      </c>
      <c r="S265" s="50" t="str">
        <f t="shared" si="3"/>
        <v>PASSED</v>
      </c>
      <c r="T265" s="38" t="b">
        <v>0</v>
      </c>
      <c r="U265" s="39"/>
      <c r="V265" s="32" t="s">
        <v>304</v>
      </c>
    </row>
    <row r="266" ht="22.5" customHeight="1">
      <c r="A266" s="26">
        <v>46210.0</v>
      </c>
      <c r="B266" s="58" t="s">
        <v>561</v>
      </c>
      <c r="C266" s="32" t="str">
        <f t="array" ref="C266">_xlfn.XLOOKUP(B266, DB[samplingPoint], DB[samplingTag])</f>
        <v>SV126.09</v>
      </c>
      <c r="D266" s="33" t="s">
        <v>500</v>
      </c>
      <c r="E266" s="35" t="s">
        <v>181</v>
      </c>
      <c r="F266" s="38" t="b">
        <v>1</v>
      </c>
      <c r="G266" s="39" t="str">
        <f t="array" ref="G266">_xlfn.XLOOKUP($B266, DB[samplingPoint], DB[noLocation])</f>
        <v>16-3-071</v>
      </c>
      <c r="H266" s="33" t="s">
        <v>327</v>
      </c>
      <c r="I266" s="40" t="str">
        <f t="array" ref="I266">_xlfn.XLOOKUP($B266, DB[samplingPoint], DB[location])</f>
        <v>MFG 3 (5000L)</v>
      </c>
      <c r="J266" s="39" t="str">
        <f t="array" ref="J266">_xlfn.XLOOKUP($B266, DB[samplingPoint], DB[waterType])</f>
        <v>PW</v>
      </c>
      <c r="K266" s="43">
        <f t="shared" si="16"/>
        <v>46211</v>
      </c>
      <c r="L266" s="26">
        <v>46214.0</v>
      </c>
      <c r="M266" s="32">
        <v>0.0</v>
      </c>
      <c r="N266" s="32">
        <v>0.0</v>
      </c>
      <c r="O266" s="32">
        <f t="shared" si="10"/>
        <v>0</v>
      </c>
      <c r="P266" s="49"/>
      <c r="Q266" s="49"/>
      <c r="R266" s="32">
        <f t="array" ref="R266">_xlfn.XLOOKUP($B266, DB[samplingPoint], DB[Criteria])</f>
        <v>100</v>
      </c>
      <c r="S266" s="50" t="str">
        <f t="shared" si="3"/>
        <v>PASSED</v>
      </c>
      <c r="T266" s="38" t="b">
        <v>0</v>
      </c>
      <c r="U266" s="39"/>
      <c r="V266" s="32" t="s">
        <v>304</v>
      </c>
    </row>
    <row r="267" ht="22.5" customHeight="1">
      <c r="A267" s="26">
        <v>46210.0</v>
      </c>
      <c r="B267" s="48" t="s">
        <v>563</v>
      </c>
      <c r="C267" s="32" t="str">
        <f t="array" ref="C267">_xlfn.XLOOKUP(B267, DB[samplingPoint], DB[samplingTag])</f>
        <v>DV126.07</v>
      </c>
      <c r="D267" s="33" t="s">
        <v>500</v>
      </c>
      <c r="E267" s="35" t="s">
        <v>181</v>
      </c>
      <c r="F267" s="38" t="b">
        <v>1</v>
      </c>
      <c r="G267" s="39" t="str">
        <f t="array" ref="G267">_xlfn.XLOOKUP($B267, DB[samplingPoint], DB[noLocation])</f>
        <v>16-3-077</v>
      </c>
      <c r="H267" s="33" t="s">
        <v>327</v>
      </c>
      <c r="I267" s="40" t="str">
        <f t="array" ref="I267">_xlfn.XLOOKUP($B267, DB[samplingPoint], DB[location])</f>
        <v>MFG 6</v>
      </c>
      <c r="J267" s="39" t="str">
        <f t="array" ref="J267">_xlfn.XLOOKUP($B267, DB[samplingPoint], DB[waterType])</f>
        <v>PW</v>
      </c>
      <c r="K267" s="43">
        <f t="shared" si="16"/>
        <v>46211</v>
      </c>
      <c r="L267" s="26">
        <v>46214.0</v>
      </c>
      <c r="M267" s="32">
        <v>0.0</v>
      </c>
      <c r="N267" s="32">
        <v>0.0</v>
      </c>
      <c r="O267" s="32">
        <f t="shared" si="10"/>
        <v>0</v>
      </c>
      <c r="P267" s="49"/>
      <c r="Q267" s="49"/>
      <c r="R267" s="32">
        <f t="array" ref="R267">_xlfn.XLOOKUP($B267, DB[samplingPoint], DB[Criteria])</f>
        <v>100</v>
      </c>
      <c r="S267" s="50" t="str">
        <f t="shared" si="3"/>
        <v>PASSED</v>
      </c>
      <c r="T267" s="38" t="b">
        <v>0</v>
      </c>
      <c r="U267" s="39"/>
      <c r="V267" s="32" t="s">
        <v>304</v>
      </c>
    </row>
    <row r="268" ht="22.5" customHeight="1">
      <c r="A268" s="26">
        <v>46210.0</v>
      </c>
      <c r="B268" s="48" t="s">
        <v>566</v>
      </c>
      <c r="C268" s="32" t="str">
        <f t="array" ref="C268">_xlfn.XLOOKUP(B268, DB[samplingPoint], DB[samplingTag])</f>
        <v>DV126.08</v>
      </c>
      <c r="D268" s="33" t="s">
        <v>500</v>
      </c>
      <c r="E268" s="35" t="s">
        <v>181</v>
      </c>
      <c r="F268" s="38" t="b">
        <v>1</v>
      </c>
      <c r="G268" s="39" t="str">
        <f t="array" ref="G268">_xlfn.XLOOKUP($B268, DB[samplingPoint], DB[noLocation])</f>
        <v>16-3-077</v>
      </c>
      <c r="H268" s="33" t="s">
        <v>327</v>
      </c>
      <c r="I268" s="40" t="str">
        <f t="array" ref="I268">_xlfn.XLOOKUP($B268, DB[samplingPoint], DB[location])</f>
        <v>MFG 6</v>
      </c>
      <c r="J268" s="39" t="str">
        <f t="array" ref="J268">_xlfn.XLOOKUP($B268, DB[samplingPoint], DB[waterType])</f>
        <v>PW</v>
      </c>
      <c r="K268" s="43">
        <f t="shared" si="16"/>
        <v>46211</v>
      </c>
      <c r="L268" s="26">
        <v>46214.0</v>
      </c>
      <c r="M268" s="32">
        <v>0.0</v>
      </c>
      <c r="N268" s="32">
        <v>0.0</v>
      </c>
      <c r="O268" s="32">
        <f t="shared" si="10"/>
        <v>0</v>
      </c>
      <c r="P268" s="49"/>
      <c r="Q268" s="49"/>
      <c r="R268" s="32">
        <f t="array" ref="R268">_xlfn.XLOOKUP($B268, DB[samplingPoint], DB[Criteria])</f>
        <v>100</v>
      </c>
      <c r="S268" s="50" t="str">
        <f t="shared" si="3"/>
        <v>PASSED</v>
      </c>
      <c r="T268" s="38" t="b">
        <v>0</v>
      </c>
      <c r="U268" s="39"/>
      <c r="V268" s="32" t="s">
        <v>304</v>
      </c>
    </row>
    <row r="269" ht="22.5" customHeight="1">
      <c r="A269" s="26">
        <v>46213.0</v>
      </c>
      <c r="B269" s="102" t="s">
        <v>380</v>
      </c>
      <c r="C269" s="103" t="str">
        <f t="array" ref="C269">_xlfn.XLOOKUP(B269, database!$A$2:$A$150, database!$B$2:$B$150)</f>
        <v>SV113.01</v>
      </c>
      <c r="D269" s="33" t="s">
        <v>500</v>
      </c>
      <c r="E269" s="35" t="s">
        <v>183</v>
      </c>
      <c r="F269" s="38" t="b">
        <v>1</v>
      </c>
      <c r="G269" s="39" t="str">
        <f t="array" ref="G269">_xlfn.XLOOKUP($B269, DB[samplingPoint], DB[noLocation])</f>
        <v>WATER SYSTEM (B10)</v>
      </c>
      <c r="H269" s="33" t="s">
        <v>180</v>
      </c>
      <c r="I269" s="40" t="str">
        <f t="array" ref="I269">_xlfn.XLOOKUP($B269, DB[samplingPoint], DB[location])</f>
        <v>After Storage tank (B10)</v>
      </c>
      <c r="J269" s="39" t="str">
        <f t="array" ref="J269">_xlfn.XLOOKUP($B269, DB[samplingPoint], DB[waterType])</f>
        <v>PW</v>
      </c>
      <c r="K269" s="43">
        <f t="shared" ref="K269:K287" si="17">$A269+0</f>
        <v>46213</v>
      </c>
      <c r="L269" s="26">
        <v>46216.0</v>
      </c>
      <c r="M269" s="32">
        <v>0.0</v>
      </c>
      <c r="N269" s="32">
        <v>0.0</v>
      </c>
      <c r="O269" s="32">
        <f t="shared" si="10"/>
        <v>0</v>
      </c>
      <c r="P269" s="49"/>
      <c r="Q269" s="49"/>
      <c r="R269" s="32">
        <f t="array" ref="R269">_xlfn.XLOOKUP($B269, DB[samplingPoint], DB[Criteria])</f>
        <v>100</v>
      </c>
      <c r="S269" s="50" t="str">
        <f t="shared" si="3"/>
        <v>PASSED</v>
      </c>
      <c r="T269" s="38" t="b">
        <v>0</v>
      </c>
      <c r="U269" s="39"/>
      <c r="V269" s="32" t="s">
        <v>304</v>
      </c>
    </row>
    <row r="270" ht="22.5" customHeight="1">
      <c r="A270" s="26">
        <v>46213.0</v>
      </c>
      <c r="B270" s="99" t="s">
        <v>385</v>
      </c>
      <c r="C270" s="100" t="str">
        <f t="array" ref="C270">_xlfn.XLOOKUP(B270, database!$A$2:$A$150, database!$B$2:$B$150)</f>
        <v>SV115.02</v>
      </c>
      <c r="D270" s="33" t="s">
        <v>500</v>
      </c>
      <c r="E270" s="35" t="s">
        <v>183</v>
      </c>
      <c r="F270" s="38" t="b">
        <v>1</v>
      </c>
      <c r="G270" s="39" t="str">
        <f t="array" ref="G270">_xlfn.XLOOKUP($B270, DB[samplingPoint], DB[noLocation])</f>
        <v>WATER SYSTEM (B10)</v>
      </c>
      <c r="H270" s="33" t="s">
        <v>180</v>
      </c>
      <c r="I270" s="40" t="str">
        <f t="array" ref="I270">_xlfn.XLOOKUP($B270, DB[samplingPoint], DB[location])</f>
        <v>After UV (B10)</v>
      </c>
      <c r="J270" s="39" t="str">
        <f t="array" ref="J270">_xlfn.XLOOKUP($B270, DB[samplingPoint], DB[waterType])</f>
        <v>PW</v>
      </c>
      <c r="K270" s="43">
        <f t="shared" si="17"/>
        <v>46213</v>
      </c>
      <c r="L270" s="26">
        <v>46216.0</v>
      </c>
      <c r="M270" s="32">
        <v>0.0</v>
      </c>
      <c r="N270" s="32">
        <v>0.0</v>
      </c>
      <c r="O270" s="32">
        <f t="shared" si="10"/>
        <v>0</v>
      </c>
      <c r="P270" s="49"/>
      <c r="Q270" s="49"/>
      <c r="R270" s="32">
        <f t="array" ref="R270">_xlfn.XLOOKUP($B270, DB[samplingPoint], DB[Criteria])</f>
        <v>100</v>
      </c>
      <c r="S270" s="50" t="str">
        <f t="shared" si="3"/>
        <v>PASSED</v>
      </c>
      <c r="T270" s="38" t="b">
        <v>0</v>
      </c>
      <c r="U270" s="39"/>
      <c r="V270" s="32" t="s">
        <v>304</v>
      </c>
    </row>
    <row r="271" ht="22.5" customHeight="1">
      <c r="A271" s="26">
        <v>46213.0</v>
      </c>
      <c r="B271" s="102" t="s">
        <v>390</v>
      </c>
      <c r="C271" s="103" t="str">
        <f t="array" ref="C271">_xlfn.XLOOKUP(B271, database!$A$2:$A$150, database!$B$2:$B$150)</f>
        <v>SV117.01</v>
      </c>
      <c r="D271" s="33" t="s">
        <v>500</v>
      </c>
      <c r="E271" s="35" t="s">
        <v>183</v>
      </c>
      <c r="F271" s="38" t="b">
        <v>1</v>
      </c>
      <c r="G271" s="39" t="str">
        <f t="array" ref="G271">_xlfn.XLOOKUP($B271, DB[samplingPoint], DB[noLocation])</f>
        <v>WATER SYSTEM (B10)</v>
      </c>
      <c r="H271" s="33" t="s">
        <v>180</v>
      </c>
      <c r="I271" s="40" t="str">
        <f t="array" ref="I271">_xlfn.XLOOKUP($B271, DB[samplingPoint], DB[location])</f>
        <v>Return loop (B10)</v>
      </c>
      <c r="J271" s="39" t="str">
        <f t="array" ref="J271">_xlfn.XLOOKUP($B271, DB[samplingPoint], DB[waterType])</f>
        <v>PW</v>
      </c>
      <c r="K271" s="43">
        <f t="shared" si="17"/>
        <v>46213</v>
      </c>
      <c r="L271" s="26">
        <v>46216.0</v>
      </c>
      <c r="M271" s="32">
        <v>0.0</v>
      </c>
      <c r="N271" s="32">
        <v>0.0</v>
      </c>
      <c r="O271" s="32">
        <f t="shared" si="10"/>
        <v>0</v>
      </c>
      <c r="P271" s="49"/>
      <c r="Q271" s="49"/>
      <c r="R271" s="32">
        <f t="array" ref="R271">_xlfn.XLOOKUP($B271, DB[samplingPoint], DB[Criteria])</f>
        <v>100</v>
      </c>
      <c r="S271" s="50" t="str">
        <f t="shared" si="3"/>
        <v>PASSED</v>
      </c>
      <c r="T271" s="38" t="b">
        <v>0</v>
      </c>
      <c r="U271" s="39"/>
      <c r="V271" s="32" t="s">
        <v>304</v>
      </c>
    </row>
    <row r="272" ht="22.5" customHeight="1">
      <c r="A272" s="26">
        <v>46213.0</v>
      </c>
      <c r="B272" s="99" t="s">
        <v>536</v>
      </c>
      <c r="C272" s="100" t="str">
        <f t="array" ref="C272">_xlfn.XLOOKUP(B272, database!$A$2:$A$150, database!$B$2:$B$150)</f>
        <v>SV116.05</v>
      </c>
      <c r="D272" s="33" t="s">
        <v>500</v>
      </c>
      <c r="E272" s="35" t="s">
        <v>183</v>
      </c>
      <c r="F272" s="38" t="b">
        <v>1</v>
      </c>
      <c r="G272" s="39" t="str">
        <f t="array" ref="G272">_xlfn.XLOOKUP($B272, DB[samplingPoint], DB[noLocation])</f>
        <v>10-3-062</v>
      </c>
      <c r="H272" s="33" t="s">
        <v>180</v>
      </c>
      <c r="I272" s="40" t="str">
        <f t="array" ref="I272">_xlfn.XLOOKUP($B272, DB[samplingPoint], DB[location])</f>
        <v>COATING ROOM-3</v>
      </c>
      <c r="J272" s="39" t="str">
        <f t="array" ref="J272">_xlfn.XLOOKUP($B272, DB[samplingPoint], DB[waterType])</f>
        <v>PW</v>
      </c>
      <c r="K272" s="43">
        <f t="shared" si="17"/>
        <v>46213</v>
      </c>
      <c r="L272" s="26">
        <v>46216.0</v>
      </c>
      <c r="M272" s="32">
        <v>0.0</v>
      </c>
      <c r="N272" s="32">
        <v>0.0</v>
      </c>
      <c r="O272" s="32">
        <f t="shared" si="10"/>
        <v>0</v>
      </c>
      <c r="P272" s="49"/>
      <c r="Q272" s="49"/>
      <c r="R272" s="32">
        <f t="array" ref="R272">_xlfn.XLOOKUP($B272, DB[samplingPoint], DB[Criteria])</f>
        <v>100</v>
      </c>
      <c r="S272" s="50" t="str">
        <f t="shared" si="3"/>
        <v>PASSED</v>
      </c>
      <c r="T272" s="38" t="b">
        <v>0</v>
      </c>
      <c r="U272" s="39"/>
      <c r="V272" s="32" t="s">
        <v>304</v>
      </c>
    </row>
    <row r="273" ht="22.5" customHeight="1">
      <c r="A273" s="26">
        <v>46213.0</v>
      </c>
      <c r="B273" s="102" t="s">
        <v>535</v>
      </c>
      <c r="C273" s="103" t="str">
        <f t="array" ref="C273">_xlfn.XLOOKUP(B273, database!$A$2:$A$150, database!$B$2:$B$150)</f>
        <v>SV116.04</v>
      </c>
      <c r="D273" s="33" t="s">
        <v>500</v>
      </c>
      <c r="E273" s="35" t="s">
        <v>183</v>
      </c>
      <c r="F273" s="38" t="b">
        <v>1</v>
      </c>
      <c r="G273" s="39" t="str">
        <f t="array" ref="G273">_xlfn.XLOOKUP($B273, DB[samplingPoint], DB[noLocation])</f>
        <v>10-3-061</v>
      </c>
      <c r="H273" s="33" t="s">
        <v>180</v>
      </c>
      <c r="I273" s="40" t="str">
        <f t="array" ref="I273">_xlfn.XLOOKUP($B273, DB[samplingPoint], DB[location])</f>
        <v>COATING ROOM-2</v>
      </c>
      <c r="J273" s="39" t="str">
        <f t="array" ref="J273">_xlfn.XLOOKUP($B273, DB[samplingPoint], DB[waterType])</f>
        <v>PW</v>
      </c>
      <c r="K273" s="43">
        <f t="shared" si="17"/>
        <v>46213</v>
      </c>
      <c r="L273" s="26">
        <v>46216.0</v>
      </c>
      <c r="M273" s="32">
        <v>0.0</v>
      </c>
      <c r="N273" s="32">
        <v>0.0</v>
      </c>
      <c r="O273" s="32">
        <f t="shared" si="10"/>
        <v>0</v>
      </c>
      <c r="P273" s="49"/>
      <c r="Q273" s="49"/>
      <c r="R273" s="32">
        <f t="array" ref="R273">_xlfn.XLOOKUP($B273, DB[samplingPoint], DB[Criteria])</f>
        <v>100</v>
      </c>
      <c r="S273" s="50" t="str">
        <f t="shared" si="3"/>
        <v>PASSED</v>
      </c>
      <c r="T273" s="38" t="b">
        <v>0</v>
      </c>
      <c r="U273" s="39"/>
      <c r="V273" s="32" t="s">
        <v>304</v>
      </c>
    </row>
    <row r="274" ht="22.5" customHeight="1">
      <c r="A274" s="26">
        <v>46213.0</v>
      </c>
      <c r="B274" s="99" t="s">
        <v>529</v>
      </c>
      <c r="C274" s="100" t="str">
        <f t="array" ref="C274">_xlfn.XLOOKUP(B274, database!$A$2:$A$150, database!$B$2:$B$150)</f>
        <v>DV116.09</v>
      </c>
      <c r="D274" s="33" t="s">
        <v>500</v>
      </c>
      <c r="E274" s="35" t="s">
        <v>183</v>
      </c>
      <c r="F274" s="38" t="b">
        <v>1</v>
      </c>
      <c r="G274" s="39" t="str">
        <f t="array" ref="G274">_xlfn.XLOOKUP($B274, DB[samplingPoint], DB[noLocation])</f>
        <v>10-3-060</v>
      </c>
      <c r="H274" s="33" t="s">
        <v>180</v>
      </c>
      <c r="I274" s="40" t="str">
        <f t="array" ref="I274">_xlfn.XLOOKUP($B274, DB[samplingPoint], DB[location])</f>
        <v>COATING SOLUTION PREP.-2</v>
      </c>
      <c r="J274" s="39" t="str">
        <f t="array" ref="J274">_xlfn.XLOOKUP($B274, DB[samplingPoint], DB[waterType])</f>
        <v>PW</v>
      </c>
      <c r="K274" s="43">
        <f t="shared" si="17"/>
        <v>46213</v>
      </c>
      <c r="L274" s="26">
        <v>46216.0</v>
      </c>
      <c r="M274" s="32">
        <v>0.0</v>
      </c>
      <c r="N274" s="32">
        <v>0.0</v>
      </c>
      <c r="O274" s="32">
        <f t="shared" si="10"/>
        <v>0</v>
      </c>
      <c r="P274" s="49"/>
      <c r="Q274" s="49"/>
      <c r="R274" s="32">
        <f t="array" ref="R274">_xlfn.XLOOKUP($B274, DB[samplingPoint], DB[Criteria])</f>
        <v>100</v>
      </c>
      <c r="S274" s="50" t="str">
        <f t="shared" si="3"/>
        <v>PASSED</v>
      </c>
      <c r="T274" s="38" t="b">
        <v>0</v>
      </c>
      <c r="U274" s="39"/>
      <c r="V274" s="32" t="s">
        <v>304</v>
      </c>
    </row>
    <row r="275" ht="22.5" customHeight="1">
      <c r="A275" s="26">
        <v>46213.0</v>
      </c>
      <c r="B275" s="102" t="s">
        <v>528</v>
      </c>
      <c r="C275" s="103" t="str">
        <f t="array" ref="C275">_xlfn.XLOOKUP(B275, database!$A$2:$A$150, database!$B$2:$B$150)</f>
        <v>DV116.08</v>
      </c>
      <c r="D275" s="33" t="s">
        <v>500</v>
      </c>
      <c r="E275" s="35" t="s">
        <v>183</v>
      </c>
      <c r="F275" s="38" t="b">
        <v>1</v>
      </c>
      <c r="G275" s="39" t="str">
        <f t="array" ref="G275">_xlfn.XLOOKUP($B275, DB[samplingPoint], DB[noLocation])</f>
        <v>10-3-059</v>
      </c>
      <c r="H275" s="33" t="s">
        <v>180</v>
      </c>
      <c r="I275" s="40" t="str">
        <f t="array" ref="I275">_xlfn.XLOOKUP($B275, DB[samplingPoint], DB[location])</f>
        <v>COATING SOLUTION PREP.-1</v>
      </c>
      <c r="J275" s="39" t="str">
        <f t="array" ref="J275">_xlfn.XLOOKUP($B275, DB[samplingPoint], DB[waterType])</f>
        <v>PW</v>
      </c>
      <c r="K275" s="43">
        <f t="shared" si="17"/>
        <v>46213</v>
      </c>
      <c r="L275" s="26">
        <v>46216.0</v>
      </c>
      <c r="M275" s="32">
        <v>0.0</v>
      </c>
      <c r="N275" s="32">
        <v>0.0</v>
      </c>
      <c r="O275" s="32">
        <f t="shared" si="10"/>
        <v>0</v>
      </c>
      <c r="P275" s="49"/>
      <c r="Q275" s="49"/>
      <c r="R275" s="32">
        <f t="array" ref="R275">_xlfn.XLOOKUP($B275, DB[samplingPoint], DB[Criteria])</f>
        <v>100</v>
      </c>
      <c r="S275" s="50" t="str">
        <f t="shared" si="3"/>
        <v>PASSED</v>
      </c>
      <c r="T275" s="38" t="b">
        <v>0</v>
      </c>
      <c r="U275" s="39"/>
      <c r="V275" s="32" t="s">
        <v>304</v>
      </c>
    </row>
    <row r="276" ht="22.5" customHeight="1">
      <c r="A276" s="26">
        <v>46213.0</v>
      </c>
      <c r="B276" s="99" t="s">
        <v>534</v>
      </c>
      <c r="C276" s="100" t="str">
        <f t="array" ref="C276">_xlfn.XLOOKUP(B276, database!$A$2:$A$150, database!$B$2:$B$150)</f>
        <v>SV116.03</v>
      </c>
      <c r="D276" s="33" t="s">
        <v>500</v>
      </c>
      <c r="E276" s="35" t="s">
        <v>183</v>
      </c>
      <c r="F276" s="38" t="b">
        <v>1</v>
      </c>
      <c r="G276" s="39" t="str">
        <f t="array" ref="G276">_xlfn.XLOOKUP($B276, DB[samplingPoint], DB[noLocation])</f>
        <v>10-3-058</v>
      </c>
      <c r="H276" s="33" t="s">
        <v>180</v>
      </c>
      <c r="I276" s="40" t="str">
        <f t="array" ref="I276">_xlfn.XLOOKUP($B276, DB[samplingPoint], DB[location])</f>
        <v>COATING ROOM-1</v>
      </c>
      <c r="J276" s="39" t="str">
        <f t="array" ref="J276">_xlfn.XLOOKUP($B276, DB[samplingPoint], DB[waterType])</f>
        <v>PW</v>
      </c>
      <c r="K276" s="43">
        <f t="shared" si="17"/>
        <v>46213</v>
      </c>
      <c r="L276" s="26">
        <v>46216.0</v>
      </c>
      <c r="M276" s="32">
        <v>1.0</v>
      </c>
      <c r="N276" s="32">
        <v>0.0</v>
      </c>
      <c r="O276" s="32">
        <f t="shared" si="10"/>
        <v>1</v>
      </c>
      <c r="P276" s="49"/>
      <c r="Q276" s="49"/>
      <c r="R276" s="32">
        <f t="array" ref="R276">_xlfn.XLOOKUP($B276, DB[samplingPoint], DB[Criteria])</f>
        <v>100</v>
      </c>
      <c r="S276" s="50" t="str">
        <f t="shared" si="3"/>
        <v>PASSED</v>
      </c>
      <c r="T276" s="38" t="b">
        <v>0</v>
      </c>
      <c r="U276" s="39"/>
      <c r="V276" s="32" t="s">
        <v>304</v>
      </c>
    </row>
    <row r="277" ht="22.5" customHeight="1">
      <c r="A277" s="26">
        <v>46213.0</v>
      </c>
      <c r="B277" s="102" t="s">
        <v>541</v>
      </c>
      <c r="C277" s="103" t="str">
        <f t="array" ref="C277">_xlfn.XLOOKUP(B277, database!$A$2:$A$150, database!$B$2:$B$150)</f>
        <v>SV116.08</v>
      </c>
      <c r="D277" s="33" t="s">
        <v>500</v>
      </c>
      <c r="E277" s="35" t="s">
        <v>183</v>
      </c>
      <c r="F277" s="38" t="b">
        <v>1</v>
      </c>
      <c r="G277" s="39" t="str">
        <f t="array" ref="G277">_xlfn.XLOOKUP($B277, DB[samplingPoint], DB[noLocation])</f>
        <v>10-3-067</v>
      </c>
      <c r="H277" s="33" t="s">
        <v>180</v>
      </c>
      <c r="I277" s="40" t="str">
        <f t="array" ref="I277">_xlfn.XLOOKUP($B277, DB[samplingPoint], DB[location])</f>
        <v>COATING ROOM-6</v>
      </c>
      <c r="J277" s="39" t="str">
        <f t="array" ref="J277">_xlfn.XLOOKUP($B277, DB[samplingPoint], DB[waterType])</f>
        <v>PW</v>
      </c>
      <c r="K277" s="43">
        <f t="shared" si="17"/>
        <v>46213</v>
      </c>
      <c r="L277" s="26">
        <v>46216.0</v>
      </c>
      <c r="M277" s="32">
        <v>0.0</v>
      </c>
      <c r="N277" s="32">
        <v>0.0</v>
      </c>
      <c r="O277" s="32">
        <f t="shared" si="10"/>
        <v>0</v>
      </c>
      <c r="P277" s="49"/>
      <c r="Q277" s="49"/>
      <c r="R277" s="32">
        <f t="array" ref="R277">_xlfn.XLOOKUP($B277, DB[samplingPoint], DB[Criteria])</f>
        <v>100</v>
      </c>
      <c r="S277" s="50" t="str">
        <f t="shared" si="3"/>
        <v>PASSED</v>
      </c>
      <c r="T277" s="38" t="b">
        <v>0</v>
      </c>
      <c r="U277" s="39"/>
      <c r="V277" s="32" t="s">
        <v>304</v>
      </c>
    </row>
    <row r="278" ht="22.5" customHeight="1">
      <c r="A278" s="26">
        <v>46213.0</v>
      </c>
      <c r="B278" s="99" t="s">
        <v>532</v>
      </c>
      <c r="C278" s="100" t="str">
        <f t="array" ref="C278">_xlfn.XLOOKUP(B278, database!$A$2:$A$150, database!$B$2:$B$150)</f>
        <v>DV116.11</v>
      </c>
      <c r="D278" s="33" t="s">
        <v>500</v>
      </c>
      <c r="E278" s="35" t="s">
        <v>183</v>
      </c>
      <c r="F278" s="38" t="b">
        <v>1</v>
      </c>
      <c r="G278" s="39" t="str">
        <f t="array" ref="G278">_xlfn.XLOOKUP($B278, DB[samplingPoint], DB[noLocation])</f>
        <v>10-3-066</v>
      </c>
      <c r="H278" s="33" t="s">
        <v>180</v>
      </c>
      <c r="I278" s="40" t="str">
        <f t="array" ref="I278">_xlfn.XLOOKUP($B278, DB[samplingPoint], DB[location])</f>
        <v>COATING SOLUTION PREP.-4</v>
      </c>
      <c r="J278" s="39" t="str">
        <f t="array" ref="J278">_xlfn.XLOOKUP($B278, DB[samplingPoint], DB[waterType])</f>
        <v>PW</v>
      </c>
      <c r="K278" s="43">
        <f t="shared" si="17"/>
        <v>46213</v>
      </c>
      <c r="L278" s="26">
        <v>46216.0</v>
      </c>
      <c r="M278" s="32">
        <v>0.0</v>
      </c>
      <c r="N278" s="32">
        <v>0.0</v>
      </c>
      <c r="O278" s="32">
        <f t="shared" si="10"/>
        <v>0</v>
      </c>
      <c r="P278" s="49"/>
      <c r="Q278" s="49"/>
      <c r="R278" s="32">
        <f t="array" ref="R278">_xlfn.XLOOKUP($B278, DB[samplingPoint], DB[Criteria])</f>
        <v>100</v>
      </c>
      <c r="S278" s="50" t="str">
        <f t="shared" si="3"/>
        <v>PASSED</v>
      </c>
      <c r="T278" s="38" t="b">
        <v>0</v>
      </c>
      <c r="U278" s="39"/>
      <c r="V278" s="32" t="s">
        <v>304</v>
      </c>
    </row>
    <row r="279" ht="22.5" customHeight="1">
      <c r="A279" s="26">
        <v>46213.0</v>
      </c>
      <c r="B279" s="102" t="s">
        <v>531</v>
      </c>
      <c r="C279" s="103" t="str">
        <f t="array" ref="C279">_xlfn.XLOOKUP(B279, database!$A$2:$A$150, database!$B$2:$B$150)</f>
        <v>DV116.10</v>
      </c>
      <c r="D279" s="33" t="s">
        <v>500</v>
      </c>
      <c r="E279" s="35" t="s">
        <v>183</v>
      </c>
      <c r="F279" s="38" t="b">
        <v>1</v>
      </c>
      <c r="G279" s="39" t="str">
        <f t="array" ref="G279">_xlfn.XLOOKUP($B279, DB[samplingPoint], DB[noLocation])</f>
        <v>10-3-065</v>
      </c>
      <c r="H279" s="33" t="s">
        <v>180</v>
      </c>
      <c r="I279" s="40" t="str">
        <f t="array" ref="I279">_xlfn.XLOOKUP($B279, DB[samplingPoint], DB[location])</f>
        <v>COATING SOLUTION PREP.-3</v>
      </c>
      <c r="J279" s="39" t="str">
        <f t="array" ref="J279">_xlfn.XLOOKUP($B279, DB[samplingPoint], DB[waterType])</f>
        <v>PW</v>
      </c>
      <c r="K279" s="43">
        <f t="shared" si="17"/>
        <v>46213</v>
      </c>
      <c r="L279" s="26">
        <v>46216.0</v>
      </c>
      <c r="M279" s="32">
        <v>0.0</v>
      </c>
      <c r="N279" s="32">
        <v>0.0</v>
      </c>
      <c r="O279" s="32">
        <f t="shared" si="10"/>
        <v>0</v>
      </c>
      <c r="P279" s="49"/>
      <c r="Q279" s="49"/>
      <c r="R279" s="32">
        <f t="array" ref="R279">_xlfn.XLOOKUP($B279, DB[samplingPoint], DB[Criteria])</f>
        <v>100</v>
      </c>
      <c r="S279" s="50" t="str">
        <f t="shared" si="3"/>
        <v>PASSED</v>
      </c>
      <c r="T279" s="38" t="b">
        <v>0</v>
      </c>
      <c r="U279" s="39"/>
      <c r="V279" s="32" t="s">
        <v>304</v>
      </c>
    </row>
    <row r="280" ht="22.5" customHeight="1">
      <c r="A280" s="26">
        <v>46213.0</v>
      </c>
      <c r="B280" s="99" t="s">
        <v>539</v>
      </c>
      <c r="C280" s="100" t="str">
        <f t="array" ref="C280">_xlfn.XLOOKUP(B280, database!$A$2:$A$150, database!$B$2:$B$150)</f>
        <v>SV116.07</v>
      </c>
      <c r="D280" s="33" t="s">
        <v>500</v>
      </c>
      <c r="E280" s="35" t="s">
        <v>183</v>
      </c>
      <c r="F280" s="38" t="b">
        <v>1</v>
      </c>
      <c r="G280" s="39" t="str">
        <f t="array" ref="G280">_xlfn.XLOOKUP($B280, DB[samplingPoint], DB[noLocation])</f>
        <v>10-3-064</v>
      </c>
      <c r="H280" s="33" t="s">
        <v>180</v>
      </c>
      <c r="I280" s="40" t="str">
        <f t="array" ref="I280">_xlfn.XLOOKUP($B280, DB[samplingPoint], DB[location])</f>
        <v>COATING ROOM-5</v>
      </c>
      <c r="J280" s="39" t="str">
        <f t="array" ref="J280">_xlfn.XLOOKUP($B280, DB[samplingPoint], DB[waterType])</f>
        <v>PW</v>
      </c>
      <c r="K280" s="43">
        <f t="shared" si="17"/>
        <v>46213</v>
      </c>
      <c r="L280" s="26">
        <v>46216.0</v>
      </c>
      <c r="M280" s="32">
        <v>0.0</v>
      </c>
      <c r="N280" s="32">
        <v>0.0</v>
      </c>
      <c r="O280" s="32">
        <f t="shared" si="10"/>
        <v>0</v>
      </c>
      <c r="P280" s="49"/>
      <c r="Q280" s="49"/>
      <c r="R280" s="32">
        <f t="array" ref="R280">_xlfn.XLOOKUP($B280, DB[samplingPoint], DB[Criteria])</f>
        <v>100</v>
      </c>
      <c r="S280" s="50" t="str">
        <f t="shared" si="3"/>
        <v>PASSED</v>
      </c>
      <c r="T280" s="38" t="b">
        <v>0</v>
      </c>
      <c r="U280" s="39"/>
      <c r="V280" s="32" t="s">
        <v>304</v>
      </c>
    </row>
    <row r="281" ht="22.5" customHeight="1">
      <c r="A281" s="26">
        <v>46213.0</v>
      </c>
      <c r="B281" s="102" t="s">
        <v>538</v>
      </c>
      <c r="C281" s="103" t="str">
        <f t="array" ref="C281">_xlfn.XLOOKUP(B281, database!$A$2:$A$150, database!$B$2:$B$150)</f>
        <v>SV116.06</v>
      </c>
      <c r="D281" s="33" t="s">
        <v>500</v>
      </c>
      <c r="E281" s="35" t="s">
        <v>183</v>
      </c>
      <c r="F281" s="38" t="b">
        <v>1</v>
      </c>
      <c r="G281" s="39" t="str">
        <f t="array" ref="G281">_xlfn.XLOOKUP($B281, DB[samplingPoint], DB[noLocation])</f>
        <v>10-3-063</v>
      </c>
      <c r="H281" s="33" t="s">
        <v>180</v>
      </c>
      <c r="I281" s="40" t="str">
        <f t="array" ref="I281">_xlfn.XLOOKUP($B281, DB[samplingPoint], DB[location])</f>
        <v>COATING ROOM-4</v>
      </c>
      <c r="J281" s="39" t="str">
        <f t="array" ref="J281">_xlfn.XLOOKUP($B281, DB[samplingPoint], DB[waterType])</f>
        <v>PW</v>
      </c>
      <c r="K281" s="43">
        <f t="shared" si="17"/>
        <v>46213</v>
      </c>
      <c r="L281" s="26">
        <v>46216.0</v>
      </c>
      <c r="M281" s="32">
        <v>0.0</v>
      </c>
      <c r="N281" s="32">
        <v>0.0</v>
      </c>
      <c r="O281" s="32">
        <f t="shared" si="10"/>
        <v>0</v>
      </c>
      <c r="P281" s="49"/>
      <c r="Q281" s="49"/>
      <c r="R281" s="32">
        <f t="array" ref="R281">_xlfn.XLOOKUP($B281, DB[samplingPoint], DB[Criteria])</f>
        <v>100</v>
      </c>
      <c r="S281" s="50" t="str">
        <f t="shared" si="3"/>
        <v>PASSED</v>
      </c>
      <c r="T281" s="38" t="b">
        <v>0</v>
      </c>
      <c r="U281" s="39"/>
      <c r="V281" s="32" t="s">
        <v>304</v>
      </c>
    </row>
    <row r="282" ht="22.5" customHeight="1">
      <c r="A282" s="26">
        <v>46213.0</v>
      </c>
      <c r="B282" s="99" t="s">
        <v>520</v>
      </c>
      <c r="C282" s="100" t="str">
        <f t="array" ref="C282">_xlfn.XLOOKUP(B282, database!$A$2:$A$150, database!$B$2:$B$150)</f>
        <v>DV116.03</v>
      </c>
      <c r="D282" s="33" t="s">
        <v>500</v>
      </c>
      <c r="E282" s="35" t="s">
        <v>183</v>
      </c>
      <c r="F282" s="38" t="b">
        <v>1</v>
      </c>
      <c r="G282" s="39" t="str">
        <f t="array" ref="G282">_xlfn.XLOOKUP($B282, DB[samplingPoint], DB[noLocation])</f>
        <v>10-2-034</v>
      </c>
      <c r="H282" s="33" t="s">
        <v>180</v>
      </c>
      <c r="I282" s="40" t="str">
        <f t="array" ref="I282">_xlfn.XLOOKUP($B282, DB[samplingPoint], DB[location])</f>
        <v>SAMPLE PREPARATION</v>
      </c>
      <c r="J282" s="39" t="str">
        <f t="array" ref="J282">_xlfn.XLOOKUP($B282, DB[samplingPoint], DB[waterType])</f>
        <v>PW</v>
      </c>
      <c r="K282" s="43">
        <f t="shared" si="17"/>
        <v>46213</v>
      </c>
      <c r="L282" s="26">
        <v>46216.0</v>
      </c>
      <c r="M282" s="32">
        <v>0.0</v>
      </c>
      <c r="N282" s="32">
        <v>0.0</v>
      </c>
      <c r="O282" s="32">
        <f t="shared" si="10"/>
        <v>0</v>
      </c>
      <c r="P282" s="49"/>
      <c r="Q282" s="49"/>
      <c r="R282" s="32">
        <f t="array" ref="R282">_xlfn.XLOOKUP($B282, DB[samplingPoint], DB[Criteria])</f>
        <v>100</v>
      </c>
      <c r="S282" s="50" t="str">
        <f t="shared" si="3"/>
        <v>PASSED</v>
      </c>
      <c r="T282" s="38" t="b">
        <v>0</v>
      </c>
      <c r="U282" s="39"/>
      <c r="V282" s="32" t="s">
        <v>304</v>
      </c>
    </row>
    <row r="283" ht="22.5" customHeight="1">
      <c r="A283" s="26">
        <v>46213.0</v>
      </c>
      <c r="B283" s="102" t="s">
        <v>526</v>
      </c>
      <c r="C283" s="103" t="str">
        <f t="array" ref="C283">_xlfn.XLOOKUP(B283, database!$A$2:$A$150, database!$B$2:$B$150)</f>
        <v>DV116.06</v>
      </c>
      <c r="D283" s="33" t="s">
        <v>500</v>
      </c>
      <c r="E283" s="35" t="s">
        <v>183</v>
      </c>
      <c r="F283" s="38" t="b">
        <v>1</v>
      </c>
      <c r="G283" s="39" t="str">
        <f t="array" ref="G283">_xlfn.XLOOKUP($B283, DB[samplingPoint], DB[noLocation])</f>
        <v>10-2-034</v>
      </c>
      <c r="H283" s="33" t="s">
        <v>180</v>
      </c>
      <c r="I283" s="40" t="str">
        <f t="array" ref="I283">_xlfn.XLOOKUP($B283, DB[samplingPoint], DB[location])</f>
        <v>SAMPLE PREPARATION</v>
      </c>
      <c r="J283" s="39" t="str">
        <f t="array" ref="J283">_xlfn.XLOOKUP($B283, DB[samplingPoint], DB[waterType])</f>
        <v>PW</v>
      </c>
      <c r="K283" s="43">
        <f t="shared" si="17"/>
        <v>46213</v>
      </c>
      <c r="L283" s="26">
        <v>46216.0</v>
      </c>
      <c r="M283" s="32">
        <v>0.0</v>
      </c>
      <c r="N283" s="32">
        <v>0.0</v>
      </c>
      <c r="O283" s="32">
        <f t="shared" si="10"/>
        <v>0</v>
      </c>
      <c r="P283" s="49"/>
      <c r="Q283" s="49"/>
      <c r="R283" s="32">
        <f t="array" ref="R283">_xlfn.XLOOKUP($B283, DB[samplingPoint], DB[Criteria])</f>
        <v>100</v>
      </c>
      <c r="S283" s="50" t="str">
        <f t="shared" si="3"/>
        <v>PASSED</v>
      </c>
      <c r="T283" s="38" t="b">
        <v>0</v>
      </c>
      <c r="U283" s="39"/>
      <c r="V283" s="32" t="s">
        <v>304</v>
      </c>
    </row>
    <row r="284" ht="22.5" customHeight="1">
      <c r="A284" s="26">
        <v>46213.0</v>
      </c>
      <c r="B284" s="99" t="s">
        <v>527</v>
      </c>
      <c r="C284" s="100" t="str">
        <f t="array" ref="C284">_xlfn.XLOOKUP(B284, database!$A$2:$A$150, database!$B$2:$B$150)</f>
        <v>DV116.07</v>
      </c>
      <c r="D284" s="33" t="s">
        <v>500</v>
      </c>
      <c r="E284" s="35" t="s">
        <v>183</v>
      </c>
      <c r="F284" s="38" t="b">
        <v>1</v>
      </c>
      <c r="G284" s="39" t="str">
        <f t="array" ref="G284">_xlfn.XLOOKUP($B284, DB[samplingPoint], DB[noLocation])</f>
        <v>10-2-032</v>
      </c>
      <c r="H284" s="33" t="s">
        <v>180</v>
      </c>
      <c r="I284" s="40" t="str">
        <f t="array" ref="I284">_xlfn.XLOOKUP($B284, DB[samplingPoint], DB[location])</f>
        <v>GLASS-WARE WASHING</v>
      </c>
      <c r="J284" s="39" t="str">
        <f t="array" ref="J284">_xlfn.XLOOKUP($B284, DB[samplingPoint], DB[waterType])</f>
        <v>PW</v>
      </c>
      <c r="K284" s="43">
        <f t="shared" si="17"/>
        <v>46213</v>
      </c>
      <c r="L284" s="26">
        <v>46216.0</v>
      </c>
      <c r="M284" s="32">
        <v>0.0</v>
      </c>
      <c r="N284" s="32">
        <v>0.0</v>
      </c>
      <c r="O284" s="32">
        <f t="shared" si="10"/>
        <v>0</v>
      </c>
      <c r="P284" s="49"/>
      <c r="Q284" s="49"/>
      <c r="R284" s="32">
        <f t="array" ref="R284">_xlfn.XLOOKUP($B284, DB[samplingPoint], DB[Criteria])</f>
        <v>100</v>
      </c>
      <c r="S284" s="50" t="str">
        <f t="shared" si="3"/>
        <v>PASSED</v>
      </c>
      <c r="T284" s="38" t="b">
        <v>0</v>
      </c>
      <c r="U284" s="39"/>
      <c r="V284" s="32" t="s">
        <v>304</v>
      </c>
    </row>
    <row r="285" ht="22.5" customHeight="1">
      <c r="A285" s="26">
        <v>46213.0</v>
      </c>
      <c r="B285" s="102" t="s">
        <v>524</v>
      </c>
      <c r="C285" s="103" t="str">
        <f t="array" ref="C285">_xlfn.XLOOKUP(B285, database!$A$2:$A$150, database!$B$2:$B$150)</f>
        <v>DV116.05</v>
      </c>
      <c r="D285" s="33" t="s">
        <v>500</v>
      </c>
      <c r="E285" s="35" t="s">
        <v>183</v>
      </c>
      <c r="F285" s="38" t="b">
        <v>1</v>
      </c>
      <c r="G285" s="39" t="str">
        <f t="array" ref="G285">_xlfn.XLOOKUP($B285, DB[samplingPoint], DB[noLocation])</f>
        <v>10-2-032</v>
      </c>
      <c r="H285" s="33" t="s">
        <v>180</v>
      </c>
      <c r="I285" s="40" t="str">
        <f t="array" ref="I285">_xlfn.XLOOKUP($B285, DB[samplingPoint], DB[location])</f>
        <v>GLASS-WARE WASHING</v>
      </c>
      <c r="J285" s="39" t="str">
        <f t="array" ref="J285">_xlfn.XLOOKUP($B285, DB[samplingPoint], DB[waterType])</f>
        <v>PW</v>
      </c>
      <c r="K285" s="43">
        <f t="shared" si="17"/>
        <v>46213</v>
      </c>
      <c r="L285" s="26">
        <v>46216.0</v>
      </c>
      <c r="M285" s="32">
        <v>0.0</v>
      </c>
      <c r="N285" s="32">
        <v>0.0</v>
      </c>
      <c r="O285" s="32">
        <f t="shared" si="10"/>
        <v>0</v>
      </c>
      <c r="P285" s="49"/>
      <c r="Q285" s="49"/>
      <c r="R285" s="32">
        <f t="array" ref="R285">_xlfn.XLOOKUP($B285, DB[samplingPoint], DB[Criteria])</f>
        <v>100</v>
      </c>
      <c r="S285" s="50" t="str">
        <f t="shared" si="3"/>
        <v>PASSED</v>
      </c>
      <c r="T285" s="38" t="b">
        <v>0</v>
      </c>
      <c r="U285" s="39"/>
      <c r="V285" s="32" t="s">
        <v>304</v>
      </c>
    </row>
    <row r="286" ht="22.5" customHeight="1">
      <c r="A286" s="26">
        <v>46213.0</v>
      </c>
      <c r="B286" s="99" t="s">
        <v>522</v>
      </c>
      <c r="C286" s="100" t="str">
        <f t="array" ref="C286">_xlfn.XLOOKUP(B286, database!$A$2:$A$150, database!$B$2:$B$150)</f>
        <v>DV116.04</v>
      </c>
      <c r="D286" s="33" t="s">
        <v>500</v>
      </c>
      <c r="E286" s="35" t="s">
        <v>183</v>
      </c>
      <c r="F286" s="38" t="b">
        <v>1</v>
      </c>
      <c r="G286" s="39" t="str">
        <f t="array" ref="G286">_xlfn.XLOOKUP($B286, DB[samplingPoint], DB[noLocation])</f>
        <v>10-2-037</v>
      </c>
      <c r="H286" s="33" t="s">
        <v>180</v>
      </c>
      <c r="I286" s="40" t="str">
        <f t="array" ref="I286">_xlfn.XLOOKUP($B286, DB[samplingPoint], DB[location])</f>
        <v>SKID FOR BIN WASHING-1</v>
      </c>
      <c r="J286" s="39" t="str">
        <f t="array" ref="J286">_xlfn.XLOOKUP($B286, DB[samplingPoint], DB[waterType])</f>
        <v>PW</v>
      </c>
      <c r="K286" s="43">
        <f t="shared" si="17"/>
        <v>46213</v>
      </c>
      <c r="L286" s="26">
        <v>46216.0</v>
      </c>
      <c r="M286" s="32">
        <v>0.0</v>
      </c>
      <c r="N286" s="32">
        <v>0.0</v>
      </c>
      <c r="O286" s="32">
        <f t="shared" si="10"/>
        <v>0</v>
      </c>
      <c r="P286" s="49"/>
      <c r="Q286" s="49"/>
      <c r="R286" s="32">
        <f t="array" ref="R286">_xlfn.XLOOKUP($B286, DB[samplingPoint], DB[Criteria])</f>
        <v>100</v>
      </c>
      <c r="S286" s="50" t="str">
        <f t="shared" si="3"/>
        <v>PASSED</v>
      </c>
      <c r="T286" s="38" t="b">
        <v>0</v>
      </c>
      <c r="U286" s="39"/>
      <c r="V286" s="32" t="s">
        <v>304</v>
      </c>
    </row>
    <row r="287" ht="22.5" customHeight="1">
      <c r="A287" s="26">
        <v>46213.0</v>
      </c>
      <c r="B287" s="73" t="s">
        <v>431</v>
      </c>
      <c r="C287" s="100" t="str">
        <f t="array" ref="C287">_xlfn.XLOOKUP(B287, database!$A$2:$A$150, database!$B$2:$B$150)</f>
        <v>SV-14</v>
      </c>
      <c r="D287" s="33" t="s">
        <v>500</v>
      </c>
      <c r="E287" s="35" t="s">
        <v>193</v>
      </c>
      <c r="F287" s="38" t="b">
        <v>1</v>
      </c>
      <c r="G287" s="39" t="str">
        <f t="array" ref="G287">_xlfn.XLOOKUP($B287, DB[samplingPoint], DB[noLocation])</f>
        <v>PROCESS WATER (B19)</v>
      </c>
      <c r="H287" s="33" t="s">
        <v>432</v>
      </c>
      <c r="I287" s="40" t="str">
        <f t="array" ref="I287">_xlfn.XLOOKUP($B287, DB[samplingPoint], DB[location])</f>
        <v>AFTER RO SYSTEM NO.12 SV14</v>
      </c>
      <c r="J287" s="39" t="str">
        <f t="array" ref="J287">_xlfn.XLOOKUP($B287, DB[samplingPoint], DB[waterType])</f>
        <v>PRW</v>
      </c>
      <c r="K287" s="43">
        <f t="shared" si="17"/>
        <v>46213</v>
      </c>
      <c r="L287" s="26">
        <v>46216.0</v>
      </c>
      <c r="M287" s="32">
        <v>1.0</v>
      </c>
      <c r="N287" s="32">
        <v>1.0</v>
      </c>
      <c r="O287" s="32">
        <f t="shared" si="10"/>
        <v>1</v>
      </c>
      <c r="P287" s="49"/>
      <c r="Q287" s="49"/>
      <c r="R287" s="32">
        <f t="array" ref="R287">_xlfn.XLOOKUP($B287, DB[samplingPoint], DB[Criteria])</f>
        <v>500</v>
      </c>
      <c r="S287" s="50" t="str">
        <f t="shared" si="3"/>
        <v>PASSED</v>
      </c>
      <c r="T287" s="38" t="b">
        <v>0</v>
      </c>
      <c r="U287" s="39"/>
      <c r="V287" s="32" t="s">
        <v>304</v>
      </c>
    </row>
    <row r="288" ht="22.5" customHeight="1">
      <c r="A288" s="26">
        <v>46213.0</v>
      </c>
      <c r="B288" s="27" t="s">
        <v>430</v>
      </c>
      <c r="C288" s="32" t="str">
        <f t="array" ref="C288">_xlfn.XLOOKUP(B288, DB[samplingPoint], DB[samplingTag])</f>
        <v>SV137.01</v>
      </c>
      <c r="D288" s="33" t="s">
        <v>158</v>
      </c>
      <c r="E288" s="35"/>
      <c r="F288" s="38" t="b">
        <v>0</v>
      </c>
      <c r="G288" s="39" t="str">
        <f t="array" ref="G288">_xlfn.XLOOKUP($B288, DB[samplingPoint], DB[noLocation])</f>
        <v>WATER SYSTEM (B12)</v>
      </c>
      <c r="H288" s="33" t="s">
        <v>437</v>
      </c>
      <c r="I288" s="40" t="str">
        <f t="array" ref="I288">_xlfn.XLOOKUP($B288, DB[samplingPoint], DB[location])</f>
        <v>Return loop (B12)</v>
      </c>
      <c r="J288" s="39" t="str">
        <f t="array" ref="J288">_xlfn.XLOOKUP($B288, DB[samplingPoint], DB[waterType])</f>
        <v>PW</v>
      </c>
      <c r="K288" s="43">
        <f t="shared" ref="K288:K295" si="18">$A288+1</f>
        <v>46214</v>
      </c>
      <c r="L288" s="26">
        <v>46217.0</v>
      </c>
      <c r="M288" s="32">
        <v>0.0</v>
      </c>
      <c r="N288" s="32">
        <v>0.0</v>
      </c>
      <c r="O288" s="32">
        <f t="shared" si="10"/>
        <v>0</v>
      </c>
      <c r="P288" s="49"/>
      <c r="Q288" s="49"/>
      <c r="R288" s="32">
        <f t="array" ref="R288">_xlfn.XLOOKUP($B288, DB[samplingPoint], DB[Criteria])</f>
        <v>100</v>
      </c>
      <c r="S288" s="50" t="str">
        <f t="shared" si="3"/>
        <v>PASSED</v>
      </c>
      <c r="T288" s="38" t="b">
        <v>0</v>
      </c>
      <c r="U288" s="39"/>
      <c r="V288" s="32"/>
    </row>
    <row r="289" ht="22.5" customHeight="1">
      <c r="A289" s="26">
        <v>46213.0</v>
      </c>
      <c r="B289" s="48" t="s">
        <v>548</v>
      </c>
      <c r="C289" s="32" t="s">
        <v>755</v>
      </c>
      <c r="D289" s="33" t="s">
        <v>158</v>
      </c>
      <c r="E289" s="35"/>
      <c r="F289" s="38" t="b">
        <v>0</v>
      </c>
      <c r="G289" s="39" t="str">
        <f t="array" ref="G289">_xlfn.XLOOKUP($B289, DB[samplingPoint], DB[noLocation])</f>
        <v>12-2-065</v>
      </c>
      <c r="H289" s="33" t="s">
        <v>437</v>
      </c>
      <c r="I289" s="40" t="str">
        <f t="array" ref="I289">_xlfn.XLOOKUP($B289, DB[samplingPoint], DB[location])</f>
        <v>WASHING</v>
      </c>
      <c r="J289" s="39" t="str">
        <f t="array" ref="J289">_xlfn.XLOOKUP($B289, DB[samplingPoint], DB[waterType])</f>
        <v>PW</v>
      </c>
      <c r="K289" s="43">
        <f t="shared" si="18"/>
        <v>46214</v>
      </c>
      <c r="L289" s="26">
        <v>46217.0</v>
      </c>
      <c r="M289" s="32">
        <v>0.0</v>
      </c>
      <c r="N289" s="32">
        <v>0.0</v>
      </c>
      <c r="O289" s="32">
        <f t="shared" si="10"/>
        <v>0</v>
      </c>
      <c r="P289" s="49"/>
      <c r="Q289" s="49"/>
      <c r="R289" s="32">
        <f t="array" ref="R289">_xlfn.XLOOKUP($B289, DB[samplingPoint], DB[Criteria])</f>
        <v>100</v>
      </c>
      <c r="S289" s="50" t="str">
        <f t="shared" si="3"/>
        <v>PASSED</v>
      </c>
      <c r="T289" s="38" t="b">
        <v>0</v>
      </c>
      <c r="U289" s="39"/>
      <c r="V289" s="32"/>
    </row>
    <row r="290" ht="22.5" customHeight="1">
      <c r="A290" s="26">
        <v>46213.0</v>
      </c>
      <c r="B290" s="27" t="s">
        <v>547</v>
      </c>
      <c r="C290" s="32" t="str">
        <f t="array" ref="C290">_xlfn.XLOOKUP(B290, DB[samplingPoint], DB[samplingTag])</f>
        <v>DV136.16</v>
      </c>
      <c r="D290" s="33" t="s">
        <v>158</v>
      </c>
      <c r="E290" s="35"/>
      <c r="F290" s="38" t="b">
        <v>0</v>
      </c>
      <c r="G290" s="39" t="str">
        <f t="array" ref="G290">_xlfn.XLOOKUP($B290, DB[samplingPoint], DB[noLocation])</f>
        <v>12-1-064</v>
      </c>
      <c r="H290" s="33" t="s">
        <v>437</v>
      </c>
      <c r="I290" s="40" t="str">
        <f t="array" ref="I290">_xlfn.XLOOKUP($B290, DB[samplingPoint], DB[location])</f>
        <v>WASHING</v>
      </c>
      <c r="J290" s="39" t="str">
        <f t="array" ref="J290">_xlfn.XLOOKUP($B290, DB[samplingPoint], DB[waterType])</f>
        <v>PW</v>
      </c>
      <c r="K290" s="43">
        <f t="shared" si="18"/>
        <v>46214</v>
      </c>
      <c r="L290" s="26">
        <v>46217.0</v>
      </c>
      <c r="M290" s="32">
        <v>0.0</v>
      </c>
      <c r="N290" s="32">
        <v>0.0</v>
      </c>
      <c r="O290" s="32">
        <f t="shared" si="10"/>
        <v>0</v>
      </c>
      <c r="P290" s="49"/>
      <c r="Q290" s="49"/>
      <c r="R290" s="32">
        <f t="array" ref="R290">_xlfn.XLOOKUP($B290, DB[samplingPoint], DB[Criteria])</f>
        <v>100</v>
      </c>
      <c r="S290" s="50" t="str">
        <f t="shared" si="3"/>
        <v>PASSED</v>
      </c>
      <c r="T290" s="38" t="b">
        <v>0</v>
      </c>
      <c r="U290" s="39"/>
      <c r="V290" s="32"/>
    </row>
    <row r="291" ht="22.5" customHeight="1">
      <c r="A291" s="26">
        <v>46213.0</v>
      </c>
      <c r="B291" s="58" t="s">
        <v>405</v>
      </c>
      <c r="C291" s="32" t="str">
        <f t="array" ref="C291">_xlfn.XLOOKUP(B291, DB[samplingPoint], DB[samplingTag])</f>
        <v>DV136.12</v>
      </c>
      <c r="D291" s="33" t="s">
        <v>158</v>
      </c>
      <c r="E291" s="35"/>
      <c r="F291" s="38" t="b">
        <v>0</v>
      </c>
      <c r="G291" s="39" t="str">
        <f t="array" ref="G291">_xlfn.XLOOKUP($B291, DB[samplingPoint], DB[noLocation])</f>
        <v>12-3-056</v>
      </c>
      <c r="H291" s="33" t="s">
        <v>437</v>
      </c>
      <c r="I291" s="40" t="str">
        <f t="array" ref="I291">_xlfn.XLOOKUP($B291, DB[samplingPoint], DB[location])</f>
        <v>MEDIA PREPARATION</v>
      </c>
      <c r="J291" s="39" t="str">
        <f t="array" ref="J291">_xlfn.XLOOKUP($B291, DB[samplingPoint], DB[waterType])</f>
        <v>PW</v>
      </c>
      <c r="K291" s="43">
        <f t="shared" si="18"/>
        <v>46214</v>
      </c>
      <c r="L291" s="26">
        <v>46217.0</v>
      </c>
      <c r="M291" s="32">
        <v>0.0</v>
      </c>
      <c r="N291" s="32">
        <v>0.0</v>
      </c>
      <c r="O291" s="32">
        <f t="shared" si="10"/>
        <v>0</v>
      </c>
      <c r="P291" s="49"/>
      <c r="Q291" s="49"/>
      <c r="R291" s="32">
        <f t="array" ref="R291">_xlfn.XLOOKUP($B291, DB[samplingPoint], DB[Criteria])</f>
        <v>100</v>
      </c>
      <c r="S291" s="50" t="str">
        <f t="shared" si="3"/>
        <v>PASSED</v>
      </c>
      <c r="T291" s="38" t="b">
        <v>0</v>
      </c>
      <c r="U291" s="39"/>
      <c r="V291" s="32"/>
    </row>
    <row r="292" ht="22.5" customHeight="1">
      <c r="A292" s="26">
        <v>46216.0</v>
      </c>
      <c r="B292" s="27" t="s">
        <v>430</v>
      </c>
      <c r="C292" s="32" t="str">
        <f t="array" ref="C292">_xlfn.XLOOKUP(B292, DB[samplingPoint], DB[samplingTag])</f>
        <v>SV137.01</v>
      </c>
      <c r="D292" s="33" t="s">
        <v>158</v>
      </c>
      <c r="E292" s="35"/>
      <c r="F292" s="38" t="b">
        <v>0</v>
      </c>
      <c r="G292" s="39" t="str">
        <f t="array" ref="G292">_xlfn.XLOOKUP($B292, DB[samplingPoint], DB[noLocation])</f>
        <v>WATER SYSTEM (B12)</v>
      </c>
      <c r="H292" s="33" t="s">
        <v>437</v>
      </c>
      <c r="I292" s="40" t="str">
        <f t="array" ref="I292">_xlfn.XLOOKUP($B292, DB[samplingPoint], DB[location])</f>
        <v>Return loop (B12)</v>
      </c>
      <c r="J292" s="39" t="str">
        <f t="array" ref="J292">_xlfn.XLOOKUP($B292, DB[samplingPoint], DB[waterType])</f>
        <v>PW</v>
      </c>
      <c r="K292" s="43">
        <f t="shared" si="18"/>
        <v>46217</v>
      </c>
      <c r="L292" s="26">
        <v>46220.0</v>
      </c>
      <c r="M292" s="32">
        <v>0.0</v>
      </c>
      <c r="N292" s="32">
        <v>0.0</v>
      </c>
      <c r="O292" s="32">
        <f t="shared" si="10"/>
        <v>0</v>
      </c>
      <c r="P292" s="49"/>
      <c r="Q292" s="49"/>
      <c r="R292" s="32">
        <f t="array" ref="R292">_xlfn.XLOOKUP($B292, DB[samplingPoint], DB[Criteria])</f>
        <v>100</v>
      </c>
      <c r="S292" s="50" t="str">
        <f t="shared" si="3"/>
        <v>PASSED</v>
      </c>
      <c r="T292" s="38" t="b">
        <v>0</v>
      </c>
      <c r="U292" s="39"/>
      <c r="V292" s="32"/>
    </row>
    <row r="293" ht="22.5" customHeight="1">
      <c r="A293" s="26">
        <v>46216.0</v>
      </c>
      <c r="B293" s="48" t="s">
        <v>548</v>
      </c>
      <c r="C293" s="32" t="s">
        <v>755</v>
      </c>
      <c r="D293" s="33" t="s">
        <v>158</v>
      </c>
      <c r="E293" s="35"/>
      <c r="F293" s="38" t="b">
        <v>0</v>
      </c>
      <c r="G293" s="39" t="str">
        <f t="array" ref="G293">_xlfn.XLOOKUP($B293, DB[samplingPoint], DB[noLocation])</f>
        <v>12-2-065</v>
      </c>
      <c r="H293" s="33" t="s">
        <v>437</v>
      </c>
      <c r="I293" s="40" t="str">
        <f t="array" ref="I293">_xlfn.XLOOKUP($B293, DB[samplingPoint], DB[location])</f>
        <v>WASHING</v>
      </c>
      <c r="J293" s="39" t="str">
        <f t="array" ref="J293">_xlfn.XLOOKUP($B293, DB[samplingPoint], DB[waterType])</f>
        <v>PW</v>
      </c>
      <c r="K293" s="43">
        <f t="shared" si="18"/>
        <v>46217</v>
      </c>
      <c r="L293" s="26">
        <v>46220.0</v>
      </c>
      <c r="M293" s="32">
        <v>0.0</v>
      </c>
      <c r="N293" s="32">
        <v>0.0</v>
      </c>
      <c r="O293" s="32">
        <f t="shared" si="10"/>
        <v>0</v>
      </c>
      <c r="P293" s="49"/>
      <c r="Q293" s="49"/>
      <c r="R293" s="32">
        <f t="array" ref="R293">_xlfn.XLOOKUP($B293, DB[samplingPoint], DB[Criteria])</f>
        <v>100</v>
      </c>
      <c r="S293" s="50" t="str">
        <f t="shared" si="3"/>
        <v>PASSED</v>
      </c>
      <c r="T293" s="38" t="b">
        <v>0</v>
      </c>
      <c r="U293" s="39"/>
      <c r="V293" s="32"/>
    </row>
    <row r="294" ht="22.5" customHeight="1">
      <c r="A294" s="26">
        <v>46216.0</v>
      </c>
      <c r="B294" s="27" t="s">
        <v>547</v>
      </c>
      <c r="C294" s="32" t="str">
        <f t="array" ref="C294">_xlfn.XLOOKUP(B294, DB[samplingPoint], DB[samplingTag])</f>
        <v>DV136.16</v>
      </c>
      <c r="D294" s="33" t="s">
        <v>158</v>
      </c>
      <c r="E294" s="35"/>
      <c r="F294" s="38" t="b">
        <v>0</v>
      </c>
      <c r="G294" s="39" t="str">
        <f t="array" ref="G294">_xlfn.XLOOKUP($B294, DB[samplingPoint], DB[noLocation])</f>
        <v>12-1-064</v>
      </c>
      <c r="H294" s="33" t="s">
        <v>437</v>
      </c>
      <c r="I294" s="40" t="str">
        <f t="array" ref="I294">_xlfn.XLOOKUP($B294, DB[samplingPoint], DB[location])</f>
        <v>WASHING</v>
      </c>
      <c r="J294" s="39" t="str">
        <f t="array" ref="J294">_xlfn.XLOOKUP($B294, DB[samplingPoint], DB[waterType])</f>
        <v>PW</v>
      </c>
      <c r="K294" s="43">
        <f t="shared" si="18"/>
        <v>46217</v>
      </c>
      <c r="L294" s="26">
        <v>46220.0</v>
      </c>
      <c r="M294" s="32">
        <v>0.0</v>
      </c>
      <c r="N294" s="32">
        <v>0.0</v>
      </c>
      <c r="O294" s="32">
        <f t="shared" si="10"/>
        <v>0</v>
      </c>
      <c r="P294" s="49"/>
      <c r="Q294" s="49"/>
      <c r="R294" s="32">
        <f t="array" ref="R294">_xlfn.XLOOKUP($B294, DB[samplingPoint], DB[Criteria])</f>
        <v>100</v>
      </c>
      <c r="S294" s="50" t="str">
        <f t="shared" si="3"/>
        <v>PASSED</v>
      </c>
      <c r="T294" s="38" t="b">
        <v>0</v>
      </c>
      <c r="U294" s="39"/>
      <c r="V294" s="32"/>
    </row>
    <row r="295" ht="22.5" customHeight="1">
      <c r="A295" s="26">
        <v>46216.0</v>
      </c>
      <c r="B295" s="58" t="s">
        <v>405</v>
      </c>
      <c r="C295" s="32" t="str">
        <f t="array" ref="C295">_xlfn.XLOOKUP(B295, DB[samplingPoint], DB[samplingTag])</f>
        <v>DV136.12</v>
      </c>
      <c r="D295" s="33" t="s">
        <v>158</v>
      </c>
      <c r="E295" s="35"/>
      <c r="F295" s="38" t="b">
        <v>0</v>
      </c>
      <c r="G295" s="39" t="str">
        <f t="array" ref="G295">_xlfn.XLOOKUP($B295, DB[samplingPoint], DB[noLocation])</f>
        <v>12-3-056</v>
      </c>
      <c r="H295" s="33" t="s">
        <v>437</v>
      </c>
      <c r="I295" s="40" t="str">
        <f t="array" ref="I295">_xlfn.XLOOKUP($B295, DB[samplingPoint], DB[location])</f>
        <v>MEDIA PREPARATION</v>
      </c>
      <c r="J295" s="39" t="str">
        <f t="array" ref="J295">_xlfn.XLOOKUP($B295, DB[samplingPoint], DB[waterType])</f>
        <v>PW</v>
      </c>
      <c r="K295" s="43">
        <f t="shared" si="18"/>
        <v>46217</v>
      </c>
      <c r="L295" s="26">
        <v>46220.0</v>
      </c>
      <c r="M295" s="32">
        <v>0.0</v>
      </c>
      <c r="N295" s="32">
        <v>0.0</v>
      </c>
      <c r="O295" s="32">
        <f t="shared" si="10"/>
        <v>0</v>
      </c>
      <c r="P295" s="49"/>
      <c r="Q295" s="49"/>
      <c r="R295" s="32">
        <f t="array" ref="R295">_xlfn.XLOOKUP($B295, DB[samplingPoint], DB[Criteria])</f>
        <v>100</v>
      </c>
      <c r="S295" s="50" t="str">
        <f t="shared" si="3"/>
        <v>PASSED</v>
      </c>
      <c r="T295" s="38" t="b">
        <v>0</v>
      </c>
      <c r="U295" s="39"/>
      <c r="V295" s="32"/>
    </row>
    <row r="296" ht="22.5" customHeight="1">
      <c r="A296" s="26">
        <v>46217.0</v>
      </c>
      <c r="B296" s="52" t="s">
        <v>444</v>
      </c>
      <c r="C296" s="32" t="str">
        <f t="array" ref="C296">_xlfn.XLOOKUP(B296, DB[samplingPoint], DB[samplingTag])</f>
        <v>VB-05 (12)</v>
      </c>
      <c r="D296" s="33" t="s">
        <v>364</v>
      </c>
      <c r="E296" s="35" t="s">
        <v>198</v>
      </c>
      <c r="F296" s="38" t="b">
        <v>1</v>
      </c>
      <c r="G296" s="39" t="str">
        <f t="array" ref="G296">_xlfn.XLOOKUP($B296, DB[samplingPoint], DB[noLocation])</f>
        <v>WATER SYSTEM (B12)</v>
      </c>
      <c r="H296" s="33" t="s">
        <v>437</v>
      </c>
      <c r="I296" s="40" t="str">
        <f t="array" ref="I296">_xlfn.XLOOKUP($B296, DB[samplingPoint], DB[location])</f>
        <v>After Chlorine circulation tank</v>
      </c>
      <c r="J296" s="39" t="str">
        <f t="array" ref="J296">_xlfn.XLOOKUP($B296, DB[samplingPoint], DB[waterType])</f>
        <v>PRW</v>
      </c>
      <c r="K296" s="43">
        <f t="shared" ref="K296:K318" si="19">$A296+0</f>
        <v>46217</v>
      </c>
      <c r="L296" s="26">
        <v>46220.0</v>
      </c>
      <c r="M296" s="32">
        <v>0.0</v>
      </c>
      <c r="N296" s="32">
        <v>0.0</v>
      </c>
      <c r="O296" s="32">
        <f t="shared" si="10"/>
        <v>0</v>
      </c>
      <c r="P296" s="49"/>
      <c r="Q296" s="49"/>
      <c r="R296" s="32">
        <f t="array" ref="R296">_xlfn.XLOOKUP($B296, DB[samplingPoint], DB[Criteria])</f>
        <v>500</v>
      </c>
      <c r="S296" s="50" t="str">
        <f t="shared" si="3"/>
        <v>PASSED</v>
      </c>
      <c r="T296" s="38" t="b">
        <v>0</v>
      </c>
      <c r="U296" s="39"/>
      <c r="V296" s="32" t="s">
        <v>304</v>
      </c>
    </row>
    <row r="297" ht="22.5" customHeight="1">
      <c r="A297" s="26">
        <v>46217.0</v>
      </c>
      <c r="B297" s="58" t="s">
        <v>442</v>
      </c>
      <c r="C297" s="32" t="str">
        <f t="array" ref="C297">_xlfn.XLOOKUP(B297, DB[samplingPoint], DB[samplingTag])</f>
        <v>V50-61 (12)</v>
      </c>
      <c r="D297" s="33" t="s">
        <v>364</v>
      </c>
      <c r="E297" s="35" t="s">
        <v>198</v>
      </c>
      <c r="F297" s="38" t="b">
        <v>1</v>
      </c>
      <c r="G297" s="39" t="str">
        <f t="array" ref="G297">_xlfn.XLOOKUP($B297, DB[samplingPoint], DB[noLocation])</f>
        <v>WATER SYSTEM (B12)</v>
      </c>
      <c r="H297" s="33" t="s">
        <v>437</v>
      </c>
      <c r="I297" s="40" t="str">
        <f t="array" ref="I297">_xlfn.XLOOKUP($B297, DB[samplingPoint], DB[location])</f>
        <v>After Cartridge filter 5 µm (B12)</v>
      </c>
      <c r="J297" s="39" t="str">
        <f t="array" ref="J297">_xlfn.XLOOKUP($B297, DB[samplingPoint], DB[waterType])</f>
        <v>PRW</v>
      </c>
      <c r="K297" s="43">
        <f t="shared" si="19"/>
        <v>46217</v>
      </c>
      <c r="L297" s="26">
        <v>46220.0</v>
      </c>
      <c r="M297" s="32">
        <v>69.0</v>
      </c>
      <c r="N297" s="32">
        <v>133.0</v>
      </c>
      <c r="O297" s="32">
        <f t="shared" si="10"/>
        <v>101</v>
      </c>
      <c r="P297" s="49"/>
      <c r="Q297" s="49"/>
      <c r="R297" s="32">
        <f t="array" ref="R297">_xlfn.XLOOKUP($B297, DB[samplingPoint], DB[Criteria])</f>
        <v>500</v>
      </c>
      <c r="S297" s="50" t="str">
        <f t="shared" si="3"/>
        <v>PASSED</v>
      </c>
      <c r="T297" s="38" t="b">
        <v>0</v>
      </c>
      <c r="U297" s="39"/>
      <c r="V297" s="32" t="s">
        <v>304</v>
      </c>
    </row>
    <row r="298" ht="22.5" customHeight="1">
      <c r="A298" s="26">
        <v>46217.0</v>
      </c>
      <c r="B298" s="27" t="s">
        <v>434</v>
      </c>
      <c r="C298" s="32" t="str">
        <f t="array" ref="C298">_xlfn.XLOOKUP(B298, DB[samplingPoint], DB[samplingTag])</f>
        <v>V50-11C (12)</v>
      </c>
      <c r="D298" s="33" t="s">
        <v>364</v>
      </c>
      <c r="E298" s="35" t="s">
        <v>198</v>
      </c>
      <c r="F298" s="38" t="b">
        <v>1</v>
      </c>
      <c r="G298" s="39" t="str">
        <f t="array" ref="G298">_xlfn.XLOOKUP($B298, DB[samplingPoint], DB[noLocation])</f>
        <v>WATER SYSTEM (B12)</v>
      </c>
      <c r="H298" s="33" t="s">
        <v>437</v>
      </c>
      <c r="I298" s="40" t="str">
        <f t="array" ref="I298">_xlfn.XLOOKUP($B298, DB[samplingPoint], DB[location])</f>
        <v>After RO (Before EDI) (B12)</v>
      </c>
      <c r="J298" s="39" t="str">
        <f t="array" ref="J298">_xlfn.XLOOKUP($B298, DB[samplingPoint], DB[waterType])</f>
        <v>RO water</v>
      </c>
      <c r="K298" s="43">
        <f t="shared" si="19"/>
        <v>46217</v>
      </c>
      <c r="L298" s="26">
        <v>46220.0</v>
      </c>
      <c r="M298" s="32">
        <v>0.0</v>
      </c>
      <c r="N298" s="32">
        <v>0.0</v>
      </c>
      <c r="O298" s="32">
        <f t="shared" si="10"/>
        <v>0</v>
      </c>
      <c r="P298" s="49"/>
      <c r="Q298" s="49"/>
      <c r="R298" s="32">
        <f t="array" ref="R298">_xlfn.XLOOKUP($B298, DB[samplingPoint], DB[Criteria])</f>
        <v>500</v>
      </c>
      <c r="S298" s="50" t="str">
        <f t="shared" si="3"/>
        <v>PASSED</v>
      </c>
      <c r="T298" s="38" t="b">
        <v>0</v>
      </c>
      <c r="U298" s="39"/>
      <c r="V298" s="32" t="s">
        <v>304</v>
      </c>
    </row>
    <row r="299" ht="22.5" customHeight="1">
      <c r="A299" s="26">
        <v>46217.0</v>
      </c>
      <c r="B299" s="58" t="s">
        <v>440</v>
      </c>
      <c r="C299" s="32" t="str">
        <f t="array" ref="C299">_xlfn.XLOOKUP(B299, DB[samplingPoint], DB[samplingTag])</f>
        <v>V50-39 (12)</v>
      </c>
      <c r="D299" s="33" t="s">
        <v>364</v>
      </c>
      <c r="E299" s="35" t="s">
        <v>198</v>
      </c>
      <c r="F299" s="38" t="b">
        <v>1</v>
      </c>
      <c r="G299" s="39" t="str">
        <f t="array" ref="G299">_xlfn.XLOOKUP($B299, DB[samplingPoint], DB[noLocation])</f>
        <v>WATER SYSTEM (B12)</v>
      </c>
      <c r="H299" s="33" t="s">
        <v>437</v>
      </c>
      <c r="I299" s="40" t="str">
        <f t="array" ref="I299">_xlfn.XLOOKUP($B299, DB[samplingPoint], DB[location])</f>
        <v>After EDI (B12)</v>
      </c>
      <c r="J299" s="39" t="str">
        <f t="array" ref="J299">_xlfn.XLOOKUP($B299, DB[samplingPoint], DB[waterType])</f>
        <v>PW</v>
      </c>
      <c r="K299" s="43">
        <f t="shared" si="19"/>
        <v>46217</v>
      </c>
      <c r="L299" s="26">
        <v>46220.0</v>
      </c>
      <c r="M299" s="32">
        <v>0.0</v>
      </c>
      <c r="N299" s="32">
        <v>0.0</v>
      </c>
      <c r="O299" s="32">
        <f t="shared" si="10"/>
        <v>0</v>
      </c>
      <c r="P299" s="49"/>
      <c r="Q299" s="49"/>
      <c r="R299" s="32">
        <f t="array" ref="R299">_xlfn.XLOOKUP($B299, DB[samplingPoint], DB[Criteria])</f>
        <v>100</v>
      </c>
      <c r="S299" s="50" t="str">
        <f t="shared" si="3"/>
        <v>PASSED</v>
      </c>
      <c r="T299" s="38" t="b">
        <v>0</v>
      </c>
      <c r="U299" s="39"/>
      <c r="V299" s="32" t="s">
        <v>304</v>
      </c>
    </row>
    <row r="300" ht="22.5" customHeight="1">
      <c r="A300" s="26">
        <v>46217.0</v>
      </c>
      <c r="B300" s="27" t="s">
        <v>430</v>
      </c>
      <c r="C300" s="32" t="str">
        <f t="array" ref="C300">_xlfn.XLOOKUP(B300, DB[samplingPoint], DB[samplingTag])</f>
        <v>SV137.01</v>
      </c>
      <c r="D300" s="33" t="s">
        <v>364</v>
      </c>
      <c r="E300" s="35" t="s">
        <v>198</v>
      </c>
      <c r="F300" s="38" t="b">
        <v>1</v>
      </c>
      <c r="G300" s="39" t="str">
        <f t="array" ref="G300">_xlfn.XLOOKUP($B300, DB[samplingPoint], DB[noLocation])</f>
        <v>WATER SYSTEM (B12)</v>
      </c>
      <c r="H300" s="33" t="s">
        <v>437</v>
      </c>
      <c r="I300" s="40" t="str">
        <f t="array" ref="I300">_xlfn.XLOOKUP($B300, DB[samplingPoint], DB[location])</f>
        <v>Return loop (B12)</v>
      </c>
      <c r="J300" s="39" t="str">
        <f t="array" ref="J300">_xlfn.XLOOKUP($B300, DB[samplingPoint], DB[waterType])</f>
        <v>PW</v>
      </c>
      <c r="K300" s="43">
        <f t="shared" si="19"/>
        <v>46217</v>
      </c>
      <c r="L300" s="26">
        <v>46220.0</v>
      </c>
      <c r="M300" s="32">
        <v>0.0</v>
      </c>
      <c r="N300" s="32">
        <v>0.0</v>
      </c>
      <c r="O300" s="32">
        <f t="shared" si="10"/>
        <v>0</v>
      </c>
      <c r="P300" s="49"/>
      <c r="Q300" s="49"/>
      <c r="R300" s="32">
        <f t="array" ref="R300">_xlfn.XLOOKUP($B300, DB[samplingPoint], DB[Criteria])</f>
        <v>100</v>
      </c>
      <c r="S300" s="50" t="str">
        <f t="shared" si="3"/>
        <v>PASSED</v>
      </c>
      <c r="T300" s="38" t="b">
        <v>0</v>
      </c>
      <c r="U300" s="39"/>
      <c r="V300" s="32" t="s">
        <v>304</v>
      </c>
    </row>
    <row r="301" ht="22.5" customHeight="1">
      <c r="A301" s="26">
        <v>46217.0</v>
      </c>
      <c r="B301" s="58" t="s">
        <v>548</v>
      </c>
      <c r="C301" s="32" t="str">
        <f t="array" ref="C301">_xlfn.XLOOKUP(B301, DB[samplingPoint], DB[samplingTag])</f>
        <v>DV136.17</v>
      </c>
      <c r="D301" s="33" t="s">
        <v>364</v>
      </c>
      <c r="E301" s="35" t="s">
        <v>198</v>
      </c>
      <c r="F301" s="38" t="b">
        <v>1</v>
      </c>
      <c r="G301" s="39" t="str">
        <f t="array" ref="G301">_xlfn.XLOOKUP($B301, DB[samplingPoint], DB[noLocation])</f>
        <v>12-2-065</v>
      </c>
      <c r="H301" s="33" t="s">
        <v>437</v>
      </c>
      <c r="I301" s="40" t="str">
        <f t="array" ref="I301">_xlfn.XLOOKUP($B301, DB[samplingPoint], DB[location])</f>
        <v>WASHING</v>
      </c>
      <c r="J301" s="39" t="str">
        <f t="array" ref="J301">_xlfn.XLOOKUP($B301, DB[samplingPoint], DB[waterType])</f>
        <v>PW</v>
      </c>
      <c r="K301" s="43">
        <f t="shared" si="19"/>
        <v>46217</v>
      </c>
      <c r="L301" s="26">
        <v>46220.0</v>
      </c>
      <c r="M301" s="32">
        <v>0.0</v>
      </c>
      <c r="N301" s="32">
        <v>0.0</v>
      </c>
      <c r="O301" s="32">
        <f t="shared" si="10"/>
        <v>0</v>
      </c>
      <c r="P301" s="49"/>
      <c r="Q301" s="49"/>
      <c r="R301" s="32">
        <f t="array" ref="R301">_xlfn.XLOOKUP($B301, DB[samplingPoint], DB[Criteria])</f>
        <v>100</v>
      </c>
      <c r="S301" s="50" t="str">
        <f t="shared" si="3"/>
        <v>PASSED</v>
      </c>
      <c r="T301" s="38" t="b">
        <v>0</v>
      </c>
      <c r="U301" s="39"/>
      <c r="V301" s="32" t="s">
        <v>304</v>
      </c>
    </row>
    <row r="302" ht="22.5" customHeight="1">
      <c r="A302" s="26">
        <v>46217.0</v>
      </c>
      <c r="B302" s="27" t="s">
        <v>551</v>
      </c>
      <c r="C302" s="32" t="str">
        <f t="array" ref="C302">_xlfn.XLOOKUP(B302, DB[samplingPoint], DB[samplingTag])</f>
        <v>SV136.16</v>
      </c>
      <c r="D302" s="33" t="s">
        <v>364</v>
      </c>
      <c r="E302" s="35" t="s">
        <v>198</v>
      </c>
      <c r="F302" s="38" t="b">
        <v>1</v>
      </c>
      <c r="G302" s="39" t="str">
        <f t="array" ref="G302">_xlfn.XLOOKUP($B302, DB[samplingPoint], DB[noLocation])</f>
        <v>12-2-057</v>
      </c>
      <c r="H302" s="33" t="s">
        <v>437</v>
      </c>
      <c r="I302" s="40" t="str">
        <f t="array" ref="I302">_xlfn.XLOOKUP($B302, DB[samplingPoint], DB[location])</f>
        <v>CIP 2</v>
      </c>
      <c r="J302" s="39" t="str">
        <f t="array" ref="J302">_xlfn.XLOOKUP($B302, DB[samplingPoint], DB[waterType])</f>
        <v>PW</v>
      </c>
      <c r="K302" s="43">
        <f t="shared" si="19"/>
        <v>46217</v>
      </c>
      <c r="L302" s="26">
        <v>46220.0</v>
      </c>
      <c r="M302" s="32">
        <v>0.0</v>
      </c>
      <c r="N302" s="32">
        <v>0.0</v>
      </c>
      <c r="O302" s="32">
        <f t="shared" si="10"/>
        <v>0</v>
      </c>
      <c r="P302" s="49"/>
      <c r="Q302" s="49"/>
      <c r="R302" s="32">
        <f t="array" ref="R302">_xlfn.XLOOKUP($B302, DB[samplingPoint], DB[Criteria])</f>
        <v>100</v>
      </c>
      <c r="S302" s="50" t="str">
        <f t="shared" si="3"/>
        <v>PASSED</v>
      </c>
      <c r="T302" s="38" t="b">
        <v>0</v>
      </c>
      <c r="U302" s="39"/>
      <c r="V302" s="32" t="s">
        <v>304</v>
      </c>
    </row>
    <row r="303" ht="22.5" customHeight="1">
      <c r="A303" s="26">
        <v>46217.0</v>
      </c>
      <c r="B303" s="27" t="s">
        <v>549</v>
      </c>
      <c r="C303" s="32" t="str">
        <f t="array" ref="C303">_xlfn.XLOOKUP(B303, DB[samplingPoint], DB[samplingTag])</f>
        <v>SV136.15</v>
      </c>
      <c r="D303" s="33" t="s">
        <v>364</v>
      </c>
      <c r="E303" s="35" t="s">
        <v>198</v>
      </c>
      <c r="F303" s="38" t="b">
        <v>1</v>
      </c>
      <c r="G303" s="39" t="str">
        <f t="array" ref="G303">_xlfn.XLOOKUP($B303, DB[samplingPoint], DB[noLocation])</f>
        <v>12-2-055</v>
      </c>
      <c r="H303" s="33" t="s">
        <v>437</v>
      </c>
      <c r="I303" s="40" t="str">
        <f t="array" ref="I303">_xlfn.XLOOKUP($B303, DB[samplingPoint], DB[location])</f>
        <v>CIP 3</v>
      </c>
      <c r="J303" s="39" t="str">
        <f t="array" ref="J303">_xlfn.XLOOKUP($B303, DB[samplingPoint], DB[waterType])</f>
        <v>PW</v>
      </c>
      <c r="K303" s="43">
        <f t="shared" si="19"/>
        <v>46217</v>
      </c>
      <c r="L303" s="26">
        <v>46220.0</v>
      </c>
      <c r="M303" s="32">
        <v>0.0</v>
      </c>
      <c r="N303" s="32">
        <v>0.0</v>
      </c>
      <c r="O303" s="32">
        <f t="shared" si="10"/>
        <v>0</v>
      </c>
      <c r="P303" s="49"/>
      <c r="Q303" s="49"/>
      <c r="R303" s="32">
        <f t="array" ref="R303">_xlfn.XLOOKUP($B303, DB[samplingPoint], DB[Criteria])</f>
        <v>100</v>
      </c>
      <c r="S303" s="50" t="str">
        <f t="shared" si="3"/>
        <v>PASSED</v>
      </c>
      <c r="T303" s="38" t="b">
        <v>0</v>
      </c>
      <c r="U303" s="39"/>
      <c r="V303" s="32" t="s">
        <v>304</v>
      </c>
    </row>
    <row r="304" ht="22.5" customHeight="1">
      <c r="A304" s="26">
        <v>46217.0</v>
      </c>
      <c r="B304" s="58" t="s">
        <v>545</v>
      </c>
      <c r="C304" s="32" t="str">
        <f t="array" ref="C304">_xlfn.XLOOKUP(B304, DB[samplingPoint], DB[samplingTag])</f>
        <v>DV136.03</v>
      </c>
      <c r="D304" s="33" t="s">
        <v>364</v>
      </c>
      <c r="E304" s="35" t="s">
        <v>198</v>
      </c>
      <c r="F304" s="38" t="b">
        <v>1</v>
      </c>
      <c r="G304" s="39" t="str">
        <f t="array" ref="G304">_xlfn.XLOOKUP($B304, DB[samplingPoint], DB[noLocation])</f>
        <v>12-2-053</v>
      </c>
      <c r="H304" s="33" t="s">
        <v>437</v>
      </c>
      <c r="I304" s="40" t="str">
        <f t="array" ref="I304">_xlfn.XLOOKUP($B304, DB[samplingPoint], DB[location])</f>
        <v>IPQC</v>
      </c>
      <c r="J304" s="39" t="str">
        <f t="array" ref="J304">_xlfn.XLOOKUP($B304, DB[samplingPoint], DB[waterType])</f>
        <v>PW</v>
      </c>
      <c r="K304" s="43">
        <f t="shared" si="19"/>
        <v>46217</v>
      </c>
      <c r="L304" s="26">
        <v>46220.0</v>
      </c>
      <c r="M304" s="32">
        <v>0.0</v>
      </c>
      <c r="N304" s="32">
        <v>0.0</v>
      </c>
      <c r="O304" s="32">
        <f t="shared" si="10"/>
        <v>0</v>
      </c>
      <c r="P304" s="49"/>
      <c r="Q304" s="49"/>
      <c r="R304" s="32">
        <f t="array" ref="R304">_xlfn.XLOOKUP($B304, DB[samplingPoint], DB[Criteria])</f>
        <v>100</v>
      </c>
      <c r="S304" s="50" t="str">
        <f t="shared" si="3"/>
        <v>PASSED</v>
      </c>
      <c r="T304" s="38" t="b">
        <v>0</v>
      </c>
      <c r="U304" s="39"/>
      <c r="V304" s="32" t="s">
        <v>304</v>
      </c>
    </row>
    <row r="305" ht="22.5" customHeight="1">
      <c r="A305" s="26">
        <v>46217.0</v>
      </c>
      <c r="B305" s="58" t="s">
        <v>543</v>
      </c>
      <c r="C305" s="32" t="str">
        <f t="array" ref="C305">_xlfn.XLOOKUP(B305, DB[samplingPoint], DB[samplingTag])</f>
        <v>DV136.01</v>
      </c>
      <c r="D305" s="33" t="s">
        <v>364</v>
      </c>
      <c r="E305" s="35" t="s">
        <v>198</v>
      </c>
      <c r="F305" s="38" t="b">
        <v>1</v>
      </c>
      <c r="G305" s="39" t="str">
        <f t="array" ref="G305">_xlfn.XLOOKUP($B305, DB[samplingPoint], DB[noLocation])</f>
        <v>12-1-035</v>
      </c>
      <c r="H305" s="33" t="s">
        <v>437</v>
      </c>
      <c r="I305" s="40" t="str">
        <f t="array" ref="I305">_xlfn.XLOOKUP($B305, DB[samplingPoint], DB[location])</f>
        <v>SUGAR TRANSFERRING</v>
      </c>
      <c r="J305" s="39" t="str">
        <f t="array" ref="J305">_xlfn.XLOOKUP($B305, DB[samplingPoint], DB[waterType])</f>
        <v>PW</v>
      </c>
      <c r="K305" s="43">
        <f t="shared" si="19"/>
        <v>46217</v>
      </c>
      <c r="L305" s="26">
        <v>46220.0</v>
      </c>
      <c r="M305" s="32">
        <v>0.0</v>
      </c>
      <c r="N305" s="32">
        <v>0.0</v>
      </c>
      <c r="O305" s="32">
        <f t="shared" si="10"/>
        <v>0</v>
      </c>
      <c r="P305" s="49"/>
      <c r="Q305" s="49"/>
      <c r="R305" s="32">
        <f t="array" ref="R305">_xlfn.XLOOKUP($B305, DB[samplingPoint], DB[Criteria])</f>
        <v>100</v>
      </c>
      <c r="S305" s="50" t="str">
        <f t="shared" si="3"/>
        <v>PASSED</v>
      </c>
      <c r="T305" s="38" t="b">
        <v>0</v>
      </c>
      <c r="U305" s="39"/>
      <c r="V305" s="32" t="s">
        <v>304</v>
      </c>
    </row>
    <row r="306" ht="22.5" customHeight="1">
      <c r="A306" s="26">
        <v>46217.0</v>
      </c>
      <c r="B306" s="27" t="s">
        <v>547</v>
      </c>
      <c r="C306" s="32" t="str">
        <f t="array" ref="C306">_xlfn.XLOOKUP(B306, DB[samplingPoint], DB[samplingTag])</f>
        <v>DV136.16</v>
      </c>
      <c r="D306" s="33" t="s">
        <v>364</v>
      </c>
      <c r="E306" s="35" t="s">
        <v>198</v>
      </c>
      <c r="F306" s="38" t="b">
        <v>1</v>
      </c>
      <c r="G306" s="39" t="str">
        <f t="array" ref="G306">_xlfn.XLOOKUP($B306, DB[samplingPoint], DB[noLocation])</f>
        <v>12-1-064</v>
      </c>
      <c r="H306" s="33" t="s">
        <v>437</v>
      </c>
      <c r="I306" s="40" t="str">
        <f t="array" ref="I306">_xlfn.XLOOKUP($B306, DB[samplingPoint], DB[location])</f>
        <v>WASHING</v>
      </c>
      <c r="J306" s="39" t="str">
        <f t="array" ref="J306">_xlfn.XLOOKUP($B306, DB[samplingPoint], DB[waterType])</f>
        <v>PW</v>
      </c>
      <c r="K306" s="43">
        <f t="shared" si="19"/>
        <v>46217</v>
      </c>
      <c r="L306" s="26">
        <v>46220.0</v>
      </c>
      <c r="M306" s="32">
        <v>0.0</v>
      </c>
      <c r="N306" s="32">
        <v>0.0</v>
      </c>
      <c r="O306" s="32">
        <f t="shared" si="10"/>
        <v>0</v>
      </c>
      <c r="P306" s="49"/>
      <c r="Q306" s="49"/>
      <c r="R306" s="32">
        <f t="array" ref="R306">_xlfn.XLOOKUP($B306, DB[samplingPoint], DB[Criteria])</f>
        <v>100</v>
      </c>
      <c r="S306" s="50" t="str">
        <f t="shared" si="3"/>
        <v>PASSED</v>
      </c>
      <c r="T306" s="38" t="b">
        <v>0</v>
      </c>
      <c r="U306" s="39"/>
      <c r="V306" s="32" t="s">
        <v>304</v>
      </c>
    </row>
    <row r="307" ht="22.5" customHeight="1">
      <c r="A307" s="26">
        <v>46217.0</v>
      </c>
      <c r="B307" s="27" t="s">
        <v>546</v>
      </c>
      <c r="C307" s="32" t="str">
        <f t="array" ref="C307">_xlfn.XLOOKUP(B307, DB[samplingPoint], DB[samplingTag])</f>
        <v>DV136.04</v>
      </c>
      <c r="D307" s="33" t="s">
        <v>364</v>
      </c>
      <c r="E307" s="35" t="s">
        <v>198</v>
      </c>
      <c r="F307" s="38" t="b">
        <v>1</v>
      </c>
      <c r="G307" s="39" t="str">
        <f t="array" ref="G307">_xlfn.XLOOKUP($B307, DB[samplingPoint], DB[noLocation])</f>
        <v>12-2-077</v>
      </c>
      <c r="H307" s="33" t="s">
        <v>437</v>
      </c>
      <c r="I307" s="40" t="str">
        <f t="array" ref="I307">_xlfn.XLOOKUP($B307, DB[samplingPoint], DB[location])</f>
        <v>WATER SYSTEM ROOM</v>
      </c>
      <c r="J307" s="39" t="str">
        <f t="array" ref="J307">_xlfn.XLOOKUP($B307, DB[samplingPoint], DB[waterType])</f>
        <v>PW</v>
      </c>
      <c r="K307" s="43">
        <f t="shared" si="19"/>
        <v>46217</v>
      </c>
      <c r="L307" s="26">
        <v>46220.0</v>
      </c>
      <c r="M307" s="32">
        <v>0.0</v>
      </c>
      <c r="N307" s="32">
        <v>0.0</v>
      </c>
      <c r="O307" s="32">
        <f t="shared" si="10"/>
        <v>0</v>
      </c>
      <c r="P307" s="49"/>
      <c r="Q307" s="49"/>
      <c r="R307" s="32">
        <f t="array" ref="R307">_xlfn.XLOOKUP($B307, DB[samplingPoint], DB[Criteria])</f>
        <v>100</v>
      </c>
      <c r="S307" s="50" t="str">
        <f t="shared" si="3"/>
        <v>PASSED</v>
      </c>
      <c r="T307" s="38" t="b">
        <v>0</v>
      </c>
      <c r="U307" s="39"/>
      <c r="V307" s="32" t="s">
        <v>304</v>
      </c>
    </row>
    <row r="308" ht="22.5" customHeight="1">
      <c r="A308" s="26">
        <v>46217.0</v>
      </c>
      <c r="B308" s="52" t="s">
        <v>471</v>
      </c>
      <c r="C308" s="32" t="str">
        <f t="array" ref="C308">_xlfn.XLOOKUP(B308, DB[samplingPoint], DB[samplingTag])</f>
        <v>VB-05 (16)</v>
      </c>
      <c r="D308" s="33" t="s">
        <v>364</v>
      </c>
      <c r="E308" s="35" t="s">
        <v>200</v>
      </c>
      <c r="F308" s="38" t="b">
        <v>1</v>
      </c>
      <c r="G308" s="39" t="str">
        <f t="array" ref="G308">_xlfn.XLOOKUP($B308, DB[samplingPoint], DB[noLocation])</f>
        <v>WATER SYSTEM (B16)</v>
      </c>
      <c r="H308" s="33" t="s">
        <v>327</v>
      </c>
      <c r="I308" s="40" t="str">
        <f t="array" ref="I308">_xlfn.XLOOKUP($B308, DB[samplingPoint], DB[location])</f>
        <v>After Chlorine circulation tank (B16)</v>
      </c>
      <c r="J308" s="39" t="str">
        <f t="array" ref="J308">_xlfn.XLOOKUP($B308, DB[samplingPoint], DB[waterType])</f>
        <v>PRW</v>
      </c>
      <c r="K308" s="43">
        <f t="shared" si="19"/>
        <v>46217</v>
      </c>
      <c r="L308" s="26">
        <v>46220.0</v>
      </c>
      <c r="M308" s="32">
        <v>1.0</v>
      </c>
      <c r="N308" s="32">
        <v>0.0</v>
      </c>
      <c r="O308" s="32">
        <f t="shared" si="10"/>
        <v>1</v>
      </c>
      <c r="P308" s="49"/>
      <c r="Q308" s="49"/>
      <c r="R308" s="32">
        <f t="array" ref="R308">_xlfn.XLOOKUP($B308, DB[samplingPoint], DB[Criteria])</f>
        <v>500</v>
      </c>
      <c r="S308" s="50" t="str">
        <f t="shared" si="3"/>
        <v>PASSED</v>
      </c>
      <c r="T308" s="38" t="b">
        <v>0</v>
      </c>
      <c r="U308" s="39"/>
      <c r="V308" s="32" t="s">
        <v>304</v>
      </c>
    </row>
    <row r="309" ht="22.5" customHeight="1">
      <c r="A309" s="26">
        <v>46217.0</v>
      </c>
      <c r="B309" s="27" t="s">
        <v>470</v>
      </c>
      <c r="C309" s="32" t="str">
        <f t="array" ref="C309">_xlfn.XLOOKUP(B309, DB[samplingPoint], DB[samplingTag])</f>
        <v>V50-61 (16)</v>
      </c>
      <c r="D309" s="33" t="s">
        <v>364</v>
      </c>
      <c r="E309" s="35" t="s">
        <v>200</v>
      </c>
      <c r="F309" s="38" t="b">
        <v>1</v>
      </c>
      <c r="G309" s="39" t="str">
        <f t="array" ref="G309">_xlfn.XLOOKUP($B309, DB[samplingPoint], DB[noLocation])</f>
        <v>WATER SYSTEM (B16)</v>
      </c>
      <c r="H309" s="33" t="s">
        <v>327</v>
      </c>
      <c r="I309" s="40" t="str">
        <f t="array" ref="I309">_xlfn.XLOOKUP($B309, DB[samplingPoint], DB[location])</f>
        <v>After Cartridge filter 5 µm (B16)</v>
      </c>
      <c r="J309" s="39" t="str">
        <f t="array" ref="J309">_xlfn.XLOOKUP($B309, DB[samplingPoint], DB[waterType])</f>
        <v>PRW</v>
      </c>
      <c r="K309" s="43">
        <f t="shared" si="19"/>
        <v>46217</v>
      </c>
      <c r="L309" s="26">
        <v>46220.0</v>
      </c>
      <c r="M309" s="32">
        <v>64.0</v>
      </c>
      <c r="N309" s="32">
        <v>30.0</v>
      </c>
      <c r="O309" s="32">
        <f t="shared" si="10"/>
        <v>47</v>
      </c>
      <c r="P309" s="49"/>
      <c r="Q309" s="49"/>
      <c r="R309" s="32">
        <f t="array" ref="R309">_xlfn.XLOOKUP($B309, DB[samplingPoint], DB[Criteria])</f>
        <v>500</v>
      </c>
      <c r="S309" s="50" t="str">
        <f t="shared" si="3"/>
        <v>PASSED</v>
      </c>
      <c r="T309" s="38" t="b">
        <v>0</v>
      </c>
      <c r="U309" s="39"/>
      <c r="V309" s="32" t="s">
        <v>304</v>
      </c>
    </row>
    <row r="310" ht="22.5" customHeight="1">
      <c r="A310" s="26">
        <v>46217.0</v>
      </c>
      <c r="B310" s="58" t="s">
        <v>466</v>
      </c>
      <c r="C310" s="32" t="str">
        <f t="array" ref="C310">_xlfn.XLOOKUP(B310, DB[samplingPoint], DB[samplingTag])</f>
        <v>V50-11C (16)</v>
      </c>
      <c r="D310" s="33" t="s">
        <v>364</v>
      </c>
      <c r="E310" s="35" t="s">
        <v>200</v>
      </c>
      <c r="F310" s="38" t="b">
        <v>1</v>
      </c>
      <c r="G310" s="39" t="str">
        <f t="array" ref="G310">_xlfn.XLOOKUP($B310, DB[samplingPoint], DB[noLocation])</f>
        <v>WATER SYSTEM (B16)</v>
      </c>
      <c r="H310" s="33" t="s">
        <v>327</v>
      </c>
      <c r="I310" s="40" t="str">
        <f t="array" ref="I310">_xlfn.XLOOKUP($B310, DB[samplingPoint], DB[location])</f>
        <v>After RO (Before EDI) (B16)</v>
      </c>
      <c r="J310" s="39" t="str">
        <f t="array" ref="J310">_xlfn.XLOOKUP($B310, DB[samplingPoint], DB[waterType])</f>
        <v>RO water</v>
      </c>
      <c r="K310" s="43">
        <f t="shared" si="19"/>
        <v>46217</v>
      </c>
      <c r="L310" s="26">
        <v>46220.0</v>
      </c>
      <c r="M310" s="32">
        <v>0.0</v>
      </c>
      <c r="N310" s="32">
        <v>0.0</v>
      </c>
      <c r="O310" s="32">
        <f t="shared" si="10"/>
        <v>0</v>
      </c>
      <c r="P310" s="49"/>
      <c r="Q310" s="49"/>
      <c r="R310" s="32">
        <f t="array" ref="R310">_xlfn.XLOOKUP($B310, DB[samplingPoint], DB[Criteria])</f>
        <v>500</v>
      </c>
      <c r="S310" s="50" t="str">
        <f t="shared" si="3"/>
        <v>PASSED</v>
      </c>
      <c r="T310" s="38" t="b">
        <v>0</v>
      </c>
      <c r="U310" s="39"/>
      <c r="V310" s="32" t="s">
        <v>304</v>
      </c>
    </row>
    <row r="311" ht="22.5" customHeight="1">
      <c r="A311" s="26">
        <v>46217.0</v>
      </c>
      <c r="B311" s="27" t="s">
        <v>468</v>
      </c>
      <c r="C311" s="32" t="str">
        <f t="array" ref="C311">_xlfn.XLOOKUP(B311, DB[samplingPoint], DB[samplingTag])</f>
        <v>V50-39 (16)</v>
      </c>
      <c r="D311" s="33" t="s">
        <v>364</v>
      </c>
      <c r="E311" s="35" t="s">
        <v>200</v>
      </c>
      <c r="F311" s="38" t="b">
        <v>1</v>
      </c>
      <c r="G311" s="39" t="str">
        <f t="array" ref="G311">_xlfn.XLOOKUP($B311, DB[samplingPoint], DB[noLocation])</f>
        <v>WATER SYSTEM (B16)</v>
      </c>
      <c r="H311" s="33" t="s">
        <v>327</v>
      </c>
      <c r="I311" s="40" t="str">
        <f t="array" ref="I311">_xlfn.XLOOKUP($B311, DB[samplingPoint], DB[location])</f>
        <v>After EDI (B16)</v>
      </c>
      <c r="J311" s="39" t="str">
        <f t="array" ref="J311">_xlfn.XLOOKUP($B311, DB[samplingPoint], DB[waterType])</f>
        <v>PW</v>
      </c>
      <c r="K311" s="43">
        <f t="shared" si="19"/>
        <v>46217</v>
      </c>
      <c r="L311" s="26">
        <v>46220.0</v>
      </c>
      <c r="M311" s="32">
        <v>0.0</v>
      </c>
      <c r="N311" s="32">
        <v>0.0</v>
      </c>
      <c r="O311" s="32">
        <f t="shared" si="10"/>
        <v>0</v>
      </c>
      <c r="P311" s="49"/>
      <c r="Q311" s="49"/>
      <c r="R311" s="32">
        <f t="array" ref="R311">_xlfn.XLOOKUP($B311, DB[samplingPoint], DB[Criteria])</f>
        <v>100</v>
      </c>
      <c r="S311" s="50" t="str">
        <f t="shared" si="3"/>
        <v>PASSED</v>
      </c>
      <c r="T311" s="38" t="b">
        <v>0</v>
      </c>
      <c r="U311" s="39"/>
      <c r="V311" s="32" t="s">
        <v>304</v>
      </c>
    </row>
    <row r="312" ht="22.5" customHeight="1">
      <c r="A312" s="26">
        <v>46217.0</v>
      </c>
      <c r="B312" s="58" t="s">
        <v>464</v>
      </c>
      <c r="C312" s="32" t="str">
        <f t="array" ref="C312">_xlfn.XLOOKUP(B312, DB[samplingPoint], DB[samplingTag])</f>
        <v>SV127.01</v>
      </c>
      <c r="D312" s="33" t="s">
        <v>364</v>
      </c>
      <c r="E312" s="35" t="s">
        <v>200</v>
      </c>
      <c r="F312" s="38" t="b">
        <v>1</v>
      </c>
      <c r="G312" s="39" t="str">
        <f t="array" ref="G312">_xlfn.XLOOKUP($B312, DB[samplingPoint], DB[noLocation])</f>
        <v>WATER SYSTEM (B16)</v>
      </c>
      <c r="H312" s="33" t="s">
        <v>327</v>
      </c>
      <c r="I312" s="40" t="str">
        <f t="array" ref="I312">_xlfn.XLOOKUP($B312, DB[samplingPoint], DB[location])</f>
        <v>Return loop (B16)</v>
      </c>
      <c r="J312" s="39" t="str">
        <f t="array" ref="J312">_xlfn.XLOOKUP($B312, DB[samplingPoint], DB[waterType])</f>
        <v>PW</v>
      </c>
      <c r="K312" s="43">
        <f t="shared" si="19"/>
        <v>46217</v>
      </c>
      <c r="L312" s="26">
        <v>46220.0</v>
      </c>
      <c r="M312" s="32">
        <v>0.0</v>
      </c>
      <c r="N312" s="32">
        <v>0.0</v>
      </c>
      <c r="O312" s="32">
        <f t="shared" si="10"/>
        <v>0</v>
      </c>
      <c r="P312" s="49"/>
      <c r="Q312" s="49"/>
      <c r="R312" s="32">
        <f t="array" ref="R312">_xlfn.XLOOKUP($B312, DB[samplingPoint], DB[Criteria])</f>
        <v>100</v>
      </c>
      <c r="S312" s="50" t="str">
        <f t="shared" si="3"/>
        <v>PASSED</v>
      </c>
      <c r="T312" s="38" t="b">
        <v>0</v>
      </c>
      <c r="U312" s="39"/>
      <c r="V312" s="32" t="s">
        <v>304</v>
      </c>
    </row>
    <row r="313" ht="22.5" customHeight="1">
      <c r="A313" s="26">
        <v>46217.0</v>
      </c>
      <c r="B313" s="58" t="s">
        <v>567</v>
      </c>
      <c r="C313" s="32" t="str">
        <f t="array" ref="C313">_xlfn.XLOOKUP(B313, DB[samplingPoint], DB[samplingTag])</f>
        <v>SV126.06</v>
      </c>
      <c r="D313" s="33" t="s">
        <v>364</v>
      </c>
      <c r="E313" s="35" t="s">
        <v>200</v>
      </c>
      <c r="F313" s="38" t="b">
        <v>1</v>
      </c>
      <c r="G313" s="39" t="str">
        <f t="array" ref="G313">_xlfn.XLOOKUP($B313, DB[samplingPoint], DB[noLocation])</f>
        <v>16-3-067</v>
      </c>
      <c r="H313" s="33" t="s">
        <v>327</v>
      </c>
      <c r="I313" s="40" t="str">
        <f t="array" ref="I313">_xlfn.XLOOKUP($B313, DB[samplingPoint], DB[location])</f>
        <v>MFG 1</v>
      </c>
      <c r="J313" s="39" t="str">
        <f t="array" ref="J313">_xlfn.XLOOKUP($B313, DB[samplingPoint], DB[waterType])</f>
        <v>PW</v>
      </c>
      <c r="K313" s="43">
        <f t="shared" si="19"/>
        <v>46217</v>
      </c>
      <c r="L313" s="26">
        <v>46220.0</v>
      </c>
      <c r="M313" s="32">
        <v>0.0</v>
      </c>
      <c r="N313" s="32">
        <v>0.0</v>
      </c>
      <c r="O313" s="32">
        <f t="shared" si="10"/>
        <v>0</v>
      </c>
      <c r="P313" s="49"/>
      <c r="Q313" s="49"/>
      <c r="R313" s="32">
        <f t="array" ref="R313">_xlfn.XLOOKUP($B313, DB[samplingPoint], DB[Criteria])</f>
        <v>100</v>
      </c>
      <c r="S313" s="50" t="str">
        <f t="shared" si="3"/>
        <v>PASSED</v>
      </c>
      <c r="T313" s="38" t="b">
        <v>0</v>
      </c>
      <c r="U313" s="39"/>
      <c r="V313" s="32" t="s">
        <v>304</v>
      </c>
    </row>
    <row r="314" ht="22.5" customHeight="1">
      <c r="A314" s="26">
        <v>46217.0</v>
      </c>
      <c r="B314" s="27" t="s">
        <v>569</v>
      </c>
      <c r="C314" s="32" t="str">
        <f t="array" ref="C314">_xlfn.XLOOKUP(B314, DB[samplingPoint], DB[samplingTag])</f>
        <v>SV126.21</v>
      </c>
      <c r="D314" s="33" t="s">
        <v>364</v>
      </c>
      <c r="E314" s="35" t="s">
        <v>200</v>
      </c>
      <c r="F314" s="38" t="b">
        <v>1</v>
      </c>
      <c r="G314" s="39" t="str">
        <f t="array" ref="G314">_xlfn.XLOOKUP($B314, DB[samplingPoint], DB[noLocation])</f>
        <v>16-3-090</v>
      </c>
      <c r="H314" s="33" t="s">
        <v>327</v>
      </c>
      <c r="I314" s="40" t="str">
        <f t="array" ref="I314">_xlfn.XLOOKUP($B314, DB[samplingPoint], DB[location])</f>
        <v>CIP 1 (EQUIPMENT REQUIREMENT)</v>
      </c>
      <c r="J314" s="39" t="str">
        <f t="array" ref="J314">_xlfn.XLOOKUP($B314, DB[samplingPoint], DB[waterType])</f>
        <v>PW</v>
      </c>
      <c r="K314" s="43">
        <f t="shared" si="19"/>
        <v>46217</v>
      </c>
      <c r="L314" s="26">
        <v>46220.0</v>
      </c>
      <c r="M314" s="32">
        <v>0.0</v>
      </c>
      <c r="N314" s="32">
        <v>0.0</v>
      </c>
      <c r="O314" s="32">
        <f t="shared" si="10"/>
        <v>0</v>
      </c>
      <c r="P314" s="49"/>
      <c r="Q314" s="49"/>
      <c r="R314" s="32">
        <f t="array" ref="R314">_xlfn.XLOOKUP($B314, DB[samplingPoint], DB[Criteria])</f>
        <v>100</v>
      </c>
      <c r="S314" s="50" t="str">
        <f t="shared" si="3"/>
        <v>PASSED</v>
      </c>
      <c r="T314" s="38" t="b">
        <v>0</v>
      </c>
      <c r="U314" s="39"/>
      <c r="V314" s="32" t="s">
        <v>304</v>
      </c>
    </row>
    <row r="315" ht="22.5" customHeight="1">
      <c r="A315" s="26">
        <v>46217.0</v>
      </c>
      <c r="B315" s="58" t="s">
        <v>562</v>
      </c>
      <c r="C315" s="32" t="str">
        <f t="array" ref="C315">_xlfn.XLOOKUP(B315, DB[samplingPoint], DB[samplingTag])</f>
        <v>DV126.09</v>
      </c>
      <c r="D315" s="33" t="s">
        <v>364</v>
      </c>
      <c r="E315" s="35" t="s">
        <v>200</v>
      </c>
      <c r="F315" s="38" t="b">
        <v>1</v>
      </c>
      <c r="G315" s="39" t="str">
        <f t="array" ref="G315">_xlfn.XLOOKUP($B315, DB[samplingPoint], DB[noLocation])</f>
        <v>16-3-090</v>
      </c>
      <c r="H315" s="33" t="s">
        <v>327</v>
      </c>
      <c r="I315" s="40" t="str">
        <f t="array" ref="I315">_xlfn.XLOOKUP($B315, DB[samplingPoint], DB[location])</f>
        <v>CIP 1 (ZINK WASHING)</v>
      </c>
      <c r="J315" s="39" t="str">
        <f t="array" ref="J315">_xlfn.XLOOKUP($B315, DB[samplingPoint], DB[waterType])</f>
        <v>PW</v>
      </c>
      <c r="K315" s="43">
        <f t="shared" si="19"/>
        <v>46217</v>
      </c>
      <c r="L315" s="26">
        <v>46220.0</v>
      </c>
      <c r="M315" s="32">
        <v>0.0</v>
      </c>
      <c r="N315" s="32">
        <v>0.0</v>
      </c>
      <c r="O315" s="32">
        <f t="shared" si="10"/>
        <v>0</v>
      </c>
      <c r="P315" s="49"/>
      <c r="Q315" s="49"/>
      <c r="R315" s="32">
        <f t="array" ref="R315">_xlfn.XLOOKUP($B315, DB[samplingPoint], DB[Criteria])</f>
        <v>100</v>
      </c>
      <c r="S315" s="50" t="str">
        <f t="shared" si="3"/>
        <v>PASSED</v>
      </c>
      <c r="T315" s="38" t="b">
        <v>0</v>
      </c>
      <c r="U315" s="39"/>
      <c r="V315" s="32" t="s">
        <v>304</v>
      </c>
    </row>
    <row r="316" ht="22.5" customHeight="1">
      <c r="A316" s="26">
        <v>46217.0</v>
      </c>
      <c r="B316" s="58" t="s">
        <v>568</v>
      </c>
      <c r="C316" s="32" t="str">
        <f t="array" ref="C316">_xlfn.XLOOKUP(B316, DB[samplingPoint], DB[samplingTag])</f>
        <v>SV126.18</v>
      </c>
      <c r="D316" s="33" t="s">
        <v>364</v>
      </c>
      <c r="E316" s="35" t="s">
        <v>200</v>
      </c>
      <c r="F316" s="38" t="b">
        <v>1</v>
      </c>
      <c r="G316" s="39" t="str">
        <f t="array" ref="G316">_xlfn.XLOOKUP($B316, DB[samplingPoint], DB[noLocation])</f>
        <v>16-3-085</v>
      </c>
      <c r="H316" s="33" t="s">
        <v>327</v>
      </c>
      <c r="I316" s="40" t="str">
        <f t="array" ref="I316">_xlfn.XLOOKUP($B316, DB[samplingPoint], DB[location])</f>
        <v>CIP 3 (EQUIPMENT REQUIREMENT)</v>
      </c>
      <c r="J316" s="39" t="str">
        <f t="array" ref="J316">_xlfn.XLOOKUP($B316, DB[samplingPoint], DB[waterType])</f>
        <v>PW</v>
      </c>
      <c r="K316" s="43">
        <f t="shared" si="19"/>
        <v>46217</v>
      </c>
      <c r="L316" s="26">
        <v>46220.0</v>
      </c>
      <c r="M316" s="32">
        <v>0.0</v>
      </c>
      <c r="N316" s="32">
        <v>0.0</v>
      </c>
      <c r="O316" s="32">
        <f t="shared" si="10"/>
        <v>0</v>
      </c>
      <c r="P316" s="49"/>
      <c r="Q316" s="49"/>
      <c r="R316" s="32">
        <f t="array" ref="R316">_xlfn.XLOOKUP($B316, DB[samplingPoint], DB[Criteria])</f>
        <v>100</v>
      </c>
      <c r="S316" s="50" t="str">
        <f t="shared" si="3"/>
        <v>PASSED</v>
      </c>
      <c r="T316" s="38" t="b">
        <v>0</v>
      </c>
      <c r="U316" s="39"/>
      <c r="V316" s="32" t="s">
        <v>304</v>
      </c>
    </row>
    <row r="317" ht="22.5" customHeight="1">
      <c r="A317" s="26">
        <v>46217.0</v>
      </c>
      <c r="B317" s="58" t="s">
        <v>564</v>
      </c>
      <c r="C317" s="32" t="str">
        <f t="array" ref="C317">_xlfn.XLOOKUP(B317, DB[samplingPoint], DB[samplingTag])</f>
        <v>SV126.05</v>
      </c>
      <c r="D317" s="33" t="s">
        <v>364</v>
      </c>
      <c r="E317" s="35" t="s">
        <v>200</v>
      </c>
      <c r="F317" s="38" t="b">
        <v>1</v>
      </c>
      <c r="G317" s="39" t="str">
        <f t="array" ref="G317">_xlfn.XLOOKUP($B317, DB[samplingPoint], DB[noLocation])</f>
        <v>16-3-049</v>
      </c>
      <c r="H317" s="33" t="s">
        <v>327</v>
      </c>
      <c r="I317" s="40" t="str">
        <f t="array" ref="I317">_xlfn.XLOOKUP($B317, DB[samplingPoint], DB[location])</f>
        <v>LINEN WASHING</v>
      </c>
      <c r="J317" s="39" t="str">
        <f t="array" ref="J317">_xlfn.XLOOKUP($B317, DB[samplingPoint], DB[waterType])</f>
        <v>PW</v>
      </c>
      <c r="K317" s="43">
        <f t="shared" si="19"/>
        <v>46217</v>
      </c>
      <c r="L317" s="26">
        <v>46220.0</v>
      </c>
      <c r="M317" s="32">
        <v>0.0</v>
      </c>
      <c r="N317" s="32">
        <v>0.0</v>
      </c>
      <c r="O317" s="32">
        <v>0.0</v>
      </c>
      <c r="P317" s="49"/>
      <c r="Q317" s="49"/>
      <c r="R317" s="32">
        <f t="array" ref="R317">_xlfn.XLOOKUP($B317, DB[samplingPoint], DB[Criteria])</f>
        <v>100</v>
      </c>
      <c r="S317" s="50" t="str">
        <f t="shared" si="3"/>
        <v>PASSED</v>
      </c>
      <c r="T317" s="38" t="b">
        <v>0</v>
      </c>
      <c r="U317" s="39"/>
      <c r="V317" s="32" t="s">
        <v>304</v>
      </c>
    </row>
    <row r="318" ht="22.5" customHeight="1">
      <c r="A318" s="26">
        <v>46217.0</v>
      </c>
      <c r="B318" s="58" t="s">
        <v>558</v>
      </c>
      <c r="C318" s="32" t="str">
        <f t="array" ref="C318">_xlfn.XLOOKUP(B318, DB[samplingPoint], DB[samplingTag])</f>
        <v>DV126.04</v>
      </c>
      <c r="D318" s="33" t="s">
        <v>364</v>
      </c>
      <c r="E318" s="35" t="s">
        <v>200</v>
      </c>
      <c r="F318" s="38" t="b">
        <v>1</v>
      </c>
      <c r="G318" s="39" t="str">
        <f t="array" ref="G318">_xlfn.XLOOKUP($B318, DB[samplingPoint], DB[noLocation])</f>
        <v>16-2-010</v>
      </c>
      <c r="H318" s="33" t="s">
        <v>327</v>
      </c>
      <c r="I318" s="40" t="str">
        <f t="array" ref="I318">_xlfn.XLOOKUP($B318, DB[samplingPoint], DB[location])</f>
        <v>WATER SYSTEM (PW)</v>
      </c>
      <c r="J318" s="39" t="str">
        <f t="array" ref="J318">_xlfn.XLOOKUP($B318, DB[samplingPoint], DB[waterType])</f>
        <v>PW</v>
      </c>
      <c r="K318" s="43">
        <f t="shared" si="19"/>
        <v>46217</v>
      </c>
      <c r="L318" s="26">
        <v>46220.0</v>
      </c>
      <c r="M318" s="32">
        <v>0.0</v>
      </c>
      <c r="N318" s="32">
        <v>0.0</v>
      </c>
      <c r="O318" s="32">
        <f t="shared" ref="O318:O621" si="20">IFERROR(ROUNDUP(AVERAGE($M318:$N318), 0), "")</f>
        <v>0</v>
      </c>
      <c r="P318" s="49"/>
      <c r="Q318" s="49"/>
      <c r="R318" s="32">
        <f t="array" ref="R318">_xlfn.XLOOKUP($B318, DB[samplingPoint], DB[Criteria])</f>
        <v>100</v>
      </c>
      <c r="S318" s="50" t="str">
        <f t="shared" si="3"/>
        <v>PASSED</v>
      </c>
      <c r="T318" s="38" t="b">
        <v>0</v>
      </c>
      <c r="U318" s="39"/>
      <c r="V318" s="32" t="s">
        <v>304</v>
      </c>
    </row>
    <row r="319" ht="22.5" customHeight="1">
      <c r="A319" s="26">
        <v>46219.0</v>
      </c>
      <c r="B319" s="48" t="s">
        <v>472</v>
      </c>
      <c r="C319" s="32" t="str">
        <f t="array" ref="C319">_xlfn.XLOOKUP(B319, DB[samplingPoint], DB[samplingTag])</f>
        <v>SV126.19</v>
      </c>
      <c r="D319" s="33" t="s">
        <v>364</v>
      </c>
      <c r="E319" s="35" t="s">
        <v>220</v>
      </c>
      <c r="F319" s="38" t="b">
        <v>1</v>
      </c>
      <c r="G319" s="39" t="str">
        <f t="array" ref="G319">_xlfn.XLOOKUP($B319, DB[samplingPoint], DB[noLocation])</f>
        <v>16-3-087</v>
      </c>
      <c r="H319" s="33" t="s">
        <v>327</v>
      </c>
      <c r="I319" s="40" t="str">
        <f t="array" ref="I319">_xlfn.XLOOKUP($B319, DB[samplingPoint], DB[location])</f>
        <v>CIP 2 (EQUIPMENT REQUIREMENT)</v>
      </c>
      <c r="J319" s="39" t="str">
        <f t="array" ref="J319">_xlfn.XLOOKUP($B319, DB[samplingPoint], DB[waterType])</f>
        <v>PW</v>
      </c>
      <c r="K319" s="43">
        <f t="shared" ref="K319:K320" si="21">$A319+1</f>
        <v>46220</v>
      </c>
      <c r="L319" s="26">
        <v>46223.0</v>
      </c>
      <c r="M319" s="32">
        <v>2.0</v>
      </c>
      <c r="N319" s="32">
        <v>0.0</v>
      </c>
      <c r="O319" s="32">
        <f t="shared" si="20"/>
        <v>1</v>
      </c>
      <c r="P319" s="49"/>
      <c r="Q319" s="49"/>
      <c r="R319" s="32">
        <f t="array" ref="R319">_xlfn.XLOOKUP($B319, DB[samplingPoint], DB[Criteria])</f>
        <v>100</v>
      </c>
      <c r="S319" s="50" t="str">
        <f t="shared" si="3"/>
        <v>PASSED</v>
      </c>
      <c r="T319" s="38" t="b">
        <v>0</v>
      </c>
      <c r="U319" s="39"/>
      <c r="V319" s="32" t="s">
        <v>304</v>
      </c>
    </row>
    <row r="320" ht="22.5" customHeight="1">
      <c r="A320" s="26">
        <v>46219.0</v>
      </c>
      <c r="B320" s="48" t="s">
        <v>478</v>
      </c>
      <c r="C320" s="32" t="str">
        <f t="array" ref="C320">_xlfn.XLOOKUP(B320, DB[samplingPoint], DB[samplingTag])</f>
        <v>SV126.14</v>
      </c>
      <c r="D320" s="33" t="s">
        <v>364</v>
      </c>
      <c r="E320" s="35" t="s">
        <v>220</v>
      </c>
      <c r="F320" s="38" t="b">
        <v>1</v>
      </c>
      <c r="G320" s="39" t="str">
        <f t="array" ref="G320">_xlfn.XLOOKUP($B320, DB[samplingPoint], DB[noLocation])</f>
        <v>16-3-073</v>
      </c>
      <c r="H320" s="33" t="s">
        <v>327</v>
      </c>
      <c r="I320" s="40" t="str">
        <f t="array" ref="I320">_xlfn.XLOOKUP($B320, DB[samplingPoint], DB[location])</f>
        <v>MFG 4 (400L)</v>
      </c>
      <c r="J320" s="39" t="str">
        <f t="array" ref="J320">_xlfn.XLOOKUP($B320, DB[samplingPoint], DB[waterType])</f>
        <v>PW</v>
      </c>
      <c r="K320" s="43">
        <f t="shared" si="21"/>
        <v>46220</v>
      </c>
      <c r="L320" s="26">
        <v>46223.0</v>
      </c>
      <c r="M320" s="32">
        <v>2.0</v>
      </c>
      <c r="N320" s="32">
        <v>0.0</v>
      </c>
      <c r="O320" s="32">
        <f t="shared" si="20"/>
        <v>1</v>
      </c>
      <c r="P320" s="49"/>
      <c r="Q320" s="49"/>
      <c r="R320" s="32">
        <f t="array" ref="R320">_xlfn.XLOOKUP($B320, DB[samplingPoint], DB[Criteria])</f>
        <v>100</v>
      </c>
      <c r="S320" s="50" t="str">
        <f t="shared" si="3"/>
        <v>PASSED</v>
      </c>
      <c r="T320" s="38" t="b">
        <v>0</v>
      </c>
      <c r="U320" s="39"/>
      <c r="V320" s="32" t="s">
        <v>304</v>
      </c>
    </row>
    <row r="321" ht="22.5" customHeight="1">
      <c r="A321" s="26">
        <v>46220.0</v>
      </c>
      <c r="B321" s="73" t="s">
        <v>431</v>
      </c>
      <c r="C321" s="32" t="str">
        <f t="array" ref="C321">_xlfn.XLOOKUP(B321, DB[samplingPoint], DB[samplingTag])</f>
        <v>SV-14</v>
      </c>
      <c r="D321" s="33" t="s">
        <v>364</v>
      </c>
      <c r="E321" s="35" t="s">
        <v>222</v>
      </c>
      <c r="F321" s="38" t="b">
        <v>1</v>
      </c>
      <c r="G321" s="39" t="str">
        <f t="array" ref="G321">_xlfn.XLOOKUP($B321, DB[samplingPoint], DB[noLocation])</f>
        <v>PROCESS WATER (B19)</v>
      </c>
      <c r="H321" s="33" t="s">
        <v>432</v>
      </c>
      <c r="I321" s="40" t="str">
        <f t="array" ref="I321">_xlfn.XLOOKUP($B321, DB[samplingPoint], DB[location])</f>
        <v>AFTER RO SYSTEM NO.12 SV14</v>
      </c>
      <c r="J321" s="39" t="str">
        <f t="array" ref="J321">_xlfn.XLOOKUP($B321, DB[samplingPoint], DB[waterType])</f>
        <v>PRW</v>
      </c>
      <c r="K321" s="43">
        <f t="shared" ref="K321:K337" si="22">$A321+0</f>
        <v>46220</v>
      </c>
      <c r="L321" s="26">
        <v>46223.0</v>
      </c>
      <c r="M321" s="32">
        <v>328.0</v>
      </c>
      <c r="N321" s="32">
        <v>448.0</v>
      </c>
      <c r="O321" s="32">
        <f t="shared" si="20"/>
        <v>388</v>
      </c>
      <c r="P321" s="49"/>
      <c r="Q321" s="49"/>
      <c r="R321" s="32">
        <f t="array" ref="R321">_xlfn.XLOOKUP($B321, DB[samplingPoint], DB[Criteria])</f>
        <v>500</v>
      </c>
      <c r="S321" s="50" t="str">
        <f t="shared" si="3"/>
        <v>PASSED</v>
      </c>
      <c r="T321" s="38" t="b">
        <v>0</v>
      </c>
      <c r="U321" s="39"/>
      <c r="V321" s="32" t="s">
        <v>304</v>
      </c>
    </row>
    <row r="322" ht="22.5" customHeight="1">
      <c r="A322" s="26">
        <v>46220.0</v>
      </c>
      <c r="B322" s="113" t="s">
        <v>349</v>
      </c>
      <c r="C322" s="32" t="str">
        <f t="array" ref="C322">_xlfn.XLOOKUP(B322, DB[samplingPoint], DB[samplingTag])</f>
        <v>VB-05(10)</v>
      </c>
      <c r="D322" s="33" t="s">
        <v>364</v>
      </c>
      <c r="E322" s="35" t="s">
        <v>224</v>
      </c>
      <c r="F322" s="38" t="b">
        <v>1</v>
      </c>
      <c r="G322" s="39" t="str">
        <f t="array" ref="G322">_xlfn.XLOOKUP($B322, DB[samplingPoint], DB[noLocation])</f>
        <v>WATER SYSTEM (B10)</v>
      </c>
      <c r="H322" s="33" t="s">
        <v>180</v>
      </c>
      <c r="I322" s="40" t="str">
        <f t="array" ref="I322">_xlfn.XLOOKUP($B322, DB[samplingPoint], DB[location])</f>
        <v>After Chlorine circulation tank (B10)</v>
      </c>
      <c r="J322" s="39" t="str">
        <f t="array" ref="J322">_xlfn.XLOOKUP($B322, DB[samplingPoint], DB[waterType])</f>
        <v>PRW</v>
      </c>
      <c r="K322" s="43">
        <f t="shared" si="22"/>
        <v>46220</v>
      </c>
      <c r="L322" s="26">
        <v>46223.0</v>
      </c>
      <c r="M322" s="32">
        <v>8.0</v>
      </c>
      <c r="N322" s="32">
        <v>112.0</v>
      </c>
      <c r="O322" s="32">
        <f t="shared" si="20"/>
        <v>60</v>
      </c>
      <c r="P322" s="49"/>
      <c r="Q322" s="49"/>
      <c r="R322" s="32">
        <f t="array" ref="R322">_xlfn.XLOOKUP($B322, DB[samplingPoint], DB[Criteria])</f>
        <v>500</v>
      </c>
      <c r="S322" s="50" t="str">
        <f t="shared" si="3"/>
        <v>PASSED</v>
      </c>
      <c r="T322" s="38" t="b">
        <v>0</v>
      </c>
      <c r="U322" s="39"/>
      <c r="V322" s="32" t="s">
        <v>304</v>
      </c>
    </row>
    <row r="323" ht="22.5" customHeight="1">
      <c r="A323" s="26">
        <v>46220.0</v>
      </c>
      <c r="B323" s="58" t="s">
        <v>366</v>
      </c>
      <c r="C323" s="32" t="str">
        <f t="array" ref="C323">_xlfn.XLOOKUP(B323, DB[samplingPoint], DB[samplingTag])</f>
        <v>V50-61(10)</v>
      </c>
      <c r="D323" s="33" t="s">
        <v>364</v>
      </c>
      <c r="E323" s="35" t="s">
        <v>224</v>
      </c>
      <c r="F323" s="38" t="b">
        <v>1</v>
      </c>
      <c r="G323" s="39" t="str">
        <f t="array" ref="G323">_xlfn.XLOOKUP($B323, DB[samplingPoint], DB[noLocation])</f>
        <v>WATER SYSTEM (B10)</v>
      </c>
      <c r="H323" s="33" t="s">
        <v>180</v>
      </c>
      <c r="I323" s="40" t="str">
        <f t="array" ref="I323">_xlfn.XLOOKUP($B323, DB[samplingPoint], DB[location])</f>
        <v>After Cartridge filter 5 µm (B10)</v>
      </c>
      <c r="J323" s="39" t="str">
        <f t="array" ref="J323">_xlfn.XLOOKUP($B323, DB[samplingPoint], DB[waterType])</f>
        <v>PRW</v>
      </c>
      <c r="K323" s="43">
        <f t="shared" si="22"/>
        <v>46220</v>
      </c>
      <c r="L323" s="26">
        <v>46223.0</v>
      </c>
      <c r="M323" s="32">
        <v>258.0</v>
      </c>
      <c r="N323" s="32">
        <v>183.0</v>
      </c>
      <c r="O323" s="32">
        <f t="shared" si="20"/>
        <v>221</v>
      </c>
      <c r="P323" s="49"/>
      <c r="Q323" s="49"/>
      <c r="R323" s="32">
        <f t="array" ref="R323">_xlfn.XLOOKUP($B323, DB[samplingPoint], DB[Criteria])</f>
        <v>500</v>
      </c>
      <c r="S323" s="50" t="str">
        <f t="shared" si="3"/>
        <v>PASSED</v>
      </c>
      <c r="T323" s="38" t="b">
        <v>0</v>
      </c>
      <c r="U323" s="39"/>
      <c r="V323" s="32" t="s">
        <v>304</v>
      </c>
    </row>
    <row r="324" ht="22.5" customHeight="1">
      <c r="A324" s="26">
        <v>46220.0</v>
      </c>
      <c r="B324" s="27" t="s">
        <v>368</v>
      </c>
      <c r="C324" s="32" t="str">
        <f t="array" ref="C324">_xlfn.XLOOKUP(B324, DB[samplingPoint], DB[samplingTag])</f>
        <v>V50-11C(10)</v>
      </c>
      <c r="D324" s="33" t="s">
        <v>364</v>
      </c>
      <c r="E324" s="35" t="s">
        <v>224</v>
      </c>
      <c r="F324" s="38" t="b">
        <v>1</v>
      </c>
      <c r="G324" s="39" t="str">
        <f t="array" ref="G324">_xlfn.XLOOKUP($B324, DB[samplingPoint], DB[noLocation])</f>
        <v>WATER SYSTEM (B10)</v>
      </c>
      <c r="H324" s="33" t="s">
        <v>180</v>
      </c>
      <c r="I324" s="40" t="str">
        <f t="array" ref="I324">_xlfn.XLOOKUP($B324, DB[samplingPoint], DB[location])</f>
        <v>After RO (Before EDI) (B10)</v>
      </c>
      <c r="J324" s="39" t="str">
        <f t="array" ref="J324">_xlfn.XLOOKUP($B324, DB[samplingPoint], DB[waterType])</f>
        <v>RO water</v>
      </c>
      <c r="K324" s="43">
        <f t="shared" si="22"/>
        <v>46220</v>
      </c>
      <c r="L324" s="26">
        <v>46223.0</v>
      </c>
      <c r="M324" s="32">
        <v>0.0</v>
      </c>
      <c r="N324" s="32">
        <v>0.0</v>
      </c>
      <c r="O324" s="32">
        <f t="shared" si="20"/>
        <v>0</v>
      </c>
      <c r="P324" s="49"/>
      <c r="Q324" s="49"/>
      <c r="R324" s="32">
        <f t="array" ref="R324">_xlfn.XLOOKUP($B324, DB[samplingPoint], DB[Criteria])</f>
        <v>500</v>
      </c>
      <c r="S324" s="50" t="str">
        <f t="shared" si="3"/>
        <v>PASSED</v>
      </c>
      <c r="T324" s="38" t="b">
        <v>0</v>
      </c>
      <c r="U324" s="39"/>
      <c r="V324" s="32" t="s">
        <v>304</v>
      </c>
    </row>
    <row r="325" ht="22.5" customHeight="1">
      <c r="A325" s="26">
        <v>46220.0</v>
      </c>
      <c r="B325" s="58" t="s">
        <v>374</v>
      </c>
      <c r="C325" s="32" t="str">
        <f t="array" ref="C325">_xlfn.XLOOKUP(B325, DB[samplingPoint], DB[samplingTag])</f>
        <v>V50-39(10)</v>
      </c>
      <c r="D325" s="33" t="s">
        <v>364</v>
      </c>
      <c r="E325" s="35" t="s">
        <v>224</v>
      </c>
      <c r="F325" s="38" t="b">
        <v>1</v>
      </c>
      <c r="G325" s="39" t="str">
        <f t="array" ref="G325">_xlfn.XLOOKUP($B325, DB[samplingPoint], DB[noLocation])</f>
        <v>WATER SYSTEM (B10)</v>
      </c>
      <c r="H325" s="33" t="s">
        <v>180</v>
      </c>
      <c r="I325" s="40" t="str">
        <f t="array" ref="I325">_xlfn.XLOOKUP($B325, DB[samplingPoint], DB[location])</f>
        <v>After EDI (B10)</v>
      </c>
      <c r="J325" s="39" t="str">
        <f t="array" ref="J325">_xlfn.XLOOKUP($B325, DB[samplingPoint], DB[waterType])</f>
        <v>PW</v>
      </c>
      <c r="K325" s="43">
        <f t="shared" si="22"/>
        <v>46220</v>
      </c>
      <c r="L325" s="26">
        <v>46223.0</v>
      </c>
      <c r="M325" s="32">
        <v>0.0</v>
      </c>
      <c r="N325" s="32">
        <v>0.0</v>
      </c>
      <c r="O325" s="32">
        <f t="shared" si="20"/>
        <v>0</v>
      </c>
      <c r="P325" s="49"/>
      <c r="Q325" s="49"/>
      <c r="R325" s="32">
        <f t="array" ref="R325">_xlfn.XLOOKUP($B325, DB[samplingPoint], DB[Criteria])</f>
        <v>100</v>
      </c>
      <c r="S325" s="50" t="str">
        <f t="shared" si="3"/>
        <v>PASSED</v>
      </c>
      <c r="T325" s="38" t="b">
        <v>0</v>
      </c>
      <c r="U325" s="39"/>
      <c r="V325" s="32" t="s">
        <v>304</v>
      </c>
    </row>
    <row r="326" ht="22.5" customHeight="1">
      <c r="A326" s="26">
        <v>46220.0</v>
      </c>
      <c r="B326" s="27" t="s">
        <v>390</v>
      </c>
      <c r="C326" s="32" t="str">
        <f t="array" ref="C326">_xlfn.XLOOKUP(B326, DB[samplingPoint], DB[samplingTag])</f>
        <v>SV117.01</v>
      </c>
      <c r="D326" s="33" t="s">
        <v>364</v>
      </c>
      <c r="E326" s="35" t="s">
        <v>224</v>
      </c>
      <c r="F326" s="38" t="b">
        <v>1</v>
      </c>
      <c r="G326" s="39" t="str">
        <f t="array" ref="G326">_xlfn.XLOOKUP($B326, DB[samplingPoint], DB[noLocation])</f>
        <v>WATER SYSTEM (B10)</v>
      </c>
      <c r="H326" s="33" t="s">
        <v>180</v>
      </c>
      <c r="I326" s="40" t="str">
        <f t="array" ref="I326">_xlfn.XLOOKUP($B326, DB[samplingPoint], DB[location])</f>
        <v>Return loop (B10)</v>
      </c>
      <c r="J326" s="39" t="str">
        <f t="array" ref="J326">_xlfn.XLOOKUP($B326, DB[samplingPoint], DB[waterType])</f>
        <v>PW</v>
      </c>
      <c r="K326" s="43">
        <f t="shared" si="22"/>
        <v>46220</v>
      </c>
      <c r="L326" s="26">
        <v>46223.0</v>
      </c>
      <c r="M326" s="32">
        <v>0.0</v>
      </c>
      <c r="N326" s="32">
        <v>0.0</v>
      </c>
      <c r="O326" s="32">
        <f t="shared" si="20"/>
        <v>0</v>
      </c>
      <c r="P326" s="49"/>
      <c r="Q326" s="49"/>
      <c r="R326" s="32">
        <f t="array" ref="R326">_xlfn.XLOOKUP($B326, DB[samplingPoint], DB[Criteria])</f>
        <v>100</v>
      </c>
      <c r="S326" s="50" t="str">
        <f t="shared" si="3"/>
        <v>PASSED</v>
      </c>
      <c r="T326" s="38" t="b">
        <v>0</v>
      </c>
      <c r="U326" s="39"/>
      <c r="V326" s="32" t="s">
        <v>304</v>
      </c>
    </row>
    <row r="327" ht="22.5" customHeight="1">
      <c r="A327" s="26">
        <v>46220.0</v>
      </c>
      <c r="B327" s="58" t="s">
        <v>394</v>
      </c>
      <c r="C327" s="32" t="str">
        <f t="array" ref="C327">_xlfn.XLOOKUP(B327, DB[samplingPoint], DB[samplingTag])</f>
        <v>DV116.25</v>
      </c>
      <c r="D327" s="33" t="s">
        <v>364</v>
      </c>
      <c r="E327" s="35" t="s">
        <v>224</v>
      </c>
      <c r="F327" s="38" t="b">
        <v>1</v>
      </c>
      <c r="G327" s="39" t="str">
        <f t="array" ref="G327">_xlfn.XLOOKUP($B327, DB[samplingPoint], DB[noLocation])</f>
        <v>10-3-171</v>
      </c>
      <c r="H327" s="33" t="s">
        <v>180</v>
      </c>
      <c r="I327" s="40" t="str">
        <f t="array" ref="I327">_xlfn.XLOOKUP($B327, DB[samplingPoint], DB[location])</f>
        <v>TOOL WASHING-P</v>
      </c>
      <c r="J327" s="39" t="str">
        <f t="array" ref="J327">_xlfn.XLOOKUP($B327, DB[samplingPoint], DB[waterType])</f>
        <v>PW</v>
      </c>
      <c r="K327" s="43">
        <f t="shared" si="22"/>
        <v>46220</v>
      </c>
      <c r="L327" s="26">
        <v>46223.0</v>
      </c>
      <c r="M327" s="32">
        <v>0.0</v>
      </c>
      <c r="N327" s="32">
        <v>0.0</v>
      </c>
      <c r="O327" s="32">
        <f t="shared" si="20"/>
        <v>0</v>
      </c>
      <c r="P327" s="49"/>
      <c r="Q327" s="49"/>
      <c r="R327" s="32">
        <f t="array" ref="R327">_xlfn.XLOOKUP($B327, DB[samplingPoint], DB[Criteria])</f>
        <v>100</v>
      </c>
      <c r="S327" s="50" t="str">
        <f t="shared" si="3"/>
        <v>PASSED</v>
      </c>
      <c r="T327" s="38" t="b">
        <v>0</v>
      </c>
      <c r="U327" s="39"/>
      <c r="V327" s="32" t="s">
        <v>304</v>
      </c>
    </row>
    <row r="328" ht="22.5" customHeight="1">
      <c r="A328" s="26">
        <v>46220.0</v>
      </c>
      <c r="B328" s="27" t="s">
        <v>398</v>
      </c>
      <c r="C328" s="32" t="str">
        <f t="array" ref="C328">_xlfn.XLOOKUP(B328, DB[samplingPoint], DB[samplingTag])</f>
        <v>DV116.24</v>
      </c>
      <c r="D328" s="33" t="s">
        <v>364</v>
      </c>
      <c r="E328" s="35" t="s">
        <v>224</v>
      </c>
      <c r="F328" s="38" t="b">
        <v>1</v>
      </c>
      <c r="G328" s="39" t="str">
        <f t="array" ref="G328">_xlfn.XLOOKUP($B328, DB[samplingPoint], DB[noLocation])</f>
        <v>10-3-163</v>
      </c>
      <c r="H328" s="33" t="s">
        <v>180</v>
      </c>
      <c r="I328" s="40" t="str">
        <f t="array" ref="I328">_xlfn.XLOOKUP($B328, DB[samplingPoint], DB[location])</f>
        <v>WET GRANULATION 1-P</v>
      </c>
      <c r="J328" s="39" t="str">
        <f t="array" ref="J328">_xlfn.XLOOKUP($B328, DB[samplingPoint], DB[waterType])</f>
        <v>PW</v>
      </c>
      <c r="K328" s="43">
        <f t="shared" si="22"/>
        <v>46220</v>
      </c>
      <c r="L328" s="26">
        <v>46223.0</v>
      </c>
      <c r="M328" s="32">
        <v>0.0</v>
      </c>
      <c r="N328" s="32">
        <v>0.0</v>
      </c>
      <c r="O328" s="32">
        <f t="shared" si="20"/>
        <v>0</v>
      </c>
      <c r="P328" s="49"/>
      <c r="Q328" s="49"/>
      <c r="R328" s="32">
        <f t="array" ref="R328">_xlfn.XLOOKUP($B328, DB[samplingPoint], DB[Criteria])</f>
        <v>100</v>
      </c>
      <c r="S328" s="50" t="str">
        <f t="shared" si="3"/>
        <v>PASSED</v>
      </c>
      <c r="T328" s="38" t="b">
        <v>0</v>
      </c>
      <c r="U328" s="39"/>
      <c r="V328" s="32" t="s">
        <v>304</v>
      </c>
    </row>
    <row r="329" ht="22.5" customHeight="1">
      <c r="A329" s="26">
        <v>46220.0</v>
      </c>
      <c r="B329" s="58" t="s">
        <v>401</v>
      </c>
      <c r="C329" s="32" t="str">
        <f t="array" ref="C329">_xlfn.XLOOKUP(B329, DB[samplingPoint], DB[samplingTag])</f>
        <v>DV116.23</v>
      </c>
      <c r="D329" s="33" t="s">
        <v>364</v>
      </c>
      <c r="E329" s="35" t="s">
        <v>224</v>
      </c>
      <c r="F329" s="38" t="b">
        <v>1</v>
      </c>
      <c r="G329" s="39" t="str">
        <f t="array" ref="G329">_xlfn.XLOOKUP($B329, DB[samplingPoint], DB[noLocation])</f>
        <v>10-3-159</v>
      </c>
      <c r="H329" s="33" t="s">
        <v>180</v>
      </c>
      <c r="I329" s="40" t="str">
        <f t="array" ref="I329">_xlfn.XLOOKUP($B329, DB[samplingPoint], DB[location])</f>
        <v>BINDER PREPARATION-P</v>
      </c>
      <c r="J329" s="39" t="str">
        <f t="array" ref="J329">_xlfn.XLOOKUP($B329, DB[samplingPoint], DB[waterType])</f>
        <v>PW</v>
      </c>
      <c r="K329" s="43">
        <f t="shared" si="22"/>
        <v>46220</v>
      </c>
      <c r="L329" s="26">
        <v>46223.0</v>
      </c>
      <c r="M329" s="32">
        <v>0.0</v>
      </c>
      <c r="N329" s="32">
        <v>0.0</v>
      </c>
      <c r="O329" s="32">
        <f t="shared" si="20"/>
        <v>0</v>
      </c>
      <c r="P329" s="49"/>
      <c r="Q329" s="49"/>
      <c r="R329" s="32">
        <f t="array" ref="R329">_xlfn.XLOOKUP($B329, DB[samplingPoint], DB[Criteria])</f>
        <v>100</v>
      </c>
      <c r="S329" s="50" t="str">
        <f t="shared" si="3"/>
        <v>PASSED</v>
      </c>
      <c r="T329" s="38" t="b">
        <v>0</v>
      </c>
      <c r="U329" s="39"/>
      <c r="V329" s="32" t="s">
        <v>304</v>
      </c>
    </row>
    <row r="330" ht="22.5" customHeight="1">
      <c r="A330" s="26">
        <v>46220.0</v>
      </c>
      <c r="B330" s="27" t="s">
        <v>406</v>
      </c>
      <c r="C330" s="32" t="str">
        <f t="array" ref="C330">_xlfn.XLOOKUP(B330, DB[samplingPoint], DB[samplingTag])</f>
        <v>DV116.21</v>
      </c>
      <c r="D330" s="33" t="s">
        <v>364</v>
      </c>
      <c r="E330" s="35" t="s">
        <v>224</v>
      </c>
      <c r="F330" s="38" t="b">
        <v>1</v>
      </c>
      <c r="G330" s="39" t="str">
        <f t="array" ref="G330">_xlfn.XLOOKUP($B330, DB[samplingPoint], DB[noLocation])</f>
        <v>10-3-152</v>
      </c>
      <c r="H330" s="33" t="s">
        <v>180</v>
      </c>
      <c r="I330" s="40" t="str">
        <f t="array" ref="I330">_xlfn.XLOOKUP($B330, DB[samplingPoint], DB[location])</f>
        <v>WASHING-P</v>
      </c>
      <c r="J330" s="39" t="str">
        <f t="array" ref="J330">_xlfn.XLOOKUP($B330, DB[samplingPoint], DB[waterType])</f>
        <v>PW</v>
      </c>
      <c r="K330" s="43">
        <f t="shared" si="22"/>
        <v>46220</v>
      </c>
      <c r="L330" s="26">
        <v>46223.0</v>
      </c>
      <c r="M330" s="32">
        <v>0.0</v>
      </c>
      <c r="N330" s="32">
        <v>0.0</v>
      </c>
      <c r="O330" s="32">
        <f t="shared" si="20"/>
        <v>0</v>
      </c>
      <c r="P330" s="49"/>
      <c r="Q330" s="49"/>
      <c r="R330" s="32">
        <f t="array" ref="R330">_xlfn.XLOOKUP($B330, DB[samplingPoint], DB[Criteria])</f>
        <v>100</v>
      </c>
      <c r="S330" s="50" t="str">
        <f t="shared" si="3"/>
        <v>PASSED</v>
      </c>
      <c r="T330" s="38" t="b">
        <v>0</v>
      </c>
      <c r="U330" s="39"/>
      <c r="V330" s="32" t="s">
        <v>304</v>
      </c>
    </row>
    <row r="331" ht="22.5" customHeight="1">
      <c r="A331" s="26">
        <v>46220.0</v>
      </c>
      <c r="B331" s="58" t="s">
        <v>410</v>
      </c>
      <c r="C331" s="32" t="str">
        <f t="array" ref="C331">_xlfn.XLOOKUP(B331, DB[samplingPoint], DB[samplingTag])</f>
        <v>DV116.22</v>
      </c>
      <c r="D331" s="33" t="s">
        <v>364</v>
      </c>
      <c r="E331" s="35" t="s">
        <v>224</v>
      </c>
      <c r="F331" s="38" t="b">
        <v>1</v>
      </c>
      <c r="G331" s="39" t="str">
        <f t="array" ref="G331">_xlfn.XLOOKUP($B331, DB[samplingPoint], DB[noLocation])</f>
        <v>10-3-152</v>
      </c>
      <c r="H331" s="33" t="s">
        <v>180</v>
      </c>
      <c r="I331" s="40" t="str">
        <f t="array" ref="I331">_xlfn.XLOOKUP($B331, DB[samplingPoint], DB[location])</f>
        <v>WASHING-P</v>
      </c>
      <c r="J331" s="39" t="str">
        <f t="array" ref="J331">_xlfn.XLOOKUP($B331, DB[samplingPoint], DB[waterType])</f>
        <v>PW</v>
      </c>
      <c r="K331" s="43">
        <f t="shared" si="22"/>
        <v>46220</v>
      </c>
      <c r="L331" s="26">
        <v>46223.0</v>
      </c>
      <c r="M331" s="32">
        <v>0.0</v>
      </c>
      <c r="N331" s="32">
        <v>0.0</v>
      </c>
      <c r="O331" s="32">
        <f t="shared" si="20"/>
        <v>0</v>
      </c>
      <c r="P331" s="49"/>
      <c r="Q331" s="49"/>
      <c r="R331" s="32">
        <f t="array" ref="R331">_xlfn.XLOOKUP($B331, DB[samplingPoint], DB[Criteria])</f>
        <v>100</v>
      </c>
      <c r="S331" s="50" t="str">
        <f t="shared" si="3"/>
        <v>PASSED</v>
      </c>
      <c r="T331" s="38" t="b">
        <v>0</v>
      </c>
      <c r="U331" s="39"/>
      <c r="V331" s="32" t="s">
        <v>304</v>
      </c>
    </row>
    <row r="332" ht="22.5" customHeight="1">
      <c r="A332" s="26">
        <v>46220.0</v>
      </c>
      <c r="B332" s="27" t="s">
        <v>414</v>
      </c>
      <c r="C332" s="32" t="str">
        <f t="array" ref="C332">_xlfn.XLOOKUP(B332, DB[samplingPoint], DB[samplingTag])</f>
        <v>SV116.13</v>
      </c>
      <c r="D332" s="33" t="s">
        <v>364</v>
      </c>
      <c r="E332" s="35" t="s">
        <v>224</v>
      </c>
      <c r="F332" s="38" t="b">
        <v>1</v>
      </c>
      <c r="G332" s="39" t="str">
        <f t="array" ref="G332">_xlfn.XLOOKUP($B332, DB[samplingPoint], DB[noLocation])</f>
        <v>10-3-152</v>
      </c>
      <c r="H332" s="33" t="s">
        <v>180</v>
      </c>
      <c r="I332" s="40" t="str">
        <f t="array" ref="I332">_xlfn.XLOOKUP($B332, DB[samplingPoint], DB[location])</f>
        <v>WASHING-P</v>
      </c>
      <c r="J332" s="39" t="str">
        <f t="array" ref="J332">_xlfn.XLOOKUP($B332, DB[samplingPoint], DB[waterType])</f>
        <v>PW</v>
      </c>
      <c r="K332" s="43">
        <f t="shared" si="22"/>
        <v>46220</v>
      </c>
      <c r="L332" s="26">
        <v>46223.0</v>
      </c>
      <c r="M332" s="32">
        <v>0.0</v>
      </c>
      <c r="N332" s="32">
        <v>0.0</v>
      </c>
      <c r="O332" s="32">
        <f t="shared" si="20"/>
        <v>0</v>
      </c>
      <c r="P332" s="49"/>
      <c r="Q332" s="49"/>
      <c r="R332" s="32">
        <f t="array" ref="R332">_xlfn.XLOOKUP($B332, DB[samplingPoint], DB[Criteria])</f>
        <v>100</v>
      </c>
      <c r="S332" s="50" t="str">
        <f t="shared" si="3"/>
        <v>PASSED</v>
      </c>
      <c r="T332" s="38" t="b">
        <v>0</v>
      </c>
      <c r="U332" s="39"/>
      <c r="V332" s="32" t="s">
        <v>304</v>
      </c>
    </row>
    <row r="333" ht="22.5" customHeight="1">
      <c r="A333" s="26">
        <v>46220.0</v>
      </c>
      <c r="B333" s="58" t="s">
        <v>417</v>
      </c>
      <c r="C333" s="32" t="str">
        <f t="array" ref="C333">_xlfn.XLOOKUP(B333, DB[samplingPoint], DB[samplingTag])</f>
        <v>DV116.20</v>
      </c>
      <c r="D333" s="33" t="s">
        <v>364</v>
      </c>
      <c r="E333" s="35" t="s">
        <v>224</v>
      </c>
      <c r="F333" s="38" t="b">
        <v>1</v>
      </c>
      <c r="G333" s="39" t="str">
        <f t="array" ref="G333">_xlfn.XLOOKUP($B333, DB[samplingPoint], DB[noLocation])</f>
        <v>10-3-149</v>
      </c>
      <c r="H333" s="33" t="s">
        <v>180</v>
      </c>
      <c r="I333" s="40" t="str">
        <f t="array" ref="I333">_xlfn.XLOOKUP($B333, DB[samplingPoint], DB[location])</f>
        <v>IPQC-1-P</v>
      </c>
      <c r="J333" s="39" t="str">
        <f t="array" ref="J333">_xlfn.XLOOKUP($B333, DB[samplingPoint], DB[waterType])</f>
        <v>PW</v>
      </c>
      <c r="K333" s="43">
        <f t="shared" si="22"/>
        <v>46220</v>
      </c>
      <c r="L333" s="26">
        <v>46223.0</v>
      </c>
      <c r="M333" s="32">
        <v>0.0</v>
      </c>
      <c r="N333" s="32">
        <v>0.0</v>
      </c>
      <c r="O333" s="32">
        <f t="shared" si="20"/>
        <v>0</v>
      </c>
      <c r="P333" s="49"/>
      <c r="Q333" s="49"/>
      <c r="R333" s="32">
        <f t="array" ref="R333">_xlfn.XLOOKUP($B333, DB[samplingPoint], DB[Criteria])</f>
        <v>100</v>
      </c>
      <c r="S333" s="50" t="str">
        <f t="shared" si="3"/>
        <v>PASSED</v>
      </c>
      <c r="T333" s="38" t="b">
        <v>0</v>
      </c>
      <c r="U333" s="39"/>
      <c r="V333" s="32" t="s">
        <v>304</v>
      </c>
    </row>
    <row r="334" ht="22.5" customHeight="1">
      <c r="A334" s="26">
        <v>46220.0</v>
      </c>
      <c r="B334" s="27" t="s">
        <v>421</v>
      </c>
      <c r="C334" s="32" t="str">
        <f t="array" ref="C334">_xlfn.XLOOKUP(B334, DB[samplingPoint], DB[samplingTag])</f>
        <v>DV116.19</v>
      </c>
      <c r="D334" s="33" t="s">
        <v>364</v>
      </c>
      <c r="E334" s="35" t="s">
        <v>224</v>
      </c>
      <c r="F334" s="38" t="b">
        <v>1</v>
      </c>
      <c r="G334" s="39" t="str">
        <f t="array" ref="G334">_xlfn.XLOOKUP($B334, DB[samplingPoint], DB[noLocation])</f>
        <v>10-3-143</v>
      </c>
      <c r="H334" s="33" t="s">
        <v>180</v>
      </c>
      <c r="I334" s="40" t="str">
        <f t="array" ref="I334">_xlfn.XLOOKUP($B334, DB[samplingPoint], DB[location])</f>
        <v>COATING SOLUTION PREP.-P</v>
      </c>
      <c r="J334" s="39" t="str">
        <f t="array" ref="J334">_xlfn.XLOOKUP($B334, DB[samplingPoint], DB[waterType])</f>
        <v>PW</v>
      </c>
      <c r="K334" s="43">
        <f t="shared" si="22"/>
        <v>46220</v>
      </c>
      <c r="L334" s="26">
        <v>46223.0</v>
      </c>
      <c r="M334" s="32">
        <v>0.0</v>
      </c>
      <c r="N334" s="32">
        <v>0.0</v>
      </c>
      <c r="O334" s="32">
        <f t="shared" si="20"/>
        <v>0</v>
      </c>
      <c r="P334" s="49"/>
      <c r="Q334" s="49"/>
      <c r="R334" s="32">
        <f t="array" ref="R334">_xlfn.XLOOKUP($B334, DB[samplingPoint], DB[Criteria])</f>
        <v>100</v>
      </c>
      <c r="S334" s="50" t="str">
        <f t="shared" si="3"/>
        <v>PASSED</v>
      </c>
      <c r="T334" s="38" t="b">
        <v>0</v>
      </c>
      <c r="U334" s="39"/>
      <c r="V334" s="32" t="s">
        <v>304</v>
      </c>
    </row>
    <row r="335" ht="22.5" customHeight="1">
      <c r="A335" s="26">
        <v>46220.0</v>
      </c>
      <c r="B335" s="58" t="s">
        <v>423</v>
      </c>
      <c r="C335" s="32" t="str">
        <f t="array" ref="C335">_xlfn.XLOOKUP(B335, DB[samplingPoint], DB[samplingTag])</f>
        <v>SV116.12</v>
      </c>
      <c r="D335" s="33" t="s">
        <v>364</v>
      </c>
      <c r="E335" s="35" t="s">
        <v>224</v>
      </c>
      <c r="F335" s="38" t="b">
        <v>1</v>
      </c>
      <c r="G335" s="39" t="str">
        <f t="array" ref="G335">_xlfn.XLOOKUP($B335, DB[samplingPoint], DB[noLocation])</f>
        <v>10-3-144</v>
      </c>
      <c r="H335" s="33" t="s">
        <v>180</v>
      </c>
      <c r="I335" s="40" t="str">
        <f t="array" ref="I335">_xlfn.XLOOKUP($B335, DB[samplingPoint], DB[location])</f>
        <v>COATING-P</v>
      </c>
      <c r="J335" s="39" t="str">
        <f t="array" ref="J335">_xlfn.XLOOKUP($B335, DB[samplingPoint], DB[waterType])</f>
        <v>PW</v>
      </c>
      <c r="K335" s="43">
        <f t="shared" si="22"/>
        <v>46220</v>
      </c>
      <c r="L335" s="26">
        <v>46223.0</v>
      </c>
      <c r="M335" s="32">
        <v>0.0</v>
      </c>
      <c r="N335" s="32">
        <v>0.0</v>
      </c>
      <c r="O335" s="32">
        <f t="shared" si="20"/>
        <v>0</v>
      </c>
      <c r="P335" s="49"/>
      <c r="Q335" s="49"/>
      <c r="R335" s="32">
        <f t="array" ref="R335">_xlfn.XLOOKUP($B335, DB[samplingPoint], DB[Criteria])</f>
        <v>100</v>
      </c>
      <c r="S335" s="50" t="str">
        <f t="shared" si="3"/>
        <v>PASSED</v>
      </c>
      <c r="T335" s="38" t="b">
        <v>0</v>
      </c>
      <c r="U335" s="39"/>
      <c r="V335" s="32" t="s">
        <v>304</v>
      </c>
    </row>
    <row r="336" ht="22.5" customHeight="1">
      <c r="A336" s="26">
        <v>46220.0</v>
      </c>
      <c r="B336" s="58" t="s">
        <v>425</v>
      </c>
      <c r="C336" s="32" t="str">
        <f t="array" ref="C336">_xlfn.XLOOKUP(B336, DB[samplingPoint], DB[samplingTag])</f>
        <v>DV116.02</v>
      </c>
      <c r="D336" s="33" t="s">
        <v>364</v>
      </c>
      <c r="E336" s="35" t="s">
        <v>224</v>
      </c>
      <c r="F336" s="38" t="b">
        <v>1</v>
      </c>
      <c r="G336" s="39" t="str">
        <f t="array" ref="G336">_xlfn.XLOOKUP($B336, DB[samplingPoint], DB[noLocation])</f>
        <v>10-1-115</v>
      </c>
      <c r="H336" s="33" t="s">
        <v>180</v>
      </c>
      <c r="I336" s="40" t="str">
        <f t="array" ref="I336">_xlfn.XLOOKUP($B336, DB[samplingPoint], DB[location])</f>
        <v>WASHING</v>
      </c>
      <c r="J336" s="39" t="str">
        <f t="array" ref="J336">_xlfn.XLOOKUP($B336, DB[samplingPoint], DB[waterType])</f>
        <v>PW</v>
      </c>
      <c r="K336" s="43">
        <f t="shared" si="22"/>
        <v>46220</v>
      </c>
      <c r="L336" s="26">
        <v>46223.0</v>
      </c>
      <c r="M336" s="32">
        <v>0.0</v>
      </c>
      <c r="N336" s="32">
        <v>0.0</v>
      </c>
      <c r="O336" s="32">
        <f t="shared" si="20"/>
        <v>0</v>
      </c>
      <c r="P336" s="49"/>
      <c r="Q336" s="49"/>
      <c r="R336" s="32">
        <f t="array" ref="R336">_xlfn.XLOOKUP($B336, DB[samplingPoint], DB[Criteria])</f>
        <v>100</v>
      </c>
      <c r="S336" s="50" t="str">
        <f t="shared" si="3"/>
        <v>PASSED</v>
      </c>
      <c r="T336" s="38" t="b">
        <v>0</v>
      </c>
      <c r="U336" s="39"/>
      <c r="V336" s="32" t="s">
        <v>304</v>
      </c>
    </row>
    <row r="337" ht="22.5" customHeight="1">
      <c r="A337" s="26">
        <v>46220.0</v>
      </c>
      <c r="B337" s="27" t="s">
        <v>428</v>
      </c>
      <c r="C337" s="32" t="str">
        <f t="array" ref="C337">_xlfn.XLOOKUP(B337, DB[samplingPoint], DB[samplingTag])</f>
        <v>DV116.01</v>
      </c>
      <c r="D337" s="33" t="s">
        <v>364</v>
      </c>
      <c r="E337" s="35" t="s">
        <v>224</v>
      </c>
      <c r="F337" s="38" t="b">
        <v>1</v>
      </c>
      <c r="G337" s="39" t="str">
        <f t="array" ref="G337">_xlfn.XLOOKUP($B337, DB[samplingPoint], DB[noLocation])</f>
        <v>10-1-057</v>
      </c>
      <c r="H337" s="33" t="s">
        <v>180</v>
      </c>
      <c r="I337" s="40" t="str">
        <f t="array" ref="I337">_xlfn.XLOOKUP($B337, DB[samplingPoint], DB[location])</f>
        <v>WASHING-P</v>
      </c>
      <c r="J337" s="39" t="str">
        <f t="array" ref="J337">_xlfn.XLOOKUP($B337, DB[samplingPoint], DB[waterType])</f>
        <v>PW</v>
      </c>
      <c r="K337" s="43">
        <f t="shared" si="22"/>
        <v>46220</v>
      </c>
      <c r="L337" s="26">
        <v>46223.0</v>
      </c>
      <c r="M337" s="32">
        <v>3.0</v>
      </c>
      <c r="N337" s="32">
        <v>0.0</v>
      </c>
      <c r="O337" s="32">
        <f t="shared" si="20"/>
        <v>2</v>
      </c>
      <c r="P337" s="49"/>
      <c r="Q337" s="49"/>
      <c r="R337" s="32">
        <f t="array" ref="R337">_xlfn.XLOOKUP($B337, DB[samplingPoint], DB[Criteria])</f>
        <v>100</v>
      </c>
      <c r="S337" s="50" t="str">
        <f t="shared" si="3"/>
        <v>PASSED</v>
      </c>
      <c r="T337" s="38" t="b">
        <v>0</v>
      </c>
      <c r="U337" s="39"/>
      <c r="V337" s="32" t="s">
        <v>304</v>
      </c>
    </row>
    <row r="338" ht="22.5" customHeight="1">
      <c r="A338" s="26">
        <v>46223.0</v>
      </c>
      <c r="B338" s="27" t="s">
        <v>430</v>
      </c>
      <c r="C338" s="32" t="str">
        <f t="array" ref="C338">_xlfn.XLOOKUP(B338, DB[samplingPoint], DB[samplingTag])</f>
        <v>SV137.01</v>
      </c>
      <c r="D338" s="33" t="s">
        <v>158</v>
      </c>
      <c r="E338" s="35" t="s">
        <v>232</v>
      </c>
      <c r="F338" s="38" t="b">
        <v>1</v>
      </c>
      <c r="G338" s="39" t="str">
        <f t="array" ref="G338">_xlfn.XLOOKUP($B338, DB[samplingPoint], DB[noLocation])</f>
        <v>WATER SYSTEM (B12)</v>
      </c>
      <c r="H338" s="33" t="s">
        <v>437</v>
      </c>
      <c r="I338" s="40" t="str">
        <f t="array" ref="I338">_xlfn.XLOOKUP($B338, DB[samplingPoint], DB[location])</f>
        <v>Return loop (B12)</v>
      </c>
      <c r="J338" s="39" t="str">
        <f t="array" ref="J338">_xlfn.XLOOKUP($B338, DB[samplingPoint], DB[waterType])</f>
        <v>PW</v>
      </c>
      <c r="K338" s="43">
        <f t="shared" ref="K338:K339" si="23">$A338+1</f>
        <v>46224</v>
      </c>
      <c r="L338" s="26">
        <v>46227.0</v>
      </c>
      <c r="M338" s="32">
        <v>0.0</v>
      </c>
      <c r="N338" s="32">
        <v>0.0</v>
      </c>
      <c r="O338" s="32">
        <f t="shared" si="20"/>
        <v>0</v>
      </c>
      <c r="P338" s="49"/>
      <c r="Q338" s="49"/>
      <c r="R338" s="32">
        <f t="array" ref="R338">_xlfn.XLOOKUP($B338, DB[samplingPoint], DB[Criteria])</f>
        <v>100</v>
      </c>
      <c r="S338" s="50" t="str">
        <f t="shared" si="3"/>
        <v>PASSED</v>
      </c>
      <c r="T338" s="38" t="b">
        <v>0</v>
      </c>
      <c r="U338" s="39"/>
      <c r="V338" s="32" t="s">
        <v>304</v>
      </c>
    </row>
    <row r="339" ht="22.5" customHeight="1">
      <c r="A339" s="26">
        <v>46223.0</v>
      </c>
      <c r="B339" s="27" t="s">
        <v>443</v>
      </c>
      <c r="C339" s="32" t="str">
        <f t="array" ref="C339">_xlfn.XLOOKUP(B339, DB[samplingPoint], DB[samplingTag])</f>
        <v>SV136.09</v>
      </c>
      <c r="D339" s="33" t="s">
        <v>158</v>
      </c>
      <c r="E339" s="35" t="s">
        <v>232</v>
      </c>
      <c r="F339" s="202" t="b">
        <v>1</v>
      </c>
      <c r="G339" s="39" t="str">
        <f t="array" ref="G339">_xlfn.XLOOKUP($B339, DB[samplingPoint], DB[noLocation])</f>
        <v>12-2-039</v>
      </c>
      <c r="H339" s="33" t="s">
        <v>437</v>
      </c>
      <c r="I339" s="40" t="str">
        <f t="array" ref="I339">_xlfn.XLOOKUP($B339, DB[samplingPoint], DB[location])</f>
        <v>MFG 1</v>
      </c>
      <c r="J339" s="39" t="str">
        <f t="array" ref="J339">_xlfn.XLOOKUP($B339, DB[samplingPoint], DB[waterType])</f>
        <v>PW</v>
      </c>
      <c r="K339" s="43">
        <f t="shared" si="23"/>
        <v>46224</v>
      </c>
      <c r="L339" s="26">
        <v>46227.0</v>
      </c>
      <c r="M339" s="32">
        <v>0.0</v>
      </c>
      <c r="N339" s="32">
        <v>0.0</v>
      </c>
      <c r="O339" s="32">
        <f t="shared" si="20"/>
        <v>0</v>
      </c>
      <c r="P339" s="49"/>
      <c r="Q339" s="49"/>
      <c r="R339" s="32">
        <f t="array" ref="R339">_xlfn.XLOOKUP($B339, DB[samplingPoint], DB[Criteria])</f>
        <v>100</v>
      </c>
      <c r="S339" s="50" t="str">
        <f t="shared" si="3"/>
        <v>PASSED</v>
      </c>
      <c r="T339" s="38" t="b">
        <v>0</v>
      </c>
      <c r="U339" s="39"/>
      <c r="V339" s="32" t="s">
        <v>304</v>
      </c>
    </row>
    <row r="340" ht="22.5" customHeight="1">
      <c r="A340" s="26">
        <v>46224.0</v>
      </c>
      <c r="B340" s="27" t="s">
        <v>435</v>
      </c>
      <c r="C340" s="32" t="str">
        <f t="array" ref="C340">_xlfn.XLOOKUP(B340, DB[samplingPoint], DB[samplingTag])</f>
        <v>SV133.01</v>
      </c>
      <c r="D340" s="33" t="s">
        <v>436</v>
      </c>
      <c r="E340" s="35" t="s">
        <v>234</v>
      </c>
      <c r="F340" s="38" t="b">
        <v>1</v>
      </c>
      <c r="G340" s="39" t="str">
        <f t="array" ref="G340">_xlfn.XLOOKUP($B340, DB[samplingPoint], DB[noLocation])</f>
        <v>WATER SYSTEM (B12)</v>
      </c>
      <c r="H340" s="33" t="s">
        <v>437</v>
      </c>
      <c r="I340" s="40" t="str">
        <f t="array" ref="I340">_xlfn.XLOOKUP($B340, DB[samplingPoint], DB[location])</f>
        <v>After Storage tank (B12)</v>
      </c>
      <c r="J340" s="39" t="str">
        <f t="array" ref="J340">_xlfn.XLOOKUP($B340, DB[samplingPoint], DB[waterType])</f>
        <v>PW</v>
      </c>
      <c r="K340" s="43">
        <f t="shared" ref="K340:K357" si="24">$A340+0</f>
        <v>46224</v>
      </c>
      <c r="L340" s="26">
        <v>46227.0</v>
      </c>
      <c r="M340" s="32">
        <v>0.0</v>
      </c>
      <c r="N340" s="32">
        <v>0.0</v>
      </c>
      <c r="O340" s="32">
        <f t="shared" si="20"/>
        <v>0</v>
      </c>
      <c r="P340" s="49"/>
      <c r="Q340" s="49"/>
      <c r="R340" s="32">
        <f t="array" ref="R340">_xlfn.XLOOKUP($B340, DB[samplingPoint], DB[Criteria])</f>
        <v>100</v>
      </c>
      <c r="S340" s="50" t="str">
        <f t="shared" si="3"/>
        <v>PASSED</v>
      </c>
      <c r="T340" s="38" t="b">
        <v>0</v>
      </c>
      <c r="U340" s="39"/>
      <c r="V340" s="32" t="s">
        <v>304</v>
      </c>
    </row>
    <row r="341" ht="22.5" customHeight="1">
      <c r="A341" s="26">
        <v>46224.0</v>
      </c>
      <c r="B341" s="58" t="s">
        <v>438</v>
      </c>
      <c r="C341" s="32" t="str">
        <f t="array" ref="C341">_xlfn.XLOOKUP(B341, DB[samplingPoint], DB[samplingTag])</f>
        <v>SV135.02</v>
      </c>
      <c r="D341" s="33" t="s">
        <v>436</v>
      </c>
      <c r="E341" s="35" t="s">
        <v>234</v>
      </c>
      <c r="F341" s="38" t="b">
        <v>1</v>
      </c>
      <c r="G341" s="39" t="str">
        <f t="array" ref="G341">_xlfn.XLOOKUP($B341, DB[samplingPoint], DB[noLocation])</f>
        <v>WATER SYSTEM (B12)</v>
      </c>
      <c r="H341" s="33" t="s">
        <v>437</v>
      </c>
      <c r="I341" s="40" t="str">
        <f t="array" ref="I341">_xlfn.XLOOKUP($B341, DB[samplingPoint], DB[location])</f>
        <v>After UV (B12)</v>
      </c>
      <c r="J341" s="39" t="str">
        <f t="array" ref="J341">_xlfn.XLOOKUP($B341, DB[samplingPoint], DB[waterType])</f>
        <v>PW</v>
      </c>
      <c r="K341" s="43">
        <f t="shared" si="24"/>
        <v>46224</v>
      </c>
      <c r="L341" s="26">
        <v>46227.0</v>
      </c>
      <c r="M341" s="32">
        <v>0.0</v>
      </c>
      <c r="N341" s="32">
        <v>0.0</v>
      </c>
      <c r="O341" s="32">
        <f t="shared" si="20"/>
        <v>0</v>
      </c>
      <c r="P341" s="49"/>
      <c r="Q341" s="49"/>
      <c r="R341" s="32">
        <f t="array" ref="R341">_xlfn.XLOOKUP($B341, DB[samplingPoint], DB[Criteria])</f>
        <v>100</v>
      </c>
      <c r="S341" s="50" t="str">
        <f t="shared" si="3"/>
        <v>PASSED</v>
      </c>
      <c r="T341" s="38" t="b">
        <v>0</v>
      </c>
      <c r="U341" s="39"/>
      <c r="V341" s="32" t="s">
        <v>304</v>
      </c>
    </row>
    <row r="342" ht="22.5" customHeight="1">
      <c r="A342" s="26">
        <v>46224.0</v>
      </c>
      <c r="B342" s="27" t="s">
        <v>430</v>
      </c>
      <c r="C342" s="32" t="str">
        <f t="array" ref="C342">_xlfn.XLOOKUP(B342, DB[samplingPoint], DB[samplingTag])</f>
        <v>SV137.01</v>
      </c>
      <c r="D342" s="33" t="s">
        <v>436</v>
      </c>
      <c r="E342" s="35" t="s">
        <v>234</v>
      </c>
      <c r="F342" s="38" t="b">
        <v>1</v>
      </c>
      <c r="G342" s="39" t="str">
        <f t="array" ref="G342">_xlfn.XLOOKUP($B342, DB[samplingPoint], DB[noLocation])</f>
        <v>WATER SYSTEM (B12)</v>
      </c>
      <c r="H342" s="33" t="s">
        <v>437</v>
      </c>
      <c r="I342" s="40" t="str">
        <f t="array" ref="I342">_xlfn.XLOOKUP($B342, DB[samplingPoint], DB[location])</f>
        <v>Return loop (B12)</v>
      </c>
      <c r="J342" s="39" t="str">
        <f t="array" ref="J342">_xlfn.XLOOKUP($B342, DB[samplingPoint], DB[waterType])</f>
        <v>PW</v>
      </c>
      <c r="K342" s="43">
        <f t="shared" si="24"/>
        <v>46224</v>
      </c>
      <c r="L342" s="26">
        <v>46227.0</v>
      </c>
      <c r="M342" s="32">
        <v>0.0</v>
      </c>
      <c r="N342" s="32">
        <v>0.0</v>
      </c>
      <c r="O342" s="32">
        <f t="shared" si="20"/>
        <v>0</v>
      </c>
      <c r="P342" s="49"/>
      <c r="Q342" s="49"/>
      <c r="R342" s="32">
        <f t="array" ref="R342">_xlfn.XLOOKUP($B342, DB[samplingPoint], DB[Criteria])</f>
        <v>100</v>
      </c>
      <c r="S342" s="50" t="str">
        <f t="shared" si="3"/>
        <v>PASSED</v>
      </c>
      <c r="T342" s="38" t="b">
        <v>0</v>
      </c>
      <c r="U342" s="39"/>
      <c r="V342" s="32" t="s">
        <v>304</v>
      </c>
    </row>
    <row r="343" ht="22.5" customHeight="1">
      <c r="A343" s="26">
        <v>46224.0</v>
      </c>
      <c r="B343" s="27" t="s">
        <v>443</v>
      </c>
      <c r="C343" s="32" t="str">
        <f t="array" ref="C343">_xlfn.XLOOKUP(B343, DB[samplingPoint], DB[samplingTag])</f>
        <v>SV136.09</v>
      </c>
      <c r="D343" s="33" t="s">
        <v>436</v>
      </c>
      <c r="E343" s="35" t="s">
        <v>234</v>
      </c>
      <c r="F343" s="38" t="b">
        <v>1</v>
      </c>
      <c r="G343" s="39" t="str">
        <f t="array" ref="G343">_xlfn.XLOOKUP($B343, DB[samplingPoint], DB[noLocation])</f>
        <v>12-2-039</v>
      </c>
      <c r="H343" s="33" t="s">
        <v>437</v>
      </c>
      <c r="I343" s="40" t="str">
        <f t="array" ref="I343">_xlfn.XLOOKUP($B343, DB[samplingPoint], DB[location])</f>
        <v>MFG 1</v>
      </c>
      <c r="J343" s="39" t="str">
        <f t="array" ref="J343">_xlfn.XLOOKUP($B343, DB[samplingPoint], DB[waterType])</f>
        <v>PW</v>
      </c>
      <c r="K343" s="43">
        <f t="shared" si="24"/>
        <v>46224</v>
      </c>
      <c r="L343" s="26">
        <v>46227.0</v>
      </c>
      <c r="M343" s="32">
        <v>0.0</v>
      </c>
      <c r="N343" s="32">
        <v>0.0</v>
      </c>
      <c r="O343" s="32">
        <f t="shared" si="20"/>
        <v>0</v>
      </c>
      <c r="P343" s="49"/>
      <c r="Q343" s="49"/>
      <c r="R343" s="32">
        <f t="array" ref="R343">_xlfn.XLOOKUP($B343, DB[samplingPoint], DB[Criteria])</f>
        <v>100</v>
      </c>
      <c r="S343" s="50" t="str">
        <f t="shared" si="3"/>
        <v>PASSED</v>
      </c>
      <c r="T343" s="38" t="b">
        <v>0</v>
      </c>
      <c r="U343" s="39"/>
      <c r="V343" s="32" t="s">
        <v>304</v>
      </c>
    </row>
    <row r="344" ht="22.5" customHeight="1">
      <c r="A344" s="26">
        <v>46224.0</v>
      </c>
      <c r="B344" s="58" t="s">
        <v>445</v>
      </c>
      <c r="C344" s="32" t="str">
        <f t="array" ref="C344">_xlfn.XLOOKUP(B344, DB[samplingPoint], DB[samplingTag])</f>
        <v>SV136.10</v>
      </c>
      <c r="D344" s="33" t="s">
        <v>436</v>
      </c>
      <c r="E344" s="35" t="s">
        <v>234</v>
      </c>
      <c r="F344" s="38" t="b">
        <v>1</v>
      </c>
      <c r="G344" s="39" t="str">
        <f t="array" ref="G344">_xlfn.XLOOKUP($B344, DB[samplingPoint], DB[noLocation])</f>
        <v>12-2-041</v>
      </c>
      <c r="H344" s="33" t="s">
        <v>437</v>
      </c>
      <c r="I344" s="40" t="str">
        <f t="array" ref="I344">_xlfn.XLOOKUP($B344, DB[samplingPoint], DB[location])</f>
        <v>MFG 2</v>
      </c>
      <c r="J344" s="39" t="str">
        <f t="array" ref="J344">_xlfn.XLOOKUP($B344, DB[samplingPoint], DB[waterType])</f>
        <v>PW</v>
      </c>
      <c r="K344" s="43">
        <f t="shared" si="24"/>
        <v>46224</v>
      </c>
      <c r="L344" s="26">
        <v>46227.0</v>
      </c>
      <c r="M344" s="32">
        <v>0.0</v>
      </c>
      <c r="N344" s="32">
        <v>0.0</v>
      </c>
      <c r="O344" s="32">
        <f t="shared" si="20"/>
        <v>0</v>
      </c>
      <c r="P344" s="49"/>
      <c r="Q344" s="49"/>
      <c r="R344" s="32">
        <f t="array" ref="R344">_xlfn.XLOOKUP($B344, DB[samplingPoint], DB[Criteria])</f>
        <v>100</v>
      </c>
      <c r="S344" s="50" t="str">
        <f t="shared" si="3"/>
        <v>PASSED</v>
      </c>
      <c r="T344" s="38" t="b">
        <v>0</v>
      </c>
      <c r="U344" s="39"/>
      <c r="V344" s="32" t="s">
        <v>304</v>
      </c>
    </row>
    <row r="345" ht="22.5" customHeight="1">
      <c r="A345" s="26">
        <v>46224.0</v>
      </c>
      <c r="B345" s="27" t="s">
        <v>449</v>
      </c>
      <c r="C345" s="32" t="str">
        <f t="array" ref="C345">_xlfn.XLOOKUP(B345, DB[samplingPoint], DB[samplingTag])</f>
        <v>SV136.11</v>
      </c>
      <c r="D345" s="33" t="s">
        <v>436</v>
      </c>
      <c r="E345" s="35" t="s">
        <v>234</v>
      </c>
      <c r="F345" s="38" t="b">
        <v>1</v>
      </c>
      <c r="G345" s="39" t="str">
        <f t="array" ref="G345">_xlfn.XLOOKUP($B345, DB[samplingPoint], DB[noLocation])</f>
        <v>12-2-043</v>
      </c>
      <c r="H345" s="33" t="s">
        <v>437</v>
      </c>
      <c r="I345" s="40" t="str">
        <f t="array" ref="I345">_xlfn.XLOOKUP($B345, DB[samplingPoint], DB[location])</f>
        <v>MFG 3</v>
      </c>
      <c r="J345" s="39" t="str">
        <f t="array" ref="J345">_xlfn.XLOOKUP($B345, DB[samplingPoint], DB[waterType])</f>
        <v>PW</v>
      </c>
      <c r="K345" s="43">
        <f t="shared" si="24"/>
        <v>46224</v>
      </c>
      <c r="L345" s="26">
        <v>46227.0</v>
      </c>
      <c r="M345" s="32">
        <v>0.0</v>
      </c>
      <c r="N345" s="32">
        <v>0.0</v>
      </c>
      <c r="O345" s="32">
        <f t="shared" si="20"/>
        <v>0</v>
      </c>
      <c r="P345" s="49"/>
      <c r="Q345" s="49"/>
      <c r="R345" s="32">
        <f t="array" ref="R345">_xlfn.XLOOKUP($B345, DB[samplingPoint], DB[Criteria])</f>
        <v>100</v>
      </c>
      <c r="S345" s="50" t="str">
        <f t="shared" si="3"/>
        <v>PASSED</v>
      </c>
      <c r="T345" s="38" t="b">
        <v>0</v>
      </c>
      <c r="U345" s="39"/>
      <c r="V345" s="32" t="s">
        <v>304</v>
      </c>
    </row>
    <row r="346" ht="22.5" customHeight="1">
      <c r="A346" s="26">
        <v>46224.0</v>
      </c>
      <c r="B346" s="48" t="s">
        <v>455</v>
      </c>
      <c r="C346" s="32" t="str">
        <f t="array" ref="C346">_xlfn.XLOOKUP(B346, DB[samplingPoint], DB[samplingTag])</f>
        <v>SV136.08</v>
      </c>
      <c r="D346" s="33" t="s">
        <v>436</v>
      </c>
      <c r="E346" s="35" t="s">
        <v>234</v>
      </c>
      <c r="F346" s="38" t="b">
        <v>1</v>
      </c>
      <c r="G346" s="39" t="str">
        <f t="array" ref="G346">_xlfn.XLOOKUP($B346, DB[samplingPoint], DB[noLocation])</f>
        <v>12-2-043</v>
      </c>
      <c r="H346" s="33" t="s">
        <v>437</v>
      </c>
      <c r="I346" s="40" t="str">
        <f t="array" ref="I346">_xlfn.XLOOKUP($B346, DB[samplingPoint], DB[location])</f>
        <v>MFG 3</v>
      </c>
      <c r="J346" s="39" t="str">
        <f t="array" ref="J346">_xlfn.XLOOKUP($B346, DB[samplingPoint], DB[waterType])</f>
        <v>PW</v>
      </c>
      <c r="K346" s="43">
        <f t="shared" si="24"/>
        <v>46224</v>
      </c>
      <c r="L346" s="26">
        <v>46227.0</v>
      </c>
      <c r="M346" s="32">
        <v>0.0</v>
      </c>
      <c r="N346" s="32">
        <v>0.0</v>
      </c>
      <c r="O346" s="32">
        <f t="shared" si="20"/>
        <v>0</v>
      </c>
      <c r="P346" s="49"/>
      <c r="Q346" s="49"/>
      <c r="R346" s="32">
        <f t="array" ref="R346">_xlfn.XLOOKUP($B346, DB[samplingPoint], DB[Criteria])</f>
        <v>100</v>
      </c>
      <c r="S346" s="50" t="str">
        <f t="shared" si="3"/>
        <v>PASSED</v>
      </c>
      <c r="T346" s="38" t="b">
        <v>0</v>
      </c>
      <c r="U346" s="39"/>
      <c r="V346" s="32" t="s">
        <v>304</v>
      </c>
    </row>
    <row r="347" ht="22.5" customHeight="1">
      <c r="A347" s="26">
        <v>46224.0</v>
      </c>
      <c r="B347" s="48" t="s">
        <v>458</v>
      </c>
      <c r="C347" s="32" t="str">
        <f t="array" ref="C347">_xlfn.XLOOKUP(B347, DB[samplingPoint], DB[samplingTag])</f>
        <v>SV136.14</v>
      </c>
      <c r="D347" s="33" t="s">
        <v>436</v>
      </c>
      <c r="E347" s="35" t="s">
        <v>234</v>
      </c>
      <c r="F347" s="38" t="b">
        <v>1</v>
      </c>
      <c r="G347" s="39" t="str">
        <f t="array" ref="G347">_xlfn.XLOOKUP($B347, DB[samplingPoint], DB[noLocation])</f>
        <v>12-2-045</v>
      </c>
      <c r="H347" s="33" t="s">
        <v>437</v>
      </c>
      <c r="I347" s="40" t="str">
        <f t="array" ref="I347">_xlfn.XLOOKUP($B347, DB[samplingPoint], DB[location])</f>
        <v>MFG 4</v>
      </c>
      <c r="J347" s="39" t="str">
        <f t="array" ref="J347">_xlfn.XLOOKUP($B347, DB[samplingPoint], DB[waterType])</f>
        <v>PW</v>
      </c>
      <c r="K347" s="43">
        <f t="shared" si="24"/>
        <v>46224</v>
      </c>
      <c r="L347" s="26">
        <v>46227.0</v>
      </c>
      <c r="M347" s="32">
        <v>0.0</v>
      </c>
      <c r="N347" s="32">
        <v>0.0</v>
      </c>
      <c r="O347" s="32">
        <f t="shared" si="20"/>
        <v>0</v>
      </c>
      <c r="P347" s="49"/>
      <c r="Q347" s="49"/>
      <c r="R347" s="32">
        <f t="array" ref="R347">_xlfn.XLOOKUP($B347, DB[samplingPoint], DB[Criteria])</f>
        <v>100</v>
      </c>
      <c r="S347" s="50" t="str">
        <f t="shared" si="3"/>
        <v>PASSED</v>
      </c>
      <c r="T347" s="38" t="b">
        <v>0</v>
      </c>
      <c r="U347" s="39"/>
      <c r="V347" s="32" t="s">
        <v>304</v>
      </c>
    </row>
    <row r="348" ht="22.5" customHeight="1">
      <c r="A348" s="26">
        <v>46224.0</v>
      </c>
      <c r="B348" s="48" t="s">
        <v>460</v>
      </c>
      <c r="C348" s="32" t="str">
        <f t="array" ref="C348">_xlfn.XLOOKUP(B348, DB[samplingPoint], DB[samplingTag])</f>
        <v>SV136.02</v>
      </c>
      <c r="D348" s="33" t="s">
        <v>436</v>
      </c>
      <c r="E348" s="35" t="s">
        <v>234</v>
      </c>
      <c r="F348" s="38" t="b">
        <v>1</v>
      </c>
      <c r="G348" s="39" t="str">
        <f t="array" ref="G348">_xlfn.XLOOKUP($B348, DB[samplingPoint], DB[noLocation])</f>
        <v>12-2-024</v>
      </c>
      <c r="H348" s="33" t="s">
        <v>437</v>
      </c>
      <c r="I348" s="40" t="str">
        <f t="array" ref="I348">_xlfn.XLOOKUP($B348, DB[samplingPoint], DB[location])</f>
        <v>LIQUORICE EXTRACT</v>
      </c>
      <c r="J348" s="39" t="str">
        <f t="array" ref="J348">_xlfn.XLOOKUP($B348, DB[samplingPoint], DB[waterType])</f>
        <v>PW</v>
      </c>
      <c r="K348" s="43">
        <f t="shared" si="24"/>
        <v>46224</v>
      </c>
      <c r="L348" s="26">
        <v>46227.0</v>
      </c>
      <c r="M348" s="32">
        <v>0.0</v>
      </c>
      <c r="N348" s="32">
        <v>0.0</v>
      </c>
      <c r="O348" s="32">
        <f t="shared" si="20"/>
        <v>0</v>
      </c>
      <c r="P348" s="49"/>
      <c r="Q348" s="49"/>
      <c r="R348" s="32">
        <f t="array" ref="R348">_xlfn.XLOOKUP($B348, DB[samplingPoint], DB[Criteria])</f>
        <v>100</v>
      </c>
      <c r="S348" s="50" t="str">
        <f t="shared" si="3"/>
        <v>PASSED</v>
      </c>
      <c r="T348" s="38" t="b">
        <v>0</v>
      </c>
      <c r="U348" s="39"/>
      <c r="V348" s="32" t="s">
        <v>304</v>
      </c>
    </row>
    <row r="349" ht="22.5" customHeight="1">
      <c r="A349" s="26">
        <v>46224.0</v>
      </c>
      <c r="B349" s="48" t="s">
        <v>463</v>
      </c>
      <c r="C349" s="32" t="str">
        <f t="array" ref="C349">_xlfn.XLOOKUP(B349, DB[samplingPoint], DB[samplingTag])</f>
        <v>DV136.08</v>
      </c>
      <c r="D349" s="33" t="s">
        <v>436</v>
      </c>
      <c r="E349" s="35" t="s">
        <v>234</v>
      </c>
      <c r="F349" s="38" t="b">
        <v>1</v>
      </c>
      <c r="G349" s="39" t="str">
        <f t="array" ref="G349">_xlfn.XLOOKUP($B349, DB[samplingPoint], DB[noLocation])</f>
        <v>12-3-042</v>
      </c>
      <c r="H349" s="33" t="s">
        <v>437</v>
      </c>
      <c r="I349" s="40" t="str">
        <f t="array" ref="I349">_xlfn.XLOOKUP($B349, DB[samplingPoint], DB[location])</f>
        <v>SAMPLE PREPARATION</v>
      </c>
      <c r="J349" s="39" t="str">
        <f t="array" ref="J349">_xlfn.XLOOKUP($B349, DB[samplingPoint], DB[waterType])</f>
        <v>PW</v>
      </c>
      <c r="K349" s="43">
        <f t="shared" si="24"/>
        <v>46224</v>
      </c>
      <c r="L349" s="26">
        <v>46227.0</v>
      </c>
      <c r="M349" s="32">
        <v>414.0</v>
      </c>
      <c r="N349" s="32">
        <v>511.0</v>
      </c>
      <c r="O349" s="32">
        <f t="shared" si="20"/>
        <v>463</v>
      </c>
      <c r="P349" s="49" t="s">
        <v>1001</v>
      </c>
      <c r="Q349" s="49"/>
      <c r="R349" s="32">
        <f t="array" ref="R349">_xlfn.XLOOKUP($B349, DB[samplingPoint], DB[Criteria])</f>
        <v>100</v>
      </c>
      <c r="S349" s="50" t="str">
        <f t="shared" si="3"/>
        <v>NOT-PASSED</v>
      </c>
      <c r="T349" s="38" t="b">
        <v>0</v>
      </c>
      <c r="U349" s="39"/>
      <c r="V349" s="32" t="s">
        <v>304</v>
      </c>
    </row>
    <row r="350" ht="22.5" customHeight="1">
      <c r="A350" s="26">
        <v>46224.0</v>
      </c>
      <c r="B350" s="48" t="s">
        <v>465</v>
      </c>
      <c r="C350" s="32" t="str">
        <f t="array" ref="C350">_xlfn.XLOOKUP(B350, DB[samplingPoint], DB[samplingTag])</f>
        <v>DV136.09</v>
      </c>
      <c r="D350" s="33" t="s">
        <v>436</v>
      </c>
      <c r="E350" s="35" t="s">
        <v>234</v>
      </c>
      <c r="F350" s="38" t="b">
        <v>1</v>
      </c>
      <c r="G350" s="39" t="str">
        <f t="array" ref="G350">_xlfn.XLOOKUP($B350, DB[samplingPoint], DB[noLocation])</f>
        <v>12-3-042</v>
      </c>
      <c r="H350" s="33" t="s">
        <v>437</v>
      </c>
      <c r="I350" s="40" t="str">
        <f t="array" ref="I350">_xlfn.XLOOKUP($B350, DB[samplingPoint], DB[location])</f>
        <v>SAMPLE PREPARATION</v>
      </c>
      <c r="J350" s="39" t="str">
        <f t="array" ref="J350">_xlfn.XLOOKUP($B350, DB[samplingPoint], DB[waterType])</f>
        <v>PW</v>
      </c>
      <c r="K350" s="43">
        <f t="shared" si="24"/>
        <v>46224</v>
      </c>
      <c r="L350" s="26">
        <v>46227.0</v>
      </c>
      <c r="M350" s="32">
        <v>0.0</v>
      </c>
      <c r="N350" s="32">
        <v>0.0</v>
      </c>
      <c r="O350" s="32">
        <f t="shared" si="20"/>
        <v>0</v>
      </c>
      <c r="P350" s="49"/>
      <c r="Q350" s="49"/>
      <c r="R350" s="32">
        <f t="array" ref="R350">_xlfn.XLOOKUP($B350, DB[samplingPoint], DB[Criteria])</f>
        <v>100</v>
      </c>
      <c r="S350" s="50" t="str">
        <f t="shared" si="3"/>
        <v>PASSED</v>
      </c>
      <c r="T350" s="38" t="b">
        <v>0</v>
      </c>
      <c r="U350" s="39"/>
      <c r="V350" s="32" t="s">
        <v>304</v>
      </c>
    </row>
    <row r="351" ht="22.5" customHeight="1">
      <c r="A351" s="26">
        <v>46224.0</v>
      </c>
      <c r="B351" s="90" t="s">
        <v>467</v>
      </c>
      <c r="C351" s="32" t="str">
        <f t="array" ref="C351">_xlfn.XLOOKUP(B351, DB[samplingPoint], DB[samplingTag])</f>
        <v>SV123.01</v>
      </c>
      <c r="D351" s="33" t="s">
        <v>436</v>
      </c>
      <c r="E351" s="35" t="s">
        <v>236</v>
      </c>
      <c r="F351" s="38" t="b">
        <v>1</v>
      </c>
      <c r="G351" s="39" t="str">
        <f t="array" ref="G351">_xlfn.XLOOKUP($B351, DB[samplingPoint], DB[noLocation])</f>
        <v>WATER SYSTEM (B16)</v>
      </c>
      <c r="H351" s="33" t="s">
        <v>327</v>
      </c>
      <c r="I351" s="40" t="str">
        <f t="array" ref="I351">_xlfn.XLOOKUP($B351, DB[samplingPoint], DB[location])</f>
        <v>After Storage tank (B16)</v>
      </c>
      <c r="J351" s="39" t="str">
        <f t="array" ref="J351">_xlfn.XLOOKUP($B351, DB[samplingPoint], DB[waterType])</f>
        <v>PW</v>
      </c>
      <c r="K351" s="43">
        <f t="shared" si="24"/>
        <v>46224</v>
      </c>
      <c r="L351" s="26">
        <v>46227.0</v>
      </c>
      <c r="M351" s="32">
        <v>0.0</v>
      </c>
      <c r="N351" s="32">
        <v>0.0</v>
      </c>
      <c r="O351" s="32">
        <f t="shared" si="20"/>
        <v>0</v>
      </c>
      <c r="P351" s="49"/>
      <c r="Q351" s="49"/>
      <c r="R351" s="32">
        <f t="array" ref="R351">_xlfn.XLOOKUP($B351, DB[samplingPoint], DB[Criteria])</f>
        <v>100</v>
      </c>
      <c r="S351" s="50" t="str">
        <f t="shared" si="3"/>
        <v>PASSED</v>
      </c>
      <c r="T351" s="38" t="b">
        <v>0</v>
      </c>
      <c r="U351" s="39"/>
      <c r="V351" s="32" t="s">
        <v>304</v>
      </c>
    </row>
    <row r="352" ht="22.5" customHeight="1">
      <c r="A352" s="26">
        <v>46224.0</v>
      </c>
      <c r="B352" s="58" t="s">
        <v>469</v>
      </c>
      <c r="C352" s="32" t="str">
        <f t="array" ref="C352">_xlfn.XLOOKUP(B352, DB[samplingPoint], DB[samplingTag])</f>
        <v>SV125.02</v>
      </c>
      <c r="D352" s="33" t="s">
        <v>436</v>
      </c>
      <c r="E352" s="35" t="s">
        <v>236</v>
      </c>
      <c r="F352" s="38" t="b">
        <v>1</v>
      </c>
      <c r="G352" s="39" t="str">
        <f t="array" ref="G352">_xlfn.XLOOKUP($B352, DB[samplingPoint], DB[noLocation])</f>
        <v>WATER SYSTEM (B16)</v>
      </c>
      <c r="H352" s="33" t="s">
        <v>327</v>
      </c>
      <c r="I352" s="40" t="str">
        <f t="array" ref="I352">_xlfn.XLOOKUP($B352, DB[samplingPoint], DB[location])</f>
        <v>After UV (B16)</v>
      </c>
      <c r="J352" s="39" t="str">
        <f t="array" ref="J352">_xlfn.XLOOKUP($B352, DB[samplingPoint], DB[waterType])</f>
        <v>PW</v>
      </c>
      <c r="K352" s="43">
        <f t="shared" si="24"/>
        <v>46224</v>
      </c>
      <c r="L352" s="26">
        <v>46227.0</v>
      </c>
      <c r="M352" s="32">
        <v>0.0</v>
      </c>
      <c r="N352" s="32">
        <v>0.0</v>
      </c>
      <c r="O352" s="32">
        <f t="shared" si="20"/>
        <v>0</v>
      </c>
      <c r="P352" s="49"/>
      <c r="Q352" s="49"/>
      <c r="R352" s="32">
        <f t="array" ref="R352">_xlfn.XLOOKUP($B352, DB[samplingPoint], DB[Criteria])</f>
        <v>100</v>
      </c>
      <c r="S352" s="50" t="str">
        <f t="shared" si="3"/>
        <v>PASSED</v>
      </c>
      <c r="T352" s="38" t="b">
        <v>0</v>
      </c>
      <c r="U352" s="39"/>
      <c r="V352" s="32" t="s">
        <v>304</v>
      </c>
    </row>
    <row r="353" ht="22.5" customHeight="1">
      <c r="A353" s="26">
        <v>46224.0</v>
      </c>
      <c r="B353" s="58" t="s">
        <v>464</v>
      </c>
      <c r="C353" s="32" t="str">
        <f t="array" ref="C353">_xlfn.XLOOKUP(B353, DB[samplingPoint], DB[samplingTag])</f>
        <v>SV127.01</v>
      </c>
      <c r="D353" s="33" t="s">
        <v>436</v>
      </c>
      <c r="E353" s="35" t="s">
        <v>236</v>
      </c>
      <c r="F353" s="38" t="b">
        <v>1</v>
      </c>
      <c r="G353" s="39" t="str">
        <f t="array" ref="G353">_xlfn.XLOOKUP($B353, DB[samplingPoint], DB[noLocation])</f>
        <v>WATER SYSTEM (B16)</v>
      </c>
      <c r="H353" s="33" t="s">
        <v>327</v>
      </c>
      <c r="I353" s="40" t="str">
        <f t="array" ref="I353">_xlfn.XLOOKUP($B353, DB[samplingPoint], DB[location])</f>
        <v>Return loop (B16)</v>
      </c>
      <c r="J353" s="39" t="str">
        <f t="array" ref="J353">_xlfn.XLOOKUP($B353, DB[samplingPoint], DB[waterType])</f>
        <v>PW</v>
      </c>
      <c r="K353" s="43">
        <f t="shared" si="24"/>
        <v>46224</v>
      </c>
      <c r="L353" s="26">
        <v>46227.0</v>
      </c>
      <c r="M353" s="32">
        <v>0.0</v>
      </c>
      <c r="N353" s="32">
        <v>0.0</v>
      </c>
      <c r="O353" s="32">
        <f t="shared" si="20"/>
        <v>0</v>
      </c>
      <c r="P353" s="49"/>
      <c r="Q353" s="49"/>
      <c r="R353" s="32">
        <f t="array" ref="R353">_xlfn.XLOOKUP($B353, DB[samplingPoint], DB[Criteria])</f>
        <v>100</v>
      </c>
      <c r="S353" s="50" t="str">
        <f t="shared" si="3"/>
        <v>PASSED</v>
      </c>
      <c r="T353" s="38" t="b">
        <v>0</v>
      </c>
      <c r="U353" s="39"/>
      <c r="V353" s="32" t="s">
        <v>304</v>
      </c>
    </row>
    <row r="354" ht="22.5" customHeight="1">
      <c r="A354" s="26">
        <v>46224.0</v>
      </c>
      <c r="B354" s="88" t="s">
        <v>474</v>
      </c>
      <c r="C354" s="32" t="str">
        <f t="array" ref="C354">_xlfn.XLOOKUP(B354, DB[samplingPoint], DB[samplingTag])</f>
        <v>DV126.11</v>
      </c>
      <c r="D354" s="33" t="s">
        <v>436</v>
      </c>
      <c r="E354" s="35" t="s">
        <v>236</v>
      </c>
      <c r="F354" s="38" t="b">
        <v>1</v>
      </c>
      <c r="G354" s="39" t="str">
        <f t="array" ref="G354">_xlfn.XLOOKUP($B354, DB[samplingPoint], DB[noLocation])</f>
        <v>16-3-073</v>
      </c>
      <c r="H354" s="33" t="s">
        <v>327</v>
      </c>
      <c r="I354" s="40" t="str">
        <f t="array" ref="I354">_xlfn.XLOOKUP($B354, DB[samplingPoint], DB[location])</f>
        <v>MFG 4 (5000L)</v>
      </c>
      <c r="J354" s="39" t="str">
        <f t="array" ref="J354">_xlfn.XLOOKUP($B354, DB[samplingPoint], DB[waterType])</f>
        <v>PW</v>
      </c>
      <c r="K354" s="43">
        <f t="shared" si="24"/>
        <v>46224</v>
      </c>
      <c r="L354" s="26">
        <v>46227.0</v>
      </c>
      <c r="M354" s="32">
        <v>0.0</v>
      </c>
      <c r="N354" s="32">
        <v>0.0</v>
      </c>
      <c r="O354" s="32">
        <f t="shared" si="20"/>
        <v>0</v>
      </c>
      <c r="P354" s="49"/>
      <c r="Q354" s="49"/>
      <c r="R354" s="32">
        <f t="array" ref="R354">_xlfn.XLOOKUP($B354, DB[samplingPoint], DB[Criteria])</f>
        <v>100</v>
      </c>
      <c r="S354" s="50" t="str">
        <f t="shared" si="3"/>
        <v>PASSED</v>
      </c>
      <c r="T354" s="38" t="b">
        <v>0</v>
      </c>
      <c r="U354" s="39"/>
      <c r="V354" s="32" t="s">
        <v>304</v>
      </c>
    </row>
    <row r="355" ht="22.5" customHeight="1">
      <c r="A355" s="26">
        <v>46224.0</v>
      </c>
      <c r="B355" s="88" t="s">
        <v>481</v>
      </c>
      <c r="C355" s="32" t="str">
        <f t="array" ref="C355">_xlfn.XLOOKUP(B355, DB[samplingPoint], DB[samplingTag])</f>
        <v>SV126.15</v>
      </c>
      <c r="D355" s="33" t="s">
        <v>436</v>
      </c>
      <c r="E355" s="35" t="s">
        <v>236</v>
      </c>
      <c r="F355" s="38" t="b">
        <v>1</v>
      </c>
      <c r="G355" s="39" t="str">
        <f t="array" ref="G355">_xlfn.XLOOKUP($B355, DB[samplingPoint], DB[noLocation])</f>
        <v>16-3-075</v>
      </c>
      <c r="H355" s="33" t="s">
        <v>327</v>
      </c>
      <c r="I355" s="40" t="str">
        <f t="array" ref="I355">_xlfn.XLOOKUP($B355, DB[samplingPoint], DB[location])</f>
        <v>MFG 5 PROCESS (2000L)</v>
      </c>
      <c r="J355" s="39" t="str">
        <f t="array" ref="J355">_xlfn.XLOOKUP($B355, DB[samplingPoint], DB[waterType])</f>
        <v>PW</v>
      </c>
      <c r="K355" s="43">
        <f t="shared" si="24"/>
        <v>46224</v>
      </c>
      <c r="L355" s="26">
        <v>46227.0</v>
      </c>
      <c r="M355" s="32">
        <v>0.0</v>
      </c>
      <c r="N355" s="32">
        <v>0.0</v>
      </c>
      <c r="O355" s="32">
        <f t="shared" si="20"/>
        <v>0</v>
      </c>
      <c r="P355" s="49"/>
      <c r="Q355" s="49"/>
      <c r="R355" s="32">
        <f t="array" ref="R355">_xlfn.XLOOKUP($B355, DB[samplingPoint], DB[Criteria])</f>
        <v>100</v>
      </c>
      <c r="S355" s="50" t="str">
        <f t="shared" si="3"/>
        <v>PASSED</v>
      </c>
      <c r="T355" s="38" t="b">
        <v>0</v>
      </c>
      <c r="U355" s="39"/>
      <c r="V355" s="32" t="s">
        <v>304</v>
      </c>
    </row>
    <row r="356" ht="22.5" customHeight="1">
      <c r="A356" s="26">
        <v>46224.0</v>
      </c>
      <c r="B356" s="95" t="s">
        <v>483</v>
      </c>
      <c r="C356" s="78" t="str">
        <f t="array" ref="C356">_xlfn.XLOOKUP(B356, DB[samplingPoint], DB[samplingTag])</f>
        <v>DV126.05</v>
      </c>
      <c r="D356" s="33" t="s">
        <v>436</v>
      </c>
      <c r="E356" s="35" t="s">
        <v>236</v>
      </c>
      <c r="F356" s="38" t="b">
        <v>1</v>
      </c>
      <c r="G356" s="39" t="str">
        <f t="array" ref="G356">_xlfn.XLOOKUP($B356, DB[samplingPoint], DB[noLocation])</f>
        <v>16-3-054</v>
      </c>
      <c r="H356" s="33" t="s">
        <v>327</v>
      </c>
      <c r="I356" s="40" t="str">
        <f t="array" ref="I356">_xlfn.XLOOKUP($B356, DB[samplingPoint], DB[location])</f>
        <v>WASHING</v>
      </c>
      <c r="J356" s="39" t="str">
        <f t="array" ref="J356">_xlfn.XLOOKUP($B356, DB[samplingPoint], DB[waterType])</f>
        <v>PW</v>
      </c>
      <c r="K356" s="43">
        <f t="shared" si="24"/>
        <v>46224</v>
      </c>
      <c r="L356" s="26">
        <v>46227.0</v>
      </c>
      <c r="M356" s="32">
        <v>0.0</v>
      </c>
      <c r="N356" s="32">
        <v>0.0</v>
      </c>
      <c r="O356" s="32">
        <f t="shared" si="20"/>
        <v>0</v>
      </c>
      <c r="P356" s="49"/>
      <c r="Q356" s="49"/>
      <c r="R356" s="32">
        <f t="array" ref="R356">_xlfn.XLOOKUP($B356, DB[samplingPoint], DB[Criteria])</f>
        <v>100</v>
      </c>
      <c r="S356" s="50" t="str">
        <f t="shared" si="3"/>
        <v>PASSED</v>
      </c>
      <c r="T356" s="38" t="b">
        <v>0</v>
      </c>
      <c r="U356" s="39"/>
      <c r="V356" s="32" t="s">
        <v>304</v>
      </c>
    </row>
    <row r="357" ht="22.5" customHeight="1">
      <c r="A357" s="26">
        <v>46224.0</v>
      </c>
      <c r="B357" s="63" t="s">
        <v>486</v>
      </c>
      <c r="C357" s="64" t="str">
        <f t="array" ref="C357">_xlfn.XLOOKUP(B357, DB[samplingPoint], DB[samplingTag])</f>
        <v>SV126.04</v>
      </c>
      <c r="D357" s="33" t="s">
        <v>436</v>
      </c>
      <c r="E357" s="35" t="s">
        <v>236</v>
      </c>
      <c r="F357" s="38" t="b">
        <v>1</v>
      </c>
      <c r="G357" s="39" t="str">
        <f t="array" ref="G357">_xlfn.XLOOKUP($B357, DB[samplingPoint], DB[noLocation])</f>
        <v>16-2-010</v>
      </c>
      <c r="H357" s="33" t="s">
        <v>327</v>
      </c>
      <c r="I357" s="40" t="str">
        <f t="array" ref="I357">_xlfn.XLOOKUP($B357, DB[samplingPoint], DB[location])</f>
        <v>WATER SYSTEM (PSG)</v>
      </c>
      <c r="J357" s="39" t="str">
        <f t="array" ref="J357">_xlfn.XLOOKUP($B357, DB[samplingPoint], DB[waterType])</f>
        <v>PW</v>
      </c>
      <c r="K357" s="43">
        <f t="shared" si="24"/>
        <v>46224</v>
      </c>
      <c r="L357" s="26">
        <v>46227.0</v>
      </c>
      <c r="M357" s="32">
        <v>0.0</v>
      </c>
      <c r="N357" s="32">
        <v>0.0</v>
      </c>
      <c r="O357" s="32">
        <f t="shared" si="20"/>
        <v>0</v>
      </c>
      <c r="P357" s="49"/>
      <c r="Q357" s="49"/>
      <c r="R357" s="32">
        <f t="array" ref="R357">_xlfn.XLOOKUP($B357, DB[samplingPoint], DB[Criteria])</f>
        <v>100</v>
      </c>
      <c r="S357" s="50" t="str">
        <f t="shared" si="3"/>
        <v>PASSED</v>
      </c>
      <c r="T357" s="38" t="b">
        <v>0</v>
      </c>
      <c r="U357" s="39"/>
      <c r="V357" s="32" t="s">
        <v>304</v>
      </c>
    </row>
    <row r="358" ht="22.5" customHeight="1">
      <c r="A358" s="26">
        <v>46225.0</v>
      </c>
      <c r="B358" s="27" t="s">
        <v>430</v>
      </c>
      <c r="C358" s="32" t="str">
        <f t="array" ref="C358">_xlfn.XLOOKUP(B358, DB[samplingPoint], DB[samplingTag])</f>
        <v>SV137.01</v>
      </c>
      <c r="D358" s="33" t="s">
        <v>158</v>
      </c>
      <c r="E358" s="35" t="s">
        <v>238</v>
      </c>
      <c r="F358" s="38" t="b">
        <v>1</v>
      </c>
      <c r="G358" s="39" t="str">
        <f t="array" ref="G358">_xlfn.XLOOKUP($B358, DB[samplingPoint], DB[noLocation])</f>
        <v>WATER SYSTEM (B12)</v>
      </c>
      <c r="H358" s="33" t="s">
        <v>437</v>
      </c>
      <c r="I358" s="40" t="str">
        <f t="array" ref="I358">_xlfn.XLOOKUP($B358, DB[samplingPoint], DB[location])</f>
        <v>Return loop (B12)</v>
      </c>
      <c r="J358" s="39" t="str">
        <f t="array" ref="J358">_xlfn.XLOOKUP($B358, DB[samplingPoint], DB[waterType])</f>
        <v>PW</v>
      </c>
      <c r="K358" s="43">
        <f t="shared" ref="K358:K359" si="25">$A358+1</f>
        <v>46226</v>
      </c>
      <c r="L358" s="26">
        <v>46230.0</v>
      </c>
      <c r="M358" s="32">
        <v>0.0</v>
      </c>
      <c r="N358" s="32">
        <v>0.0</v>
      </c>
      <c r="O358" s="32">
        <f t="shared" si="20"/>
        <v>0</v>
      </c>
      <c r="P358" s="49"/>
      <c r="Q358" s="49"/>
      <c r="R358" s="32">
        <f t="array" ref="R358">_xlfn.XLOOKUP($B358, DB[samplingPoint], DB[Criteria])</f>
        <v>100</v>
      </c>
      <c r="S358" s="50" t="str">
        <f t="shared" si="3"/>
        <v>PASSED</v>
      </c>
      <c r="T358" s="38" t="b">
        <v>0</v>
      </c>
      <c r="U358" s="39"/>
      <c r="V358" s="32" t="s">
        <v>304</v>
      </c>
    </row>
    <row r="359" ht="22.5" customHeight="1">
      <c r="A359" s="26">
        <v>46225.0</v>
      </c>
      <c r="B359" s="58" t="s">
        <v>453</v>
      </c>
      <c r="C359" s="32" t="str">
        <f t="array" ref="C359">_xlfn.XLOOKUP(B359, DB[samplingPoint], DB[samplingTag])</f>
        <v>SV136.13</v>
      </c>
      <c r="D359" s="33" t="s">
        <v>158</v>
      </c>
      <c r="E359" s="35" t="s">
        <v>238</v>
      </c>
      <c r="F359" s="38" t="b">
        <v>1</v>
      </c>
      <c r="G359" s="39" t="str">
        <f t="array" ref="G359">_xlfn.XLOOKUP($B359, DB[samplingPoint], DB[noLocation])</f>
        <v>12-2-043</v>
      </c>
      <c r="H359" s="33" t="s">
        <v>437</v>
      </c>
      <c r="I359" s="40" t="str">
        <f t="array" ref="I359">_xlfn.XLOOKUP($B359, DB[samplingPoint], DB[location])</f>
        <v>MFG 3</v>
      </c>
      <c r="J359" s="39" t="str">
        <f t="array" ref="J359">_xlfn.XLOOKUP($B359, DB[samplingPoint], DB[waterType])</f>
        <v>PW</v>
      </c>
      <c r="K359" s="43">
        <f t="shared" si="25"/>
        <v>46226</v>
      </c>
      <c r="L359" s="26">
        <v>46230.0</v>
      </c>
      <c r="M359" s="32">
        <v>0.0</v>
      </c>
      <c r="N359" s="32">
        <v>0.0</v>
      </c>
      <c r="O359" s="32">
        <f t="shared" si="20"/>
        <v>0</v>
      </c>
      <c r="P359" s="49"/>
      <c r="Q359" s="49"/>
      <c r="R359" s="32">
        <f t="array" ref="R359">_xlfn.XLOOKUP($B359, DB[samplingPoint], DB[Criteria])</f>
        <v>100</v>
      </c>
      <c r="S359" s="50" t="str">
        <f t="shared" si="3"/>
        <v>PASSED</v>
      </c>
      <c r="T359" s="38" t="b">
        <v>0</v>
      </c>
      <c r="U359" s="39"/>
      <c r="V359" s="32" t="s">
        <v>304</v>
      </c>
    </row>
    <row r="360" ht="22.5" customHeight="1">
      <c r="A360" s="26">
        <v>46226.0</v>
      </c>
      <c r="B360" s="27" t="s">
        <v>430</v>
      </c>
      <c r="C360" s="32" t="str">
        <f t="array" ref="C360">_xlfn.XLOOKUP(B360, DB[samplingPoint], DB[samplingTag])</f>
        <v>SV137.01</v>
      </c>
      <c r="D360" s="33" t="s">
        <v>158</v>
      </c>
      <c r="E360" s="35" t="s">
        <v>244</v>
      </c>
      <c r="F360" s="38" t="b">
        <v>1</v>
      </c>
      <c r="G360" s="39" t="str">
        <f t="array" ref="G360">_xlfn.XLOOKUP($B360, DB[samplingPoint], DB[noLocation])</f>
        <v>WATER SYSTEM (B12)</v>
      </c>
      <c r="H360" s="33" t="s">
        <v>437</v>
      </c>
      <c r="I360" s="40" t="str">
        <f t="array" ref="I360">_xlfn.XLOOKUP($B360, DB[samplingPoint], DB[location])</f>
        <v>Return loop (B12)</v>
      </c>
      <c r="J360" s="39" t="str">
        <f t="array" ref="J360">_xlfn.XLOOKUP($B360, DB[samplingPoint], DB[waterType])</f>
        <v>PW</v>
      </c>
      <c r="K360" s="43">
        <f t="shared" ref="K360:K393" si="26">$A360+0</f>
        <v>46226</v>
      </c>
      <c r="L360" s="26">
        <v>46230.0</v>
      </c>
      <c r="M360" s="32">
        <v>0.0</v>
      </c>
      <c r="N360" s="32">
        <v>0.0</v>
      </c>
      <c r="O360" s="32">
        <f t="shared" si="20"/>
        <v>0</v>
      </c>
      <c r="P360" s="49"/>
      <c r="Q360" s="49"/>
      <c r="R360" s="32">
        <f t="array" ref="R360">_xlfn.XLOOKUP($B360, DB[samplingPoint], DB[Criteria])</f>
        <v>100</v>
      </c>
      <c r="S360" s="50" t="str">
        <f t="shared" si="3"/>
        <v>PASSED</v>
      </c>
      <c r="T360" s="38" t="b">
        <v>0</v>
      </c>
      <c r="U360" s="39"/>
      <c r="V360" s="32" t="s">
        <v>304</v>
      </c>
    </row>
    <row r="361" ht="22.5" customHeight="1">
      <c r="A361" s="26">
        <v>46226.0</v>
      </c>
      <c r="B361" s="27" t="s">
        <v>551</v>
      </c>
      <c r="C361" s="32" t="str">
        <f t="array" ref="C361">_xlfn.XLOOKUP(B361, DB[samplingPoint], DB[samplingTag])</f>
        <v>SV136.16</v>
      </c>
      <c r="D361" s="33" t="s">
        <v>158</v>
      </c>
      <c r="E361" s="35" t="s">
        <v>244</v>
      </c>
      <c r="F361" s="38" t="b">
        <v>1</v>
      </c>
      <c r="G361" s="39" t="str">
        <f t="array" ref="G361">_xlfn.XLOOKUP($B361, DB[samplingPoint], DB[noLocation])</f>
        <v>12-2-057</v>
      </c>
      <c r="H361" s="33" t="s">
        <v>437</v>
      </c>
      <c r="I361" s="40" t="str">
        <f t="array" ref="I361">_xlfn.XLOOKUP($B361, DB[samplingPoint], DB[location])</f>
        <v>CIP 2</v>
      </c>
      <c r="J361" s="39" t="str">
        <f t="array" ref="J361">_xlfn.XLOOKUP($B361, DB[samplingPoint], DB[waterType])</f>
        <v>PW</v>
      </c>
      <c r="K361" s="43">
        <f t="shared" si="26"/>
        <v>46226</v>
      </c>
      <c r="L361" s="26">
        <v>46230.0</v>
      </c>
      <c r="M361" s="32">
        <v>0.0</v>
      </c>
      <c r="N361" s="32">
        <v>0.0</v>
      </c>
      <c r="O361" s="32">
        <f t="shared" si="20"/>
        <v>0</v>
      </c>
      <c r="P361" s="49"/>
      <c r="Q361" s="49"/>
      <c r="R361" s="32">
        <f t="array" ref="R361">_xlfn.XLOOKUP($B361, DB[samplingPoint], DB[Criteria])</f>
        <v>100</v>
      </c>
      <c r="S361" s="50" t="str">
        <f t="shared" si="3"/>
        <v>PASSED</v>
      </c>
      <c r="T361" s="38" t="b">
        <v>0</v>
      </c>
      <c r="U361" s="39"/>
      <c r="V361" s="32" t="s">
        <v>304</v>
      </c>
    </row>
    <row r="362" ht="22.5" customHeight="1">
      <c r="A362" s="26">
        <v>46226.0</v>
      </c>
      <c r="B362" s="27" t="s">
        <v>443</v>
      </c>
      <c r="C362" s="32" t="str">
        <f t="array" ref="C362">_xlfn.XLOOKUP(B362, DB[samplingPoint], DB[samplingTag])</f>
        <v>SV136.09</v>
      </c>
      <c r="D362" s="33" t="s">
        <v>158</v>
      </c>
      <c r="E362" s="35" t="s">
        <v>250</v>
      </c>
      <c r="F362" s="38" t="b">
        <v>1</v>
      </c>
      <c r="G362" s="39" t="str">
        <f t="array" ref="G362">_xlfn.XLOOKUP($B362, DB[samplingPoint], DB[noLocation])</f>
        <v>12-2-039</v>
      </c>
      <c r="H362" s="33" t="s">
        <v>437</v>
      </c>
      <c r="I362" s="40" t="str">
        <f t="array" ref="I362">_xlfn.XLOOKUP($B362, DB[samplingPoint], DB[location])</f>
        <v>MFG 1</v>
      </c>
      <c r="J362" s="39" t="str">
        <f t="array" ref="J362">_xlfn.XLOOKUP($B362, DB[samplingPoint], DB[waterType])</f>
        <v>PW</v>
      </c>
      <c r="K362" s="43">
        <f t="shared" si="26"/>
        <v>46226</v>
      </c>
      <c r="L362" s="26">
        <v>46230.0</v>
      </c>
      <c r="M362" s="32">
        <v>0.0</v>
      </c>
      <c r="N362" s="32">
        <v>0.0</v>
      </c>
      <c r="O362" s="32">
        <f t="shared" si="20"/>
        <v>0</v>
      </c>
      <c r="P362" s="49"/>
      <c r="Q362" s="49"/>
      <c r="R362" s="32">
        <f t="array" ref="R362">_xlfn.XLOOKUP($B362, DB[samplingPoint], DB[Criteria])</f>
        <v>100</v>
      </c>
      <c r="S362" s="50" t="str">
        <f t="shared" si="3"/>
        <v>PASSED</v>
      </c>
      <c r="T362" s="38" t="b">
        <v>0</v>
      </c>
      <c r="U362" s="39"/>
      <c r="V362" s="32" t="s">
        <v>304</v>
      </c>
    </row>
    <row r="363" ht="22.5" customHeight="1">
      <c r="A363" s="26">
        <v>46227.0</v>
      </c>
      <c r="B363" s="27" t="s">
        <v>430</v>
      </c>
      <c r="C363" s="32" t="str">
        <f t="array" ref="C363">_xlfn.XLOOKUP(B363, DB[samplingPoint], DB[samplingTag])</f>
        <v>SV137.01</v>
      </c>
      <c r="D363" s="33" t="s">
        <v>158</v>
      </c>
      <c r="E363" s="35" t="s">
        <v>246</v>
      </c>
      <c r="F363" s="38" t="b">
        <v>1</v>
      </c>
      <c r="G363" s="39" t="str">
        <f t="array" ref="G363">_xlfn.XLOOKUP($B363, DB[samplingPoint], DB[noLocation])</f>
        <v>WATER SYSTEM (B12)</v>
      </c>
      <c r="H363" s="33" t="s">
        <v>437</v>
      </c>
      <c r="I363" s="40" t="str">
        <f t="array" ref="I363">_xlfn.XLOOKUP($B363, DB[samplingPoint], DB[location])</f>
        <v>Return loop (B12)</v>
      </c>
      <c r="J363" s="39" t="str">
        <f t="array" ref="J363">_xlfn.XLOOKUP($B363, DB[samplingPoint], DB[waterType])</f>
        <v>PW</v>
      </c>
      <c r="K363" s="43">
        <f t="shared" si="26"/>
        <v>46227</v>
      </c>
      <c r="L363" s="26">
        <v>46230.0</v>
      </c>
      <c r="M363" s="32">
        <v>0.0</v>
      </c>
      <c r="N363" s="32">
        <v>0.0</v>
      </c>
      <c r="O363" s="32">
        <f t="shared" si="20"/>
        <v>0</v>
      </c>
      <c r="P363" s="49"/>
      <c r="Q363" s="49"/>
      <c r="R363" s="32">
        <f t="array" ref="R363">_xlfn.XLOOKUP($B363, DB[samplingPoint], DB[Criteria])</f>
        <v>100</v>
      </c>
      <c r="S363" s="50" t="str">
        <f t="shared" si="3"/>
        <v>PASSED</v>
      </c>
      <c r="T363" s="38" t="b">
        <v>0</v>
      </c>
      <c r="U363" s="39"/>
      <c r="V363" s="32" t="s">
        <v>304</v>
      </c>
    </row>
    <row r="364" ht="22.5" customHeight="1">
      <c r="A364" s="26">
        <v>46227.0</v>
      </c>
      <c r="B364" s="27" t="s">
        <v>549</v>
      </c>
      <c r="C364" s="32" t="str">
        <f t="array" ref="C364">_xlfn.XLOOKUP(B364, DB[samplingPoint], DB[samplingTag])</f>
        <v>SV136.15</v>
      </c>
      <c r="D364" s="33" t="s">
        <v>158</v>
      </c>
      <c r="E364" s="35" t="s">
        <v>246</v>
      </c>
      <c r="F364" s="38" t="b">
        <v>1</v>
      </c>
      <c r="G364" s="39" t="str">
        <f t="array" ref="G364">_xlfn.XLOOKUP($B364, DB[samplingPoint], DB[noLocation])</f>
        <v>12-2-055</v>
      </c>
      <c r="H364" s="33" t="s">
        <v>437</v>
      </c>
      <c r="I364" s="40" t="str">
        <f t="array" ref="I364">_xlfn.XLOOKUP($B364, DB[samplingPoint], DB[location])</f>
        <v>CIP 3</v>
      </c>
      <c r="J364" s="39" t="str">
        <f t="array" ref="J364">_xlfn.XLOOKUP($B364, DB[samplingPoint], DB[waterType])</f>
        <v>PW</v>
      </c>
      <c r="K364" s="43">
        <f t="shared" si="26"/>
        <v>46227</v>
      </c>
      <c r="L364" s="26">
        <v>46230.0</v>
      </c>
      <c r="M364" s="32">
        <v>0.0</v>
      </c>
      <c r="N364" s="32">
        <v>0.0</v>
      </c>
      <c r="O364" s="32">
        <f t="shared" si="20"/>
        <v>0</v>
      </c>
      <c r="P364" s="49"/>
      <c r="Q364" s="49"/>
      <c r="R364" s="32">
        <f t="array" ref="R364">_xlfn.XLOOKUP($B364, DB[samplingPoint], DB[Criteria])</f>
        <v>100</v>
      </c>
      <c r="S364" s="50" t="str">
        <f t="shared" si="3"/>
        <v>PASSED</v>
      </c>
      <c r="T364" s="38" t="b">
        <v>0</v>
      </c>
      <c r="U364" s="39"/>
      <c r="V364" s="32" t="s">
        <v>304</v>
      </c>
    </row>
    <row r="365" ht="22.5" customHeight="1">
      <c r="A365" s="26">
        <v>46227.0</v>
      </c>
      <c r="B365" s="58" t="s">
        <v>453</v>
      </c>
      <c r="C365" s="32" t="str">
        <f t="array" ref="C365">_xlfn.XLOOKUP(B365, DB[samplingPoint], DB[samplingTag])</f>
        <v>SV136.13</v>
      </c>
      <c r="D365" s="33" t="s">
        <v>158</v>
      </c>
      <c r="E365" s="35" t="s">
        <v>254</v>
      </c>
      <c r="F365" s="38" t="b">
        <v>1</v>
      </c>
      <c r="G365" s="39" t="str">
        <f t="array" ref="G365">_xlfn.XLOOKUP($B365, DB[samplingPoint], DB[noLocation])</f>
        <v>12-2-043</v>
      </c>
      <c r="H365" s="33" t="s">
        <v>437</v>
      </c>
      <c r="I365" s="40" t="str">
        <f t="array" ref="I365">_xlfn.XLOOKUP($B365, DB[samplingPoint], DB[location])</f>
        <v>MFG 3</v>
      </c>
      <c r="J365" s="39" t="str">
        <f t="array" ref="J365">_xlfn.XLOOKUP($B365, DB[samplingPoint], DB[waterType])</f>
        <v>PW</v>
      </c>
      <c r="K365" s="43">
        <f t="shared" si="26"/>
        <v>46227</v>
      </c>
      <c r="L365" s="26"/>
      <c r="M365" s="32">
        <v>0.0</v>
      </c>
      <c r="N365" s="32">
        <v>0.0</v>
      </c>
      <c r="O365" s="32">
        <f t="shared" si="20"/>
        <v>0</v>
      </c>
      <c r="P365" s="49"/>
      <c r="Q365" s="49"/>
      <c r="R365" s="32">
        <f t="array" ref="R365">_xlfn.XLOOKUP($B365, DB[samplingPoint], DB[Criteria])</f>
        <v>100</v>
      </c>
      <c r="S365" s="50" t="str">
        <f t="shared" si="3"/>
        <v>PASSED</v>
      </c>
      <c r="T365" s="38" t="b">
        <v>0</v>
      </c>
      <c r="U365" s="39"/>
      <c r="V365" s="32" t="s">
        <v>304</v>
      </c>
    </row>
    <row r="366" ht="22.5" customHeight="1">
      <c r="A366" s="26">
        <v>46227.0</v>
      </c>
      <c r="B366" s="27" t="s">
        <v>380</v>
      </c>
      <c r="C366" s="32" t="str">
        <f t="array" ref="C366">_xlfn.XLOOKUP(B366, DB[samplingPoint], DB[samplingTag])</f>
        <v>SV113.01</v>
      </c>
      <c r="D366" s="33" t="s">
        <v>436</v>
      </c>
      <c r="E366" s="35" t="s">
        <v>248</v>
      </c>
      <c r="F366" s="38" t="b">
        <v>1</v>
      </c>
      <c r="G366" s="39" t="str">
        <f t="array" ref="G366">_xlfn.XLOOKUP($B366, DB[samplingPoint], DB[noLocation])</f>
        <v>WATER SYSTEM (B10)</v>
      </c>
      <c r="H366" s="33" t="s">
        <v>180</v>
      </c>
      <c r="I366" s="40" t="str">
        <f t="array" ref="I366">_xlfn.XLOOKUP($B366, DB[samplingPoint], DB[location])</f>
        <v>After Storage tank (B10)</v>
      </c>
      <c r="J366" s="39" t="str">
        <f t="array" ref="J366">_xlfn.XLOOKUP($B366, DB[samplingPoint], DB[waterType])</f>
        <v>PW</v>
      </c>
      <c r="K366" s="43">
        <f t="shared" si="26"/>
        <v>46227</v>
      </c>
      <c r="L366" s="26">
        <v>46230.0</v>
      </c>
      <c r="M366" s="32">
        <v>0.0</v>
      </c>
      <c r="N366" s="32">
        <v>0.0</v>
      </c>
      <c r="O366" s="32">
        <f t="shared" si="20"/>
        <v>0</v>
      </c>
      <c r="P366" s="49"/>
      <c r="Q366" s="49"/>
      <c r="R366" s="32">
        <f t="array" ref="R366">_xlfn.XLOOKUP($B366, DB[samplingPoint], DB[Criteria])</f>
        <v>100</v>
      </c>
      <c r="S366" s="50" t="str">
        <f t="shared" si="3"/>
        <v>PASSED</v>
      </c>
      <c r="T366" s="38" t="b">
        <v>0</v>
      </c>
      <c r="U366" s="39"/>
      <c r="V366" s="32" t="s">
        <v>304</v>
      </c>
    </row>
    <row r="367" ht="22.5" customHeight="1">
      <c r="A367" s="26">
        <v>46227.0</v>
      </c>
      <c r="B367" s="58" t="s">
        <v>385</v>
      </c>
      <c r="C367" s="32" t="str">
        <f t="array" ref="C367">_xlfn.XLOOKUP(B367, DB[samplingPoint], DB[samplingTag])</f>
        <v>SV115.02</v>
      </c>
      <c r="D367" s="33" t="s">
        <v>436</v>
      </c>
      <c r="E367" s="35" t="s">
        <v>248</v>
      </c>
      <c r="F367" s="38" t="b">
        <v>1</v>
      </c>
      <c r="G367" s="39" t="str">
        <f t="array" ref="G367">_xlfn.XLOOKUP($B367, DB[samplingPoint], DB[noLocation])</f>
        <v>WATER SYSTEM (B10)</v>
      </c>
      <c r="H367" s="33" t="s">
        <v>180</v>
      </c>
      <c r="I367" s="40" t="str">
        <f t="array" ref="I367">_xlfn.XLOOKUP($B367, DB[samplingPoint], DB[location])</f>
        <v>After UV (B10)</v>
      </c>
      <c r="J367" s="39" t="str">
        <f t="array" ref="J367">_xlfn.XLOOKUP($B367, DB[samplingPoint], DB[waterType])</f>
        <v>PW</v>
      </c>
      <c r="K367" s="43">
        <f t="shared" si="26"/>
        <v>46227</v>
      </c>
      <c r="L367" s="26">
        <v>46230.0</v>
      </c>
      <c r="M367" s="32">
        <v>0.0</v>
      </c>
      <c r="N367" s="32">
        <v>0.0</v>
      </c>
      <c r="O367" s="32">
        <f t="shared" si="20"/>
        <v>0</v>
      </c>
      <c r="P367" s="49"/>
      <c r="Q367" s="49"/>
      <c r="R367" s="32">
        <f t="array" ref="R367">_xlfn.XLOOKUP($B367, DB[samplingPoint], DB[Criteria])</f>
        <v>100</v>
      </c>
      <c r="S367" s="50" t="str">
        <f t="shared" si="3"/>
        <v>PASSED</v>
      </c>
      <c r="T367" s="38" t="b">
        <v>0</v>
      </c>
      <c r="U367" s="39"/>
      <c r="V367" s="32" t="s">
        <v>304</v>
      </c>
    </row>
    <row r="368" ht="22.5" customHeight="1">
      <c r="A368" s="26">
        <v>46227.0</v>
      </c>
      <c r="B368" s="27" t="s">
        <v>390</v>
      </c>
      <c r="C368" s="32" t="str">
        <f t="array" ref="C368">_xlfn.XLOOKUP(B368, DB[samplingPoint], DB[samplingTag])</f>
        <v>SV117.01</v>
      </c>
      <c r="D368" s="33" t="s">
        <v>436</v>
      </c>
      <c r="E368" s="35" t="s">
        <v>248</v>
      </c>
      <c r="F368" s="38" t="b">
        <v>1</v>
      </c>
      <c r="G368" s="39" t="str">
        <f t="array" ref="G368">_xlfn.XLOOKUP($B368, DB[samplingPoint], DB[noLocation])</f>
        <v>WATER SYSTEM (B10)</v>
      </c>
      <c r="H368" s="33" t="s">
        <v>180</v>
      </c>
      <c r="I368" s="40" t="str">
        <f t="array" ref="I368">_xlfn.XLOOKUP($B368, DB[samplingPoint], DB[location])</f>
        <v>Return loop (B10)</v>
      </c>
      <c r="J368" s="39" t="str">
        <f t="array" ref="J368">_xlfn.XLOOKUP($B368, DB[samplingPoint], DB[waterType])</f>
        <v>PW</v>
      </c>
      <c r="K368" s="43">
        <f t="shared" si="26"/>
        <v>46227</v>
      </c>
      <c r="L368" s="26">
        <v>46230.0</v>
      </c>
      <c r="M368" s="32">
        <v>0.0</v>
      </c>
      <c r="N368" s="32">
        <v>0.0</v>
      </c>
      <c r="O368" s="32">
        <f t="shared" si="20"/>
        <v>0</v>
      </c>
      <c r="P368" s="49"/>
      <c r="Q368" s="49"/>
      <c r="R368" s="32">
        <f t="array" ref="R368">_xlfn.XLOOKUP($B368, DB[samplingPoint], DB[Criteria])</f>
        <v>100</v>
      </c>
      <c r="S368" s="50" t="str">
        <f t="shared" si="3"/>
        <v>PASSED</v>
      </c>
      <c r="T368" s="38" t="b">
        <v>0</v>
      </c>
      <c r="U368" s="39"/>
      <c r="V368" s="32" t="s">
        <v>304</v>
      </c>
    </row>
    <row r="369" ht="22.5" customHeight="1">
      <c r="A369" s="26">
        <v>46227.0</v>
      </c>
      <c r="B369" s="58" t="s">
        <v>491</v>
      </c>
      <c r="C369" s="32" t="str">
        <f t="array" ref="C369">_xlfn.XLOOKUP(B369, DB[samplingPoint], DB[samplingTag])</f>
        <v>SV116.15</v>
      </c>
      <c r="D369" s="33" t="s">
        <v>436</v>
      </c>
      <c r="E369" s="35" t="s">
        <v>248</v>
      </c>
      <c r="F369" s="38" t="b">
        <v>1</v>
      </c>
      <c r="G369" s="39" t="str">
        <f t="array" ref="G369">_xlfn.XLOOKUP($B369, DB[samplingPoint], DB[noLocation])</f>
        <v>10-4-012</v>
      </c>
      <c r="H369" s="33" t="s">
        <v>180</v>
      </c>
      <c r="I369" s="40" t="str">
        <f t="array" ref="I369">_xlfn.XLOOKUP($B369, DB[samplingPoint], DB[location])</f>
        <v>CIP SKID-1 FOR BIN WASHING-1</v>
      </c>
      <c r="J369" s="39" t="str">
        <f t="array" ref="J369">_xlfn.XLOOKUP($B369, DB[samplingPoint], DB[waterType])</f>
        <v>PW</v>
      </c>
      <c r="K369" s="43">
        <f t="shared" si="26"/>
        <v>46227</v>
      </c>
      <c r="L369" s="26">
        <v>46230.0</v>
      </c>
      <c r="M369" s="32">
        <v>0.0</v>
      </c>
      <c r="N369" s="32">
        <v>0.0</v>
      </c>
      <c r="O369" s="32">
        <f t="shared" si="20"/>
        <v>0</v>
      </c>
      <c r="P369" s="49"/>
      <c r="Q369" s="49"/>
      <c r="R369" s="32">
        <f t="array" ref="R369">_xlfn.XLOOKUP($B369, DB[samplingPoint], DB[Criteria])</f>
        <v>100</v>
      </c>
      <c r="S369" s="50" t="str">
        <f t="shared" si="3"/>
        <v>PASSED</v>
      </c>
      <c r="T369" s="38" t="b">
        <v>0</v>
      </c>
      <c r="U369" s="39"/>
      <c r="V369" s="32" t="s">
        <v>304</v>
      </c>
    </row>
    <row r="370" ht="22.5" customHeight="1">
      <c r="A370" s="26">
        <v>46227.0</v>
      </c>
      <c r="B370" s="27" t="s">
        <v>493</v>
      </c>
      <c r="C370" s="32" t="str">
        <f t="array" ref="C370">_xlfn.XLOOKUP(B370, DB[samplingPoint], DB[samplingTag])</f>
        <v>SV116.16</v>
      </c>
      <c r="D370" s="33" t="s">
        <v>436</v>
      </c>
      <c r="E370" s="35" t="s">
        <v>248</v>
      </c>
      <c r="F370" s="38" t="b">
        <v>1</v>
      </c>
      <c r="G370" s="39" t="str">
        <f t="array" ref="G370">_xlfn.XLOOKUP($B370, DB[samplingPoint], DB[noLocation])</f>
        <v>10-4-012</v>
      </c>
      <c r="H370" s="33" t="s">
        <v>180</v>
      </c>
      <c r="I370" s="40" t="str">
        <f t="array" ref="I370">_xlfn.XLOOKUP($B370, DB[samplingPoint], DB[location])</f>
        <v>WIP SKID-3 FOR GRANULATION POTENT</v>
      </c>
      <c r="J370" s="39" t="str">
        <f t="array" ref="J370">_xlfn.XLOOKUP($B370, DB[samplingPoint], DB[waterType])</f>
        <v>PW</v>
      </c>
      <c r="K370" s="43">
        <f t="shared" si="26"/>
        <v>46227</v>
      </c>
      <c r="L370" s="26">
        <v>46230.0</v>
      </c>
      <c r="M370" s="32">
        <v>0.0</v>
      </c>
      <c r="N370" s="32">
        <v>0.0</v>
      </c>
      <c r="O370" s="32">
        <f t="shared" si="20"/>
        <v>0</v>
      </c>
      <c r="P370" s="49"/>
      <c r="Q370" s="49"/>
      <c r="R370" s="32">
        <f t="array" ref="R370">_xlfn.XLOOKUP($B370, DB[samplingPoint], DB[Criteria])</f>
        <v>100</v>
      </c>
      <c r="S370" s="50" t="str">
        <f t="shared" si="3"/>
        <v>PASSED</v>
      </c>
      <c r="T370" s="38" t="b">
        <v>0</v>
      </c>
      <c r="U370" s="39"/>
      <c r="V370" s="32" t="s">
        <v>304</v>
      </c>
    </row>
    <row r="371" ht="22.5" customHeight="1">
      <c r="A371" s="26">
        <v>46227.0</v>
      </c>
      <c r="B371" s="58" t="s">
        <v>494</v>
      </c>
      <c r="C371" s="32" t="str">
        <f t="array" ref="C371">_xlfn.XLOOKUP(B371, DB[samplingPoint], DB[samplingTag])</f>
        <v>SV116.17</v>
      </c>
      <c r="D371" s="33" t="s">
        <v>436</v>
      </c>
      <c r="E371" s="35" t="s">
        <v>248</v>
      </c>
      <c r="F371" s="38" t="b">
        <v>1</v>
      </c>
      <c r="G371" s="39" t="str">
        <f t="array" ref="G371">_xlfn.XLOOKUP($B371, DB[samplingPoint], DB[noLocation])</f>
        <v>10-4-012</v>
      </c>
      <c r="H371" s="33" t="s">
        <v>180</v>
      </c>
      <c r="I371" s="40" t="str">
        <f t="array" ref="I371">_xlfn.XLOOKUP($B371, DB[samplingPoint], DB[location])</f>
        <v>CIP SKID-2 FOR BIN WASHING-1</v>
      </c>
      <c r="J371" s="39" t="str">
        <f t="array" ref="J371">_xlfn.XLOOKUP($B371, DB[samplingPoint], DB[waterType])</f>
        <v>PW</v>
      </c>
      <c r="K371" s="43">
        <f t="shared" si="26"/>
        <v>46227</v>
      </c>
      <c r="L371" s="26">
        <v>46230.0</v>
      </c>
      <c r="M371" s="32">
        <v>0.0</v>
      </c>
      <c r="N371" s="32">
        <v>0.0</v>
      </c>
      <c r="O371" s="32">
        <f t="shared" si="20"/>
        <v>0</v>
      </c>
      <c r="P371" s="49"/>
      <c r="Q371" s="49"/>
      <c r="R371" s="32">
        <f t="array" ref="R371">_xlfn.XLOOKUP($B371, DB[samplingPoint], DB[Criteria])</f>
        <v>100</v>
      </c>
      <c r="S371" s="50" t="str">
        <f t="shared" si="3"/>
        <v>PASSED</v>
      </c>
      <c r="T371" s="38" t="b">
        <v>0</v>
      </c>
      <c r="U371" s="39"/>
      <c r="V371" s="32" t="s">
        <v>304</v>
      </c>
    </row>
    <row r="372" ht="22.5" customHeight="1">
      <c r="A372" s="26">
        <v>46227.0</v>
      </c>
      <c r="B372" s="27" t="s">
        <v>495</v>
      </c>
      <c r="C372" s="32" t="str">
        <f t="array" ref="C372">_xlfn.XLOOKUP(B372, DB[samplingPoint], DB[samplingTag])</f>
        <v>SV116.18</v>
      </c>
      <c r="D372" s="33" t="s">
        <v>436</v>
      </c>
      <c r="E372" s="35" t="s">
        <v>248</v>
      </c>
      <c r="F372" s="38" t="b">
        <v>1</v>
      </c>
      <c r="G372" s="39" t="str">
        <f t="array" ref="G372">_xlfn.XLOOKUP($B372, DB[samplingPoint], DB[noLocation])</f>
        <v>10-4-012</v>
      </c>
      <c r="H372" s="33" t="s">
        <v>180</v>
      </c>
      <c r="I372" s="40" t="str">
        <f t="array" ref="I372">_xlfn.XLOOKUP($B372, DB[samplingPoint], DB[location])</f>
        <v>WIP SKID-1 FOR GRANULATION NON POTENT</v>
      </c>
      <c r="J372" s="39" t="str">
        <f t="array" ref="J372">_xlfn.XLOOKUP($B372, DB[samplingPoint], DB[waterType])</f>
        <v>PW</v>
      </c>
      <c r="K372" s="43">
        <f t="shared" si="26"/>
        <v>46227</v>
      </c>
      <c r="L372" s="26">
        <v>46230.0</v>
      </c>
      <c r="M372" s="32">
        <v>0.0</v>
      </c>
      <c r="N372" s="32">
        <v>0.0</v>
      </c>
      <c r="O372" s="32">
        <f t="shared" si="20"/>
        <v>0</v>
      </c>
      <c r="P372" s="49"/>
      <c r="Q372" s="49"/>
      <c r="R372" s="32">
        <f t="array" ref="R372">_xlfn.XLOOKUP($B372, DB[samplingPoint], DB[Criteria])</f>
        <v>100</v>
      </c>
      <c r="S372" s="50" t="str">
        <f t="shared" si="3"/>
        <v>PASSED</v>
      </c>
      <c r="T372" s="38" t="b">
        <v>0</v>
      </c>
      <c r="U372" s="39"/>
      <c r="V372" s="32" t="s">
        <v>304</v>
      </c>
    </row>
    <row r="373" ht="22.5" customHeight="1">
      <c r="A373" s="26">
        <v>46227.0</v>
      </c>
      <c r="B373" s="58" t="s">
        <v>496</v>
      </c>
      <c r="C373" s="32" t="str">
        <f t="array" ref="C373">_xlfn.XLOOKUP(B373, DB[samplingPoint], DB[samplingTag])</f>
        <v>SV116.19</v>
      </c>
      <c r="D373" s="33" t="s">
        <v>436</v>
      </c>
      <c r="E373" s="35" t="s">
        <v>248</v>
      </c>
      <c r="F373" s="38" t="b">
        <v>1</v>
      </c>
      <c r="G373" s="39" t="str">
        <f t="array" ref="G373">_xlfn.XLOOKUP($B373, DB[samplingPoint], DB[noLocation])</f>
        <v>10-4-012</v>
      </c>
      <c r="H373" s="33" t="s">
        <v>180</v>
      </c>
      <c r="I373" s="40" t="str">
        <f t="array" ref="I373">_xlfn.XLOOKUP($B373, DB[samplingPoint], DB[location])</f>
        <v>WIP SKID-2 FOR GRANULATION NON POTENT</v>
      </c>
      <c r="J373" s="39" t="str">
        <f t="array" ref="J373">_xlfn.XLOOKUP($B373, DB[samplingPoint], DB[waterType])</f>
        <v>PW</v>
      </c>
      <c r="K373" s="43">
        <f t="shared" si="26"/>
        <v>46227</v>
      </c>
      <c r="L373" s="26">
        <v>46230.0</v>
      </c>
      <c r="M373" s="32">
        <v>7.0</v>
      </c>
      <c r="N373" s="32">
        <v>8.0</v>
      </c>
      <c r="O373" s="32">
        <f t="shared" si="20"/>
        <v>8</v>
      </c>
      <c r="P373" s="49"/>
      <c r="Q373" s="49"/>
      <c r="R373" s="32">
        <f t="array" ref="R373">_xlfn.XLOOKUP($B373, DB[samplingPoint], DB[Criteria])</f>
        <v>100</v>
      </c>
      <c r="S373" s="50" t="str">
        <f t="shared" si="3"/>
        <v>PASSED</v>
      </c>
      <c r="T373" s="38" t="b">
        <v>0</v>
      </c>
      <c r="U373" s="39"/>
      <c r="V373" s="32" t="s">
        <v>304</v>
      </c>
    </row>
    <row r="374" ht="22.5" customHeight="1">
      <c r="A374" s="26">
        <v>46227.0</v>
      </c>
      <c r="B374" s="27" t="s">
        <v>498</v>
      </c>
      <c r="C374" s="32" t="str">
        <f t="array" ref="C374">_xlfn.XLOOKUP(B374, DB[samplingPoint], DB[samplingTag])</f>
        <v>SV116.02</v>
      </c>
      <c r="D374" s="33" t="s">
        <v>436</v>
      </c>
      <c r="E374" s="35" t="s">
        <v>248</v>
      </c>
      <c r="F374" s="38" t="b">
        <v>1</v>
      </c>
      <c r="G374" s="39" t="str">
        <f t="array" ref="G374">_xlfn.XLOOKUP($B374, DB[samplingPoint], DB[noLocation])</f>
        <v>10-2-037</v>
      </c>
      <c r="H374" s="33" t="s">
        <v>180</v>
      </c>
      <c r="I374" s="40" t="str">
        <f t="array" ref="I374">_xlfn.XLOOKUP($B374, DB[samplingPoint], DB[location])</f>
        <v>SKID FOR BIN WASHING-2</v>
      </c>
      <c r="J374" s="39" t="str">
        <f t="array" ref="J374">_xlfn.XLOOKUP($B374, DB[samplingPoint], DB[waterType])</f>
        <v>PW</v>
      </c>
      <c r="K374" s="43">
        <f t="shared" si="26"/>
        <v>46227</v>
      </c>
      <c r="L374" s="26">
        <v>46230.0</v>
      </c>
      <c r="M374" s="32">
        <v>0.0</v>
      </c>
      <c r="N374" s="32">
        <v>0.0</v>
      </c>
      <c r="O374" s="32">
        <f t="shared" si="20"/>
        <v>0</v>
      </c>
      <c r="P374" s="49"/>
      <c r="Q374" s="49"/>
      <c r="R374" s="32">
        <f t="array" ref="R374">_xlfn.XLOOKUP($B374, DB[samplingPoint], DB[Criteria])</f>
        <v>100</v>
      </c>
      <c r="S374" s="50" t="str">
        <f t="shared" si="3"/>
        <v>PASSED</v>
      </c>
      <c r="T374" s="38" t="b">
        <v>0</v>
      </c>
      <c r="U374" s="39"/>
      <c r="V374" s="32" t="s">
        <v>304</v>
      </c>
    </row>
    <row r="375" ht="22.5" customHeight="1">
      <c r="A375" s="26">
        <v>46227.0</v>
      </c>
      <c r="B375" s="58" t="s">
        <v>499</v>
      </c>
      <c r="C375" s="32" t="str">
        <f t="array" ref="C375">_xlfn.XLOOKUP(B375, DB[samplingPoint], DB[samplingTag])</f>
        <v>SV116.01</v>
      </c>
      <c r="D375" s="33" t="s">
        <v>436</v>
      </c>
      <c r="E375" s="35" t="s">
        <v>248</v>
      </c>
      <c r="F375" s="38" t="b">
        <v>1</v>
      </c>
      <c r="G375" s="39" t="str">
        <f t="array" ref="G375">_xlfn.XLOOKUP($B375, DB[samplingPoint], DB[noLocation])</f>
        <v>10-2-021</v>
      </c>
      <c r="H375" s="33" t="s">
        <v>180</v>
      </c>
      <c r="I375" s="40" t="str">
        <f t="array" ref="I375">_xlfn.XLOOKUP($B375, DB[samplingPoint], DB[location])</f>
        <v>INSTRUMENT-1</v>
      </c>
      <c r="J375" s="39" t="str">
        <f t="array" ref="J375">_xlfn.XLOOKUP($B375, DB[samplingPoint], DB[waterType])</f>
        <v>PW</v>
      </c>
      <c r="K375" s="43">
        <f t="shared" si="26"/>
        <v>46227</v>
      </c>
      <c r="L375" s="26">
        <v>46230.0</v>
      </c>
      <c r="M375" s="32">
        <v>0.0</v>
      </c>
      <c r="N375" s="32">
        <v>0.0</v>
      </c>
      <c r="O375" s="32">
        <f t="shared" si="20"/>
        <v>0</v>
      </c>
      <c r="P375" s="49"/>
      <c r="Q375" s="49"/>
      <c r="R375" s="32">
        <f t="array" ref="R375">_xlfn.XLOOKUP($B375, DB[samplingPoint], DB[Criteria])</f>
        <v>100</v>
      </c>
      <c r="S375" s="50" t="str">
        <f t="shared" si="3"/>
        <v>PASSED</v>
      </c>
      <c r="T375" s="38" t="b">
        <v>0</v>
      </c>
      <c r="U375" s="39"/>
      <c r="V375" s="32" t="s">
        <v>304</v>
      </c>
    </row>
    <row r="376" ht="22.5" customHeight="1">
      <c r="A376" s="26">
        <v>46227.0</v>
      </c>
      <c r="B376" s="48" t="s">
        <v>502</v>
      </c>
      <c r="C376" s="32" t="str">
        <f t="array" ref="C376">_xlfn.XLOOKUP(B376, DB[samplingPoint], DB[samplingTag])</f>
        <v>DV116.26</v>
      </c>
      <c r="D376" s="33" t="s">
        <v>436</v>
      </c>
      <c r="E376" s="35" t="s">
        <v>248</v>
      </c>
      <c r="F376" s="38" t="b">
        <v>1</v>
      </c>
      <c r="G376" s="39" t="str">
        <f t="array" ref="G376">_xlfn.XLOOKUP($B376, DB[samplingPoint], DB[noLocation])</f>
        <v>10-4-015</v>
      </c>
      <c r="H376" s="33" t="s">
        <v>180</v>
      </c>
      <c r="I376" s="40" t="str">
        <f t="array" ref="I376">_xlfn.XLOOKUP($B376, DB[samplingPoint], DB[location])</f>
        <v>WATER SYSTEM ROOM</v>
      </c>
      <c r="J376" s="39" t="str">
        <f t="array" ref="J376">_xlfn.XLOOKUP($B376, DB[samplingPoint], DB[waterType])</f>
        <v>PW</v>
      </c>
      <c r="K376" s="43">
        <f t="shared" si="26"/>
        <v>46227</v>
      </c>
      <c r="L376" s="26">
        <v>46230.0</v>
      </c>
      <c r="M376" s="32">
        <v>0.0</v>
      </c>
      <c r="N376" s="32">
        <v>0.0</v>
      </c>
      <c r="O376" s="32">
        <f t="shared" si="20"/>
        <v>0</v>
      </c>
      <c r="P376" s="49"/>
      <c r="Q376" s="49"/>
      <c r="R376" s="32">
        <f t="array" ref="R376">_xlfn.XLOOKUP($B376, DB[samplingPoint], DB[Criteria])</f>
        <v>100</v>
      </c>
      <c r="S376" s="50" t="str">
        <f t="shared" si="3"/>
        <v>PASSED</v>
      </c>
      <c r="T376" s="38" t="b">
        <v>0</v>
      </c>
      <c r="U376" s="39"/>
      <c r="V376" s="32" t="s">
        <v>304</v>
      </c>
    </row>
    <row r="377" ht="22.5" customHeight="1">
      <c r="A377" s="26">
        <v>46230.0</v>
      </c>
      <c r="B377" s="113" t="s">
        <v>349</v>
      </c>
      <c r="C377" s="32" t="str">
        <f t="array" ref="C377">_xlfn.XLOOKUP(B377, DB[samplingPoint], DB[samplingTag])</f>
        <v>VB-05(10)</v>
      </c>
      <c r="D377" s="33" t="s">
        <v>158</v>
      </c>
      <c r="E377" s="35" t="s">
        <v>256</v>
      </c>
      <c r="F377" s="38" t="b">
        <v>1</v>
      </c>
      <c r="G377" s="39" t="str">
        <f t="array" ref="G377">_xlfn.XLOOKUP($B377, DB[samplingPoint], DB[noLocation])</f>
        <v>WATER SYSTEM (B10)</v>
      </c>
      <c r="H377" s="33" t="s">
        <v>180</v>
      </c>
      <c r="I377" s="40" t="str">
        <f t="array" ref="I377">_xlfn.XLOOKUP($B377, DB[samplingPoint], DB[location])</f>
        <v>After Chlorine circulation tank (B10)</v>
      </c>
      <c r="J377" s="39" t="str">
        <f t="array" ref="J377">_xlfn.XLOOKUP($B377, DB[samplingPoint], DB[waterType])</f>
        <v>PRW</v>
      </c>
      <c r="K377" s="43">
        <f t="shared" si="26"/>
        <v>46230</v>
      </c>
      <c r="L377" s="26">
        <v>46234.0</v>
      </c>
      <c r="M377" s="32">
        <v>212.0</v>
      </c>
      <c r="N377" s="32">
        <v>236.0</v>
      </c>
      <c r="O377" s="32">
        <f t="shared" si="20"/>
        <v>224</v>
      </c>
      <c r="P377" s="49"/>
      <c r="Q377" s="49"/>
      <c r="R377" s="32">
        <f t="array" ref="R377">_xlfn.XLOOKUP($B377, DB[samplingPoint], DB[Criteria])</f>
        <v>500</v>
      </c>
      <c r="S377" s="50" t="str">
        <f t="shared" si="3"/>
        <v>PASSED</v>
      </c>
      <c r="T377" s="38" t="b">
        <v>0</v>
      </c>
      <c r="U377" s="39"/>
      <c r="V377" s="32" t="s">
        <v>304</v>
      </c>
    </row>
    <row r="378" ht="22.5" customHeight="1">
      <c r="A378" s="26">
        <v>46230.0</v>
      </c>
      <c r="B378" s="58" t="s">
        <v>366</v>
      </c>
      <c r="C378" s="32" t="str">
        <f t="array" ref="C378">_xlfn.XLOOKUP(B378, DB[samplingPoint], DB[samplingTag])</f>
        <v>V50-61(10)</v>
      </c>
      <c r="D378" s="33" t="s">
        <v>158</v>
      </c>
      <c r="E378" s="35" t="s">
        <v>256</v>
      </c>
      <c r="F378" s="38" t="b">
        <v>1</v>
      </c>
      <c r="G378" s="39" t="str">
        <f t="array" ref="G378">_xlfn.XLOOKUP($B378, DB[samplingPoint], DB[noLocation])</f>
        <v>WATER SYSTEM (B10)</v>
      </c>
      <c r="H378" s="33" t="s">
        <v>180</v>
      </c>
      <c r="I378" s="40" t="str">
        <f t="array" ref="I378">_xlfn.XLOOKUP($B378, DB[samplingPoint], DB[location])</f>
        <v>After Cartridge filter 5 µm (B10)</v>
      </c>
      <c r="J378" s="39" t="str">
        <f t="array" ref="J378">_xlfn.XLOOKUP($B378, DB[samplingPoint], DB[waterType])</f>
        <v>PRW</v>
      </c>
      <c r="K378" s="43">
        <f t="shared" si="26"/>
        <v>46230</v>
      </c>
      <c r="L378" s="26">
        <v>46234.0</v>
      </c>
      <c r="M378" s="32">
        <v>191.0</v>
      </c>
      <c r="N378" s="32">
        <v>176.0</v>
      </c>
      <c r="O378" s="32">
        <f t="shared" si="20"/>
        <v>184</v>
      </c>
      <c r="P378" s="49"/>
      <c r="Q378" s="49"/>
      <c r="R378" s="32">
        <f t="array" ref="R378">_xlfn.XLOOKUP($B378, DB[samplingPoint], DB[Criteria])</f>
        <v>500</v>
      </c>
      <c r="S378" s="50" t="str">
        <f t="shared" si="3"/>
        <v>PASSED</v>
      </c>
      <c r="T378" s="38" t="b">
        <v>0</v>
      </c>
      <c r="U378" s="39"/>
      <c r="V378" s="32" t="s">
        <v>304</v>
      </c>
    </row>
    <row r="379" ht="22.5" customHeight="1">
      <c r="A379" s="26">
        <v>46230.0</v>
      </c>
      <c r="B379" s="27" t="s">
        <v>368</v>
      </c>
      <c r="C379" s="32" t="str">
        <f t="array" ref="C379">_xlfn.XLOOKUP(B379, DB[samplingPoint], DB[samplingTag])</f>
        <v>V50-11C(10)</v>
      </c>
      <c r="D379" s="33" t="s">
        <v>158</v>
      </c>
      <c r="E379" s="35" t="s">
        <v>256</v>
      </c>
      <c r="F379" s="38" t="b">
        <v>1</v>
      </c>
      <c r="G379" s="39" t="str">
        <f t="array" ref="G379">_xlfn.XLOOKUP($B379, DB[samplingPoint], DB[noLocation])</f>
        <v>WATER SYSTEM (B10)</v>
      </c>
      <c r="H379" s="33" t="s">
        <v>180</v>
      </c>
      <c r="I379" s="40" t="str">
        <f t="array" ref="I379">_xlfn.XLOOKUP($B379, DB[samplingPoint], DB[location])</f>
        <v>After RO (Before EDI) (B10)</v>
      </c>
      <c r="J379" s="39" t="str">
        <f t="array" ref="J379">_xlfn.XLOOKUP($B379, DB[samplingPoint], DB[waterType])</f>
        <v>RO water</v>
      </c>
      <c r="K379" s="43">
        <f t="shared" si="26"/>
        <v>46230</v>
      </c>
      <c r="L379" s="26">
        <v>46234.0</v>
      </c>
      <c r="M379" s="32">
        <v>0.0</v>
      </c>
      <c r="N379" s="32">
        <v>0.0</v>
      </c>
      <c r="O379" s="32">
        <f t="shared" si="20"/>
        <v>0</v>
      </c>
      <c r="P379" s="49"/>
      <c r="Q379" s="49"/>
      <c r="R379" s="32">
        <f t="array" ref="R379">_xlfn.XLOOKUP($B379, DB[samplingPoint], DB[Criteria])</f>
        <v>500</v>
      </c>
      <c r="S379" s="50" t="str">
        <f t="shared" si="3"/>
        <v>PASSED</v>
      </c>
      <c r="T379" s="38" t="b">
        <v>0</v>
      </c>
      <c r="U379" s="39"/>
      <c r="V379" s="32" t="s">
        <v>304</v>
      </c>
    </row>
    <row r="380" ht="22.5" customHeight="1">
      <c r="A380" s="26">
        <v>46230.0</v>
      </c>
      <c r="B380" s="58" t="s">
        <v>374</v>
      </c>
      <c r="C380" s="32" t="str">
        <f t="array" ref="C380">_xlfn.XLOOKUP(B380, DB[samplingPoint], DB[samplingTag])</f>
        <v>V50-39(10)</v>
      </c>
      <c r="D380" s="33" t="s">
        <v>158</v>
      </c>
      <c r="E380" s="35" t="s">
        <v>256</v>
      </c>
      <c r="F380" s="38" t="b">
        <v>1</v>
      </c>
      <c r="G380" s="39" t="str">
        <f t="array" ref="G380">_xlfn.XLOOKUP($B380, DB[samplingPoint], DB[noLocation])</f>
        <v>WATER SYSTEM (B10)</v>
      </c>
      <c r="H380" s="33" t="s">
        <v>180</v>
      </c>
      <c r="I380" s="40" t="str">
        <f t="array" ref="I380">_xlfn.XLOOKUP($B380, DB[samplingPoint], DB[location])</f>
        <v>After EDI (B10)</v>
      </c>
      <c r="J380" s="39" t="str">
        <f t="array" ref="J380">_xlfn.XLOOKUP($B380, DB[samplingPoint], DB[waterType])</f>
        <v>PW</v>
      </c>
      <c r="K380" s="43">
        <f t="shared" si="26"/>
        <v>46230</v>
      </c>
      <c r="L380" s="26">
        <v>46234.0</v>
      </c>
      <c r="M380" s="32">
        <v>0.0</v>
      </c>
      <c r="N380" s="32">
        <v>0.0</v>
      </c>
      <c r="O380" s="32">
        <f t="shared" si="20"/>
        <v>0</v>
      </c>
      <c r="P380" s="49"/>
      <c r="Q380" s="49"/>
      <c r="R380" s="32">
        <f t="array" ref="R380">_xlfn.XLOOKUP($B380, DB[samplingPoint], DB[Criteria])</f>
        <v>100</v>
      </c>
      <c r="S380" s="50" t="str">
        <f t="shared" si="3"/>
        <v>PASSED</v>
      </c>
      <c r="T380" s="38" t="b">
        <v>0</v>
      </c>
      <c r="U380" s="39"/>
      <c r="V380" s="32" t="s">
        <v>304</v>
      </c>
    </row>
    <row r="381" ht="22.5" customHeight="1">
      <c r="A381" s="26">
        <v>46230.0</v>
      </c>
      <c r="B381" s="52" t="s">
        <v>444</v>
      </c>
      <c r="C381" s="32" t="str">
        <f t="array" ref="C381">_xlfn.XLOOKUP(B381, DB[samplingPoint], DB[samplingTag])</f>
        <v>VB-05 (12)</v>
      </c>
      <c r="D381" s="33" t="s">
        <v>158</v>
      </c>
      <c r="E381" s="35" t="s">
        <v>258</v>
      </c>
      <c r="F381" s="38" t="b">
        <v>1</v>
      </c>
      <c r="G381" s="39" t="str">
        <f t="array" ref="G381">_xlfn.XLOOKUP($B381, DB[samplingPoint], DB[noLocation])</f>
        <v>WATER SYSTEM (B12)</v>
      </c>
      <c r="H381" s="33" t="s">
        <v>437</v>
      </c>
      <c r="I381" s="40" t="str">
        <f t="array" ref="I381">_xlfn.XLOOKUP($B381, DB[samplingPoint], DB[location])</f>
        <v>After Chlorine circulation tank</v>
      </c>
      <c r="J381" s="39" t="str">
        <f t="array" ref="J381">_xlfn.XLOOKUP($B381, DB[samplingPoint], DB[waterType])</f>
        <v>PRW</v>
      </c>
      <c r="K381" s="43">
        <f t="shared" si="26"/>
        <v>46230</v>
      </c>
      <c r="L381" s="26">
        <v>46234.0</v>
      </c>
      <c r="M381" s="32">
        <v>0.0</v>
      </c>
      <c r="N381" s="32">
        <v>0.0</v>
      </c>
      <c r="O381" s="32">
        <f t="shared" si="20"/>
        <v>0</v>
      </c>
      <c r="P381" s="49"/>
      <c r="Q381" s="49"/>
      <c r="R381" s="32">
        <f t="array" ref="R381">_xlfn.XLOOKUP($B381, DB[samplingPoint], DB[Criteria])</f>
        <v>500</v>
      </c>
      <c r="S381" s="50" t="str">
        <f t="shared" si="3"/>
        <v>PASSED</v>
      </c>
      <c r="T381" s="38" t="b">
        <v>0</v>
      </c>
      <c r="U381" s="39"/>
      <c r="V381" s="32" t="s">
        <v>304</v>
      </c>
    </row>
    <row r="382" ht="22.5" customHeight="1">
      <c r="A382" s="26">
        <v>46230.0</v>
      </c>
      <c r="B382" s="58" t="s">
        <v>442</v>
      </c>
      <c r="C382" s="32" t="str">
        <f t="array" ref="C382">_xlfn.XLOOKUP(B382, DB[samplingPoint], DB[samplingTag])</f>
        <v>V50-61 (12)</v>
      </c>
      <c r="D382" s="33" t="s">
        <v>158</v>
      </c>
      <c r="E382" s="35" t="s">
        <v>258</v>
      </c>
      <c r="F382" s="38" t="b">
        <v>1</v>
      </c>
      <c r="G382" s="39" t="str">
        <f t="array" ref="G382">_xlfn.XLOOKUP($B382, DB[samplingPoint], DB[noLocation])</f>
        <v>WATER SYSTEM (B12)</v>
      </c>
      <c r="H382" s="33" t="s">
        <v>437</v>
      </c>
      <c r="I382" s="40" t="str">
        <f t="array" ref="I382">_xlfn.XLOOKUP($B382, DB[samplingPoint], DB[location])</f>
        <v>After Cartridge filter 5 µm (B12)</v>
      </c>
      <c r="J382" s="39" t="str">
        <f t="array" ref="J382">_xlfn.XLOOKUP($B382, DB[samplingPoint], DB[waterType])</f>
        <v>PRW</v>
      </c>
      <c r="K382" s="43">
        <f t="shared" si="26"/>
        <v>46230</v>
      </c>
      <c r="L382" s="26">
        <v>46234.0</v>
      </c>
      <c r="M382" s="32">
        <v>31.0</v>
      </c>
      <c r="N382" s="32">
        <v>39.0</v>
      </c>
      <c r="O382" s="32">
        <f t="shared" si="20"/>
        <v>35</v>
      </c>
      <c r="P382" s="49"/>
      <c r="Q382" s="49"/>
      <c r="R382" s="32">
        <f t="array" ref="R382">_xlfn.XLOOKUP($B382, DB[samplingPoint], DB[Criteria])</f>
        <v>500</v>
      </c>
      <c r="S382" s="50" t="str">
        <f t="shared" si="3"/>
        <v>PASSED</v>
      </c>
      <c r="T382" s="38" t="b">
        <v>0</v>
      </c>
      <c r="U382" s="39"/>
      <c r="V382" s="32" t="s">
        <v>304</v>
      </c>
    </row>
    <row r="383" ht="22.5" customHeight="1">
      <c r="A383" s="26">
        <v>46230.0</v>
      </c>
      <c r="B383" s="27" t="s">
        <v>434</v>
      </c>
      <c r="C383" s="32" t="str">
        <f t="array" ref="C383">_xlfn.XLOOKUP(B383, DB[samplingPoint], DB[samplingTag])</f>
        <v>V50-11C (12)</v>
      </c>
      <c r="D383" s="33" t="s">
        <v>158</v>
      </c>
      <c r="E383" s="35" t="s">
        <v>258</v>
      </c>
      <c r="F383" s="38" t="b">
        <v>1</v>
      </c>
      <c r="G383" s="39" t="str">
        <f t="array" ref="G383">_xlfn.XLOOKUP($B383, DB[samplingPoint], DB[noLocation])</f>
        <v>WATER SYSTEM (B12)</v>
      </c>
      <c r="H383" s="33" t="s">
        <v>437</v>
      </c>
      <c r="I383" s="40" t="str">
        <f t="array" ref="I383">_xlfn.XLOOKUP($B383, DB[samplingPoint], DB[location])</f>
        <v>After RO (Before EDI) (B12)</v>
      </c>
      <c r="J383" s="39" t="str">
        <f t="array" ref="J383">_xlfn.XLOOKUP($B383, DB[samplingPoint], DB[waterType])</f>
        <v>RO water</v>
      </c>
      <c r="K383" s="43">
        <f t="shared" si="26"/>
        <v>46230</v>
      </c>
      <c r="L383" s="26">
        <v>46234.0</v>
      </c>
      <c r="M383" s="32">
        <v>0.0</v>
      </c>
      <c r="N383" s="32">
        <v>0.0</v>
      </c>
      <c r="O383" s="32">
        <f t="shared" si="20"/>
        <v>0</v>
      </c>
      <c r="P383" s="49"/>
      <c r="Q383" s="49"/>
      <c r="R383" s="32">
        <f t="array" ref="R383">_xlfn.XLOOKUP($B383, DB[samplingPoint], DB[Criteria])</f>
        <v>500</v>
      </c>
      <c r="S383" s="50" t="str">
        <f t="shared" si="3"/>
        <v>PASSED</v>
      </c>
      <c r="T383" s="38" t="b">
        <v>0</v>
      </c>
      <c r="U383" s="39"/>
      <c r="V383" s="32" t="s">
        <v>304</v>
      </c>
    </row>
    <row r="384" ht="22.5" customHeight="1">
      <c r="A384" s="26">
        <v>46230.0</v>
      </c>
      <c r="B384" s="58" t="s">
        <v>440</v>
      </c>
      <c r="C384" s="32" t="str">
        <f t="array" ref="C384">_xlfn.XLOOKUP(B384, DB[samplingPoint], DB[samplingTag])</f>
        <v>V50-39 (12)</v>
      </c>
      <c r="D384" s="33" t="s">
        <v>158</v>
      </c>
      <c r="E384" s="35" t="s">
        <v>258</v>
      </c>
      <c r="F384" s="38" t="b">
        <v>1</v>
      </c>
      <c r="G384" s="39" t="str">
        <f t="array" ref="G384">_xlfn.XLOOKUP($B384, DB[samplingPoint], DB[noLocation])</f>
        <v>WATER SYSTEM (B12)</v>
      </c>
      <c r="H384" s="33" t="s">
        <v>437</v>
      </c>
      <c r="I384" s="40" t="str">
        <f t="array" ref="I384">_xlfn.XLOOKUP($B384, DB[samplingPoint], DB[location])</f>
        <v>After EDI (B12)</v>
      </c>
      <c r="J384" s="39" t="str">
        <f t="array" ref="J384">_xlfn.XLOOKUP($B384, DB[samplingPoint], DB[waterType])</f>
        <v>PW</v>
      </c>
      <c r="K384" s="43">
        <f t="shared" si="26"/>
        <v>46230</v>
      </c>
      <c r="L384" s="26">
        <v>46234.0</v>
      </c>
      <c r="M384" s="32">
        <v>0.0</v>
      </c>
      <c r="N384" s="32">
        <v>0.0</v>
      </c>
      <c r="O384" s="32">
        <f t="shared" si="20"/>
        <v>0</v>
      </c>
      <c r="P384" s="49"/>
      <c r="Q384" s="49"/>
      <c r="R384" s="32">
        <f t="array" ref="R384">_xlfn.XLOOKUP($B384, DB[samplingPoint], DB[Criteria])</f>
        <v>100</v>
      </c>
      <c r="S384" s="50" t="str">
        <f t="shared" si="3"/>
        <v>PASSED</v>
      </c>
      <c r="T384" s="38" t="b">
        <v>0</v>
      </c>
      <c r="U384" s="39"/>
      <c r="V384" s="32" t="s">
        <v>304</v>
      </c>
    </row>
    <row r="385" ht="22.5" customHeight="1">
      <c r="A385" s="26">
        <v>46230.0</v>
      </c>
      <c r="B385" s="48" t="s">
        <v>453</v>
      </c>
      <c r="C385" s="32" t="str">
        <f t="array" ref="C385">_xlfn.XLOOKUP(B385, DB[samplingPoint], DB[samplingTag])</f>
        <v>SV136.13</v>
      </c>
      <c r="D385" s="33" t="s">
        <v>158</v>
      </c>
      <c r="E385" s="35" t="s">
        <v>258</v>
      </c>
      <c r="F385" s="38" t="b">
        <v>1</v>
      </c>
      <c r="G385" s="39" t="str">
        <f t="array" ref="G385">_xlfn.XLOOKUP($B385, DB[samplingPoint], DB[noLocation])</f>
        <v>12-2-043</v>
      </c>
      <c r="H385" s="33" t="s">
        <v>437</v>
      </c>
      <c r="I385" s="40" t="str">
        <f t="array" ref="I385">_xlfn.XLOOKUP($B385, DB[samplingPoint], DB[location])</f>
        <v>MFG 3</v>
      </c>
      <c r="J385" s="39" t="str">
        <f t="array" ref="J385">_xlfn.XLOOKUP($B385, DB[samplingPoint], DB[waterType])</f>
        <v>PW</v>
      </c>
      <c r="K385" s="43">
        <f t="shared" si="26"/>
        <v>46230</v>
      </c>
      <c r="L385" s="26">
        <v>46234.0</v>
      </c>
      <c r="M385" s="32">
        <v>0.0</v>
      </c>
      <c r="N385" s="32">
        <v>0.0</v>
      </c>
      <c r="O385" s="32">
        <f t="shared" si="20"/>
        <v>0</v>
      </c>
      <c r="P385" s="49"/>
      <c r="Q385" s="49"/>
      <c r="R385" s="32">
        <f t="array" ref="R385">_xlfn.XLOOKUP($B385, DB[samplingPoint], DB[Criteria])</f>
        <v>100</v>
      </c>
      <c r="S385" s="50" t="str">
        <f t="shared" si="3"/>
        <v>PASSED</v>
      </c>
      <c r="T385" s="38" t="b">
        <v>0</v>
      </c>
      <c r="U385" s="39"/>
      <c r="V385" s="32" t="s">
        <v>304</v>
      </c>
    </row>
    <row r="386" ht="22.5" customHeight="1">
      <c r="A386" s="26">
        <v>46230.0</v>
      </c>
      <c r="B386" s="52" t="s">
        <v>471</v>
      </c>
      <c r="C386" s="32" t="str">
        <f t="array" ref="C386">_xlfn.XLOOKUP(B386, DB[samplingPoint], DB[samplingTag])</f>
        <v>VB-05 (16)</v>
      </c>
      <c r="D386" s="33" t="s">
        <v>158</v>
      </c>
      <c r="E386" s="35" t="s">
        <v>260</v>
      </c>
      <c r="F386" s="38" t="b">
        <v>1</v>
      </c>
      <c r="G386" s="39" t="str">
        <f t="array" ref="G386">_xlfn.XLOOKUP($B386, DB[samplingPoint], DB[noLocation])</f>
        <v>WATER SYSTEM (B16)</v>
      </c>
      <c r="H386" s="33" t="s">
        <v>327</v>
      </c>
      <c r="I386" s="40" t="str">
        <f t="array" ref="I386">_xlfn.XLOOKUP($B386, DB[samplingPoint], DB[location])</f>
        <v>After Chlorine circulation tank (B16)</v>
      </c>
      <c r="J386" s="39" t="str">
        <f t="array" ref="J386">_xlfn.XLOOKUP($B386, DB[samplingPoint], DB[waterType])</f>
        <v>PRW</v>
      </c>
      <c r="K386" s="43">
        <f t="shared" si="26"/>
        <v>46230</v>
      </c>
      <c r="L386" s="26">
        <v>46234.0</v>
      </c>
      <c r="M386" s="32">
        <v>254.0</v>
      </c>
      <c r="N386" s="32">
        <v>210.0</v>
      </c>
      <c r="O386" s="32">
        <f t="shared" si="20"/>
        <v>232</v>
      </c>
      <c r="P386" s="49"/>
      <c r="Q386" s="49"/>
      <c r="R386" s="32">
        <f t="array" ref="R386">_xlfn.XLOOKUP($B386, DB[samplingPoint], DB[Criteria])</f>
        <v>500</v>
      </c>
      <c r="S386" s="50" t="str">
        <f t="shared" si="3"/>
        <v>PASSED</v>
      </c>
      <c r="T386" s="38" t="b">
        <v>0</v>
      </c>
      <c r="U386" s="39"/>
      <c r="V386" s="32" t="s">
        <v>304</v>
      </c>
    </row>
    <row r="387" ht="22.5" customHeight="1">
      <c r="A387" s="26">
        <v>46230.0</v>
      </c>
      <c r="B387" s="27" t="s">
        <v>470</v>
      </c>
      <c r="C387" s="32" t="str">
        <f t="array" ref="C387">_xlfn.XLOOKUP(B387, DB[samplingPoint], DB[samplingTag])</f>
        <v>V50-61 (16)</v>
      </c>
      <c r="D387" s="33" t="s">
        <v>158</v>
      </c>
      <c r="E387" s="35" t="s">
        <v>260</v>
      </c>
      <c r="F387" s="38" t="b">
        <v>1</v>
      </c>
      <c r="G387" s="39" t="str">
        <f t="array" ref="G387">_xlfn.XLOOKUP($B387, DB[samplingPoint], DB[noLocation])</f>
        <v>WATER SYSTEM (B16)</v>
      </c>
      <c r="H387" s="33" t="s">
        <v>327</v>
      </c>
      <c r="I387" s="40" t="str">
        <f t="array" ref="I387">_xlfn.XLOOKUP($B387, DB[samplingPoint], DB[location])</f>
        <v>After Cartridge filter 5 µm (B16)</v>
      </c>
      <c r="J387" s="39" t="str">
        <f t="array" ref="J387">_xlfn.XLOOKUP($B387, DB[samplingPoint], DB[waterType])</f>
        <v>PRW</v>
      </c>
      <c r="K387" s="43">
        <f t="shared" si="26"/>
        <v>46230</v>
      </c>
      <c r="L387" s="26">
        <v>46234.0</v>
      </c>
      <c r="M387" s="32">
        <v>140.0</v>
      </c>
      <c r="N387" s="32">
        <v>157.0</v>
      </c>
      <c r="O387" s="32">
        <f t="shared" si="20"/>
        <v>149</v>
      </c>
      <c r="P387" s="49"/>
      <c r="Q387" s="49"/>
      <c r="R387" s="32">
        <f t="array" ref="R387">_xlfn.XLOOKUP($B387, DB[samplingPoint], DB[Criteria])</f>
        <v>500</v>
      </c>
      <c r="S387" s="50" t="str">
        <f t="shared" si="3"/>
        <v>PASSED</v>
      </c>
      <c r="T387" s="38" t="b">
        <v>0</v>
      </c>
      <c r="U387" s="39"/>
      <c r="V387" s="32" t="s">
        <v>304</v>
      </c>
    </row>
    <row r="388" ht="22.5" customHeight="1">
      <c r="A388" s="26">
        <v>46230.0</v>
      </c>
      <c r="B388" s="58" t="s">
        <v>466</v>
      </c>
      <c r="C388" s="32" t="str">
        <f t="array" ref="C388">_xlfn.XLOOKUP(B388, DB[samplingPoint], DB[samplingTag])</f>
        <v>V50-11C (16)</v>
      </c>
      <c r="D388" s="33" t="s">
        <v>158</v>
      </c>
      <c r="E388" s="35" t="s">
        <v>260</v>
      </c>
      <c r="F388" s="38" t="b">
        <v>1</v>
      </c>
      <c r="G388" s="39" t="str">
        <f t="array" ref="G388">_xlfn.XLOOKUP($B388, DB[samplingPoint], DB[noLocation])</f>
        <v>WATER SYSTEM (B16)</v>
      </c>
      <c r="H388" s="33" t="s">
        <v>327</v>
      </c>
      <c r="I388" s="40" t="str">
        <f t="array" ref="I388">_xlfn.XLOOKUP($B388, DB[samplingPoint], DB[location])</f>
        <v>After RO (Before EDI) (B16)</v>
      </c>
      <c r="J388" s="39" t="str">
        <f t="array" ref="J388">_xlfn.XLOOKUP($B388, DB[samplingPoint], DB[waterType])</f>
        <v>RO water</v>
      </c>
      <c r="K388" s="43">
        <f t="shared" si="26"/>
        <v>46230</v>
      </c>
      <c r="L388" s="26">
        <v>46234.0</v>
      </c>
      <c r="M388" s="32">
        <v>0.0</v>
      </c>
      <c r="N388" s="32">
        <v>0.0</v>
      </c>
      <c r="O388" s="32">
        <f t="shared" si="20"/>
        <v>0</v>
      </c>
      <c r="P388" s="49"/>
      <c r="Q388" s="49"/>
      <c r="R388" s="32">
        <f t="array" ref="R388">_xlfn.XLOOKUP($B388, DB[samplingPoint], DB[Criteria])</f>
        <v>500</v>
      </c>
      <c r="S388" s="50" t="str">
        <f t="shared" si="3"/>
        <v>PASSED</v>
      </c>
      <c r="T388" s="38" t="b">
        <v>0</v>
      </c>
      <c r="U388" s="39"/>
      <c r="V388" s="32" t="s">
        <v>304</v>
      </c>
    </row>
    <row r="389" ht="22.5" customHeight="1">
      <c r="A389" s="26">
        <v>46230.0</v>
      </c>
      <c r="B389" s="27" t="s">
        <v>468</v>
      </c>
      <c r="C389" s="32" t="str">
        <f t="array" ref="C389">_xlfn.XLOOKUP(B389, DB[samplingPoint], DB[samplingTag])</f>
        <v>V50-39 (16)</v>
      </c>
      <c r="D389" s="33" t="s">
        <v>158</v>
      </c>
      <c r="E389" s="35" t="s">
        <v>260</v>
      </c>
      <c r="F389" s="38" t="b">
        <v>1</v>
      </c>
      <c r="G389" s="39" t="str">
        <f t="array" ref="G389">_xlfn.XLOOKUP($B389, DB[samplingPoint], DB[noLocation])</f>
        <v>WATER SYSTEM (B16)</v>
      </c>
      <c r="H389" s="33" t="s">
        <v>327</v>
      </c>
      <c r="I389" s="40" t="str">
        <f t="array" ref="I389">_xlfn.XLOOKUP($B389, DB[samplingPoint], DB[location])</f>
        <v>After EDI (B16)</v>
      </c>
      <c r="J389" s="39" t="str">
        <f t="array" ref="J389">_xlfn.XLOOKUP($B389, DB[samplingPoint], DB[waterType])</f>
        <v>PW</v>
      </c>
      <c r="K389" s="43">
        <f t="shared" si="26"/>
        <v>46230</v>
      </c>
      <c r="L389" s="26">
        <v>46234.0</v>
      </c>
      <c r="M389" s="32">
        <v>0.0</v>
      </c>
      <c r="N389" s="32">
        <v>0.0</v>
      </c>
      <c r="O389" s="32">
        <f t="shared" si="20"/>
        <v>0</v>
      </c>
      <c r="P389" s="49"/>
      <c r="Q389" s="49"/>
      <c r="R389" s="32">
        <f t="array" ref="R389">_xlfn.XLOOKUP($B389, DB[samplingPoint], DB[Criteria])</f>
        <v>100</v>
      </c>
      <c r="S389" s="50" t="str">
        <f t="shared" si="3"/>
        <v>PASSED</v>
      </c>
      <c r="T389" s="38" t="b">
        <v>0</v>
      </c>
      <c r="U389" s="39"/>
      <c r="V389" s="32" t="s">
        <v>304</v>
      </c>
    </row>
    <row r="390" ht="22.5" customHeight="1">
      <c r="A390" s="26">
        <v>46234.0</v>
      </c>
      <c r="B390" s="27" t="s">
        <v>390</v>
      </c>
      <c r="C390" s="32" t="str">
        <f t="array" ref="C390">_xlfn.XLOOKUP(B390, DB[samplingPoint], DB[samplingTag])</f>
        <v>SV117.01</v>
      </c>
      <c r="D390" s="33" t="s">
        <v>158</v>
      </c>
      <c r="E390" s="35" t="s">
        <v>262</v>
      </c>
      <c r="F390" s="38" t="b">
        <v>1</v>
      </c>
      <c r="G390" s="39" t="str">
        <f t="array" ref="G390">_xlfn.XLOOKUP($B390, DB[samplingPoint], DB[noLocation])</f>
        <v>WATER SYSTEM (B10)</v>
      </c>
      <c r="H390" s="33" t="s">
        <v>180</v>
      </c>
      <c r="I390" s="40" t="str">
        <f t="array" ref="I390">_xlfn.XLOOKUP($B390, DB[samplingPoint], DB[location])</f>
        <v>Return loop (B10)</v>
      </c>
      <c r="J390" s="39" t="str">
        <f t="array" ref="J390">_xlfn.XLOOKUP($B390, DB[samplingPoint], DB[waterType])</f>
        <v>PW</v>
      </c>
      <c r="K390" s="43">
        <f t="shared" si="26"/>
        <v>46234</v>
      </c>
      <c r="L390" s="26">
        <v>46237.0</v>
      </c>
      <c r="M390" s="32">
        <v>0.0</v>
      </c>
      <c r="N390" s="32">
        <v>0.0</v>
      </c>
      <c r="O390" s="32">
        <f t="shared" si="20"/>
        <v>0</v>
      </c>
      <c r="P390" s="49"/>
      <c r="Q390" s="49"/>
      <c r="R390" s="32">
        <f t="array" ref="R390">_xlfn.XLOOKUP($B390, DB[samplingPoint], DB[Criteria])</f>
        <v>100</v>
      </c>
      <c r="S390" s="50" t="str">
        <f t="shared" si="3"/>
        <v>PASSED</v>
      </c>
      <c r="T390" s="38" t="b">
        <v>0</v>
      </c>
      <c r="U390" s="39"/>
      <c r="V390" s="32" t="s">
        <v>304</v>
      </c>
    </row>
    <row r="391" ht="22.5" customHeight="1">
      <c r="A391" s="26">
        <v>46234.0</v>
      </c>
      <c r="B391" s="48" t="s">
        <v>119</v>
      </c>
      <c r="C391" s="32" t="str">
        <f t="array" ref="C391">_xlfn.XLOOKUP(B391, DB[samplingPoint], DB[samplingTag])</f>
        <v>DV116.15</v>
      </c>
      <c r="D391" s="33" t="s">
        <v>158</v>
      </c>
      <c r="E391" s="35" t="s">
        <v>262</v>
      </c>
      <c r="F391" s="38" t="b">
        <v>1</v>
      </c>
      <c r="G391" s="39" t="str">
        <f t="array" ref="G391">_xlfn.XLOOKUP($B391, DB[samplingPoint], DB[noLocation])</f>
        <v>10-3-104</v>
      </c>
      <c r="H391" s="33" t="s">
        <v>180</v>
      </c>
      <c r="I391" s="40" t="str">
        <f t="array" ref="I391">_xlfn.XLOOKUP($B391, DB[samplingPoint], DB[location])</f>
        <v>BINDER PREPARATION</v>
      </c>
      <c r="J391" s="39" t="str">
        <f t="array" ref="J391">_xlfn.XLOOKUP($B391, DB[samplingPoint], DB[waterType])</f>
        <v>PW</v>
      </c>
      <c r="K391" s="43">
        <f t="shared" si="26"/>
        <v>46234</v>
      </c>
      <c r="L391" s="26">
        <v>46237.0</v>
      </c>
      <c r="M391" s="32">
        <v>0.0</v>
      </c>
      <c r="N391" s="32">
        <v>0.0</v>
      </c>
      <c r="O391" s="32">
        <f t="shared" si="20"/>
        <v>0</v>
      </c>
      <c r="P391" s="49"/>
      <c r="Q391" s="49"/>
      <c r="R391" s="32">
        <f t="array" ref="R391">_xlfn.XLOOKUP($B391, DB[samplingPoint], DB[Criteria])</f>
        <v>100</v>
      </c>
      <c r="S391" s="50" t="str">
        <f t="shared" si="3"/>
        <v>PASSED</v>
      </c>
      <c r="T391" s="38" t="b">
        <v>0</v>
      </c>
      <c r="U391" s="39"/>
      <c r="V391" s="32" t="s">
        <v>304</v>
      </c>
    </row>
    <row r="392" ht="22.5" customHeight="1">
      <c r="A392" s="26">
        <v>46234.0</v>
      </c>
      <c r="B392" s="27" t="s">
        <v>430</v>
      </c>
      <c r="C392" s="32" t="str">
        <f t="array" ref="C392">_xlfn.XLOOKUP(B392, DB[samplingPoint], DB[samplingTag])</f>
        <v>SV137.01</v>
      </c>
      <c r="D392" s="33" t="s">
        <v>158</v>
      </c>
      <c r="E392" s="35" t="s">
        <v>264</v>
      </c>
      <c r="F392" s="38" t="b">
        <v>1</v>
      </c>
      <c r="G392" s="39" t="str">
        <f t="array" ref="G392">_xlfn.XLOOKUP($B392, DB[samplingPoint], DB[noLocation])</f>
        <v>WATER SYSTEM (B12)</v>
      </c>
      <c r="H392" s="33" t="s">
        <v>437</v>
      </c>
      <c r="I392" s="40" t="str">
        <f t="array" ref="I392">_xlfn.XLOOKUP($B392, DB[samplingPoint], DB[location])</f>
        <v>Return loop (B12)</v>
      </c>
      <c r="J392" s="39" t="str">
        <f t="array" ref="J392">_xlfn.XLOOKUP($B392, DB[samplingPoint], DB[waterType])</f>
        <v>PW</v>
      </c>
      <c r="K392" s="43">
        <f t="shared" si="26"/>
        <v>46234</v>
      </c>
      <c r="L392" s="26">
        <v>46237.0</v>
      </c>
      <c r="M392" s="32">
        <v>0.0</v>
      </c>
      <c r="N392" s="32">
        <v>0.0</v>
      </c>
      <c r="O392" s="32">
        <f t="shared" si="20"/>
        <v>0</v>
      </c>
      <c r="P392" s="49"/>
      <c r="Q392" s="49"/>
      <c r="R392" s="32">
        <f t="array" ref="R392">_xlfn.XLOOKUP($B392, DB[samplingPoint], DB[Criteria])</f>
        <v>100</v>
      </c>
      <c r="S392" s="50" t="str">
        <f t="shared" si="3"/>
        <v>PASSED</v>
      </c>
      <c r="T392" s="38" t="b">
        <v>0</v>
      </c>
      <c r="U392" s="39"/>
      <c r="V392" s="32" t="s">
        <v>304</v>
      </c>
    </row>
    <row r="393" ht="22.5" customHeight="1">
      <c r="A393" s="26">
        <v>46234.0</v>
      </c>
      <c r="B393" s="58" t="s">
        <v>464</v>
      </c>
      <c r="C393" s="32" t="str">
        <f t="array" ref="C393">_xlfn.XLOOKUP(B393, DB[samplingPoint], DB[samplingTag])</f>
        <v>SV127.01</v>
      </c>
      <c r="D393" s="33" t="s">
        <v>158</v>
      </c>
      <c r="E393" s="35" t="s">
        <v>266</v>
      </c>
      <c r="F393" s="38" t="b">
        <v>1</v>
      </c>
      <c r="G393" s="39" t="str">
        <f t="array" ref="G393">_xlfn.XLOOKUP($B393, DB[samplingPoint], DB[noLocation])</f>
        <v>WATER SYSTEM (B16)</v>
      </c>
      <c r="H393" s="33" t="s">
        <v>327</v>
      </c>
      <c r="I393" s="40" t="str">
        <f t="array" ref="I393">_xlfn.XLOOKUP($B393, DB[samplingPoint], DB[location])</f>
        <v>Return loop (B16)</v>
      </c>
      <c r="J393" s="39" t="str">
        <f t="array" ref="J393">_xlfn.XLOOKUP($B393, DB[samplingPoint], DB[waterType])</f>
        <v>PW</v>
      </c>
      <c r="K393" s="43">
        <f t="shared" si="26"/>
        <v>46234</v>
      </c>
      <c r="L393" s="26">
        <v>46237.0</v>
      </c>
      <c r="M393" s="32">
        <v>0.0</v>
      </c>
      <c r="N393" s="32">
        <v>0.0</v>
      </c>
      <c r="O393" s="32">
        <f t="shared" si="20"/>
        <v>0</v>
      </c>
      <c r="P393" s="49"/>
      <c r="Q393" s="49"/>
      <c r="R393" s="32">
        <f t="array" ref="R393">_xlfn.XLOOKUP($B393, DB[samplingPoint], DB[Criteria])</f>
        <v>100</v>
      </c>
      <c r="S393" s="50" t="str">
        <f t="shared" si="3"/>
        <v>PASSED</v>
      </c>
      <c r="T393" s="38" t="b">
        <v>0</v>
      </c>
      <c r="U393" s="39"/>
      <c r="V393" s="32" t="s">
        <v>304</v>
      </c>
    </row>
    <row r="394" ht="22.5" customHeight="1">
      <c r="A394" s="26">
        <v>46237.0</v>
      </c>
      <c r="B394" s="27" t="s">
        <v>430</v>
      </c>
      <c r="C394" s="32" t="str">
        <f t="array" ref="C394">_xlfn.XLOOKUP(B394, DB[samplingPoint], DB[samplingTag])</f>
        <v>SV137.01</v>
      </c>
      <c r="D394" s="33" t="s">
        <v>158</v>
      </c>
      <c r="E394" s="35" t="s">
        <v>268</v>
      </c>
      <c r="F394" s="38" t="b">
        <v>1</v>
      </c>
      <c r="G394" s="39" t="str">
        <f t="array" ref="G394">_xlfn.XLOOKUP($B394, DB[samplingPoint], DB[noLocation])</f>
        <v>WATER SYSTEM (B12)</v>
      </c>
      <c r="H394" s="33" t="s">
        <v>437</v>
      </c>
      <c r="I394" s="40" t="str">
        <f t="array" ref="I394">_xlfn.XLOOKUP($B394, DB[samplingPoint], DB[location])</f>
        <v>Return loop (B12)</v>
      </c>
      <c r="J394" s="39" t="str">
        <f t="array" ref="J394">_xlfn.XLOOKUP($B394, DB[samplingPoint], DB[waterType])</f>
        <v>PW</v>
      </c>
      <c r="K394" s="43">
        <f>$A394+1</f>
        <v>46238</v>
      </c>
      <c r="L394" s="26">
        <v>46241.0</v>
      </c>
      <c r="M394" s="32">
        <v>0.0</v>
      </c>
      <c r="N394" s="32">
        <v>0.0</v>
      </c>
      <c r="O394" s="32">
        <f t="shared" si="20"/>
        <v>0</v>
      </c>
      <c r="P394" s="49"/>
      <c r="Q394" s="49"/>
      <c r="R394" s="32">
        <f t="array" ref="R394">_xlfn.XLOOKUP($B394, DB[samplingPoint], DB[Criteria])</f>
        <v>100</v>
      </c>
      <c r="S394" s="50" t="str">
        <f t="shared" si="3"/>
        <v>PASSED</v>
      </c>
      <c r="T394" s="38" t="b">
        <v>0</v>
      </c>
      <c r="U394" s="39"/>
      <c r="V394" s="32" t="s">
        <v>304</v>
      </c>
    </row>
    <row r="395" ht="22.5" customHeight="1">
      <c r="A395" s="26">
        <v>46238.0</v>
      </c>
      <c r="B395" s="27" t="s">
        <v>435</v>
      </c>
      <c r="C395" s="32" t="str">
        <f t="array" ref="C395">_xlfn.XLOOKUP(B395, DB[samplingPoint], DB[samplingTag])</f>
        <v>SV133.01</v>
      </c>
      <c r="D395" s="33" t="s">
        <v>375</v>
      </c>
      <c r="E395" s="35" t="s">
        <v>270</v>
      </c>
      <c r="F395" s="38" t="b">
        <v>1</v>
      </c>
      <c r="G395" s="39" t="str">
        <f t="array" ref="G395">_xlfn.XLOOKUP($B395, DB[samplingPoint], DB[noLocation])</f>
        <v>WATER SYSTEM (B12)</v>
      </c>
      <c r="H395" s="33" t="s">
        <v>437</v>
      </c>
      <c r="I395" s="40" t="str">
        <f t="array" ref="I395">_xlfn.XLOOKUP($B395, DB[samplingPoint], DB[location])</f>
        <v>After Storage tank (B12)</v>
      </c>
      <c r="J395" s="39" t="str">
        <f t="array" ref="J395">_xlfn.XLOOKUP($B395, DB[samplingPoint], DB[waterType])</f>
        <v>PW</v>
      </c>
      <c r="K395" s="43">
        <f t="shared" ref="K395:K417" si="27">$A395+0</f>
        <v>46238</v>
      </c>
      <c r="L395" s="26">
        <v>46241.0</v>
      </c>
      <c r="M395" s="32">
        <v>0.0</v>
      </c>
      <c r="N395" s="32">
        <v>0.0</v>
      </c>
      <c r="O395" s="32">
        <f t="shared" si="20"/>
        <v>0</v>
      </c>
      <c r="P395" s="49"/>
      <c r="Q395" s="49"/>
      <c r="R395" s="32">
        <f t="array" ref="R395">_xlfn.XLOOKUP($B395, DB[samplingPoint], DB[Criteria])</f>
        <v>100</v>
      </c>
      <c r="S395" s="50" t="str">
        <f t="shared" si="3"/>
        <v>PASSED</v>
      </c>
      <c r="T395" s="38" t="b">
        <v>0</v>
      </c>
      <c r="U395" s="39"/>
      <c r="V395" s="32" t="s">
        <v>304</v>
      </c>
    </row>
    <row r="396" ht="22.5" customHeight="1">
      <c r="A396" s="26">
        <v>46238.0</v>
      </c>
      <c r="B396" s="58" t="s">
        <v>438</v>
      </c>
      <c r="C396" s="32" t="str">
        <f t="array" ref="C396">_xlfn.XLOOKUP(B396, DB[samplingPoint], DB[samplingTag])</f>
        <v>SV135.02</v>
      </c>
      <c r="D396" s="33" t="s">
        <v>375</v>
      </c>
      <c r="E396" s="35" t="s">
        <v>270</v>
      </c>
      <c r="F396" s="38" t="b">
        <v>1</v>
      </c>
      <c r="G396" s="39" t="str">
        <f t="array" ref="G396">_xlfn.XLOOKUP($B396, DB[samplingPoint], DB[noLocation])</f>
        <v>WATER SYSTEM (B12)</v>
      </c>
      <c r="H396" s="33" t="s">
        <v>437</v>
      </c>
      <c r="I396" s="40" t="str">
        <f t="array" ref="I396">_xlfn.XLOOKUP($B396, DB[samplingPoint], DB[location])</f>
        <v>After UV (B12)</v>
      </c>
      <c r="J396" s="39" t="str">
        <f t="array" ref="J396">_xlfn.XLOOKUP($B396, DB[samplingPoint], DB[waterType])</f>
        <v>PW</v>
      </c>
      <c r="K396" s="43">
        <f t="shared" si="27"/>
        <v>46238</v>
      </c>
      <c r="L396" s="26">
        <v>46241.0</v>
      </c>
      <c r="M396" s="32">
        <v>0.0</v>
      </c>
      <c r="N396" s="32">
        <v>0.0</v>
      </c>
      <c r="O396" s="32">
        <f t="shared" si="20"/>
        <v>0</v>
      </c>
      <c r="P396" s="49"/>
      <c r="Q396" s="49"/>
      <c r="R396" s="32">
        <f t="array" ref="R396">_xlfn.XLOOKUP($B396, DB[samplingPoint], DB[Criteria])</f>
        <v>100</v>
      </c>
      <c r="S396" s="50" t="str">
        <f t="shared" si="3"/>
        <v>PASSED</v>
      </c>
      <c r="T396" s="38" t="b">
        <v>0</v>
      </c>
      <c r="U396" s="39"/>
      <c r="V396" s="32" t="s">
        <v>304</v>
      </c>
    </row>
    <row r="397" ht="22.5" customHeight="1">
      <c r="A397" s="26">
        <v>46238.0</v>
      </c>
      <c r="B397" s="27" t="s">
        <v>430</v>
      </c>
      <c r="C397" s="32" t="str">
        <f t="array" ref="C397">_xlfn.XLOOKUP(B397, DB[samplingPoint], DB[samplingTag])</f>
        <v>SV137.01</v>
      </c>
      <c r="D397" s="33" t="s">
        <v>375</v>
      </c>
      <c r="E397" s="35" t="s">
        <v>270</v>
      </c>
      <c r="F397" s="38" t="b">
        <v>1</v>
      </c>
      <c r="G397" s="39" t="str">
        <f t="array" ref="G397">_xlfn.XLOOKUP($B397, DB[samplingPoint], DB[noLocation])</f>
        <v>WATER SYSTEM (B12)</v>
      </c>
      <c r="H397" s="33" t="s">
        <v>437</v>
      </c>
      <c r="I397" s="40" t="str">
        <f t="array" ref="I397">_xlfn.XLOOKUP($B397, DB[samplingPoint], DB[location])</f>
        <v>Return loop (B12)</v>
      </c>
      <c r="J397" s="39" t="str">
        <f t="array" ref="J397">_xlfn.XLOOKUP($B397, DB[samplingPoint], DB[waterType])</f>
        <v>PW</v>
      </c>
      <c r="K397" s="43">
        <f t="shared" si="27"/>
        <v>46238</v>
      </c>
      <c r="L397" s="26">
        <v>46241.0</v>
      </c>
      <c r="M397" s="32">
        <v>0.0</v>
      </c>
      <c r="N397" s="32">
        <v>0.0</v>
      </c>
      <c r="O397" s="32">
        <f t="shared" si="20"/>
        <v>0</v>
      </c>
      <c r="P397" s="49"/>
      <c r="Q397" s="49"/>
      <c r="R397" s="32">
        <f t="array" ref="R397">_xlfn.XLOOKUP($B397, DB[samplingPoint], DB[Criteria])</f>
        <v>100</v>
      </c>
      <c r="S397" s="50" t="str">
        <f t="shared" si="3"/>
        <v>PASSED</v>
      </c>
      <c r="T397" s="38" t="b">
        <v>0</v>
      </c>
      <c r="U397" s="39"/>
      <c r="V397" s="32" t="s">
        <v>304</v>
      </c>
    </row>
    <row r="398" ht="22.5" customHeight="1">
      <c r="A398" s="26">
        <v>46238.0</v>
      </c>
      <c r="B398" s="27" t="s">
        <v>443</v>
      </c>
      <c r="C398" s="32" t="str">
        <f t="array" ref="C398">_xlfn.XLOOKUP(B398, DB[samplingPoint], DB[samplingTag])</f>
        <v>SV136.09</v>
      </c>
      <c r="D398" s="33" t="s">
        <v>375</v>
      </c>
      <c r="E398" s="35" t="s">
        <v>270</v>
      </c>
      <c r="F398" s="38" t="b">
        <v>1</v>
      </c>
      <c r="G398" s="39" t="str">
        <f t="array" ref="G398">_xlfn.XLOOKUP($B398, DB[samplingPoint], DB[noLocation])</f>
        <v>12-2-039</v>
      </c>
      <c r="H398" s="33" t="s">
        <v>437</v>
      </c>
      <c r="I398" s="40" t="str">
        <f t="array" ref="I398">_xlfn.XLOOKUP($B398, DB[samplingPoint], DB[location])</f>
        <v>MFG 1</v>
      </c>
      <c r="J398" s="39" t="str">
        <f t="array" ref="J398">_xlfn.XLOOKUP($B398, DB[samplingPoint], DB[waterType])</f>
        <v>PW</v>
      </c>
      <c r="K398" s="43">
        <f t="shared" si="27"/>
        <v>46238</v>
      </c>
      <c r="L398" s="26">
        <v>46241.0</v>
      </c>
      <c r="M398" s="32">
        <v>0.0</v>
      </c>
      <c r="N398" s="32">
        <v>0.0</v>
      </c>
      <c r="O398" s="32">
        <f t="shared" si="20"/>
        <v>0</v>
      </c>
      <c r="P398" s="49"/>
      <c r="Q398" s="49"/>
      <c r="R398" s="32">
        <f t="array" ref="R398">_xlfn.XLOOKUP($B398, DB[samplingPoint], DB[Criteria])</f>
        <v>100</v>
      </c>
      <c r="S398" s="50" t="str">
        <f t="shared" si="3"/>
        <v>PASSED</v>
      </c>
      <c r="T398" s="38" t="b">
        <v>0</v>
      </c>
      <c r="U398" s="39"/>
      <c r="V398" s="32" t="s">
        <v>304</v>
      </c>
    </row>
    <row r="399" ht="22.5" customHeight="1">
      <c r="A399" s="26">
        <v>46238.0</v>
      </c>
      <c r="B399" s="58" t="s">
        <v>419</v>
      </c>
      <c r="C399" s="32" t="str">
        <f t="array" ref="C399">_xlfn.XLOOKUP(B399, DB[samplingPoint], DB[samplingTag])</f>
        <v>DV136.15</v>
      </c>
      <c r="D399" s="33" t="s">
        <v>375</v>
      </c>
      <c r="E399" s="35" t="s">
        <v>270</v>
      </c>
      <c r="F399" s="38" t="b">
        <v>1</v>
      </c>
      <c r="G399" s="39" t="str">
        <f t="array" ref="G399">_xlfn.XLOOKUP($B399, DB[samplingPoint], DB[noLocation])</f>
        <v>12-3-078</v>
      </c>
      <c r="H399" s="33" t="s">
        <v>437</v>
      </c>
      <c r="I399" s="40" t="str">
        <f t="array" ref="I399">_xlfn.XLOOKUP($B399, DB[samplingPoint], DB[location])</f>
        <v>GLASSWARE WASHING 2</v>
      </c>
      <c r="J399" s="39" t="str">
        <f t="array" ref="J399">_xlfn.XLOOKUP($B399, DB[samplingPoint], DB[waterType])</f>
        <v>PW</v>
      </c>
      <c r="K399" s="43">
        <f t="shared" si="27"/>
        <v>46238</v>
      </c>
      <c r="L399" s="26">
        <v>46241.0</v>
      </c>
      <c r="M399" s="32">
        <v>0.0</v>
      </c>
      <c r="N399" s="32">
        <v>0.0</v>
      </c>
      <c r="O399" s="32">
        <f t="shared" si="20"/>
        <v>0</v>
      </c>
      <c r="P399" s="49"/>
      <c r="Q399" s="49"/>
      <c r="R399" s="32">
        <f t="array" ref="R399">_xlfn.XLOOKUP($B399, DB[samplingPoint], DB[Criteria])</f>
        <v>100</v>
      </c>
      <c r="S399" s="50" t="str">
        <f t="shared" si="3"/>
        <v>PASSED</v>
      </c>
      <c r="T399" s="38" t="b">
        <v>0</v>
      </c>
      <c r="U399" s="39"/>
      <c r="V399" s="32" t="s">
        <v>304</v>
      </c>
    </row>
    <row r="400" ht="22.5" customHeight="1">
      <c r="A400" s="26">
        <v>46238.0</v>
      </c>
      <c r="B400" s="27" t="s">
        <v>409</v>
      </c>
      <c r="C400" s="32" t="str">
        <f t="array" ref="C400">_xlfn.XLOOKUP(B400, DB[samplingPoint], DB[samplingTag])</f>
        <v>DV136.13</v>
      </c>
      <c r="D400" s="33" t="s">
        <v>375</v>
      </c>
      <c r="E400" s="35" t="s">
        <v>270</v>
      </c>
      <c r="F400" s="38" t="b">
        <v>1</v>
      </c>
      <c r="G400" s="39" t="str">
        <f t="array" ref="G400">_xlfn.XLOOKUP($B400, DB[samplingPoint], DB[noLocation])</f>
        <v>12-3-057</v>
      </c>
      <c r="H400" s="33" t="s">
        <v>437</v>
      </c>
      <c r="I400" s="40" t="str">
        <f t="array" ref="I400">_xlfn.XLOOKUP($B400, DB[samplingPoint], DB[location])</f>
        <v>STERILIZATION</v>
      </c>
      <c r="J400" s="39" t="str">
        <f t="array" ref="J400">_xlfn.XLOOKUP($B400, DB[samplingPoint], DB[waterType])</f>
        <v>PW</v>
      </c>
      <c r="K400" s="43">
        <f t="shared" si="27"/>
        <v>46238</v>
      </c>
      <c r="L400" s="26">
        <v>46241.0</v>
      </c>
      <c r="M400" s="32">
        <v>0.0</v>
      </c>
      <c r="N400" s="32">
        <v>0.0</v>
      </c>
      <c r="O400" s="32">
        <f t="shared" si="20"/>
        <v>0</v>
      </c>
      <c r="P400" s="49"/>
      <c r="Q400" s="49"/>
      <c r="R400" s="32">
        <f t="array" ref="R400">_xlfn.XLOOKUP($B400, DB[samplingPoint], DB[Criteria])</f>
        <v>100</v>
      </c>
      <c r="S400" s="50" t="str">
        <f t="shared" si="3"/>
        <v>PASSED</v>
      </c>
      <c r="T400" s="38" t="b">
        <v>0</v>
      </c>
      <c r="U400" s="39"/>
      <c r="V400" s="32" t="s">
        <v>304</v>
      </c>
    </row>
    <row r="401" ht="22.5" customHeight="1">
      <c r="A401" s="26">
        <v>46238.0</v>
      </c>
      <c r="B401" s="58" t="s">
        <v>427</v>
      </c>
      <c r="C401" s="32" t="str">
        <f t="array" ref="C401">_xlfn.XLOOKUP(B401, DB[samplingPoint], DB[samplingTag])</f>
        <v>SV136.18</v>
      </c>
      <c r="D401" s="33" t="s">
        <v>375</v>
      </c>
      <c r="E401" s="35" t="s">
        <v>270</v>
      </c>
      <c r="F401" s="38" t="b">
        <v>1</v>
      </c>
      <c r="G401" s="39" t="str">
        <f t="array" ref="G401">_xlfn.XLOOKUP($B401, DB[samplingPoint], DB[noLocation])</f>
        <v>12-3-059</v>
      </c>
      <c r="H401" s="33" t="s">
        <v>437</v>
      </c>
      <c r="I401" s="40" t="str">
        <f t="array" ref="I401">_xlfn.XLOOKUP($B401, DB[samplingPoint], DB[location])</f>
        <v>AUTOCLAVE</v>
      </c>
      <c r="J401" s="39" t="str">
        <f t="array" ref="J401">_xlfn.XLOOKUP($B401, DB[samplingPoint], DB[waterType])</f>
        <v>PW</v>
      </c>
      <c r="K401" s="43">
        <f t="shared" si="27"/>
        <v>46238</v>
      </c>
      <c r="L401" s="26">
        <v>46241.0</v>
      </c>
      <c r="M401" s="32">
        <v>0.0</v>
      </c>
      <c r="N401" s="32">
        <v>0.0</v>
      </c>
      <c r="O401" s="32">
        <f t="shared" si="20"/>
        <v>0</v>
      </c>
      <c r="P401" s="49"/>
      <c r="Q401" s="49"/>
      <c r="R401" s="32">
        <f t="array" ref="R401">_xlfn.XLOOKUP($B401, DB[samplingPoint], DB[Criteria])</f>
        <v>100</v>
      </c>
      <c r="S401" s="50" t="str">
        <f t="shared" si="3"/>
        <v>PASSED</v>
      </c>
      <c r="T401" s="38" t="b">
        <v>0</v>
      </c>
      <c r="U401" s="39"/>
      <c r="V401" s="32" t="s">
        <v>304</v>
      </c>
    </row>
    <row r="402" ht="22.5" customHeight="1">
      <c r="A402" s="26">
        <v>46238.0</v>
      </c>
      <c r="B402" s="27" t="s">
        <v>399</v>
      </c>
      <c r="C402" s="32" t="str">
        <f t="array" ref="C402">_xlfn.XLOOKUP(B402, DB[samplingPoint], DB[samplingTag])</f>
        <v>DV136.11</v>
      </c>
      <c r="D402" s="33" t="s">
        <v>375</v>
      </c>
      <c r="E402" s="35" t="s">
        <v>270</v>
      </c>
      <c r="F402" s="38" t="b">
        <v>1</v>
      </c>
      <c r="G402" s="39" t="str">
        <f t="array" ref="G402">_xlfn.XLOOKUP($B402, DB[samplingPoint], DB[noLocation])</f>
        <v>12-3-059</v>
      </c>
      <c r="H402" s="33" t="s">
        <v>437</v>
      </c>
      <c r="I402" s="40" t="str">
        <f t="array" ref="I402">_xlfn.XLOOKUP($B402, DB[samplingPoint], DB[location])</f>
        <v>AUTOCLAVE</v>
      </c>
      <c r="J402" s="39" t="str">
        <f t="array" ref="J402">_xlfn.XLOOKUP($B402, DB[samplingPoint], DB[waterType])</f>
        <v>PW</v>
      </c>
      <c r="K402" s="43">
        <f t="shared" si="27"/>
        <v>46238</v>
      </c>
      <c r="L402" s="26">
        <v>46241.0</v>
      </c>
      <c r="M402" s="32">
        <v>0.0</v>
      </c>
      <c r="N402" s="32">
        <v>0.0</v>
      </c>
      <c r="O402" s="32">
        <f t="shared" si="20"/>
        <v>0</v>
      </c>
      <c r="P402" s="49"/>
      <c r="Q402" s="49"/>
      <c r="R402" s="32">
        <f t="array" ref="R402">_xlfn.XLOOKUP($B402, DB[samplingPoint], DB[Criteria])</f>
        <v>100</v>
      </c>
      <c r="S402" s="50" t="str">
        <f t="shared" si="3"/>
        <v>PASSED</v>
      </c>
      <c r="T402" s="38" t="b">
        <v>0</v>
      </c>
      <c r="U402" s="39"/>
      <c r="V402" s="32" t="s">
        <v>304</v>
      </c>
    </row>
    <row r="403" ht="22.5" customHeight="1">
      <c r="A403" s="26">
        <v>46238.0</v>
      </c>
      <c r="B403" s="58" t="s">
        <v>405</v>
      </c>
      <c r="C403" s="32" t="str">
        <f t="array" ref="C403">_xlfn.XLOOKUP(B403, DB[samplingPoint], DB[samplingTag])</f>
        <v>DV136.12</v>
      </c>
      <c r="D403" s="33" t="s">
        <v>375</v>
      </c>
      <c r="E403" s="35" t="s">
        <v>270</v>
      </c>
      <c r="F403" s="38" t="b">
        <v>1</v>
      </c>
      <c r="G403" s="39" t="str">
        <f t="array" ref="G403">_xlfn.XLOOKUP($B403, DB[samplingPoint], DB[noLocation])</f>
        <v>12-3-056</v>
      </c>
      <c r="H403" s="33" t="s">
        <v>437</v>
      </c>
      <c r="I403" s="40" t="str">
        <f t="array" ref="I403">_xlfn.XLOOKUP($B403, DB[samplingPoint], DB[location])</f>
        <v>MEDIA PREPARATION</v>
      </c>
      <c r="J403" s="39" t="str">
        <f t="array" ref="J403">_xlfn.XLOOKUP($B403, DB[samplingPoint], DB[waterType])</f>
        <v>PW</v>
      </c>
      <c r="K403" s="43">
        <f t="shared" si="27"/>
        <v>46238</v>
      </c>
      <c r="L403" s="26">
        <v>46241.0</v>
      </c>
      <c r="M403" s="32">
        <v>0.0</v>
      </c>
      <c r="N403" s="32">
        <v>0.0</v>
      </c>
      <c r="O403" s="32">
        <f t="shared" si="20"/>
        <v>0</v>
      </c>
      <c r="P403" s="49"/>
      <c r="Q403" s="49"/>
      <c r="R403" s="32">
        <f t="array" ref="R403">_xlfn.XLOOKUP($B403, DB[samplingPoint], DB[Criteria])</f>
        <v>100</v>
      </c>
      <c r="S403" s="50" t="str">
        <f t="shared" si="3"/>
        <v>PASSED</v>
      </c>
      <c r="T403" s="38" t="b">
        <v>0</v>
      </c>
      <c r="U403" s="39"/>
      <c r="V403" s="32" t="s">
        <v>304</v>
      </c>
    </row>
    <row r="404" ht="22.5" customHeight="1">
      <c r="A404" s="26">
        <v>46238.0</v>
      </c>
      <c r="B404" s="27" t="s">
        <v>393</v>
      </c>
      <c r="C404" s="32" t="str">
        <f t="array" ref="C404">_xlfn.XLOOKUP(B404, DB[samplingPoint], DB[samplingTag])</f>
        <v>DV136.10</v>
      </c>
      <c r="D404" s="33" t="s">
        <v>375</v>
      </c>
      <c r="E404" s="35" t="s">
        <v>270</v>
      </c>
      <c r="F404" s="38" t="b">
        <v>1</v>
      </c>
      <c r="G404" s="39" t="str">
        <f t="array" ref="G404">_xlfn.XLOOKUP($B404, DB[samplingPoint], DB[noLocation])</f>
        <v>12-3-056</v>
      </c>
      <c r="H404" s="33" t="s">
        <v>437</v>
      </c>
      <c r="I404" s="40" t="str">
        <f t="array" ref="I404">_xlfn.XLOOKUP($B404, DB[samplingPoint], DB[location])</f>
        <v>MEDIA PREPARATION</v>
      </c>
      <c r="J404" s="39" t="str">
        <f t="array" ref="J404">_xlfn.XLOOKUP($B404, DB[samplingPoint], DB[waterType])</f>
        <v>PW</v>
      </c>
      <c r="K404" s="43">
        <f t="shared" si="27"/>
        <v>46238</v>
      </c>
      <c r="L404" s="26">
        <v>46241.0</v>
      </c>
      <c r="M404" s="32">
        <v>0.0</v>
      </c>
      <c r="N404" s="32">
        <v>0.0</v>
      </c>
      <c r="O404" s="32">
        <f t="shared" si="20"/>
        <v>0</v>
      </c>
      <c r="P404" s="49"/>
      <c r="Q404" s="49"/>
      <c r="R404" s="32">
        <f t="array" ref="R404">_xlfn.XLOOKUP($B404, DB[samplingPoint], DB[Criteria])</f>
        <v>100</v>
      </c>
      <c r="S404" s="50" t="str">
        <f t="shared" si="3"/>
        <v>PASSED</v>
      </c>
      <c r="T404" s="38" t="b">
        <v>0</v>
      </c>
      <c r="U404" s="39"/>
      <c r="V404" s="32" t="s">
        <v>304</v>
      </c>
    </row>
    <row r="405" ht="22.5" customHeight="1">
      <c r="A405" s="26">
        <v>46238.0</v>
      </c>
      <c r="B405" s="58" t="s">
        <v>413</v>
      </c>
      <c r="C405" s="32" t="str">
        <f t="array" ref="C405">_xlfn.XLOOKUP(B405, DB[samplingPoint], DB[samplingTag])</f>
        <v>DV136.14</v>
      </c>
      <c r="D405" s="33" t="s">
        <v>375</v>
      </c>
      <c r="E405" s="35" t="s">
        <v>270</v>
      </c>
      <c r="F405" s="38" t="b">
        <v>1</v>
      </c>
      <c r="G405" s="39" t="str">
        <f t="array" ref="G405">_xlfn.XLOOKUP($B405, DB[samplingPoint], DB[noLocation])</f>
        <v>12-3-074</v>
      </c>
      <c r="H405" s="33" t="s">
        <v>437</v>
      </c>
      <c r="I405" s="40" t="str">
        <f t="array" ref="I405">_xlfn.XLOOKUP($B405, DB[samplingPoint], DB[location])</f>
        <v>DECONTAMINATION</v>
      </c>
      <c r="J405" s="39" t="str">
        <f t="array" ref="J405">_xlfn.XLOOKUP($B405, DB[samplingPoint], DB[waterType])</f>
        <v>PW</v>
      </c>
      <c r="K405" s="43">
        <f t="shared" si="27"/>
        <v>46238</v>
      </c>
      <c r="L405" s="26">
        <v>46241.0</v>
      </c>
      <c r="M405" s="32">
        <v>0.0</v>
      </c>
      <c r="N405" s="32">
        <v>0.0</v>
      </c>
      <c r="O405" s="32">
        <f t="shared" si="20"/>
        <v>0</v>
      </c>
      <c r="P405" s="49"/>
      <c r="Q405" s="49"/>
      <c r="R405" s="32">
        <f t="array" ref="R405">_xlfn.XLOOKUP($B405, DB[samplingPoint], DB[Criteria])</f>
        <v>100</v>
      </c>
      <c r="S405" s="50" t="str">
        <f t="shared" si="3"/>
        <v>PASSED</v>
      </c>
      <c r="T405" s="38" t="b">
        <v>0</v>
      </c>
      <c r="U405" s="39"/>
      <c r="V405" s="32" t="s">
        <v>304</v>
      </c>
    </row>
    <row r="406" ht="22.5" customHeight="1">
      <c r="A406" s="26">
        <v>46238.0</v>
      </c>
      <c r="B406" s="27" t="s">
        <v>422</v>
      </c>
      <c r="C406" s="32" t="str">
        <f t="array" ref="C406">_xlfn.XLOOKUP(B406, DB[samplingPoint], DB[samplingTag])</f>
        <v>DV136.18</v>
      </c>
      <c r="D406" s="33" t="s">
        <v>375</v>
      </c>
      <c r="E406" s="35" t="s">
        <v>270</v>
      </c>
      <c r="F406" s="38" t="b">
        <v>1</v>
      </c>
      <c r="G406" s="39" t="str">
        <f t="array" ref="G406">_xlfn.XLOOKUP($B406, DB[samplingPoint], DB[noLocation])</f>
        <v>12-3-037</v>
      </c>
      <c r="H406" s="33" t="s">
        <v>437</v>
      </c>
      <c r="I406" s="40" t="str">
        <f t="array" ref="I406">_xlfn.XLOOKUP($B406, DB[samplingPoint], DB[location])</f>
        <v>GLASSWARE WASHING 1</v>
      </c>
      <c r="J406" s="39" t="str">
        <f t="array" ref="J406">_xlfn.XLOOKUP($B406, DB[samplingPoint], DB[waterType])</f>
        <v>PW</v>
      </c>
      <c r="K406" s="43">
        <f t="shared" si="27"/>
        <v>46238</v>
      </c>
      <c r="L406" s="26">
        <v>46241.0</v>
      </c>
      <c r="M406" s="32">
        <v>0.0</v>
      </c>
      <c r="N406" s="32">
        <v>0.0</v>
      </c>
      <c r="O406" s="32">
        <f t="shared" si="20"/>
        <v>0</v>
      </c>
      <c r="P406" s="49"/>
      <c r="Q406" s="49"/>
      <c r="R406" s="32">
        <f t="array" ref="R406">_xlfn.XLOOKUP($B406, DB[samplingPoint], DB[Criteria])</f>
        <v>100</v>
      </c>
      <c r="S406" s="50" t="str">
        <f t="shared" si="3"/>
        <v>PASSED</v>
      </c>
      <c r="T406" s="38" t="b">
        <v>0</v>
      </c>
      <c r="U406" s="39"/>
      <c r="V406" s="32" t="s">
        <v>304</v>
      </c>
    </row>
    <row r="407" ht="22.5" customHeight="1">
      <c r="A407" s="26">
        <v>46238.0</v>
      </c>
      <c r="B407" s="58" t="s">
        <v>373</v>
      </c>
      <c r="C407" s="32" t="str">
        <f t="array" ref="C407">_xlfn.XLOOKUP(B407, DB[samplingPoint], DB[samplingTag])</f>
        <v>DV136.05</v>
      </c>
      <c r="D407" s="33" t="s">
        <v>375</v>
      </c>
      <c r="E407" s="35" t="s">
        <v>270</v>
      </c>
      <c r="F407" s="38" t="b">
        <v>1</v>
      </c>
      <c r="G407" s="39" t="str">
        <f t="array" ref="G407">_xlfn.XLOOKUP($B407, DB[samplingPoint], DB[noLocation])</f>
        <v>12-3-037</v>
      </c>
      <c r="H407" s="33" t="s">
        <v>437</v>
      </c>
      <c r="I407" s="40" t="str">
        <f t="array" ref="I407">_xlfn.XLOOKUP($B407, DB[samplingPoint], DB[location])</f>
        <v>GLASSWARE WASHING 1</v>
      </c>
      <c r="J407" s="39" t="str">
        <f t="array" ref="J407">_xlfn.XLOOKUP($B407, DB[samplingPoint], DB[waterType])</f>
        <v>PW</v>
      </c>
      <c r="K407" s="43">
        <f t="shared" si="27"/>
        <v>46238</v>
      </c>
      <c r="L407" s="26">
        <v>46241.0</v>
      </c>
      <c r="M407" s="32">
        <v>0.0</v>
      </c>
      <c r="N407" s="32">
        <v>0.0</v>
      </c>
      <c r="O407" s="32">
        <f t="shared" si="20"/>
        <v>0</v>
      </c>
      <c r="P407" s="49"/>
      <c r="Q407" s="49"/>
      <c r="R407" s="32">
        <f t="array" ref="R407">_xlfn.XLOOKUP($B407, DB[samplingPoint], DB[Criteria])</f>
        <v>100</v>
      </c>
      <c r="S407" s="50" t="str">
        <f t="shared" si="3"/>
        <v>PASSED</v>
      </c>
      <c r="T407" s="38" t="b">
        <v>0</v>
      </c>
      <c r="U407" s="39"/>
      <c r="V407" s="32" t="s">
        <v>304</v>
      </c>
    </row>
    <row r="408" ht="22.5" customHeight="1">
      <c r="A408" s="26">
        <v>46238.0</v>
      </c>
      <c r="B408" s="27" t="s">
        <v>389</v>
      </c>
      <c r="C408" s="32" t="str">
        <f t="array" ref="C408">_xlfn.XLOOKUP(B408, DB[samplingPoint], DB[samplingTag])</f>
        <v>DV136.06</v>
      </c>
      <c r="D408" s="33" t="s">
        <v>375</v>
      </c>
      <c r="E408" s="35" t="s">
        <v>270</v>
      </c>
      <c r="F408" s="38" t="b">
        <v>1</v>
      </c>
      <c r="G408" s="39" t="str">
        <f t="array" ref="G408">_xlfn.XLOOKUP($B408, DB[samplingPoint], DB[noLocation])</f>
        <v>12-3-037</v>
      </c>
      <c r="H408" s="33" t="s">
        <v>437</v>
      </c>
      <c r="I408" s="40" t="str">
        <f t="array" ref="I408">_xlfn.XLOOKUP($B408, DB[samplingPoint], DB[location])</f>
        <v>GLASSWARE WASHING 1</v>
      </c>
      <c r="J408" s="39" t="str">
        <f t="array" ref="J408">_xlfn.XLOOKUP($B408, DB[samplingPoint], DB[waterType])</f>
        <v>PW</v>
      </c>
      <c r="K408" s="43">
        <f t="shared" si="27"/>
        <v>46238</v>
      </c>
      <c r="L408" s="26">
        <v>46241.0</v>
      </c>
      <c r="M408" s="32">
        <v>0.0</v>
      </c>
      <c r="N408" s="32">
        <v>0.0</v>
      </c>
      <c r="O408" s="32">
        <f t="shared" si="20"/>
        <v>0</v>
      </c>
      <c r="P408" s="49"/>
      <c r="Q408" s="49"/>
      <c r="R408" s="32">
        <f t="array" ref="R408">_xlfn.XLOOKUP($B408, DB[samplingPoint], DB[Criteria])</f>
        <v>100</v>
      </c>
      <c r="S408" s="50" t="str">
        <f t="shared" si="3"/>
        <v>PASSED</v>
      </c>
      <c r="T408" s="38" t="b">
        <v>0</v>
      </c>
      <c r="U408" s="39"/>
      <c r="V408" s="32" t="s">
        <v>304</v>
      </c>
    </row>
    <row r="409" ht="22.5" customHeight="1">
      <c r="A409" s="26">
        <v>46238.0</v>
      </c>
      <c r="B409" s="58" t="s">
        <v>467</v>
      </c>
      <c r="C409" s="32" t="str">
        <f t="array" ref="C409">_xlfn.XLOOKUP(B409, DB[samplingPoint], DB[samplingTag])</f>
        <v>SV123.01</v>
      </c>
      <c r="D409" s="33" t="s">
        <v>375</v>
      </c>
      <c r="E409" s="35" t="s">
        <v>272</v>
      </c>
      <c r="F409" s="38" t="b">
        <v>1</v>
      </c>
      <c r="G409" s="39" t="str">
        <f t="array" ref="G409">_xlfn.XLOOKUP($B409, DB[samplingPoint], DB[noLocation])</f>
        <v>WATER SYSTEM (B16)</v>
      </c>
      <c r="H409" s="33" t="s">
        <v>327</v>
      </c>
      <c r="I409" s="40" t="str">
        <f t="array" ref="I409">_xlfn.XLOOKUP($B409, DB[samplingPoint], DB[location])</f>
        <v>After Storage tank (B16)</v>
      </c>
      <c r="J409" s="39" t="str">
        <f t="array" ref="J409">_xlfn.XLOOKUP($B409, DB[samplingPoint], DB[waterType])</f>
        <v>PW</v>
      </c>
      <c r="K409" s="43">
        <f t="shared" si="27"/>
        <v>46238</v>
      </c>
      <c r="L409" s="26">
        <v>46241.0</v>
      </c>
      <c r="M409" s="32">
        <v>0.0</v>
      </c>
      <c r="N409" s="32">
        <v>0.0</v>
      </c>
      <c r="O409" s="32">
        <f t="shared" si="20"/>
        <v>0</v>
      </c>
      <c r="P409" s="49"/>
      <c r="Q409" s="49"/>
      <c r="R409" s="32">
        <f t="array" ref="R409">_xlfn.XLOOKUP($B409, DB[samplingPoint], DB[Criteria])</f>
        <v>100</v>
      </c>
      <c r="S409" s="50" t="str">
        <f t="shared" si="3"/>
        <v>PASSED</v>
      </c>
      <c r="T409" s="38" t="b">
        <v>0</v>
      </c>
      <c r="U409" s="39"/>
      <c r="V409" s="32" t="s">
        <v>304</v>
      </c>
    </row>
    <row r="410" ht="22.5" customHeight="1">
      <c r="A410" s="26">
        <v>46238.0</v>
      </c>
      <c r="B410" s="58" t="s">
        <v>469</v>
      </c>
      <c r="C410" s="32" t="str">
        <f t="array" ref="C410">_xlfn.XLOOKUP(B410, DB[samplingPoint], DB[samplingTag])</f>
        <v>SV125.02</v>
      </c>
      <c r="D410" s="33" t="s">
        <v>375</v>
      </c>
      <c r="E410" s="35" t="s">
        <v>272</v>
      </c>
      <c r="F410" s="38" t="b">
        <v>1</v>
      </c>
      <c r="G410" s="39" t="str">
        <f t="array" ref="G410">_xlfn.XLOOKUP($B410, DB[samplingPoint], DB[noLocation])</f>
        <v>WATER SYSTEM (B16)</v>
      </c>
      <c r="H410" s="33" t="s">
        <v>327</v>
      </c>
      <c r="I410" s="40" t="str">
        <f t="array" ref="I410">_xlfn.XLOOKUP($B410, DB[samplingPoint], DB[location])</f>
        <v>After UV (B16)</v>
      </c>
      <c r="J410" s="39" t="str">
        <f t="array" ref="J410">_xlfn.XLOOKUP($B410, DB[samplingPoint], DB[waterType])</f>
        <v>PW</v>
      </c>
      <c r="K410" s="43">
        <f t="shared" si="27"/>
        <v>46238</v>
      </c>
      <c r="L410" s="26">
        <v>46241.0</v>
      </c>
      <c r="M410" s="32">
        <v>0.0</v>
      </c>
      <c r="N410" s="32">
        <v>0.0</v>
      </c>
      <c r="O410" s="32">
        <f t="shared" si="20"/>
        <v>0</v>
      </c>
      <c r="P410" s="49"/>
      <c r="Q410" s="49"/>
      <c r="R410" s="32">
        <f t="array" ref="R410">_xlfn.XLOOKUP($B410, DB[samplingPoint], DB[Criteria])</f>
        <v>100</v>
      </c>
      <c r="S410" s="50" t="str">
        <f t="shared" si="3"/>
        <v>PASSED</v>
      </c>
      <c r="T410" s="38" t="b">
        <v>0</v>
      </c>
      <c r="U410" s="39"/>
      <c r="V410" s="32" t="s">
        <v>304</v>
      </c>
    </row>
    <row r="411" ht="22.5" customHeight="1">
      <c r="A411" s="26">
        <v>46238.0</v>
      </c>
      <c r="B411" s="58" t="s">
        <v>464</v>
      </c>
      <c r="C411" s="32" t="str">
        <f t="array" ref="C411">_xlfn.XLOOKUP(B411, DB[samplingPoint], DB[samplingTag])</f>
        <v>SV127.01</v>
      </c>
      <c r="D411" s="33" t="s">
        <v>375</v>
      </c>
      <c r="E411" s="35" t="s">
        <v>272</v>
      </c>
      <c r="F411" s="38" t="b">
        <v>1</v>
      </c>
      <c r="G411" s="39" t="str">
        <f t="array" ref="G411">_xlfn.XLOOKUP($B411, DB[samplingPoint], DB[noLocation])</f>
        <v>WATER SYSTEM (B16)</v>
      </c>
      <c r="H411" s="33" t="s">
        <v>327</v>
      </c>
      <c r="I411" s="40" t="str">
        <f t="array" ref="I411">_xlfn.XLOOKUP($B411, DB[samplingPoint], DB[location])</f>
        <v>Return loop (B16)</v>
      </c>
      <c r="J411" s="39" t="str">
        <f t="array" ref="J411">_xlfn.XLOOKUP($B411, DB[samplingPoint], DB[waterType])</f>
        <v>PW</v>
      </c>
      <c r="K411" s="43">
        <f t="shared" si="27"/>
        <v>46238</v>
      </c>
      <c r="L411" s="26">
        <v>46241.0</v>
      </c>
      <c r="M411" s="32">
        <v>0.0</v>
      </c>
      <c r="N411" s="32">
        <v>0.0</v>
      </c>
      <c r="O411" s="32">
        <f t="shared" si="20"/>
        <v>0</v>
      </c>
      <c r="P411" s="49"/>
      <c r="Q411" s="49"/>
      <c r="R411" s="32">
        <f t="array" ref="R411">_xlfn.XLOOKUP($B411, DB[samplingPoint], DB[Criteria])</f>
        <v>100</v>
      </c>
      <c r="S411" s="50" t="str">
        <f t="shared" si="3"/>
        <v>PASSED</v>
      </c>
      <c r="T411" s="38" t="b">
        <v>0</v>
      </c>
      <c r="U411" s="39"/>
      <c r="V411" s="32" t="s">
        <v>304</v>
      </c>
    </row>
    <row r="412" ht="22.5" customHeight="1">
      <c r="A412" s="26">
        <v>46238.0</v>
      </c>
      <c r="B412" s="27" t="s">
        <v>451</v>
      </c>
      <c r="C412" s="32" t="str">
        <f t="array" ref="C412">_xlfn.XLOOKUP(B412, DB[samplingPoint], DB[samplingTag])</f>
        <v>DV126.02</v>
      </c>
      <c r="D412" s="33" t="s">
        <v>375</v>
      </c>
      <c r="E412" s="35" t="s">
        <v>272</v>
      </c>
      <c r="F412" s="38" t="b">
        <v>1</v>
      </c>
      <c r="G412" s="39" t="str">
        <f t="array" ref="G412">_xlfn.XLOOKUP($B412, DB[samplingPoint], DB[noLocation])</f>
        <v>16-1-082</v>
      </c>
      <c r="H412" s="33" t="s">
        <v>327</v>
      </c>
      <c r="I412" s="40" t="str">
        <f t="array" ref="I412">_xlfn.XLOOKUP($B412, DB[samplingPoint], DB[location])</f>
        <v>WASHING</v>
      </c>
      <c r="J412" s="39" t="str">
        <f t="array" ref="J412">_xlfn.XLOOKUP($B412, DB[samplingPoint], DB[waterType])</f>
        <v>PW</v>
      </c>
      <c r="K412" s="43">
        <f t="shared" si="27"/>
        <v>46238</v>
      </c>
      <c r="L412" s="26">
        <v>46241.0</v>
      </c>
      <c r="M412" s="32">
        <v>0.0</v>
      </c>
      <c r="N412" s="32">
        <v>0.0</v>
      </c>
      <c r="O412" s="32">
        <f t="shared" si="20"/>
        <v>0</v>
      </c>
      <c r="P412" s="49"/>
      <c r="Q412" s="49"/>
      <c r="R412" s="32">
        <f t="array" ref="R412">_xlfn.XLOOKUP($B412, DB[samplingPoint], DB[Criteria])</f>
        <v>100</v>
      </c>
      <c r="S412" s="50" t="str">
        <f t="shared" si="3"/>
        <v>PASSED</v>
      </c>
      <c r="T412" s="38" t="b">
        <v>0</v>
      </c>
      <c r="U412" s="39"/>
      <c r="V412" s="32" t="s">
        <v>304</v>
      </c>
    </row>
    <row r="413" ht="22.5" customHeight="1">
      <c r="A413" s="26">
        <v>46238.0</v>
      </c>
      <c r="B413" s="58" t="s">
        <v>447</v>
      </c>
      <c r="C413" s="32" t="str">
        <f t="array" ref="C413">_xlfn.XLOOKUP(B413, DB[samplingPoint], DB[samplingTag])</f>
        <v>DV126.01</v>
      </c>
      <c r="D413" s="33" t="s">
        <v>375</v>
      </c>
      <c r="E413" s="35" t="s">
        <v>272</v>
      </c>
      <c r="F413" s="38" t="b">
        <v>1</v>
      </c>
      <c r="G413" s="39" t="str">
        <f t="array" ref="G413">_xlfn.XLOOKUP($B413, DB[samplingPoint], DB[noLocation])</f>
        <v>16-1-082</v>
      </c>
      <c r="H413" s="33" t="s">
        <v>327</v>
      </c>
      <c r="I413" s="40" t="str">
        <f t="array" ref="I413">_xlfn.XLOOKUP($B413, DB[samplingPoint], DB[location])</f>
        <v>WASHING</v>
      </c>
      <c r="J413" s="39" t="str">
        <f t="array" ref="J413">_xlfn.XLOOKUP($B413, DB[samplingPoint], DB[waterType])</f>
        <v>PW</v>
      </c>
      <c r="K413" s="43">
        <f t="shared" si="27"/>
        <v>46238</v>
      </c>
      <c r="L413" s="26">
        <v>46241.0</v>
      </c>
      <c r="M413" s="32">
        <v>0.0</v>
      </c>
      <c r="N413" s="32">
        <v>0.0</v>
      </c>
      <c r="O413" s="32">
        <f t="shared" si="20"/>
        <v>0</v>
      </c>
      <c r="P413" s="49"/>
      <c r="Q413" s="49"/>
      <c r="R413" s="32">
        <f t="array" ref="R413">_xlfn.XLOOKUP($B413, DB[samplingPoint], DB[Criteria])</f>
        <v>100</v>
      </c>
      <c r="S413" s="50" t="str">
        <f t="shared" si="3"/>
        <v>PASSED</v>
      </c>
      <c r="T413" s="38" t="b">
        <v>0</v>
      </c>
      <c r="U413" s="39"/>
      <c r="V413" s="32" t="s">
        <v>304</v>
      </c>
    </row>
    <row r="414" ht="22.5" customHeight="1">
      <c r="A414" s="26">
        <v>46238.0</v>
      </c>
      <c r="B414" s="27" t="s">
        <v>459</v>
      </c>
      <c r="C414" s="32" t="str">
        <f t="array" ref="C414">_xlfn.XLOOKUP(B414, DB[samplingPoint], DB[samplingTag])</f>
        <v>SV126.02</v>
      </c>
      <c r="D414" s="33" t="s">
        <v>375</v>
      </c>
      <c r="E414" s="35" t="s">
        <v>272</v>
      </c>
      <c r="F414" s="38" t="b">
        <v>1</v>
      </c>
      <c r="G414" s="39" t="str">
        <f t="array" ref="G414">_xlfn.XLOOKUP($B414, DB[samplingPoint], DB[noLocation])</f>
        <v>16-1-098</v>
      </c>
      <c r="H414" s="33" t="s">
        <v>327</v>
      </c>
      <c r="I414" s="40" t="str">
        <f t="array" ref="I414">_xlfn.XLOOKUP($B414, DB[samplingPoint], DB[location])</f>
        <v>CIP/SIP (EQUIPMENT REQUIREMENT – 200L)</v>
      </c>
      <c r="J414" s="39" t="str">
        <f t="array" ref="J414">_xlfn.XLOOKUP($B414, DB[samplingPoint], DB[waterType])</f>
        <v>PW</v>
      </c>
      <c r="K414" s="43">
        <f t="shared" si="27"/>
        <v>46238</v>
      </c>
      <c r="L414" s="26">
        <v>46241.0</v>
      </c>
      <c r="M414" s="32">
        <v>0.0</v>
      </c>
      <c r="N414" s="32">
        <v>0.0</v>
      </c>
      <c r="O414" s="32">
        <f t="shared" si="20"/>
        <v>0</v>
      </c>
      <c r="P414" s="49"/>
      <c r="Q414" s="49"/>
      <c r="R414" s="32">
        <f t="array" ref="R414">_xlfn.XLOOKUP($B414, DB[samplingPoint], DB[Criteria])</f>
        <v>100</v>
      </c>
      <c r="S414" s="50" t="str">
        <f t="shared" si="3"/>
        <v>PASSED</v>
      </c>
      <c r="T414" s="38" t="b">
        <v>0</v>
      </c>
      <c r="U414" s="39"/>
      <c r="V414" s="32" t="s">
        <v>304</v>
      </c>
    </row>
    <row r="415" ht="22.5" customHeight="1">
      <c r="A415" s="26">
        <v>46238.0</v>
      </c>
      <c r="B415" s="58" t="s">
        <v>454</v>
      </c>
      <c r="C415" s="32" t="str">
        <f t="array" ref="C415">_xlfn.XLOOKUP(B415, DB[samplingPoint], DB[samplingTag])</f>
        <v>DV126.03</v>
      </c>
      <c r="D415" s="33" t="s">
        <v>375</v>
      </c>
      <c r="E415" s="35" t="s">
        <v>272</v>
      </c>
      <c r="F415" s="38" t="b">
        <v>1</v>
      </c>
      <c r="G415" s="39" t="str">
        <f t="array" ref="G415">_xlfn.XLOOKUP($B415, DB[samplingPoint], DB[noLocation])</f>
        <v>16-1-098</v>
      </c>
      <c r="H415" s="33" t="s">
        <v>327</v>
      </c>
      <c r="I415" s="40" t="str">
        <f t="array" ref="I415">_xlfn.XLOOKUP($B415, DB[samplingPoint], DB[location])</f>
        <v>CIP/SIP (SINK WASHING)</v>
      </c>
      <c r="J415" s="39" t="str">
        <f t="array" ref="J415">_xlfn.XLOOKUP($B415, DB[samplingPoint], DB[waterType])</f>
        <v>PW</v>
      </c>
      <c r="K415" s="43">
        <f t="shared" si="27"/>
        <v>46238</v>
      </c>
      <c r="L415" s="26">
        <v>46241.0</v>
      </c>
      <c r="M415" s="32">
        <v>0.0</v>
      </c>
      <c r="N415" s="32">
        <v>0.0</v>
      </c>
      <c r="O415" s="32">
        <f t="shared" si="20"/>
        <v>0</v>
      </c>
      <c r="P415" s="49"/>
      <c r="Q415" s="49"/>
      <c r="R415" s="32">
        <f t="array" ref="R415">_xlfn.XLOOKUP($B415, DB[samplingPoint], DB[Criteria])</f>
        <v>100</v>
      </c>
      <c r="S415" s="50" t="str">
        <f t="shared" si="3"/>
        <v>PASSED</v>
      </c>
      <c r="T415" s="38" t="b">
        <v>0</v>
      </c>
      <c r="U415" s="39"/>
      <c r="V415" s="32" t="s">
        <v>304</v>
      </c>
    </row>
    <row r="416" ht="22.5" customHeight="1">
      <c r="A416" s="26">
        <v>46238.0</v>
      </c>
      <c r="B416" s="27" t="s">
        <v>457</v>
      </c>
      <c r="C416" s="32" t="str">
        <f t="array" ref="C416">_xlfn.XLOOKUP(B416, DB[samplingPoint], DB[samplingTag])</f>
        <v>SV126.01</v>
      </c>
      <c r="D416" s="33" t="s">
        <v>375</v>
      </c>
      <c r="E416" s="35" t="s">
        <v>272</v>
      </c>
      <c r="F416" s="38" t="b">
        <v>1</v>
      </c>
      <c r="G416" s="39" t="str">
        <f t="array" ref="G416">_xlfn.XLOOKUP($B416, DB[samplingPoint], DB[noLocation])</f>
        <v>16-1-092</v>
      </c>
      <c r="H416" s="33" t="s">
        <v>327</v>
      </c>
      <c r="I416" s="40" t="str">
        <f t="array" ref="I416">_xlfn.XLOOKUP($B416, DB[samplingPoint], DB[location])</f>
        <v>LINEN WASHING</v>
      </c>
      <c r="J416" s="39" t="str">
        <f t="array" ref="J416">_xlfn.XLOOKUP($B416, DB[samplingPoint], DB[waterType])</f>
        <v>PW</v>
      </c>
      <c r="K416" s="43">
        <f t="shared" si="27"/>
        <v>46238</v>
      </c>
      <c r="L416" s="26">
        <v>46241.0</v>
      </c>
      <c r="M416" s="32">
        <v>0.0</v>
      </c>
      <c r="N416" s="32">
        <v>0.0</v>
      </c>
      <c r="O416" s="32">
        <f t="shared" si="20"/>
        <v>0</v>
      </c>
      <c r="P416" s="49"/>
      <c r="Q416" s="49"/>
      <c r="R416" s="32">
        <f t="array" ref="R416">_xlfn.XLOOKUP($B416, DB[samplingPoint], DB[Criteria])</f>
        <v>100</v>
      </c>
      <c r="S416" s="50" t="str">
        <f t="shared" si="3"/>
        <v>PASSED</v>
      </c>
      <c r="T416" s="38" t="b">
        <v>0</v>
      </c>
      <c r="U416" s="39"/>
      <c r="V416" s="32" t="s">
        <v>304</v>
      </c>
    </row>
    <row r="417" ht="22.5" customHeight="1">
      <c r="A417" s="26">
        <v>46238.0</v>
      </c>
      <c r="B417" s="58" t="s">
        <v>461</v>
      </c>
      <c r="C417" s="32" t="str">
        <f t="array" ref="C417">_xlfn.XLOOKUP(B417, DB[samplingPoint], DB[samplingTag])</f>
        <v>SV126.03</v>
      </c>
      <c r="D417" s="33" t="s">
        <v>375</v>
      </c>
      <c r="E417" s="35" t="s">
        <v>272</v>
      </c>
      <c r="F417" s="38" t="b">
        <v>1</v>
      </c>
      <c r="G417" s="39" t="str">
        <f t="array" ref="G417">_xlfn.XLOOKUP($B417, DB[samplingPoint], DB[noLocation])</f>
        <v>16-2-010</v>
      </c>
      <c r="H417" s="33" t="s">
        <v>327</v>
      </c>
      <c r="I417" s="40" t="str">
        <f t="array" ref="I417">_xlfn.XLOOKUP($B417, DB[samplingPoint], DB[location])</f>
        <v>WATER SYSTEM (WFI)</v>
      </c>
      <c r="J417" s="39" t="str">
        <f t="array" ref="J417">_xlfn.XLOOKUP($B417, DB[samplingPoint], DB[waterType])</f>
        <v>PW</v>
      </c>
      <c r="K417" s="43">
        <f t="shared" si="27"/>
        <v>46238</v>
      </c>
      <c r="L417" s="26">
        <v>46241.0</v>
      </c>
      <c r="M417" s="32">
        <v>0.0</v>
      </c>
      <c r="N417" s="32">
        <v>0.0</v>
      </c>
      <c r="O417" s="32">
        <f t="shared" si="20"/>
        <v>0</v>
      </c>
      <c r="P417" s="49"/>
      <c r="Q417" s="49"/>
      <c r="R417" s="32">
        <f t="array" ref="R417">_xlfn.XLOOKUP($B417, DB[samplingPoint], DB[Criteria])</f>
        <v>100</v>
      </c>
      <c r="S417" s="50" t="str">
        <f t="shared" si="3"/>
        <v>PASSED</v>
      </c>
      <c r="T417" s="38" t="b">
        <v>0</v>
      </c>
      <c r="U417" s="39"/>
      <c r="V417" s="32" t="s">
        <v>304</v>
      </c>
    </row>
    <row r="418" ht="22.5" customHeight="1">
      <c r="A418" s="26">
        <v>46239.0</v>
      </c>
      <c r="B418" s="27" t="s">
        <v>430</v>
      </c>
      <c r="C418" s="32" t="str">
        <f t="array" ref="C418">_xlfn.XLOOKUP(B418, DB[samplingPoint], DB[samplingTag])</f>
        <v>SV137.01</v>
      </c>
      <c r="D418" s="33" t="s">
        <v>158</v>
      </c>
      <c r="E418" s="35" t="s">
        <v>274</v>
      </c>
      <c r="F418" s="38" t="b">
        <v>1</v>
      </c>
      <c r="G418" s="39" t="str">
        <f t="array" ref="G418">_xlfn.XLOOKUP($B418, DB[samplingPoint], DB[noLocation])</f>
        <v>WATER SYSTEM (B12)</v>
      </c>
      <c r="H418" s="33" t="s">
        <v>437</v>
      </c>
      <c r="I418" s="40" t="str">
        <f t="array" ref="I418">_xlfn.XLOOKUP($B418, DB[samplingPoint], DB[location])</f>
        <v>Return loop (B12)</v>
      </c>
      <c r="J418" s="39" t="str">
        <f t="array" ref="J418">_xlfn.XLOOKUP($B418, DB[samplingPoint], DB[waterType])</f>
        <v>PW</v>
      </c>
      <c r="K418" s="43">
        <f t="shared" ref="K418:K420" si="28">$A418+1</f>
        <v>46240</v>
      </c>
      <c r="L418" s="26">
        <v>46244.0</v>
      </c>
      <c r="M418" s="32">
        <v>0.0</v>
      </c>
      <c r="N418" s="32">
        <v>0.0</v>
      </c>
      <c r="O418" s="32">
        <f t="shared" si="20"/>
        <v>0</v>
      </c>
      <c r="P418" s="49"/>
      <c r="Q418" s="49"/>
      <c r="R418" s="32">
        <f t="array" ref="R418">_xlfn.XLOOKUP($B418, DB[samplingPoint], DB[Criteria])</f>
        <v>100</v>
      </c>
      <c r="S418" s="50" t="str">
        <f t="shared" si="3"/>
        <v>PASSED</v>
      </c>
      <c r="T418" s="38" t="b">
        <v>0</v>
      </c>
      <c r="U418" s="39"/>
      <c r="V418" s="32" t="s">
        <v>304</v>
      </c>
    </row>
    <row r="419" ht="22.5" customHeight="1">
      <c r="A419" s="26">
        <v>46239.0</v>
      </c>
      <c r="B419" s="27" t="s">
        <v>551</v>
      </c>
      <c r="C419" s="32" t="str">
        <f t="array" ref="C419">_xlfn.XLOOKUP(B419, DB[samplingPoint], DB[samplingTag])</f>
        <v>SV136.16</v>
      </c>
      <c r="D419" s="33" t="s">
        <v>158</v>
      </c>
      <c r="E419" s="35" t="s">
        <v>274</v>
      </c>
      <c r="F419" s="38" t="b">
        <v>1</v>
      </c>
      <c r="G419" s="39" t="str">
        <f t="array" ref="G419">_xlfn.XLOOKUP($B419, DB[samplingPoint], DB[noLocation])</f>
        <v>12-2-057</v>
      </c>
      <c r="H419" s="33" t="s">
        <v>437</v>
      </c>
      <c r="I419" s="40" t="str">
        <f t="array" ref="I419">_xlfn.XLOOKUP($B419, DB[samplingPoint], DB[location])</f>
        <v>CIP 2</v>
      </c>
      <c r="J419" s="39" t="str">
        <f t="array" ref="J419">_xlfn.XLOOKUP($B419, DB[samplingPoint], DB[waterType])</f>
        <v>PW</v>
      </c>
      <c r="K419" s="43">
        <f t="shared" si="28"/>
        <v>46240</v>
      </c>
      <c r="L419" s="26">
        <v>46244.0</v>
      </c>
      <c r="M419" s="32">
        <v>0.0</v>
      </c>
      <c r="N419" s="32">
        <v>0.0</v>
      </c>
      <c r="O419" s="32">
        <f t="shared" si="20"/>
        <v>0</v>
      </c>
      <c r="P419" s="49"/>
      <c r="Q419" s="49"/>
      <c r="R419" s="32">
        <f t="array" ref="R419">_xlfn.XLOOKUP($B419, DB[samplingPoint], DB[Criteria])</f>
        <v>100</v>
      </c>
      <c r="S419" s="50" t="str">
        <f t="shared" si="3"/>
        <v>PASSED</v>
      </c>
      <c r="T419" s="38" t="b">
        <v>0</v>
      </c>
      <c r="U419" s="39"/>
      <c r="V419" s="32" t="s">
        <v>304</v>
      </c>
    </row>
    <row r="420" ht="22.5" customHeight="1">
      <c r="A420" s="26">
        <v>46239.0</v>
      </c>
      <c r="B420" s="27" t="s">
        <v>549</v>
      </c>
      <c r="C420" s="32" t="str">
        <f t="array" ref="C420">_xlfn.XLOOKUP(B420, DB[samplingPoint], DB[samplingTag])</f>
        <v>SV136.15</v>
      </c>
      <c r="D420" s="33" t="s">
        <v>158</v>
      </c>
      <c r="E420" s="35" t="s">
        <v>274</v>
      </c>
      <c r="F420" s="38" t="b">
        <v>1</v>
      </c>
      <c r="G420" s="39" t="str">
        <f t="array" ref="G420">_xlfn.XLOOKUP($B420, DB[samplingPoint], DB[noLocation])</f>
        <v>12-2-055</v>
      </c>
      <c r="H420" s="33" t="s">
        <v>437</v>
      </c>
      <c r="I420" s="40" t="str">
        <f t="array" ref="I420">_xlfn.XLOOKUP($B420, DB[samplingPoint], DB[location])</f>
        <v>CIP 3</v>
      </c>
      <c r="J420" s="39" t="str">
        <f t="array" ref="J420">_xlfn.XLOOKUP($B420, DB[samplingPoint], DB[waterType])</f>
        <v>PW</v>
      </c>
      <c r="K420" s="43">
        <f t="shared" si="28"/>
        <v>46240</v>
      </c>
      <c r="L420" s="26">
        <v>46244.0</v>
      </c>
      <c r="M420" s="32">
        <v>0.0</v>
      </c>
      <c r="N420" s="32">
        <v>0.0</v>
      </c>
      <c r="O420" s="32">
        <f t="shared" si="20"/>
        <v>0</v>
      </c>
      <c r="P420" s="49"/>
      <c r="Q420" s="49"/>
      <c r="R420" s="32">
        <f t="array" ref="R420">_xlfn.XLOOKUP($B420, DB[samplingPoint], DB[Criteria])</f>
        <v>100</v>
      </c>
      <c r="S420" s="50" t="str">
        <f t="shared" si="3"/>
        <v>PASSED</v>
      </c>
      <c r="T420" s="38" t="b">
        <v>0</v>
      </c>
      <c r="U420" s="39"/>
      <c r="V420" s="32" t="s">
        <v>304</v>
      </c>
    </row>
    <row r="421" ht="22.5" customHeight="1">
      <c r="A421" s="26">
        <v>46240.0</v>
      </c>
      <c r="B421" s="27" t="s">
        <v>430</v>
      </c>
      <c r="C421" s="32" t="str">
        <f t="array" ref="C421">_xlfn.XLOOKUP(B421, DB[samplingPoint], DB[samplingTag])</f>
        <v>SV137.01</v>
      </c>
      <c r="D421" s="33" t="s">
        <v>158</v>
      </c>
      <c r="E421" s="35" t="s">
        <v>276</v>
      </c>
      <c r="F421" s="38" t="b">
        <v>1</v>
      </c>
      <c r="G421" s="39" t="str">
        <f t="array" ref="G421">_xlfn.XLOOKUP($B421, DB[samplingPoint], DB[noLocation])</f>
        <v>WATER SYSTEM (B12)</v>
      </c>
      <c r="H421" s="33" t="s">
        <v>437</v>
      </c>
      <c r="I421" s="40" t="str">
        <f t="array" ref="I421">_xlfn.XLOOKUP($B421, DB[samplingPoint], DB[location])</f>
        <v>Return loop (B12)</v>
      </c>
      <c r="J421" s="39" t="str">
        <f t="array" ref="J421">_xlfn.XLOOKUP($B421, DB[samplingPoint], DB[waterType])</f>
        <v>PW</v>
      </c>
      <c r="K421" s="43">
        <f t="shared" ref="K421:K422" si="29">$A421+0</f>
        <v>46240</v>
      </c>
      <c r="L421" s="26">
        <v>46244.0</v>
      </c>
      <c r="M421" s="32">
        <v>0.0</v>
      </c>
      <c r="N421" s="32">
        <v>0.0</v>
      </c>
      <c r="O421" s="32">
        <f t="shared" si="20"/>
        <v>0</v>
      </c>
      <c r="P421" s="49"/>
      <c r="Q421" s="49"/>
      <c r="R421" s="32">
        <f t="array" ref="R421">_xlfn.XLOOKUP($B421, DB[samplingPoint], DB[Criteria])</f>
        <v>100</v>
      </c>
      <c r="S421" s="50" t="str">
        <f t="shared" si="3"/>
        <v>PASSED</v>
      </c>
      <c r="T421" s="38" t="b">
        <v>0</v>
      </c>
      <c r="U421" s="39"/>
      <c r="V421" s="32" t="s">
        <v>304</v>
      </c>
    </row>
    <row r="422" ht="22.5" customHeight="1">
      <c r="A422" s="26">
        <v>46240.0</v>
      </c>
      <c r="B422" s="58" t="s">
        <v>445</v>
      </c>
      <c r="C422" s="32" t="str">
        <f t="array" ref="C422">_xlfn.XLOOKUP(B422, DB[samplingPoint], DB[samplingTag])</f>
        <v>SV136.10</v>
      </c>
      <c r="D422" s="33" t="s">
        <v>158</v>
      </c>
      <c r="E422" s="35" t="s">
        <v>276</v>
      </c>
      <c r="F422" s="38" t="b">
        <v>1</v>
      </c>
      <c r="G422" s="39" t="str">
        <f t="array" ref="G422">_xlfn.XLOOKUP($B422, DB[samplingPoint], DB[noLocation])</f>
        <v>12-2-041</v>
      </c>
      <c r="H422" s="33" t="s">
        <v>437</v>
      </c>
      <c r="I422" s="40" t="str">
        <f t="array" ref="I422">_xlfn.XLOOKUP($B422, DB[samplingPoint], DB[location])</f>
        <v>MFG 2</v>
      </c>
      <c r="J422" s="39" t="str">
        <f t="array" ref="J422">_xlfn.XLOOKUP($B422, DB[samplingPoint], DB[waterType])</f>
        <v>PW</v>
      </c>
      <c r="K422" s="43">
        <f t="shared" si="29"/>
        <v>46240</v>
      </c>
      <c r="L422" s="26">
        <v>46244.0</v>
      </c>
      <c r="M422" s="32">
        <v>0.0</v>
      </c>
      <c r="N422" s="32">
        <v>0.0</v>
      </c>
      <c r="O422" s="32">
        <f t="shared" si="20"/>
        <v>0</v>
      </c>
      <c r="P422" s="49"/>
      <c r="Q422" s="49"/>
      <c r="R422" s="32">
        <f t="array" ref="R422">_xlfn.XLOOKUP($B422, DB[samplingPoint], DB[Criteria])</f>
        <v>100</v>
      </c>
      <c r="S422" s="50" t="str">
        <f t="shared" si="3"/>
        <v>PASSED</v>
      </c>
      <c r="T422" s="38" t="b">
        <v>0</v>
      </c>
      <c r="U422" s="39"/>
      <c r="V422" s="32" t="s">
        <v>304</v>
      </c>
    </row>
    <row r="423" ht="22.5" customHeight="1">
      <c r="A423" s="26">
        <v>46241.0</v>
      </c>
      <c r="B423" s="27" t="s">
        <v>430</v>
      </c>
      <c r="C423" s="32" t="str">
        <f t="array" ref="C423">_xlfn.XLOOKUP(B423, DB[samplingPoint], DB[samplingTag])</f>
        <v>SV137.01</v>
      </c>
      <c r="D423" s="33" t="s">
        <v>158</v>
      </c>
      <c r="E423" s="35" t="s">
        <v>278</v>
      </c>
      <c r="F423" s="38" t="b">
        <v>1</v>
      </c>
      <c r="G423" s="39" t="str">
        <f t="array" ref="G423">_xlfn.XLOOKUP($B423, DB[samplingPoint], DB[noLocation])</f>
        <v>WATER SYSTEM (B12)</v>
      </c>
      <c r="H423" s="33" t="s">
        <v>437</v>
      </c>
      <c r="I423" s="40" t="str">
        <f t="array" ref="I423">_xlfn.XLOOKUP($B423, DB[samplingPoint], DB[location])</f>
        <v>Return loop (B12)</v>
      </c>
      <c r="J423" s="39" t="str">
        <f t="array" ref="J423">_xlfn.XLOOKUP($B423, DB[samplingPoint], DB[waterType])</f>
        <v>PW</v>
      </c>
      <c r="K423" s="43">
        <f t="shared" ref="K423:K439" si="30">$A423+1</f>
        <v>46242</v>
      </c>
      <c r="L423" s="26">
        <v>46245.0</v>
      </c>
      <c r="M423" s="32">
        <v>0.0</v>
      </c>
      <c r="N423" s="32">
        <v>0.0</v>
      </c>
      <c r="O423" s="32">
        <f t="shared" si="20"/>
        <v>0</v>
      </c>
      <c r="P423" s="49"/>
      <c r="Q423" s="49"/>
      <c r="R423" s="32">
        <f t="array" ref="R423">_xlfn.XLOOKUP($B423, DB[samplingPoint], DB[Criteria])</f>
        <v>100</v>
      </c>
      <c r="S423" s="50" t="str">
        <f t="shared" si="3"/>
        <v>PASSED</v>
      </c>
      <c r="T423" s="38" t="b">
        <v>0</v>
      </c>
      <c r="U423" s="39"/>
      <c r="V423" s="32" t="s">
        <v>304</v>
      </c>
    </row>
    <row r="424" ht="22.5" customHeight="1">
      <c r="A424" s="26">
        <v>46241.0</v>
      </c>
      <c r="B424" s="58" t="s">
        <v>453</v>
      </c>
      <c r="C424" s="32" t="str">
        <f t="array" ref="C424">_xlfn.XLOOKUP(B424, DB[samplingPoint], DB[samplingTag])</f>
        <v>SV136.13</v>
      </c>
      <c r="D424" s="33" t="s">
        <v>158</v>
      </c>
      <c r="E424" s="35" t="s">
        <v>278</v>
      </c>
      <c r="F424" s="38" t="b">
        <v>1</v>
      </c>
      <c r="G424" s="39" t="str">
        <f t="array" ref="G424">_xlfn.XLOOKUP($B424, DB[samplingPoint], DB[noLocation])</f>
        <v>12-2-043</v>
      </c>
      <c r="H424" s="33" t="s">
        <v>437</v>
      </c>
      <c r="I424" s="40" t="str">
        <f t="array" ref="I424">_xlfn.XLOOKUP($B424, DB[samplingPoint], DB[location])</f>
        <v>MFG 3</v>
      </c>
      <c r="J424" s="39" t="str">
        <f t="array" ref="J424">_xlfn.XLOOKUP($B424, DB[samplingPoint], DB[waterType])</f>
        <v>PW</v>
      </c>
      <c r="K424" s="43">
        <f t="shared" si="30"/>
        <v>46242</v>
      </c>
      <c r="L424" s="26">
        <v>46245.0</v>
      </c>
      <c r="M424" s="32">
        <v>0.0</v>
      </c>
      <c r="N424" s="32">
        <v>0.0</v>
      </c>
      <c r="O424" s="32">
        <f t="shared" si="20"/>
        <v>0</v>
      </c>
      <c r="P424" s="49"/>
      <c r="Q424" s="49"/>
      <c r="R424" s="32">
        <f t="array" ref="R424">_xlfn.XLOOKUP($B424, DB[samplingPoint], DB[Criteria])</f>
        <v>100</v>
      </c>
      <c r="S424" s="50" t="str">
        <f t="shared" si="3"/>
        <v>PASSED</v>
      </c>
      <c r="T424" s="38" t="b">
        <v>0</v>
      </c>
      <c r="U424" s="39"/>
      <c r="V424" s="32" t="s">
        <v>304</v>
      </c>
    </row>
    <row r="425" ht="22.5" customHeight="1">
      <c r="A425" s="26">
        <v>46241.0</v>
      </c>
      <c r="B425" s="27" t="s">
        <v>380</v>
      </c>
      <c r="C425" s="32" t="str">
        <f t="array" ref="C425">_xlfn.XLOOKUP(B425, DB[samplingPoint], DB[samplingTag])</f>
        <v>SV113.01</v>
      </c>
      <c r="D425" s="33" t="s">
        <v>375</v>
      </c>
      <c r="E425" s="35" t="s">
        <v>280</v>
      </c>
      <c r="F425" s="38" t="b">
        <v>1</v>
      </c>
      <c r="G425" s="39" t="str">
        <f t="array" ref="G425">_xlfn.XLOOKUP($B425, DB[samplingPoint], DB[noLocation])</f>
        <v>WATER SYSTEM (B10)</v>
      </c>
      <c r="H425" s="33" t="s">
        <v>180</v>
      </c>
      <c r="I425" s="40" t="str">
        <f t="array" ref="I425">_xlfn.XLOOKUP($B425, DB[samplingPoint], DB[location])</f>
        <v>After Storage tank (B10)</v>
      </c>
      <c r="J425" s="39" t="str">
        <f t="array" ref="J425">_xlfn.XLOOKUP($B425, DB[samplingPoint], DB[waterType])</f>
        <v>PW</v>
      </c>
      <c r="K425" s="43">
        <f t="shared" si="30"/>
        <v>46242</v>
      </c>
      <c r="L425" s="26">
        <v>46245.0</v>
      </c>
      <c r="M425" s="32">
        <v>0.0</v>
      </c>
      <c r="N425" s="32">
        <v>0.0</v>
      </c>
      <c r="O425" s="32">
        <f t="shared" si="20"/>
        <v>0</v>
      </c>
      <c r="P425" s="49"/>
      <c r="Q425" s="49"/>
      <c r="R425" s="32">
        <f t="array" ref="R425">_xlfn.XLOOKUP($B425, DB[samplingPoint], DB[Criteria])</f>
        <v>100</v>
      </c>
      <c r="S425" s="50" t="str">
        <f t="shared" si="3"/>
        <v>PASSED</v>
      </c>
      <c r="T425" s="38" t="b">
        <v>0</v>
      </c>
      <c r="U425" s="39"/>
      <c r="V425" s="32" t="s">
        <v>304</v>
      </c>
    </row>
    <row r="426" ht="22.5" customHeight="1">
      <c r="A426" s="26">
        <v>46241.0</v>
      </c>
      <c r="B426" s="58" t="s">
        <v>385</v>
      </c>
      <c r="C426" s="32" t="str">
        <f t="array" ref="C426">_xlfn.XLOOKUP(B426, DB[samplingPoint], DB[samplingTag])</f>
        <v>SV115.02</v>
      </c>
      <c r="D426" s="33" t="s">
        <v>375</v>
      </c>
      <c r="E426" s="35" t="s">
        <v>280</v>
      </c>
      <c r="F426" s="38" t="b">
        <v>1</v>
      </c>
      <c r="G426" s="39" t="str">
        <f t="array" ref="G426">_xlfn.XLOOKUP($B426, DB[samplingPoint], DB[noLocation])</f>
        <v>WATER SYSTEM (B10)</v>
      </c>
      <c r="H426" s="33" t="s">
        <v>180</v>
      </c>
      <c r="I426" s="40" t="str">
        <f t="array" ref="I426">_xlfn.XLOOKUP($B426, DB[samplingPoint], DB[location])</f>
        <v>After UV (B10)</v>
      </c>
      <c r="J426" s="39" t="str">
        <f t="array" ref="J426">_xlfn.XLOOKUP($B426, DB[samplingPoint], DB[waterType])</f>
        <v>PW</v>
      </c>
      <c r="K426" s="43">
        <f t="shared" si="30"/>
        <v>46242</v>
      </c>
      <c r="L426" s="26">
        <v>46245.0</v>
      </c>
      <c r="M426" s="32">
        <v>0.0</v>
      </c>
      <c r="N426" s="32">
        <v>0.0</v>
      </c>
      <c r="O426" s="32">
        <f t="shared" si="20"/>
        <v>0</v>
      </c>
      <c r="P426" s="49"/>
      <c r="Q426" s="49"/>
      <c r="R426" s="32">
        <f t="array" ref="R426">_xlfn.XLOOKUP($B426, DB[samplingPoint], DB[Criteria])</f>
        <v>100</v>
      </c>
      <c r="S426" s="50" t="str">
        <f t="shared" si="3"/>
        <v>PASSED</v>
      </c>
      <c r="T426" s="38" t="b">
        <v>0</v>
      </c>
      <c r="U426" s="39"/>
      <c r="V426" s="32" t="s">
        <v>304</v>
      </c>
    </row>
    <row r="427" ht="22.5" customHeight="1">
      <c r="A427" s="26">
        <v>46241.0</v>
      </c>
      <c r="B427" s="27" t="s">
        <v>390</v>
      </c>
      <c r="C427" s="32" t="str">
        <f t="array" ref="C427">_xlfn.XLOOKUP(B427, DB[samplingPoint], DB[samplingTag])</f>
        <v>SV117.01</v>
      </c>
      <c r="D427" s="33" t="s">
        <v>375</v>
      </c>
      <c r="E427" s="35" t="s">
        <v>280</v>
      </c>
      <c r="F427" s="38" t="b">
        <v>1</v>
      </c>
      <c r="G427" s="39" t="str">
        <f t="array" ref="G427">_xlfn.XLOOKUP($B427, DB[samplingPoint], DB[noLocation])</f>
        <v>WATER SYSTEM (B10)</v>
      </c>
      <c r="H427" s="33" t="s">
        <v>180</v>
      </c>
      <c r="I427" s="40" t="str">
        <f t="array" ref="I427">_xlfn.XLOOKUP($B427, DB[samplingPoint], DB[location])</f>
        <v>Return loop (B10)</v>
      </c>
      <c r="J427" s="39" t="str">
        <f t="array" ref="J427">_xlfn.XLOOKUP($B427, DB[samplingPoint], DB[waterType])</f>
        <v>PW</v>
      </c>
      <c r="K427" s="43">
        <f t="shared" si="30"/>
        <v>46242</v>
      </c>
      <c r="L427" s="26">
        <v>46245.0</v>
      </c>
      <c r="M427" s="32">
        <v>0.0</v>
      </c>
      <c r="N427" s="32">
        <v>0.0</v>
      </c>
      <c r="O427" s="32">
        <f t="shared" si="20"/>
        <v>0</v>
      </c>
      <c r="P427" s="49"/>
      <c r="Q427" s="49"/>
      <c r="R427" s="32">
        <f t="array" ref="R427">_xlfn.XLOOKUP($B427, DB[samplingPoint], DB[Criteria])</f>
        <v>100</v>
      </c>
      <c r="S427" s="50" t="str">
        <f t="shared" si="3"/>
        <v>PASSED</v>
      </c>
      <c r="T427" s="38" t="b">
        <v>0</v>
      </c>
      <c r="U427" s="39"/>
      <c r="V427" s="32" t="s">
        <v>304</v>
      </c>
    </row>
    <row r="428" ht="22.5" customHeight="1">
      <c r="A428" s="26">
        <v>46241.0</v>
      </c>
      <c r="B428" s="27" t="s">
        <v>489</v>
      </c>
      <c r="C428" s="32" t="str">
        <f t="array" ref="C428">_xlfn.XLOOKUP(B428, DB[samplingPoint], DB[samplingTag])</f>
        <v>DV116.18</v>
      </c>
      <c r="D428" s="33" t="s">
        <v>375</v>
      </c>
      <c r="E428" s="35" t="s">
        <v>280</v>
      </c>
      <c r="F428" s="38" t="b">
        <v>1</v>
      </c>
      <c r="G428" s="39" t="str">
        <f t="array" ref="G428">_xlfn.XLOOKUP($B428, DB[samplingPoint], DB[noLocation])</f>
        <v>10-3-111</v>
      </c>
      <c r="H428" s="33" t="s">
        <v>180</v>
      </c>
      <c r="I428" s="40" t="str">
        <f t="array" ref="I428">_xlfn.XLOOKUP($B428, DB[samplingPoint], DB[location])</f>
        <v>WET GRANULATION-5</v>
      </c>
      <c r="J428" s="39" t="str">
        <f t="array" ref="J428">_xlfn.XLOOKUP($B428, DB[samplingPoint], DB[waterType])</f>
        <v>PW</v>
      </c>
      <c r="K428" s="43">
        <f t="shared" si="30"/>
        <v>46242</v>
      </c>
      <c r="L428" s="26">
        <v>46245.0</v>
      </c>
      <c r="M428" s="32">
        <v>0.0</v>
      </c>
      <c r="N428" s="32">
        <v>0.0</v>
      </c>
      <c r="O428" s="32">
        <f t="shared" si="20"/>
        <v>0</v>
      </c>
      <c r="P428" s="49"/>
      <c r="Q428" s="49"/>
      <c r="R428" s="32">
        <f t="array" ref="R428">_xlfn.XLOOKUP($B428, DB[samplingPoint], DB[Criteria])</f>
        <v>100</v>
      </c>
      <c r="S428" s="50" t="str">
        <f t="shared" si="3"/>
        <v>PASSED</v>
      </c>
      <c r="T428" s="38" t="b">
        <v>0</v>
      </c>
      <c r="U428" s="39"/>
      <c r="V428" s="32" t="s">
        <v>304</v>
      </c>
    </row>
    <row r="429" ht="22.5" customHeight="1">
      <c r="A429" s="26">
        <v>46241.0</v>
      </c>
      <c r="B429" s="58" t="s">
        <v>485</v>
      </c>
      <c r="C429" s="32" t="str">
        <f t="array" ref="C429">_xlfn.XLOOKUP(B429, DB[samplingPoint], DB[samplingTag])</f>
        <v>DV116.16</v>
      </c>
      <c r="D429" s="33" t="s">
        <v>375</v>
      </c>
      <c r="E429" s="35" t="s">
        <v>280</v>
      </c>
      <c r="F429" s="38" t="b">
        <v>1</v>
      </c>
      <c r="G429" s="39" t="str">
        <f t="array" ref="G429">_xlfn.XLOOKUP($B429, DB[samplingPoint], DB[noLocation])</f>
        <v>10-3-107</v>
      </c>
      <c r="H429" s="33" t="s">
        <v>180</v>
      </c>
      <c r="I429" s="40" t="str">
        <f t="array" ref="I429">_xlfn.XLOOKUP($B429, DB[samplingPoint], DB[location])</f>
        <v>WET GRANULATION-2</v>
      </c>
      <c r="J429" s="39" t="str">
        <f t="array" ref="J429">_xlfn.XLOOKUP($B429, DB[samplingPoint], DB[waterType])</f>
        <v>PW</v>
      </c>
      <c r="K429" s="43">
        <f t="shared" si="30"/>
        <v>46242</v>
      </c>
      <c r="L429" s="26">
        <v>46245.0</v>
      </c>
      <c r="M429" s="32">
        <v>0.0</v>
      </c>
      <c r="N429" s="32">
        <v>0.0</v>
      </c>
      <c r="O429" s="32">
        <f t="shared" si="20"/>
        <v>0</v>
      </c>
      <c r="P429" s="49"/>
      <c r="Q429" s="49"/>
      <c r="R429" s="32">
        <f t="array" ref="R429">_xlfn.XLOOKUP($B429, DB[samplingPoint], DB[Criteria])</f>
        <v>100</v>
      </c>
      <c r="S429" s="50" t="str">
        <f t="shared" si="3"/>
        <v>PASSED</v>
      </c>
      <c r="T429" s="38" t="b">
        <v>0</v>
      </c>
      <c r="U429" s="39"/>
      <c r="V429" s="32" t="s">
        <v>304</v>
      </c>
    </row>
    <row r="430" ht="22.5" customHeight="1">
      <c r="A430" s="26">
        <v>46241.0</v>
      </c>
      <c r="B430" s="27" t="s">
        <v>492</v>
      </c>
      <c r="C430" s="32" t="str">
        <f t="array" ref="C430">_xlfn.XLOOKUP(B430, DB[samplingPoint], DB[samplingTag])</f>
        <v>SV116.11</v>
      </c>
      <c r="D430" s="33" t="s">
        <v>375</v>
      </c>
      <c r="E430" s="35" t="s">
        <v>280</v>
      </c>
      <c r="F430" s="38" t="b">
        <v>1</v>
      </c>
      <c r="G430" s="39" t="str">
        <f t="array" ref="G430">_xlfn.XLOOKUP($B430, DB[samplingPoint], DB[noLocation])</f>
        <v>10-3-107</v>
      </c>
      <c r="H430" s="33" t="s">
        <v>180</v>
      </c>
      <c r="I430" s="40" t="str">
        <f t="array" ref="I430">_xlfn.XLOOKUP($B430, DB[samplingPoint], DB[location])</f>
        <v>WET GRANULATION-2</v>
      </c>
      <c r="J430" s="39" t="str">
        <f t="array" ref="J430">_xlfn.XLOOKUP($B430, DB[samplingPoint], DB[waterType])</f>
        <v>PW</v>
      </c>
      <c r="K430" s="43">
        <f t="shared" si="30"/>
        <v>46242</v>
      </c>
      <c r="L430" s="26">
        <v>46245.0</v>
      </c>
      <c r="M430" s="32">
        <v>0.0</v>
      </c>
      <c r="N430" s="32">
        <v>0.0</v>
      </c>
      <c r="O430" s="32">
        <f t="shared" si="20"/>
        <v>0</v>
      </c>
      <c r="P430" s="49"/>
      <c r="Q430" s="49"/>
      <c r="R430" s="32">
        <f t="array" ref="R430">_xlfn.XLOOKUP($B430, DB[samplingPoint], DB[Criteria])</f>
        <v>100</v>
      </c>
      <c r="S430" s="50" t="str">
        <f t="shared" si="3"/>
        <v>PASSED</v>
      </c>
      <c r="T430" s="38" t="b">
        <v>0</v>
      </c>
      <c r="U430" s="39"/>
      <c r="V430" s="32" t="s">
        <v>304</v>
      </c>
    </row>
    <row r="431" ht="22.5" customHeight="1">
      <c r="A431" s="26">
        <v>46241.0</v>
      </c>
      <c r="B431" s="58" t="s">
        <v>482</v>
      </c>
      <c r="C431" s="32" t="str">
        <f t="array" ref="C431">_xlfn.XLOOKUP(B431, DB[samplingPoint], DB[samplingTag])</f>
        <v>DV116.14</v>
      </c>
      <c r="D431" s="33" t="s">
        <v>375</v>
      </c>
      <c r="E431" s="35" t="s">
        <v>280</v>
      </c>
      <c r="F431" s="38" t="b">
        <v>1</v>
      </c>
      <c r="G431" s="39" t="str">
        <f t="array" ref="G431">_xlfn.XLOOKUP($B431, DB[samplingPoint], DB[noLocation])</f>
        <v>10-3-086</v>
      </c>
      <c r="H431" s="33" t="s">
        <v>180</v>
      </c>
      <c r="I431" s="40" t="str">
        <f t="array" ref="I431">_xlfn.XLOOKUP($B431, DB[samplingPoint], DB[location])</f>
        <v>TOOL WASHING</v>
      </c>
      <c r="J431" s="39" t="str">
        <f t="array" ref="J431">_xlfn.XLOOKUP($B431, DB[samplingPoint], DB[waterType])</f>
        <v>PW</v>
      </c>
      <c r="K431" s="43">
        <f t="shared" si="30"/>
        <v>46242</v>
      </c>
      <c r="L431" s="26">
        <v>46245.0</v>
      </c>
      <c r="M431" s="32">
        <v>0.0</v>
      </c>
      <c r="N431" s="32">
        <v>0.0</v>
      </c>
      <c r="O431" s="32">
        <f t="shared" si="20"/>
        <v>0</v>
      </c>
      <c r="P431" s="49"/>
      <c r="Q431" s="49"/>
      <c r="R431" s="32">
        <f t="array" ref="R431">_xlfn.XLOOKUP($B431, DB[samplingPoint], DB[Criteria])</f>
        <v>100</v>
      </c>
      <c r="S431" s="50" t="str">
        <f t="shared" si="3"/>
        <v>PASSED</v>
      </c>
      <c r="T431" s="38" t="b">
        <v>0</v>
      </c>
      <c r="U431" s="39"/>
      <c r="V431" s="32" t="s">
        <v>304</v>
      </c>
    </row>
    <row r="432" ht="22.5" customHeight="1">
      <c r="A432" s="26">
        <v>46241.0</v>
      </c>
      <c r="B432" s="27" t="s">
        <v>490</v>
      </c>
      <c r="C432" s="32" t="str">
        <f t="array" ref="C432">_xlfn.XLOOKUP(B432, DB[samplingPoint], DB[samplingTag])</f>
        <v>SV116.09</v>
      </c>
      <c r="D432" s="33" t="s">
        <v>375</v>
      </c>
      <c r="E432" s="35" t="s">
        <v>280</v>
      </c>
      <c r="F432" s="38" t="b">
        <v>1</v>
      </c>
      <c r="G432" s="39" t="str">
        <f t="array" ref="G432">_xlfn.XLOOKUP($B432, DB[samplingPoint], DB[noLocation])</f>
        <v>10-3-078</v>
      </c>
      <c r="H432" s="33" t="s">
        <v>180</v>
      </c>
      <c r="I432" s="40" t="str">
        <f t="array" ref="I432">_xlfn.XLOOKUP($B432, DB[samplingPoint], DB[location])</f>
        <v>WASHING</v>
      </c>
      <c r="J432" s="39" t="str">
        <f t="array" ref="J432">_xlfn.XLOOKUP($B432, DB[samplingPoint], DB[waterType])</f>
        <v>PW</v>
      </c>
      <c r="K432" s="43">
        <f t="shared" si="30"/>
        <v>46242</v>
      </c>
      <c r="L432" s="26">
        <v>46245.0</v>
      </c>
      <c r="M432" s="32">
        <v>0.0</v>
      </c>
      <c r="N432" s="32">
        <v>0.0</v>
      </c>
      <c r="O432" s="32">
        <f t="shared" si="20"/>
        <v>0</v>
      </c>
      <c r="P432" s="49"/>
      <c r="Q432" s="49"/>
      <c r="R432" s="32">
        <f t="array" ref="R432">_xlfn.XLOOKUP($B432, DB[samplingPoint], DB[Criteria])</f>
        <v>100</v>
      </c>
      <c r="S432" s="50" t="str">
        <f t="shared" si="3"/>
        <v>PASSED</v>
      </c>
      <c r="T432" s="38" t="b">
        <v>0</v>
      </c>
      <c r="U432" s="39"/>
      <c r="V432" s="32" t="s">
        <v>304</v>
      </c>
    </row>
    <row r="433" ht="22.5" customHeight="1">
      <c r="A433" s="26">
        <v>46241.0</v>
      </c>
      <c r="B433" s="58" t="s">
        <v>479</v>
      </c>
      <c r="C433" s="32" t="str">
        <f t="array" ref="C433">_xlfn.XLOOKUP(B433, DB[samplingPoint], DB[samplingTag])</f>
        <v>DV116.13</v>
      </c>
      <c r="D433" s="33" t="s">
        <v>375</v>
      </c>
      <c r="E433" s="35" t="s">
        <v>280</v>
      </c>
      <c r="F433" s="38" t="b">
        <v>1</v>
      </c>
      <c r="G433" s="39" t="str">
        <f t="array" ref="G433">_xlfn.XLOOKUP($B433, DB[samplingPoint], DB[noLocation])</f>
        <v>10-3-078</v>
      </c>
      <c r="H433" s="33" t="s">
        <v>180</v>
      </c>
      <c r="I433" s="40" t="str">
        <f t="array" ref="I433">_xlfn.XLOOKUP($B433, DB[samplingPoint], DB[location])</f>
        <v>WASHING</v>
      </c>
      <c r="J433" s="39" t="str">
        <f t="array" ref="J433">_xlfn.XLOOKUP($B433, DB[samplingPoint], DB[waterType])</f>
        <v>PW</v>
      </c>
      <c r="K433" s="43">
        <f t="shared" si="30"/>
        <v>46242</v>
      </c>
      <c r="L433" s="26">
        <v>46245.0</v>
      </c>
      <c r="M433" s="32">
        <v>0.0</v>
      </c>
      <c r="N433" s="32">
        <v>0.0</v>
      </c>
      <c r="O433" s="32">
        <f t="shared" si="20"/>
        <v>0</v>
      </c>
      <c r="P433" s="49"/>
      <c r="Q433" s="49"/>
      <c r="R433" s="32">
        <f t="array" ref="R433">_xlfn.XLOOKUP($B433, DB[samplingPoint], DB[Criteria])</f>
        <v>100</v>
      </c>
      <c r="S433" s="50" t="str">
        <f t="shared" si="3"/>
        <v>PASSED</v>
      </c>
      <c r="T433" s="38" t="b">
        <v>0</v>
      </c>
      <c r="U433" s="39"/>
      <c r="V433" s="32" t="s">
        <v>304</v>
      </c>
    </row>
    <row r="434" ht="22.5" customHeight="1">
      <c r="A434" s="26">
        <v>46241.0</v>
      </c>
      <c r="B434" s="27" t="s">
        <v>476</v>
      </c>
      <c r="C434" s="32" t="str">
        <f t="array" ref="C434">_xlfn.XLOOKUP(B434, DB[samplingPoint], DB[samplingTag])</f>
        <v>DV116.12</v>
      </c>
      <c r="D434" s="33" t="s">
        <v>375</v>
      </c>
      <c r="E434" s="35" t="s">
        <v>280</v>
      </c>
      <c r="F434" s="38" t="b">
        <v>1</v>
      </c>
      <c r="G434" s="39" t="str">
        <f t="array" ref="G434">_xlfn.XLOOKUP($B434, DB[samplingPoint], DB[noLocation])</f>
        <v>10-3-078</v>
      </c>
      <c r="H434" s="33" t="s">
        <v>180</v>
      </c>
      <c r="I434" s="40" t="str">
        <f t="array" ref="I434">_xlfn.XLOOKUP($B434, DB[samplingPoint], DB[location])</f>
        <v>WASHING</v>
      </c>
      <c r="J434" s="39" t="str">
        <f t="array" ref="J434">_xlfn.XLOOKUP($B434, DB[samplingPoint], DB[waterType])</f>
        <v>PW</v>
      </c>
      <c r="K434" s="43">
        <f t="shared" si="30"/>
        <v>46242</v>
      </c>
      <c r="L434" s="26">
        <v>46245.0</v>
      </c>
      <c r="M434" s="32">
        <v>0.0</v>
      </c>
      <c r="N434" s="32">
        <v>0.0</v>
      </c>
      <c r="O434" s="32">
        <f t="shared" si="20"/>
        <v>0</v>
      </c>
      <c r="P434" s="49"/>
      <c r="Q434" s="49"/>
      <c r="R434" s="32">
        <f t="array" ref="R434">_xlfn.XLOOKUP($B434, DB[samplingPoint], DB[Criteria])</f>
        <v>100</v>
      </c>
      <c r="S434" s="50" t="str">
        <f t="shared" si="3"/>
        <v>PASSED</v>
      </c>
      <c r="T434" s="38" t="b">
        <v>0</v>
      </c>
      <c r="U434" s="39"/>
      <c r="V434" s="32" t="s">
        <v>304</v>
      </c>
    </row>
    <row r="435" ht="22.5" customHeight="1">
      <c r="A435" s="26">
        <v>46241.0</v>
      </c>
      <c r="B435" s="58" t="s">
        <v>488</v>
      </c>
      <c r="C435" s="32" t="str">
        <f t="array" ref="C435">_xlfn.XLOOKUP(B435, DB[samplingPoint], DB[samplingTag])</f>
        <v>DV116.17</v>
      </c>
      <c r="D435" s="33" t="s">
        <v>375</v>
      </c>
      <c r="E435" s="35" t="s">
        <v>280</v>
      </c>
      <c r="F435" s="38" t="b">
        <v>1</v>
      </c>
      <c r="G435" s="39" t="str">
        <f t="array" ref="G435">_xlfn.XLOOKUP($B435, DB[samplingPoint], DB[noLocation])</f>
        <v>10-3-117</v>
      </c>
      <c r="H435" s="33" t="s">
        <v>180</v>
      </c>
      <c r="I435" s="40" t="str">
        <f t="array" ref="I435">_xlfn.XLOOKUP($B435, DB[samplingPoint], DB[location])</f>
        <v>IPQC-2</v>
      </c>
      <c r="J435" s="39" t="str">
        <f t="array" ref="J435">_xlfn.XLOOKUP($B435, DB[samplingPoint], DB[waterType])</f>
        <v>PW</v>
      </c>
      <c r="K435" s="43">
        <f t="shared" si="30"/>
        <v>46242</v>
      </c>
      <c r="L435" s="26">
        <v>46245.0</v>
      </c>
      <c r="M435" s="32">
        <v>0.0</v>
      </c>
      <c r="N435" s="32">
        <v>0.0</v>
      </c>
      <c r="O435" s="32">
        <f t="shared" si="20"/>
        <v>0</v>
      </c>
      <c r="P435" s="49"/>
      <c r="Q435" s="49"/>
      <c r="R435" s="32">
        <f t="array" ref="R435">_xlfn.XLOOKUP($B435, DB[samplingPoint], DB[Criteria])</f>
        <v>100</v>
      </c>
      <c r="S435" s="50" t="str">
        <f t="shared" si="3"/>
        <v>PASSED</v>
      </c>
      <c r="T435" s="38" t="b">
        <v>0</v>
      </c>
      <c r="U435" s="39"/>
      <c r="V435" s="32" t="s">
        <v>304</v>
      </c>
    </row>
    <row r="436" ht="22.5" customHeight="1">
      <c r="A436" s="26">
        <v>46241.0</v>
      </c>
      <c r="B436" s="27" t="s">
        <v>119</v>
      </c>
      <c r="C436" s="32" t="str">
        <f t="array" ref="C436">_xlfn.XLOOKUP(B436, DB[samplingPoint], DB[samplingTag])</f>
        <v>DV116.15</v>
      </c>
      <c r="D436" s="33" t="s">
        <v>375</v>
      </c>
      <c r="E436" s="35" t="s">
        <v>280</v>
      </c>
      <c r="F436" s="38" t="b">
        <v>1</v>
      </c>
      <c r="G436" s="39" t="str">
        <f t="array" ref="G436">_xlfn.XLOOKUP($B436, DB[samplingPoint], DB[noLocation])</f>
        <v>10-3-104</v>
      </c>
      <c r="H436" s="33" t="s">
        <v>180</v>
      </c>
      <c r="I436" s="40" t="str">
        <f t="array" ref="I436">_xlfn.XLOOKUP($B436, DB[samplingPoint], DB[location])</f>
        <v>BINDER PREPARATION</v>
      </c>
      <c r="J436" s="39" t="str">
        <f t="array" ref="J436">_xlfn.XLOOKUP($B436, DB[samplingPoint], DB[waterType])</f>
        <v>PW</v>
      </c>
      <c r="K436" s="43">
        <f t="shared" si="30"/>
        <v>46242</v>
      </c>
      <c r="L436" s="26">
        <v>46245.0</v>
      </c>
      <c r="M436" s="32">
        <v>0.0</v>
      </c>
      <c r="N436" s="32">
        <v>0.0</v>
      </c>
      <c r="O436" s="32">
        <f t="shared" si="20"/>
        <v>0</v>
      </c>
      <c r="P436" s="49"/>
      <c r="Q436" s="49"/>
      <c r="R436" s="32">
        <f t="array" ref="R436">_xlfn.XLOOKUP($B436, DB[samplingPoint], DB[Criteria])</f>
        <v>100</v>
      </c>
      <c r="S436" s="50" t="str">
        <f t="shared" si="3"/>
        <v>PASSED</v>
      </c>
      <c r="T436" s="38" t="b">
        <v>0</v>
      </c>
      <c r="U436" s="39"/>
      <c r="V436" s="32" t="s">
        <v>304</v>
      </c>
    </row>
    <row r="437" ht="22.5" customHeight="1">
      <c r="A437" s="26">
        <v>46241.0</v>
      </c>
      <c r="B437" s="73" t="s">
        <v>431</v>
      </c>
      <c r="C437" s="32" t="s">
        <v>1011</v>
      </c>
      <c r="D437" s="33" t="s">
        <v>375</v>
      </c>
      <c r="E437" s="35" t="s">
        <v>293</v>
      </c>
      <c r="F437" s="38" t="b">
        <v>1</v>
      </c>
      <c r="G437" s="39" t="s">
        <v>1012</v>
      </c>
      <c r="H437" s="33" t="s">
        <v>432</v>
      </c>
      <c r="I437" s="40" t="str">
        <f t="array" ref="I437">_xlfn.XLOOKUP($B437, DB[samplingPoint], DB[location])</f>
        <v>AFTER RO SYSTEM NO.12 SV14</v>
      </c>
      <c r="J437" s="39" t="str">
        <f t="array" ref="J437">_xlfn.XLOOKUP($B437, DB[samplingPoint], DB[waterType])</f>
        <v>PRW</v>
      </c>
      <c r="K437" s="43">
        <f t="shared" si="30"/>
        <v>46242</v>
      </c>
      <c r="L437" s="26">
        <v>46245.0</v>
      </c>
      <c r="M437" s="32">
        <v>176.0</v>
      </c>
      <c r="N437" s="32">
        <v>206.0</v>
      </c>
      <c r="O437" s="32">
        <f t="shared" si="20"/>
        <v>191</v>
      </c>
      <c r="P437" s="49"/>
      <c r="Q437" s="49"/>
      <c r="R437" s="32">
        <f t="array" ref="R437">_xlfn.XLOOKUP($B437, DB[samplingPoint], DB[Criteria])</f>
        <v>500</v>
      </c>
      <c r="S437" s="50" t="str">
        <f t="shared" si="3"/>
        <v>PASSED</v>
      </c>
      <c r="T437" s="38" t="b">
        <v>0</v>
      </c>
      <c r="U437" s="39"/>
      <c r="V437" s="32" t="s">
        <v>304</v>
      </c>
    </row>
    <row r="438" ht="22.5" customHeight="1">
      <c r="A438" s="26">
        <v>46244.0</v>
      </c>
      <c r="B438" s="27" t="s">
        <v>430</v>
      </c>
      <c r="C438" s="32" t="str">
        <f t="array" ref="C438">_xlfn.XLOOKUP(B438, DB[samplingPoint], DB[samplingTag])</f>
        <v>SV137.01</v>
      </c>
      <c r="D438" s="33" t="s">
        <v>158</v>
      </c>
      <c r="E438" s="35" t="s">
        <v>299</v>
      </c>
      <c r="F438" s="38" t="b">
        <v>1</v>
      </c>
      <c r="G438" s="39" t="str">
        <f t="array" ref="G438">_xlfn.XLOOKUP($B438, DB[samplingPoint], DB[noLocation])</f>
        <v>WATER SYSTEM (B12)</v>
      </c>
      <c r="H438" s="33" t="s">
        <v>437</v>
      </c>
      <c r="I438" s="40" t="str">
        <f t="array" ref="I438">_xlfn.XLOOKUP($B438, DB[samplingPoint], DB[location])</f>
        <v>Return loop (B12)</v>
      </c>
      <c r="J438" s="39" t="str">
        <f t="array" ref="J438">_xlfn.XLOOKUP($B438, DB[samplingPoint], DB[waterType])</f>
        <v>PW</v>
      </c>
      <c r="K438" s="43">
        <f t="shared" si="30"/>
        <v>46245</v>
      </c>
      <c r="L438" s="26">
        <v>46248.0</v>
      </c>
      <c r="M438" s="32">
        <v>0.0</v>
      </c>
      <c r="N438" s="32">
        <v>0.0</v>
      </c>
      <c r="O438" s="32">
        <f t="shared" si="20"/>
        <v>0</v>
      </c>
      <c r="P438" s="49"/>
      <c r="Q438" s="49"/>
      <c r="R438" s="32">
        <f t="array" ref="R438">_xlfn.XLOOKUP($B438, DB[samplingPoint], DB[Criteria])</f>
        <v>100</v>
      </c>
      <c r="S438" s="50" t="str">
        <f t="shared" si="3"/>
        <v>PASSED</v>
      </c>
      <c r="T438" s="38" t="b">
        <v>0</v>
      </c>
      <c r="U438" s="39"/>
      <c r="V438" s="32" t="s">
        <v>304</v>
      </c>
    </row>
    <row r="439" ht="22.5" customHeight="1">
      <c r="A439" s="26">
        <v>46244.0</v>
      </c>
      <c r="B439" s="48" t="s">
        <v>548</v>
      </c>
      <c r="C439" s="32" t="str">
        <f t="array" ref="C439">_xlfn.XLOOKUP(B439, DB[samplingPoint], DB[samplingTag])</f>
        <v>DV136.17</v>
      </c>
      <c r="D439" s="33" t="s">
        <v>158</v>
      </c>
      <c r="E439" s="35" t="s">
        <v>299</v>
      </c>
      <c r="F439" s="38" t="b">
        <v>1</v>
      </c>
      <c r="G439" s="39" t="str">
        <f t="array" ref="G439">_xlfn.XLOOKUP($B439, DB[samplingPoint], DB[noLocation])</f>
        <v>12-2-065</v>
      </c>
      <c r="H439" s="33" t="s">
        <v>437</v>
      </c>
      <c r="I439" s="40" t="str">
        <f t="array" ref="I439">_xlfn.XLOOKUP($B439, DB[samplingPoint], DB[location])</f>
        <v>WASHING</v>
      </c>
      <c r="J439" s="39" t="str">
        <f t="array" ref="J439">_xlfn.XLOOKUP($B439, DB[samplingPoint], DB[waterType])</f>
        <v>PW</v>
      </c>
      <c r="K439" s="43">
        <f t="shared" si="30"/>
        <v>46245</v>
      </c>
      <c r="L439" s="26">
        <v>46248.0</v>
      </c>
      <c r="M439" s="32">
        <v>0.0</v>
      </c>
      <c r="N439" s="32">
        <v>0.0</v>
      </c>
      <c r="O439" s="32">
        <f t="shared" si="20"/>
        <v>0</v>
      </c>
      <c r="P439" s="49"/>
      <c r="Q439" s="49"/>
      <c r="R439" s="32">
        <f t="array" ref="R439">_xlfn.XLOOKUP($B439, DB[samplingPoint], DB[Criteria])</f>
        <v>100</v>
      </c>
      <c r="S439" s="50" t="str">
        <f t="shared" si="3"/>
        <v>PASSED</v>
      </c>
      <c r="T439" s="38" t="b">
        <v>0</v>
      </c>
      <c r="U439" s="39"/>
      <c r="V439" s="32" t="s">
        <v>304</v>
      </c>
    </row>
    <row r="440" ht="22.5" customHeight="1">
      <c r="A440" s="26">
        <v>46245.0</v>
      </c>
      <c r="B440" s="113" t="s">
        <v>444</v>
      </c>
      <c r="C440" s="32" t="str">
        <f t="array" ref="C440">_xlfn.XLOOKUP(B440, DB[samplingPoint], DB[samplingTag])</f>
        <v>VB-05 (12)</v>
      </c>
      <c r="D440" s="33" t="s">
        <v>500</v>
      </c>
      <c r="E440" s="35" t="s">
        <v>301</v>
      </c>
      <c r="F440" s="38" t="b">
        <v>1</v>
      </c>
      <c r="G440" s="39" t="str">
        <f t="array" ref="G440">_xlfn.XLOOKUP($B440, DB[samplingPoint], DB[noLocation])</f>
        <v>WATER SYSTEM (B12)</v>
      </c>
      <c r="H440" s="33" t="s">
        <v>437</v>
      </c>
      <c r="I440" s="40" t="str">
        <f t="array" ref="I440">_xlfn.XLOOKUP($B440, DB[samplingPoint], DB[location])</f>
        <v>After Chlorine circulation tank</v>
      </c>
      <c r="J440" s="39" t="str">
        <f t="array" ref="J440">_xlfn.XLOOKUP($B440, DB[samplingPoint], DB[waterType])</f>
        <v>PRW</v>
      </c>
      <c r="K440" s="43">
        <f t="shared" ref="K440:K467" si="31">$A440+0</f>
        <v>46245</v>
      </c>
      <c r="L440" s="26">
        <v>46248.0</v>
      </c>
      <c r="M440" s="32">
        <v>0.0</v>
      </c>
      <c r="N440" s="32">
        <v>0.0</v>
      </c>
      <c r="O440" s="32">
        <f t="shared" si="20"/>
        <v>0</v>
      </c>
      <c r="P440" s="49"/>
      <c r="Q440" s="49"/>
      <c r="R440" s="32">
        <f t="array" ref="R440">_xlfn.XLOOKUP($B440, DB[samplingPoint], DB[Criteria])</f>
        <v>500</v>
      </c>
      <c r="S440" s="50" t="str">
        <f t="shared" si="3"/>
        <v>PASSED</v>
      </c>
      <c r="T440" s="38" t="b">
        <v>0</v>
      </c>
      <c r="U440" s="39"/>
      <c r="V440" s="32" t="s">
        <v>304</v>
      </c>
    </row>
    <row r="441" ht="22.5" customHeight="1">
      <c r="A441" s="26">
        <v>46245.0</v>
      </c>
      <c r="B441" s="58" t="s">
        <v>442</v>
      </c>
      <c r="C441" s="32" t="str">
        <f t="array" ref="C441">_xlfn.XLOOKUP(B441, DB[samplingPoint], DB[samplingTag])</f>
        <v>V50-61 (12)</v>
      </c>
      <c r="D441" s="33" t="s">
        <v>500</v>
      </c>
      <c r="E441" s="35" t="s">
        <v>301</v>
      </c>
      <c r="F441" s="38" t="b">
        <v>1</v>
      </c>
      <c r="G441" s="39" t="str">
        <f t="array" ref="G441">_xlfn.XLOOKUP($B441, DB[samplingPoint], DB[noLocation])</f>
        <v>WATER SYSTEM (B12)</v>
      </c>
      <c r="H441" s="33" t="s">
        <v>437</v>
      </c>
      <c r="I441" s="40" t="str">
        <f t="array" ref="I441">_xlfn.XLOOKUP($B441, DB[samplingPoint], DB[location])</f>
        <v>After Cartridge filter 5 µm (B12)</v>
      </c>
      <c r="J441" s="39" t="str">
        <f t="array" ref="J441">_xlfn.XLOOKUP($B441, DB[samplingPoint], DB[waterType])</f>
        <v>PRW</v>
      </c>
      <c r="K441" s="43">
        <f t="shared" si="31"/>
        <v>46245</v>
      </c>
      <c r="L441" s="26">
        <v>46248.0</v>
      </c>
      <c r="M441" s="32">
        <v>8.0</v>
      </c>
      <c r="N441" s="32">
        <v>3.0</v>
      </c>
      <c r="O441" s="32">
        <f t="shared" si="20"/>
        <v>6</v>
      </c>
      <c r="P441" s="49"/>
      <c r="Q441" s="49"/>
      <c r="R441" s="32">
        <f t="array" ref="R441">_xlfn.XLOOKUP($B441, DB[samplingPoint], DB[Criteria])</f>
        <v>500</v>
      </c>
      <c r="S441" s="50" t="str">
        <f t="shared" si="3"/>
        <v>PASSED</v>
      </c>
      <c r="T441" s="38" t="b">
        <v>0</v>
      </c>
      <c r="U441" s="39"/>
      <c r="V441" s="32" t="s">
        <v>304</v>
      </c>
    </row>
    <row r="442" ht="22.5" customHeight="1">
      <c r="A442" s="26">
        <v>46245.0</v>
      </c>
      <c r="B442" s="27" t="s">
        <v>434</v>
      </c>
      <c r="C442" s="32" t="str">
        <f t="array" ref="C442">_xlfn.XLOOKUP(B442, DB[samplingPoint], DB[samplingTag])</f>
        <v>V50-11C (12)</v>
      </c>
      <c r="D442" s="33" t="s">
        <v>500</v>
      </c>
      <c r="E442" s="35" t="s">
        <v>301</v>
      </c>
      <c r="F442" s="38" t="b">
        <v>1</v>
      </c>
      <c r="G442" s="39" t="str">
        <f t="array" ref="G442">_xlfn.XLOOKUP($B442, DB[samplingPoint], DB[noLocation])</f>
        <v>WATER SYSTEM (B12)</v>
      </c>
      <c r="H442" s="33" t="s">
        <v>437</v>
      </c>
      <c r="I442" s="40" t="str">
        <f t="array" ref="I442">_xlfn.XLOOKUP($B442, DB[samplingPoint], DB[location])</f>
        <v>After RO (Before EDI) (B12)</v>
      </c>
      <c r="J442" s="39" t="str">
        <f t="array" ref="J442">_xlfn.XLOOKUP($B442, DB[samplingPoint], DB[waterType])</f>
        <v>RO water</v>
      </c>
      <c r="K442" s="43">
        <f t="shared" si="31"/>
        <v>46245</v>
      </c>
      <c r="L442" s="26">
        <v>46248.0</v>
      </c>
      <c r="M442" s="32">
        <v>0.0</v>
      </c>
      <c r="N442" s="32">
        <v>0.0</v>
      </c>
      <c r="O442" s="32">
        <f t="shared" si="20"/>
        <v>0</v>
      </c>
      <c r="P442" s="49"/>
      <c r="Q442" s="49"/>
      <c r="R442" s="32">
        <f t="array" ref="R442">_xlfn.XLOOKUP($B442, DB[samplingPoint], DB[Criteria])</f>
        <v>500</v>
      </c>
      <c r="S442" s="50" t="str">
        <f t="shared" si="3"/>
        <v>PASSED</v>
      </c>
      <c r="T442" s="38" t="b">
        <v>0</v>
      </c>
      <c r="U442" s="39"/>
      <c r="V442" s="32" t="s">
        <v>304</v>
      </c>
    </row>
    <row r="443" ht="22.5" customHeight="1">
      <c r="A443" s="26">
        <v>46245.0</v>
      </c>
      <c r="B443" s="58" t="s">
        <v>440</v>
      </c>
      <c r="C443" s="32" t="str">
        <f t="array" ref="C443">_xlfn.XLOOKUP(B443, DB[samplingPoint], DB[samplingTag])</f>
        <v>V50-39 (12)</v>
      </c>
      <c r="D443" s="33" t="s">
        <v>500</v>
      </c>
      <c r="E443" s="35" t="s">
        <v>301</v>
      </c>
      <c r="F443" s="38" t="b">
        <v>1</v>
      </c>
      <c r="G443" s="39" t="str">
        <f t="array" ref="G443">_xlfn.XLOOKUP($B443, DB[samplingPoint], DB[noLocation])</f>
        <v>WATER SYSTEM (B12)</v>
      </c>
      <c r="H443" s="33" t="s">
        <v>437</v>
      </c>
      <c r="I443" s="40" t="str">
        <f t="array" ref="I443">_xlfn.XLOOKUP($B443, DB[samplingPoint], DB[location])</f>
        <v>After EDI (B12)</v>
      </c>
      <c r="J443" s="39" t="str">
        <f t="array" ref="J443">_xlfn.XLOOKUP($B443, DB[samplingPoint], DB[waterType])</f>
        <v>PW</v>
      </c>
      <c r="K443" s="43">
        <f t="shared" si="31"/>
        <v>46245</v>
      </c>
      <c r="L443" s="26">
        <v>46248.0</v>
      </c>
      <c r="M443" s="32">
        <v>0.0</v>
      </c>
      <c r="N443" s="32">
        <v>0.0</v>
      </c>
      <c r="O443" s="32">
        <f t="shared" si="20"/>
        <v>0</v>
      </c>
      <c r="P443" s="49"/>
      <c r="Q443" s="49"/>
      <c r="R443" s="32">
        <f t="array" ref="R443">_xlfn.XLOOKUP($B443, DB[samplingPoint], DB[Criteria])</f>
        <v>100</v>
      </c>
      <c r="S443" s="50" t="str">
        <f t="shared" si="3"/>
        <v>PASSED</v>
      </c>
      <c r="T443" s="38" t="b">
        <v>0</v>
      </c>
      <c r="U443" s="39"/>
      <c r="V443" s="32" t="s">
        <v>304</v>
      </c>
    </row>
    <row r="444" ht="22.5" customHeight="1">
      <c r="A444" s="26">
        <v>46245.0</v>
      </c>
      <c r="B444" s="27" t="s">
        <v>430</v>
      </c>
      <c r="C444" s="32" t="str">
        <f t="array" ref="C444">_xlfn.XLOOKUP(B444, DB[samplingPoint], DB[samplingTag])</f>
        <v>SV137.01</v>
      </c>
      <c r="D444" s="33" t="s">
        <v>500</v>
      </c>
      <c r="E444" s="35" t="s">
        <v>301</v>
      </c>
      <c r="F444" s="38" t="b">
        <v>1</v>
      </c>
      <c r="G444" s="39" t="str">
        <f t="array" ref="G444">_xlfn.XLOOKUP($B444, DB[samplingPoint], DB[noLocation])</f>
        <v>WATER SYSTEM (B12)</v>
      </c>
      <c r="H444" s="33" t="s">
        <v>437</v>
      </c>
      <c r="I444" s="40" t="str">
        <f t="array" ref="I444">_xlfn.XLOOKUP($B444, DB[samplingPoint], DB[location])</f>
        <v>Return loop (B12)</v>
      </c>
      <c r="J444" s="39" t="str">
        <f t="array" ref="J444">_xlfn.XLOOKUP($B444, DB[samplingPoint], DB[waterType])</f>
        <v>PW</v>
      </c>
      <c r="K444" s="43">
        <f t="shared" si="31"/>
        <v>46245</v>
      </c>
      <c r="L444" s="26">
        <v>46248.0</v>
      </c>
      <c r="M444" s="32">
        <v>0.0</v>
      </c>
      <c r="N444" s="32">
        <v>0.0</v>
      </c>
      <c r="O444" s="32">
        <f t="shared" si="20"/>
        <v>0</v>
      </c>
      <c r="P444" s="49"/>
      <c r="Q444" s="49"/>
      <c r="R444" s="32">
        <f t="array" ref="R444">_xlfn.XLOOKUP($B444, DB[samplingPoint], DB[Criteria])</f>
        <v>100</v>
      </c>
      <c r="S444" s="50" t="str">
        <f t="shared" si="3"/>
        <v>PASSED</v>
      </c>
      <c r="T444" s="38" t="b">
        <v>0</v>
      </c>
      <c r="U444" s="39"/>
      <c r="V444" s="32" t="s">
        <v>304</v>
      </c>
    </row>
    <row r="445" ht="22.5" customHeight="1">
      <c r="A445" s="26">
        <v>46245.0</v>
      </c>
      <c r="B445" s="27" t="s">
        <v>551</v>
      </c>
      <c r="C445" s="35" t="str">
        <f t="array" ref="C445">_xlfn.XLOOKUP(B445, DB[samplingPoint], DB[samplingTag])</f>
        <v>SV136.16</v>
      </c>
      <c r="D445" s="33" t="s">
        <v>500</v>
      </c>
      <c r="E445" s="35" t="s">
        <v>301</v>
      </c>
      <c r="F445" s="38" t="b">
        <v>1</v>
      </c>
      <c r="G445" s="39" t="str">
        <f t="array" ref="G445">_xlfn.XLOOKUP($B445, DB[samplingPoint], DB[noLocation])</f>
        <v>12-2-057</v>
      </c>
      <c r="H445" s="33" t="s">
        <v>437</v>
      </c>
      <c r="I445" s="40" t="str">
        <f t="array" ref="I445">_xlfn.XLOOKUP($B445, DB[samplingPoint], DB[location])</f>
        <v>CIP 2</v>
      </c>
      <c r="J445" s="39" t="str">
        <f t="array" ref="J445">_xlfn.XLOOKUP($B445, DB[samplingPoint], DB[waterType])</f>
        <v>PW</v>
      </c>
      <c r="K445" s="43">
        <f t="shared" si="31"/>
        <v>46245</v>
      </c>
      <c r="L445" s="26">
        <v>46248.0</v>
      </c>
      <c r="M445" s="32">
        <v>0.0</v>
      </c>
      <c r="N445" s="32">
        <v>0.0</v>
      </c>
      <c r="O445" s="32">
        <f t="shared" si="20"/>
        <v>0</v>
      </c>
      <c r="P445" s="49"/>
      <c r="Q445" s="49"/>
      <c r="R445" s="32">
        <f t="array" ref="R445">_xlfn.XLOOKUP($B445, DB[samplingPoint], DB[Criteria])</f>
        <v>100</v>
      </c>
      <c r="S445" s="50" t="str">
        <f t="shared" si="3"/>
        <v>PASSED</v>
      </c>
      <c r="T445" s="38" t="b">
        <v>0</v>
      </c>
      <c r="U445" s="39"/>
      <c r="V445" s="32" t="s">
        <v>304</v>
      </c>
    </row>
    <row r="446" ht="22.5" customHeight="1">
      <c r="A446" s="26">
        <v>46245.0</v>
      </c>
      <c r="B446" s="58" t="s">
        <v>518</v>
      </c>
      <c r="C446" s="32" t="str">
        <f t="array" ref="C446">_xlfn.XLOOKUP(B446, DB[samplingPoint], DB[samplingTag])</f>
        <v>SV136.12</v>
      </c>
      <c r="D446" s="33" t="s">
        <v>500</v>
      </c>
      <c r="E446" s="35" t="s">
        <v>301</v>
      </c>
      <c r="F446" s="38" t="b">
        <v>1</v>
      </c>
      <c r="G446" s="39" t="str">
        <f t="array" ref="G446">_xlfn.XLOOKUP($B446, DB[samplingPoint], DB[noLocation])</f>
        <v>12-2-036</v>
      </c>
      <c r="H446" s="33" t="s">
        <v>437</v>
      </c>
      <c r="I446" s="40" t="str">
        <f t="array" ref="I446">_xlfn.XLOOKUP($B446, DB[samplingPoint], DB[location])</f>
        <v>CIP 1</v>
      </c>
      <c r="J446" s="39" t="str">
        <f t="array" ref="J446">_xlfn.XLOOKUP($B446, DB[samplingPoint], DB[waterType])</f>
        <v>PW</v>
      </c>
      <c r="K446" s="43">
        <f t="shared" si="31"/>
        <v>46245</v>
      </c>
      <c r="L446" s="26">
        <v>46248.0</v>
      </c>
      <c r="M446" s="32">
        <v>0.0</v>
      </c>
      <c r="N446" s="32">
        <v>0.0</v>
      </c>
      <c r="O446" s="32">
        <f t="shared" si="20"/>
        <v>0</v>
      </c>
      <c r="P446" s="49"/>
      <c r="Q446" s="49"/>
      <c r="R446" s="32">
        <f t="array" ref="R446">_xlfn.XLOOKUP($B446, DB[samplingPoint], DB[Criteria])</f>
        <v>100</v>
      </c>
      <c r="S446" s="50" t="str">
        <f t="shared" si="3"/>
        <v>PASSED</v>
      </c>
      <c r="T446" s="38" t="b">
        <v>0</v>
      </c>
      <c r="U446" s="39"/>
      <c r="V446" s="32" t="s">
        <v>304</v>
      </c>
    </row>
    <row r="447" ht="22.5" customHeight="1">
      <c r="A447" s="26">
        <v>46245.0</v>
      </c>
      <c r="B447" s="27" t="s">
        <v>517</v>
      </c>
      <c r="C447" s="32" t="str">
        <f t="array" ref="C447">_xlfn.XLOOKUP(B447, DB[samplingPoint], DB[samplingTag])</f>
        <v>SV136.07</v>
      </c>
      <c r="D447" s="33" t="s">
        <v>500</v>
      </c>
      <c r="E447" s="35" t="s">
        <v>301</v>
      </c>
      <c r="F447" s="38" t="b">
        <v>1</v>
      </c>
      <c r="G447" s="39" t="str">
        <f t="array" ref="G447">_xlfn.XLOOKUP($B447, DB[samplingPoint], DB[noLocation])</f>
        <v>12-2-034</v>
      </c>
      <c r="H447" s="33" t="s">
        <v>437</v>
      </c>
      <c r="I447" s="40" t="str">
        <f t="array" ref="I447">_xlfn.XLOOKUP($B447, DB[samplingPoint], DB[location])</f>
        <v>SYRUP PREPARATION</v>
      </c>
      <c r="J447" s="39" t="str">
        <f t="array" ref="J447">_xlfn.XLOOKUP($B447, DB[samplingPoint], DB[waterType])</f>
        <v>PW</v>
      </c>
      <c r="K447" s="43">
        <f t="shared" si="31"/>
        <v>46245</v>
      </c>
      <c r="L447" s="26">
        <v>46248.0</v>
      </c>
      <c r="M447" s="32">
        <v>21.0</v>
      </c>
      <c r="N447" s="32">
        <v>12.0</v>
      </c>
      <c r="O447" s="32">
        <f t="shared" si="20"/>
        <v>17</v>
      </c>
      <c r="P447" s="49" t="s">
        <v>1014</v>
      </c>
      <c r="Q447" s="49"/>
      <c r="R447" s="32">
        <f t="array" ref="R447">_xlfn.XLOOKUP($B447, DB[samplingPoint], DB[Criteria])</f>
        <v>100</v>
      </c>
      <c r="S447" s="50" t="str">
        <f t="shared" si="3"/>
        <v>PASSED</v>
      </c>
      <c r="T447" s="38" t="b">
        <v>0</v>
      </c>
      <c r="U447" s="39"/>
      <c r="V447" s="32" t="s">
        <v>304</v>
      </c>
    </row>
    <row r="448" ht="22.5" customHeight="1">
      <c r="A448" s="26">
        <v>46245.0</v>
      </c>
      <c r="B448" s="58" t="s">
        <v>516</v>
      </c>
      <c r="C448" s="32" t="str">
        <f t="array" ref="C448">_xlfn.XLOOKUP(B448, DB[samplingPoint], DB[samplingTag])</f>
        <v>SV136.06</v>
      </c>
      <c r="D448" s="33" t="s">
        <v>500</v>
      </c>
      <c r="E448" s="35" t="s">
        <v>301</v>
      </c>
      <c r="F448" s="38" t="b">
        <v>1</v>
      </c>
      <c r="G448" s="39" t="str">
        <f t="array" ref="G448">_xlfn.XLOOKUP($B448, DB[samplingPoint], DB[noLocation])</f>
        <v>12-2-034</v>
      </c>
      <c r="H448" s="33" t="s">
        <v>437</v>
      </c>
      <c r="I448" s="40" t="str">
        <f t="array" ref="I448">_xlfn.XLOOKUP($B448, DB[samplingPoint], DB[location])</f>
        <v>SYRUP PREPARATION</v>
      </c>
      <c r="J448" s="39" t="str">
        <f t="array" ref="J448">_xlfn.XLOOKUP($B448, DB[samplingPoint], DB[waterType])</f>
        <v>PW</v>
      </c>
      <c r="K448" s="43">
        <f t="shared" si="31"/>
        <v>46245</v>
      </c>
      <c r="L448" s="26">
        <v>46248.0</v>
      </c>
      <c r="M448" s="32">
        <v>0.0</v>
      </c>
      <c r="N448" s="32">
        <v>0.0</v>
      </c>
      <c r="O448" s="32">
        <f t="shared" si="20"/>
        <v>0</v>
      </c>
      <c r="P448" s="49"/>
      <c r="Q448" s="49"/>
      <c r="R448" s="32">
        <f t="array" ref="R448">_xlfn.XLOOKUP($B448, DB[samplingPoint], DB[Criteria])</f>
        <v>100</v>
      </c>
      <c r="S448" s="50" t="str">
        <f t="shared" si="3"/>
        <v>PASSED</v>
      </c>
      <c r="T448" s="38" t="b">
        <v>0</v>
      </c>
      <c r="U448" s="39"/>
      <c r="V448" s="32" t="s">
        <v>304</v>
      </c>
    </row>
    <row r="449" ht="22.5" customHeight="1">
      <c r="A449" s="26">
        <v>46245.0</v>
      </c>
      <c r="B449" s="160" t="s">
        <v>549</v>
      </c>
      <c r="C449" s="32" t="str">
        <f t="array" ref="C449">_xlfn.XLOOKUP(B449, DB[samplingPoint], DB[samplingTag])</f>
        <v>SV136.15</v>
      </c>
      <c r="D449" s="33" t="s">
        <v>500</v>
      </c>
      <c r="E449" s="35" t="s">
        <v>301</v>
      </c>
      <c r="F449" s="38" t="b">
        <v>1</v>
      </c>
      <c r="G449" s="39" t="str">
        <f t="array" ref="G449">_xlfn.XLOOKUP($B449, DB[samplingPoint], DB[noLocation])</f>
        <v>12-2-055</v>
      </c>
      <c r="H449" s="33" t="s">
        <v>437</v>
      </c>
      <c r="I449" s="40" t="str">
        <f t="array" ref="I449">_xlfn.XLOOKUP($B449, DB[samplingPoint], DB[location])</f>
        <v>CIP 3</v>
      </c>
      <c r="J449" s="39" t="str">
        <f t="array" ref="J449">_xlfn.XLOOKUP($B449, DB[samplingPoint], DB[waterType])</f>
        <v>PW</v>
      </c>
      <c r="K449" s="43">
        <f t="shared" si="31"/>
        <v>46245</v>
      </c>
      <c r="L449" s="26">
        <v>46248.0</v>
      </c>
      <c r="M449" s="32">
        <v>0.0</v>
      </c>
      <c r="N449" s="32">
        <v>0.0</v>
      </c>
      <c r="O449" s="32">
        <f t="shared" si="20"/>
        <v>0</v>
      </c>
      <c r="P449" s="49"/>
      <c r="Q449" s="49"/>
      <c r="R449" s="32">
        <f t="array" ref="R449">_xlfn.XLOOKUP($B449, DB[samplingPoint], DB[Criteria])</f>
        <v>100</v>
      </c>
      <c r="S449" s="50" t="str">
        <f t="shared" si="3"/>
        <v>PASSED</v>
      </c>
      <c r="T449" s="38" t="b">
        <v>0</v>
      </c>
      <c r="U449" s="39"/>
      <c r="V449" s="32" t="s">
        <v>304</v>
      </c>
    </row>
    <row r="450" ht="22.5" customHeight="1">
      <c r="A450" s="26">
        <v>46245.0</v>
      </c>
      <c r="B450" s="160" t="s">
        <v>510</v>
      </c>
      <c r="C450" s="32" t="str">
        <f t="array" ref="C450">_xlfn.XLOOKUP(B450, DB[samplingPoint], DB[samplingTag])</f>
        <v>SV136.03</v>
      </c>
      <c r="D450" s="33" t="s">
        <v>500</v>
      </c>
      <c r="E450" s="35" t="s">
        <v>301</v>
      </c>
      <c r="F450" s="38" t="b">
        <v>1</v>
      </c>
      <c r="G450" s="39" t="str">
        <f t="array" ref="G450">_xlfn.XLOOKUP($B450, DB[samplingPoint], DB[noLocation])</f>
        <v>12-2-032</v>
      </c>
      <c r="H450" s="33" t="s">
        <v>437</v>
      </c>
      <c r="I450" s="40" t="str">
        <f t="array" ref="I450">_xlfn.XLOOKUP($B450, DB[samplingPoint], DB[location])</f>
        <v>CAMPHORATED OPIUM TINCTURE</v>
      </c>
      <c r="J450" s="39" t="str">
        <f t="array" ref="J450">_xlfn.XLOOKUP($B450, DB[samplingPoint], DB[waterType])</f>
        <v>PW</v>
      </c>
      <c r="K450" s="43">
        <f t="shared" si="31"/>
        <v>46245</v>
      </c>
      <c r="L450" s="26">
        <v>46248.0</v>
      </c>
      <c r="M450" s="32">
        <v>0.0</v>
      </c>
      <c r="N450" s="32">
        <v>0.0</v>
      </c>
      <c r="O450" s="32">
        <f t="shared" si="20"/>
        <v>0</v>
      </c>
      <c r="P450" s="49"/>
      <c r="Q450" s="49"/>
      <c r="R450" s="32">
        <f t="array" ref="R450">_xlfn.XLOOKUP($B450, DB[samplingPoint], DB[Criteria])</f>
        <v>100</v>
      </c>
      <c r="S450" s="50" t="str">
        <f t="shared" si="3"/>
        <v>PASSED</v>
      </c>
      <c r="T450" s="38" t="b">
        <v>0</v>
      </c>
      <c r="U450" s="39"/>
      <c r="V450" s="32" t="s">
        <v>304</v>
      </c>
    </row>
    <row r="451" ht="22.5" customHeight="1">
      <c r="A451" s="26">
        <v>46245.0</v>
      </c>
      <c r="B451" s="203" t="s">
        <v>514</v>
      </c>
      <c r="C451" s="32" t="str">
        <f t="array" ref="C451">_xlfn.XLOOKUP(B451, DB[samplingPoint], DB[samplingTag])</f>
        <v>SV136.05</v>
      </c>
      <c r="D451" s="33" t="s">
        <v>500</v>
      </c>
      <c r="E451" s="35" t="s">
        <v>301</v>
      </c>
      <c r="F451" s="38" t="b">
        <v>1</v>
      </c>
      <c r="G451" s="39" t="str">
        <f t="array" ref="G451">_xlfn.XLOOKUP($B451, DB[samplingPoint], DB[noLocation])</f>
        <v>12-2-032</v>
      </c>
      <c r="H451" s="33" t="s">
        <v>437</v>
      </c>
      <c r="I451" s="40" t="str">
        <f t="array" ref="I451">_xlfn.XLOOKUP($B451, DB[samplingPoint], DB[location])</f>
        <v>CAMPHORATED OPIUM TINCTURE</v>
      </c>
      <c r="J451" s="39" t="str">
        <f t="array" ref="J451">_xlfn.XLOOKUP($B451, DB[samplingPoint], DB[waterType])</f>
        <v>PW</v>
      </c>
      <c r="K451" s="43">
        <f t="shared" si="31"/>
        <v>46245</v>
      </c>
      <c r="L451" s="26">
        <v>46248.0</v>
      </c>
      <c r="M451" s="32">
        <v>0.0</v>
      </c>
      <c r="N451" s="32">
        <v>0.0</v>
      </c>
      <c r="O451" s="32">
        <f t="shared" si="20"/>
        <v>0</v>
      </c>
      <c r="P451" s="49"/>
      <c r="Q451" s="49"/>
      <c r="R451" s="32">
        <f t="array" ref="R451">_xlfn.XLOOKUP($B451, DB[samplingPoint], DB[Criteria])</f>
        <v>100</v>
      </c>
      <c r="S451" s="50" t="str">
        <f t="shared" si="3"/>
        <v>PASSED</v>
      </c>
      <c r="T451" s="38" t="b">
        <v>0</v>
      </c>
      <c r="U451" s="39"/>
      <c r="V451" s="32" t="s">
        <v>304</v>
      </c>
    </row>
    <row r="452" ht="22.5" customHeight="1">
      <c r="A452" s="26">
        <v>46245.0</v>
      </c>
      <c r="B452" s="160" t="s">
        <v>513</v>
      </c>
      <c r="C452" s="32" t="str">
        <f t="array" ref="C452">_xlfn.XLOOKUP(B452, DB[samplingPoint], DB[samplingTag])</f>
        <v>SV136.04</v>
      </c>
      <c r="D452" s="33" t="s">
        <v>500</v>
      </c>
      <c r="E452" s="35" t="s">
        <v>301</v>
      </c>
      <c r="F452" s="38" t="b">
        <v>1</v>
      </c>
      <c r="G452" s="39" t="str">
        <f t="array" ref="G452">_xlfn.XLOOKUP($B452, DB[samplingPoint], DB[noLocation])</f>
        <v>12-2-030</v>
      </c>
      <c r="H452" s="33" t="s">
        <v>437</v>
      </c>
      <c r="I452" s="40" t="str">
        <f t="array" ref="I452">_xlfn.XLOOKUP($B452, DB[samplingPoint], DB[location])</f>
        <v>OPIUM TINCTURE</v>
      </c>
      <c r="J452" s="39" t="str">
        <f t="array" ref="J452">_xlfn.XLOOKUP($B452, DB[samplingPoint], DB[waterType])</f>
        <v>PW</v>
      </c>
      <c r="K452" s="43">
        <f t="shared" si="31"/>
        <v>46245</v>
      </c>
      <c r="L452" s="26">
        <v>46248.0</v>
      </c>
      <c r="M452" s="32">
        <v>0.0</v>
      </c>
      <c r="N452" s="32">
        <v>0.0</v>
      </c>
      <c r="O452" s="32">
        <f t="shared" si="20"/>
        <v>0</v>
      </c>
      <c r="P452" s="49"/>
      <c r="Q452" s="49"/>
      <c r="R452" s="32">
        <f t="array" ref="R452">_xlfn.XLOOKUP($B452, DB[samplingPoint], DB[Criteria])</f>
        <v>100</v>
      </c>
      <c r="S452" s="50" t="str">
        <f t="shared" si="3"/>
        <v>PASSED</v>
      </c>
      <c r="T452" s="38" t="b">
        <v>0</v>
      </c>
      <c r="U452" s="39"/>
      <c r="V452" s="32" t="s">
        <v>304</v>
      </c>
    </row>
    <row r="453" ht="22.5" customHeight="1">
      <c r="A453" s="26">
        <v>46245.0</v>
      </c>
      <c r="B453" s="203" t="s">
        <v>506</v>
      </c>
      <c r="C453" s="32" t="str">
        <f t="array" ref="C453">_xlfn.XLOOKUP(B453, DB[samplingPoint], DB[samplingTag])</f>
        <v>DV136.02</v>
      </c>
      <c r="D453" s="33" t="s">
        <v>500</v>
      </c>
      <c r="E453" s="35" t="s">
        <v>301</v>
      </c>
      <c r="F453" s="38" t="b">
        <v>1</v>
      </c>
      <c r="G453" s="39" t="str">
        <f t="array" ref="G453">_xlfn.XLOOKUP($B453, DB[samplingPoint], DB[noLocation])</f>
        <v>12-2-028</v>
      </c>
      <c r="H453" s="33" t="s">
        <v>437</v>
      </c>
      <c r="I453" s="40" t="str">
        <f t="array" ref="I453">_xlfn.XLOOKUP($B453, DB[samplingPoint], DB[location])</f>
        <v>ALCOHOL STORAGE</v>
      </c>
      <c r="J453" s="39" t="str">
        <f t="array" ref="J453">_xlfn.XLOOKUP($B453, DB[samplingPoint], DB[waterType])</f>
        <v>PW</v>
      </c>
      <c r="K453" s="43">
        <f t="shared" si="31"/>
        <v>46245</v>
      </c>
      <c r="L453" s="26">
        <v>46248.0</v>
      </c>
      <c r="M453" s="32">
        <v>0.0</v>
      </c>
      <c r="N453" s="32">
        <v>0.0</v>
      </c>
      <c r="O453" s="32">
        <f t="shared" si="20"/>
        <v>0</v>
      </c>
      <c r="P453" s="49"/>
      <c r="Q453" s="49"/>
      <c r="R453" s="32">
        <f t="array" ref="R453">_xlfn.XLOOKUP($B453, DB[samplingPoint], DB[Criteria])</f>
        <v>100</v>
      </c>
      <c r="S453" s="50" t="str">
        <f t="shared" si="3"/>
        <v>PASSED</v>
      </c>
      <c r="T453" s="38" t="b">
        <v>0</v>
      </c>
      <c r="U453" s="39"/>
      <c r="V453" s="32" t="s">
        <v>304</v>
      </c>
    </row>
    <row r="454" ht="22.5" customHeight="1">
      <c r="A454" s="26">
        <v>46245.0</v>
      </c>
      <c r="B454" s="58" t="s">
        <v>508</v>
      </c>
      <c r="C454" s="32" t="str">
        <f t="array" ref="C454">_xlfn.XLOOKUP(B454, DB[samplingPoint], DB[samplingTag])</f>
        <v>DV136.07</v>
      </c>
      <c r="D454" s="33" t="s">
        <v>500</v>
      </c>
      <c r="E454" s="35" t="s">
        <v>301</v>
      </c>
      <c r="F454" s="38" t="b">
        <v>1</v>
      </c>
      <c r="G454" s="39" t="str">
        <f t="array" ref="G454">_xlfn.XLOOKUP($B454, DB[samplingPoint], DB[noLocation])</f>
        <v>12-3-039</v>
      </c>
      <c r="H454" s="33" t="s">
        <v>437</v>
      </c>
      <c r="I454" s="40" t="str">
        <f t="array" ref="I454">_xlfn.XLOOKUP($B454, DB[samplingPoint], DB[location])</f>
        <v>INSTRUMENT 7</v>
      </c>
      <c r="J454" s="39" t="str">
        <f t="array" ref="J454">_xlfn.XLOOKUP($B454, DB[samplingPoint], DB[waterType])</f>
        <v>PW</v>
      </c>
      <c r="K454" s="43">
        <f t="shared" si="31"/>
        <v>46245</v>
      </c>
      <c r="L454" s="26">
        <v>46248.0</v>
      </c>
      <c r="M454" s="32">
        <v>0.0</v>
      </c>
      <c r="N454" s="32">
        <v>0.0</v>
      </c>
      <c r="O454" s="32">
        <f t="shared" si="20"/>
        <v>0</v>
      </c>
      <c r="P454" s="49"/>
      <c r="Q454" s="49"/>
      <c r="R454" s="32">
        <f t="array" ref="R454">_xlfn.XLOOKUP($B454, DB[samplingPoint], DB[Criteria])</f>
        <v>100</v>
      </c>
      <c r="S454" s="50" t="str">
        <f t="shared" si="3"/>
        <v>PASSED</v>
      </c>
      <c r="T454" s="38" t="b">
        <v>0</v>
      </c>
      <c r="U454" s="39"/>
      <c r="V454" s="32" t="s">
        <v>304</v>
      </c>
    </row>
    <row r="455" ht="22.5" customHeight="1">
      <c r="A455" s="26">
        <v>46245.0</v>
      </c>
      <c r="B455" s="48" t="s">
        <v>458</v>
      </c>
      <c r="C455" s="32" t="str">
        <f t="array" ref="C455">_xlfn.XLOOKUP(B455, DB[samplingPoint], DB[samplingTag])</f>
        <v>SV136.14</v>
      </c>
      <c r="D455" s="33" t="s">
        <v>158</v>
      </c>
      <c r="E455" s="35" t="s">
        <v>301</v>
      </c>
      <c r="F455" s="38" t="b">
        <v>1</v>
      </c>
      <c r="G455" s="39" t="str">
        <f t="array" ref="G455">_xlfn.XLOOKUP($B455, DB[samplingPoint], DB[noLocation])</f>
        <v>12-2-045</v>
      </c>
      <c r="H455" s="33" t="s">
        <v>437</v>
      </c>
      <c r="I455" s="40" t="str">
        <f t="array" ref="I455">_xlfn.XLOOKUP($B455, DB[samplingPoint], DB[location])</f>
        <v>MFG 4</v>
      </c>
      <c r="J455" s="39" t="str">
        <f t="array" ref="J455">_xlfn.XLOOKUP($B455, DB[samplingPoint], DB[waterType])</f>
        <v>PW</v>
      </c>
      <c r="K455" s="43">
        <f t="shared" si="31"/>
        <v>46245</v>
      </c>
      <c r="L455" s="26">
        <v>46248.0</v>
      </c>
      <c r="M455" s="32">
        <v>0.0</v>
      </c>
      <c r="N455" s="32">
        <v>0.0</v>
      </c>
      <c r="O455" s="32">
        <f t="shared" si="20"/>
        <v>0</v>
      </c>
      <c r="P455" s="49"/>
      <c r="Q455" s="49"/>
      <c r="R455" s="32">
        <f t="array" ref="R455">_xlfn.XLOOKUP($B455, DB[samplingPoint], DB[Criteria])</f>
        <v>100</v>
      </c>
      <c r="S455" s="50" t="str">
        <f t="shared" si="3"/>
        <v>PASSED</v>
      </c>
      <c r="T455" s="38" t="b">
        <v>0</v>
      </c>
      <c r="U455" s="39"/>
      <c r="V455" s="32" t="s">
        <v>304</v>
      </c>
    </row>
    <row r="456" ht="22.5" customHeight="1">
      <c r="A456" s="26">
        <v>46245.0</v>
      </c>
      <c r="B456" s="48" t="s">
        <v>548</v>
      </c>
      <c r="C456" s="32" t="str">
        <f t="array" ref="C456">_xlfn.XLOOKUP(B456, DB[samplingPoint], DB[samplingTag])</f>
        <v>DV136.17</v>
      </c>
      <c r="D456" s="33" t="s">
        <v>158</v>
      </c>
      <c r="E456" s="35" t="s">
        <v>301</v>
      </c>
      <c r="F456" s="38" t="b">
        <v>1</v>
      </c>
      <c r="G456" s="39" t="str">
        <f t="array" ref="G456">_xlfn.XLOOKUP($B456, DB[samplingPoint], DB[noLocation])</f>
        <v>12-2-065</v>
      </c>
      <c r="H456" s="33" t="s">
        <v>437</v>
      </c>
      <c r="I456" s="40" t="str">
        <f t="array" ref="I456">_xlfn.XLOOKUP($B456, DB[samplingPoint], DB[location])</f>
        <v>WASHING</v>
      </c>
      <c r="J456" s="39" t="str">
        <f t="array" ref="J456">_xlfn.XLOOKUP($B456, DB[samplingPoint], DB[waterType])</f>
        <v>PW</v>
      </c>
      <c r="K456" s="43">
        <f t="shared" si="31"/>
        <v>46245</v>
      </c>
      <c r="L456" s="26">
        <v>46248.0</v>
      </c>
      <c r="M456" s="32">
        <v>0.0</v>
      </c>
      <c r="N456" s="32">
        <v>0.0</v>
      </c>
      <c r="O456" s="32">
        <f t="shared" si="20"/>
        <v>0</v>
      </c>
      <c r="P456" s="49"/>
      <c r="Q456" s="49"/>
      <c r="R456" s="32">
        <f t="array" ref="R456">_xlfn.XLOOKUP($B456, DB[samplingPoint], DB[Criteria])</f>
        <v>100</v>
      </c>
      <c r="S456" s="50" t="str">
        <f t="shared" si="3"/>
        <v>PASSED</v>
      </c>
      <c r="T456" s="38" t="b">
        <v>0</v>
      </c>
      <c r="U456" s="39"/>
      <c r="V456" s="32" t="s">
        <v>304</v>
      </c>
    </row>
    <row r="457" ht="22.5" customHeight="1">
      <c r="A457" s="26">
        <v>46245.0</v>
      </c>
      <c r="B457" s="99" t="s">
        <v>471</v>
      </c>
      <c r="C457" s="32" t="str">
        <f t="array" ref="C457">_xlfn.XLOOKUP(B457, DB[samplingPoint], DB[samplingTag])</f>
        <v>VB-05 (16)</v>
      </c>
      <c r="D457" s="33" t="s">
        <v>500</v>
      </c>
      <c r="E457" s="35" t="s">
        <v>303</v>
      </c>
      <c r="F457" s="38" t="b">
        <v>1</v>
      </c>
      <c r="G457" s="39" t="str">
        <f t="array" ref="G457">_xlfn.XLOOKUP($B457, DB[samplingPoint], DB[noLocation])</f>
        <v>WATER SYSTEM (B16)</v>
      </c>
      <c r="H457" s="33" t="s">
        <v>327</v>
      </c>
      <c r="I457" s="40" t="str">
        <f t="array" ref="I457">_xlfn.XLOOKUP($B457, DB[samplingPoint], DB[location])</f>
        <v>After Chlorine circulation tank (B16)</v>
      </c>
      <c r="J457" s="39" t="str">
        <f t="array" ref="J457">_xlfn.XLOOKUP($B457, DB[samplingPoint], DB[waterType])</f>
        <v>PRW</v>
      </c>
      <c r="K457" s="43">
        <f t="shared" si="31"/>
        <v>46245</v>
      </c>
      <c r="L457" s="26">
        <v>46248.0</v>
      </c>
      <c r="M457" s="32">
        <v>12.0</v>
      </c>
      <c r="N457" s="32">
        <v>8.0</v>
      </c>
      <c r="O457" s="32">
        <f t="shared" si="20"/>
        <v>10</v>
      </c>
      <c r="P457" s="49"/>
      <c r="Q457" s="49"/>
      <c r="R457" s="32">
        <f t="array" ref="R457">_xlfn.XLOOKUP($B457, DB[samplingPoint], DB[Criteria])</f>
        <v>500</v>
      </c>
      <c r="S457" s="50" t="str">
        <f t="shared" si="3"/>
        <v>PASSED</v>
      </c>
      <c r="T457" s="38" t="b">
        <v>0</v>
      </c>
      <c r="U457" s="39"/>
      <c r="V457" s="32" t="s">
        <v>304</v>
      </c>
    </row>
    <row r="458" ht="22.5" customHeight="1">
      <c r="A458" s="26">
        <v>46245.0</v>
      </c>
      <c r="B458" s="102" t="s">
        <v>470</v>
      </c>
      <c r="C458" s="32" t="str">
        <f t="array" ref="C458">_xlfn.XLOOKUP(B458, DB[samplingPoint], DB[samplingTag])</f>
        <v>V50-61 (16)</v>
      </c>
      <c r="D458" s="33" t="s">
        <v>500</v>
      </c>
      <c r="E458" s="35" t="s">
        <v>303</v>
      </c>
      <c r="F458" s="38" t="b">
        <v>1</v>
      </c>
      <c r="G458" s="39" t="str">
        <f t="array" ref="G458">_xlfn.XLOOKUP($B458, DB[samplingPoint], DB[noLocation])</f>
        <v>WATER SYSTEM (B16)</v>
      </c>
      <c r="H458" s="33" t="s">
        <v>327</v>
      </c>
      <c r="I458" s="40" t="str">
        <f t="array" ref="I458">_xlfn.XLOOKUP($B458, DB[samplingPoint], DB[location])</f>
        <v>After Cartridge filter 5 µm (B16)</v>
      </c>
      <c r="J458" s="39" t="str">
        <f t="array" ref="J458">_xlfn.XLOOKUP($B458, DB[samplingPoint], DB[waterType])</f>
        <v>PRW</v>
      </c>
      <c r="K458" s="43">
        <f t="shared" si="31"/>
        <v>46245</v>
      </c>
      <c r="L458" s="26">
        <v>46248.0</v>
      </c>
      <c r="M458" s="32">
        <v>0.0</v>
      </c>
      <c r="N458" s="32">
        <v>0.0</v>
      </c>
      <c r="O458" s="32">
        <f t="shared" si="20"/>
        <v>0</v>
      </c>
      <c r="P458" s="49"/>
      <c r="Q458" s="49"/>
      <c r="R458" s="32">
        <f t="array" ref="R458">_xlfn.XLOOKUP($B458, DB[samplingPoint], DB[Criteria])</f>
        <v>500</v>
      </c>
      <c r="S458" s="50" t="str">
        <f t="shared" si="3"/>
        <v>PASSED</v>
      </c>
      <c r="T458" s="38" t="b">
        <v>0</v>
      </c>
      <c r="U458" s="39"/>
      <c r="V458" s="32" t="s">
        <v>304</v>
      </c>
    </row>
    <row r="459" ht="22.5" customHeight="1">
      <c r="A459" s="26">
        <v>46245.0</v>
      </c>
      <c r="B459" s="99" t="s">
        <v>466</v>
      </c>
      <c r="C459" s="32" t="str">
        <f t="array" ref="C459">_xlfn.XLOOKUP(B459, DB[samplingPoint], DB[samplingTag])</f>
        <v>V50-11C (16)</v>
      </c>
      <c r="D459" s="33" t="s">
        <v>500</v>
      </c>
      <c r="E459" s="35" t="s">
        <v>303</v>
      </c>
      <c r="F459" s="38" t="b">
        <v>1</v>
      </c>
      <c r="G459" s="39" t="str">
        <f t="array" ref="G459">_xlfn.XLOOKUP($B459, DB[samplingPoint], DB[noLocation])</f>
        <v>WATER SYSTEM (B16)</v>
      </c>
      <c r="H459" s="33" t="s">
        <v>327</v>
      </c>
      <c r="I459" s="40" t="str">
        <f t="array" ref="I459">_xlfn.XLOOKUP($B459, DB[samplingPoint], DB[location])</f>
        <v>After RO (Before EDI) (B16)</v>
      </c>
      <c r="J459" s="39" t="str">
        <f t="array" ref="J459">_xlfn.XLOOKUP($B459, DB[samplingPoint], DB[waterType])</f>
        <v>RO water</v>
      </c>
      <c r="K459" s="43">
        <f t="shared" si="31"/>
        <v>46245</v>
      </c>
      <c r="L459" s="26">
        <v>46248.0</v>
      </c>
      <c r="M459" s="32">
        <v>0.0</v>
      </c>
      <c r="N459" s="32">
        <v>0.0</v>
      </c>
      <c r="O459" s="32">
        <f t="shared" si="20"/>
        <v>0</v>
      </c>
      <c r="P459" s="49"/>
      <c r="Q459" s="49"/>
      <c r="R459" s="32">
        <f t="array" ref="R459">_xlfn.XLOOKUP($B459, DB[samplingPoint], DB[Criteria])</f>
        <v>500</v>
      </c>
      <c r="S459" s="50" t="str">
        <f t="shared" si="3"/>
        <v>PASSED</v>
      </c>
      <c r="T459" s="38" t="b">
        <v>0</v>
      </c>
      <c r="U459" s="39"/>
      <c r="V459" s="32" t="s">
        <v>304</v>
      </c>
    </row>
    <row r="460" ht="22.5" customHeight="1">
      <c r="A460" s="26">
        <v>46245.0</v>
      </c>
      <c r="B460" s="102" t="s">
        <v>468</v>
      </c>
      <c r="C460" s="32" t="str">
        <f t="array" ref="C460">_xlfn.XLOOKUP(B460, DB[samplingPoint], DB[samplingTag])</f>
        <v>V50-39 (16)</v>
      </c>
      <c r="D460" s="33" t="s">
        <v>500</v>
      </c>
      <c r="E460" s="35" t="s">
        <v>303</v>
      </c>
      <c r="F460" s="38" t="b">
        <v>1</v>
      </c>
      <c r="G460" s="39" t="str">
        <f t="array" ref="G460">_xlfn.XLOOKUP($B460, DB[samplingPoint], DB[noLocation])</f>
        <v>WATER SYSTEM (B16)</v>
      </c>
      <c r="H460" s="33" t="s">
        <v>327</v>
      </c>
      <c r="I460" s="40" t="str">
        <f t="array" ref="I460">_xlfn.XLOOKUP($B460, DB[samplingPoint], DB[location])</f>
        <v>After EDI (B16)</v>
      </c>
      <c r="J460" s="39" t="str">
        <f t="array" ref="J460">_xlfn.XLOOKUP($B460, DB[samplingPoint], DB[waterType])</f>
        <v>PW</v>
      </c>
      <c r="K460" s="43">
        <f t="shared" si="31"/>
        <v>46245</v>
      </c>
      <c r="L460" s="26">
        <v>46248.0</v>
      </c>
      <c r="M460" s="32">
        <v>0.0</v>
      </c>
      <c r="N460" s="32">
        <v>0.0</v>
      </c>
      <c r="O460" s="32">
        <f t="shared" si="20"/>
        <v>0</v>
      </c>
      <c r="P460" s="49"/>
      <c r="Q460" s="49"/>
      <c r="R460" s="32">
        <f t="array" ref="R460">_xlfn.XLOOKUP($B460, DB[samplingPoint], DB[Criteria])</f>
        <v>100</v>
      </c>
      <c r="S460" s="50" t="str">
        <f t="shared" si="3"/>
        <v>PASSED</v>
      </c>
      <c r="T460" s="38" t="b">
        <v>0</v>
      </c>
      <c r="U460" s="39"/>
      <c r="V460" s="32" t="s">
        <v>304</v>
      </c>
    </row>
    <row r="461" ht="22.5" customHeight="1">
      <c r="A461" s="26">
        <v>46245.0</v>
      </c>
      <c r="B461" s="99" t="s">
        <v>464</v>
      </c>
      <c r="C461" s="32" t="str">
        <f t="array" ref="C461">_xlfn.XLOOKUP(B461, DB[samplingPoint], DB[samplingTag])</f>
        <v>SV127.01</v>
      </c>
      <c r="D461" s="33" t="s">
        <v>500</v>
      </c>
      <c r="E461" s="35" t="s">
        <v>303</v>
      </c>
      <c r="F461" s="38" t="b">
        <v>1</v>
      </c>
      <c r="G461" s="39" t="str">
        <f t="array" ref="G461">_xlfn.XLOOKUP($B461, DB[samplingPoint], DB[noLocation])</f>
        <v>WATER SYSTEM (B16)</v>
      </c>
      <c r="H461" s="33" t="s">
        <v>327</v>
      </c>
      <c r="I461" s="40" t="str">
        <f t="array" ref="I461">_xlfn.XLOOKUP($B461, DB[samplingPoint], DB[location])</f>
        <v>Return loop (B16)</v>
      </c>
      <c r="J461" s="39" t="str">
        <f t="array" ref="J461">_xlfn.XLOOKUP($B461, DB[samplingPoint], DB[waterType])</f>
        <v>PW</v>
      </c>
      <c r="K461" s="43">
        <f t="shared" si="31"/>
        <v>46245</v>
      </c>
      <c r="L461" s="26">
        <v>46248.0</v>
      </c>
      <c r="M461" s="32">
        <v>0.0</v>
      </c>
      <c r="N461" s="32">
        <v>0.0</v>
      </c>
      <c r="O461" s="32">
        <f t="shared" si="20"/>
        <v>0</v>
      </c>
      <c r="P461" s="49"/>
      <c r="Q461" s="49"/>
      <c r="R461" s="32">
        <f t="array" ref="R461">_xlfn.XLOOKUP($B461, DB[samplingPoint], DB[Criteria])</f>
        <v>100</v>
      </c>
      <c r="S461" s="50" t="str">
        <f t="shared" si="3"/>
        <v>PASSED</v>
      </c>
      <c r="T461" s="38" t="b">
        <v>0</v>
      </c>
      <c r="U461" s="39"/>
      <c r="V461" s="32" t="s">
        <v>304</v>
      </c>
    </row>
    <row r="462" ht="22.5" customHeight="1">
      <c r="A462" s="26">
        <v>46245.0</v>
      </c>
      <c r="B462" s="27" t="s">
        <v>553</v>
      </c>
      <c r="C462" s="32" t="str">
        <f t="array" ref="C462">_xlfn.XLOOKUP(B462, DB[samplingPoint], DB[samplingTag])</f>
        <v>DV126.10</v>
      </c>
      <c r="D462" s="33" t="s">
        <v>500</v>
      </c>
      <c r="E462" s="35" t="s">
        <v>303</v>
      </c>
      <c r="F462" s="38" t="b">
        <v>1</v>
      </c>
      <c r="G462" s="39" t="str">
        <f t="array" ref="G462">_xlfn.XLOOKUP($B462, DB[samplingPoint], DB[noLocation])</f>
        <v>16-3-069</v>
      </c>
      <c r="H462" s="33" t="s">
        <v>327</v>
      </c>
      <c r="I462" s="40" t="str">
        <f t="array" ref="I462">_xlfn.XLOOKUP($B462, DB[samplingPoint], DB[location])</f>
        <v>MFG 2</v>
      </c>
      <c r="J462" s="39" t="str">
        <f t="array" ref="J462">_xlfn.XLOOKUP($B462, DB[samplingPoint], DB[waterType])</f>
        <v>PW</v>
      </c>
      <c r="K462" s="43">
        <f t="shared" si="31"/>
        <v>46245</v>
      </c>
      <c r="L462" s="26">
        <v>46248.0</v>
      </c>
      <c r="M462" s="32">
        <v>74.0</v>
      </c>
      <c r="N462" s="32">
        <v>58.0</v>
      </c>
      <c r="O462" s="32">
        <f t="shared" si="20"/>
        <v>66</v>
      </c>
      <c r="P462" s="49" t="s">
        <v>1018</v>
      </c>
      <c r="Q462" s="49"/>
      <c r="R462" s="32">
        <f t="array" ref="R462">_xlfn.XLOOKUP($B462, DB[samplingPoint], DB[Criteria])</f>
        <v>100</v>
      </c>
      <c r="S462" s="50" t="str">
        <f t="shared" si="3"/>
        <v>PASSED</v>
      </c>
      <c r="T462" s="38" t="b">
        <v>0</v>
      </c>
      <c r="U462" s="39"/>
      <c r="V462" s="32" t="s">
        <v>304</v>
      </c>
    </row>
    <row r="463" ht="22.5" customHeight="1">
      <c r="A463" s="26">
        <v>46245.0</v>
      </c>
      <c r="B463" s="58" t="s">
        <v>555</v>
      </c>
      <c r="C463" s="32" t="str">
        <f t="array" ref="C463">_xlfn.XLOOKUP(B463, DB[samplingPoint], DB[samplingTag])</f>
        <v>DV126.06</v>
      </c>
      <c r="D463" s="33" t="s">
        <v>500</v>
      </c>
      <c r="E463" s="35" t="s">
        <v>303</v>
      </c>
      <c r="F463" s="38" t="b">
        <v>1</v>
      </c>
      <c r="G463" s="39" t="str">
        <f t="array" ref="G463">_xlfn.XLOOKUP($B463, DB[samplingPoint], DB[noLocation])</f>
        <v>16-3-069</v>
      </c>
      <c r="H463" s="33" t="s">
        <v>327</v>
      </c>
      <c r="I463" s="40" t="str">
        <f t="array" ref="I463">_xlfn.XLOOKUP($B463, DB[samplingPoint], DB[location])</f>
        <v>MFG 2</v>
      </c>
      <c r="J463" s="39" t="str">
        <f t="array" ref="J463">_xlfn.XLOOKUP($B463, DB[samplingPoint], DB[waterType])</f>
        <v>PW</v>
      </c>
      <c r="K463" s="43">
        <f t="shared" si="31"/>
        <v>46245</v>
      </c>
      <c r="L463" s="26">
        <v>46248.0</v>
      </c>
      <c r="M463" s="32">
        <v>1.0</v>
      </c>
      <c r="N463" s="32">
        <v>1.0</v>
      </c>
      <c r="O463" s="32">
        <f t="shared" si="20"/>
        <v>1</v>
      </c>
      <c r="P463" s="49"/>
      <c r="Q463" s="49"/>
      <c r="R463" s="32">
        <f t="array" ref="R463">_xlfn.XLOOKUP($B463, DB[samplingPoint], DB[Criteria])</f>
        <v>100</v>
      </c>
      <c r="S463" s="50" t="str">
        <f t="shared" si="3"/>
        <v>PASSED</v>
      </c>
      <c r="T463" s="38" t="b">
        <v>0</v>
      </c>
      <c r="U463" s="39"/>
      <c r="V463" s="32" t="s">
        <v>304</v>
      </c>
    </row>
    <row r="464" ht="22.5" customHeight="1">
      <c r="A464" s="26">
        <v>46245.0</v>
      </c>
      <c r="B464" s="27" t="s">
        <v>557</v>
      </c>
      <c r="C464" s="32" t="str">
        <f t="array" ref="C464">_xlfn.XLOOKUP(B464, DB[samplingPoint], DB[samplingTag])</f>
        <v>SV126.10</v>
      </c>
      <c r="D464" s="33" t="s">
        <v>500</v>
      </c>
      <c r="E464" s="35" t="s">
        <v>303</v>
      </c>
      <c r="F464" s="38" t="b">
        <v>1</v>
      </c>
      <c r="G464" s="39" t="str">
        <f t="array" ref="G464">_xlfn.XLOOKUP($B464, DB[samplingPoint], DB[noLocation])</f>
        <v>16-3-071</v>
      </c>
      <c r="H464" s="33" t="s">
        <v>327</v>
      </c>
      <c r="I464" s="40" t="str">
        <f t="array" ref="I464">_xlfn.XLOOKUP($B464, DB[samplingPoint], DB[location])</f>
        <v>MFG 3 (1200L)</v>
      </c>
      <c r="J464" s="39" t="str">
        <f t="array" ref="J464">_xlfn.XLOOKUP($B464, DB[samplingPoint], DB[waterType])</f>
        <v>PW</v>
      </c>
      <c r="K464" s="43">
        <f t="shared" si="31"/>
        <v>46245</v>
      </c>
      <c r="L464" s="26">
        <v>46248.0</v>
      </c>
      <c r="M464" s="32">
        <v>0.0</v>
      </c>
      <c r="N464" s="32">
        <v>0.0</v>
      </c>
      <c r="O464" s="32">
        <f t="shared" si="20"/>
        <v>0</v>
      </c>
      <c r="P464" s="49"/>
      <c r="Q464" s="49"/>
      <c r="R464" s="32">
        <f t="array" ref="R464">_xlfn.XLOOKUP($B464, DB[samplingPoint], DB[Criteria])</f>
        <v>100</v>
      </c>
      <c r="S464" s="50" t="str">
        <f t="shared" si="3"/>
        <v>PASSED</v>
      </c>
      <c r="T464" s="38" t="b">
        <v>0</v>
      </c>
      <c r="U464" s="39"/>
      <c r="V464" s="32" t="s">
        <v>304</v>
      </c>
    </row>
    <row r="465" ht="22.5" customHeight="1">
      <c r="A465" s="26">
        <v>46245.0</v>
      </c>
      <c r="B465" s="58" t="s">
        <v>561</v>
      </c>
      <c r="C465" s="32" t="str">
        <f t="array" ref="C465">_xlfn.XLOOKUP(B465, DB[samplingPoint], DB[samplingTag])</f>
        <v>SV126.09</v>
      </c>
      <c r="D465" s="33" t="s">
        <v>500</v>
      </c>
      <c r="E465" s="35" t="s">
        <v>303</v>
      </c>
      <c r="F465" s="38" t="b">
        <v>1</v>
      </c>
      <c r="G465" s="39" t="str">
        <f t="array" ref="G465">_xlfn.XLOOKUP($B465, DB[samplingPoint], DB[noLocation])</f>
        <v>16-3-071</v>
      </c>
      <c r="H465" s="33" t="s">
        <v>327</v>
      </c>
      <c r="I465" s="40" t="str">
        <f t="array" ref="I465">_xlfn.XLOOKUP($B465, DB[samplingPoint], DB[location])</f>
        <v>MFG 3 (5000L)</v>
      </c>
      <c r="J465" s="39" t="str">
        <f t="array" ref="J465">_xlfn.XLOOKUP($B465, DB[samplingPoint], DB[waterType])</f>
        <v>PW</v>
      </c>
      <c r="K465" s="43">
        <f t="shared" si="31"/>
        <v>46245</v>
      </c>
      <c r="L465" s="26">
        <v>46248.0</v>
      </c>
      <c r="M465" s="32">
        <v>0.0</v>
      </c>
      <c r="N465" s="32">
        <v>0.0</v>
      </c>
      <c r="O465" s="32">
        <f t="shared" si="20"/>
        <v>0</v>
      </c>
      <c r="P465" s="49"/>
      <c r="Q465" s="49"/>
      <c r="R465" s="32">
        <f t="array" ref="R465">_xlfn.XLOOKUP($B465, DB[samplingPoint], DB[Criteria])</f>
        <v>100</v>
      </c>
      <c r="S465" s="50" t="str">
        <f t="shared" si="3"/>
        <v>PASSED</v>
      </c>
      <c r="T465" s="38" t="b">
        <v>0</v>
      </c>
      <c r="U465" s="39"/>
      <c r="V465" s="32" t="s">
        <v>304</v>
      </c>
    </row>
    <row r="466" ht="22.5" customHeight="1">
      <c r="A466" s="26">
        <v>46245.0</v>
      </c>
      <c r="B466" s="48" t="s">
        <v>563</v>
      </c>
      <c r="C466" s="32" t="str">
        <f t="array" ref="C466">_xlfn.XLOOKUP(B466, DB[samplingPoint], DB[samplingTag])</f>
        <v>DV126.07</v>
      </c>
      <c r="D466" s="33" t="s">
        <v>500</v>
      </c>
      <c r="E466" s="35" t="s">
        <v>303</v>
      </c>
      <c r="F466" s="38" t="b">
        <v>1</v>
      </c>
      <c r="G466" s="39" t="str">
        <f t="array" ref="G466">_xlfn.XLOOKUP($B466, DB[samplingPoint], DB[noLocation])</f>
        <v>16-3-077</v>
      </c>
      <c r="H466" s="33" t="s">
        <v>327</v>
      </c>
      <c r="I466" s="40" t="str">
        <f t="array" ref="I466">_xlfn.XLOOKUP($B466, DB[samplingPoint], DB[location])</f>
        <v>MFG 6</v>
      </c>
      <c r="J466" s="39" t="str">
        <f t="array" ref="J466">_xlfn.XLOOKUP($B466, DB[samplingPoint], DB[waterType])</f>
        <v>PW</v>
      </c>
      <c r="K466" s="43">
        <f t="shared" si="31"/>
        <v>46245</v>
      </c>
      <c r="L466" s="26">
        <v>46248.0</v>
      </c>
      <c r="M466" s="32">
        <v>1.0</v>
      </c>
      <c r="N466" s="32">
        <v>0.0</v>
      </c>
      <c r="O466" s="32">
        <f t="shared" si="20"/>
        <v>1</v>
      </c>
      <c r="P466" s="49"/>
      <c r="Q466" s="49"/>
      <c r="R466" s="32">
        <f t="array" ref="R466">_xlfn.XLOOKUP($B466, DB[samplingPoint], DB[Criteria])</f>
        <v>100</v>
      </c>
      <c r="S466" s="50" t="str">
        <f t="shared" si="3"/>
        <v>PASSED</v>
      </c>
      <c r="T466" s="38" t="b">
        <v>0</v>
      </c>
      <c r="U466" s="39"/>
      <c r="V466" s="32" t="s">
        <v>304</v>
      </c>
    </row>
    <row r="467" ht="22.5" customHeight="1">
      <c r="A467" s="26">
        <v>46245.0</v>
      </c>
      <c r="B467" s="48" t="s">
        <v>566</v>
      </c>
      <c r="C467" s="32" t="str">
        <f t="array" ref="C467">_xlfn.XLOOKUP(B467, DB[samplingPoint], DB[samplingTag])</f>
        <v>DV126.08</v>
      </c>
      <c r="D467" s="33" t="s">
        <v>500</v>
      </c>
      <c r="E467" s="35" t="s">
        <v>303</v>
      </c>
      <c r="F467" s="38" t="b">
        <v>1</v>
      </c>
      <c r="G467" s="39" t="str">
        <f t="array" ref="G467">_xlfn.XLOOKUP($B467, DB[samplingPoint], DB[noLocation])</f>
        <v>16-3-077</v>
      </c>
      <c r="H467" s="33" t="s">
        <v>327</v>
      </c>
      <c r="I467" s="40" t="str">
        <f t="array" ref="I467">_xlfn.XLOOKUP($B467, DB[samplingPoint], DB[location])</f>
        <v>MFG 6</v>
      </c>
      <c r="J467" s="39" t="str">
        <f t="array" ref="J467">_xlfn.XLOOKUP($B467, DB[samplingPoint], DB[waterType])</f>
        <v>PW</v>
      </c>
      <c r="K467" s="43">
        <f t="shared" si="31"/>
        <v>46245</v>
      </c>
      <c r="L467" s="26">
        <v>46248.0</v>
      </c>
      <c r="M467" s="32">
        <v>0.0</v>
      </c>
      <c r="N467" s="32">
        <v>0.0</v>
      </c>
      <c r="O467" s="32">
        <f t="shared" si="20"/>
        <v>0</v>
      </c>
      <c r="P467" s="49"/>
      <c r="Q467" s="49"/>
      <c r="R467" s="32">
        <f t="array" ref="R467">_xlfn.XLOOKUP($B467, DB[samplingPoint], DB[Criteria])</f>
        <v>100</v>
      </c>
      <c r="S467" s="50" t="str">
        <f t="shared" si="3"/>
        <v>PASSED</v>
      </c>
      <c r="T467" s="38" t="b">
        <v>0</v>
      </c>
      <c r="U467" s="39"/>
      <c r="V467" s="32" t="s">
        <v>304</v>
      </c>
    </row>
    <row r="468" ht="22.5" customHeight="1">
      <c r="A468" s="26">
        <v>46247.0</v>
      </c>
      <c r="B468" s="27" t="s">
        <v>430</v>
      </c>
      <c r="C468" s="32" t="str">
        <f t="array" ref="C468">_xlfn.XLOOKUP(B468, DB[samplingPoint], DB[samplingTag])</f>
        <v>SV137.01</v>
      </c>
      <c r="D468" s="33" t="s">
        <v>158</v>
      </c>
      <c r="E468" s="35" t="s">
        <v>306</v>
      </c>
      <c r="F468" s="38" t="b">
        <v>1</v>
      </c>
      <c r="G468" s="39" t="str">
        <f t="array" ref="G468">_xlfn.XLOOKUP($B468, DB[samplingPoint], DB[noLocation])</f>
        <v>WATER SYSTEM (B12)</v>
      </c>
      <c r="H468" s="33" t="s">
        <v>437</v>
      </c>
      <c r="I468" s="40" t="str">
        <f t="array" ref="I468">_xlfn.XLOOKUP($B468, DB[samplingPoint], DB[location])</f>
        <v>Return loop (B12)</v>
      </c>
      <c r="J468" s="39" t="str">
        <f t="array" ref="J468">_xlfn.XLOOKUP($B468, DB[samplingPoint], DB[waterType])</f>
        <v>PW</v>
      </c>
      <c r="K468" s="43">
        <f>$A468+1</f>
        <v>46248</v>
      </c>
      <c r="L468" s="26">
        <v>46251.0</v>
      </c>
      <c r="M468" s="32">
        <v>0.0</v>
      </c>
      <c r="N468" s="32">
        <v>0.0</v>
      </c>
      <c r="O468" s="32">
        <f t="shared" si="20"/>
        <v>0</v>
      </c>
      <c r="P468" s="49"/>
      <c r="Q468" s="49"/>
      <c r="R468" s="32">
        <f t="array" ref="R468">_xlfn.XLOOKUP($B468, DB[samplingPoint], DB[Criteria])</f>
        <v>100</v>
      </c>
      <c r="S468" s="50" t="str">
        <f t="shared" si="3"/>
        <v>PASSED</v>
      </c>
      <c r="T468" s="38" t="b">
        <v>0</v>
      </c>
      <c r="U468" s="39"/>
      <c r="V468" s="32" t="s">
        <v>304</v>
      </c>
    </row>
    <row r="469" ht="22.5" customHeight="1">
      <c r="A469" s="26">
        <v>46248.0</v>
      </c>
      <c r="B469" s="27" t="s">
        <v>430</v>
      </c>
      <c r="C469" s="32" t="str">
        <f t="array" ref="C469">_xlfn.XLOOKUP(B469, DB[samplingPoint], DB[samplingTag])</f>
        <v>SV137.01</v>
      </c>
      <c r="D469" s="33" t="s">
        <v>158</v>
      </c>
      <c r="E469" s="35" t="s">
        <v>308</v>
      </c>
      <c r="F469" s="38" t="b">
        <v>1</v>
      </c>
      <c r="G469" s="39" t="str">
        <f t="array" ref="G469">_xlfn.XLOOKUP($B469, DB[samplingPoint], DB[noLocation])</f>
        <v>WATER SYSTEM (B12)</v>
      </c>
      <c r="H469" s="33" t="s">
        <v>437</v>
      </c>
      <c r="I469" s="40" t="str">
        <f t="array" ref="I469">_xlfn.XLOOKUP($B469, DB[samplingPoint], DB[location])</f>
        <v>Return loop (B12)</v>
      </c>
      <c r="J469" s="39" t="str">
        <f t="array" ref="J469">_xlfn.XLOOKUP($B469, DB[samplingPoint], DB[waterType])</f>
        <v>PW</v>
      </c>
      <c r="K469" s="43">
        <f t="shared" ref="K469:K586" si="32">$A469+0</f>
        <v>46248</v>
      </c>
      <c r="L469" s="26">
        <v>46251.0</v>
      </c>
      <c r="M469" s="32">
        <v>0.0</v>
      </c>
      <c r="N469" s="32">
        <v>0.0</v>
      </c>
      <c r="O469" s="32">
        <f t="shared" si="20"/>
        <v>0</v>
      </c>
      <c r="P469" s="49"/>
      <c r="Q469" s="49"/>
      <c r="R469" s="32">
        <f t="array" ref="R469">_xlfn.XLOOKUP($B469, DB[samplingPoint], DB[Criteria])</f>
        <v>100</v>
      </c>
      <c r="S469" s="50" t="str">
        <f t="shared" si="3"/>
        <v>PASSED</v>
      </c>
      <c r="T469" s="38" t="b">
        <v>0</v>
      </c>
      <c r="U469" s="39"/>
      <c r="V469" s="32" t="s">
        <v>304</v>
      </c>
    </row>
    <row r="470" ht="22.5" customHeight="1">
      <c r="A470" s="26">
        <v>46248.0</v>
      </c>
      <c r="B470" s="27" t="s">
        <v>443</v>
      </c>
      <c r="C470" s="32" t="str">
        <f t="array" ref="C470">_xlfn.XLOOKUP(B470, DB[samplingPoint], DB[samplingTag])</f>
        <v>SV136.09</v>
      </c>
      <c r="D470" s="33" t="s">
        <v>158</v>
      </c>
      <c r="E470" s="35" t="s">
        <v>308</v>
      </c>
      <c r="F470" s="38" t="b">
        <v>1</v>
      </c>
      <c r="G470" s="39" t="str">
        <f t="array" ref="G470">_xlfn.XLOOKUP($B470, DB[samplingPoint], DB[noLocation])</f>
        <v>12-2-039</v>
      </c>
      <c r="H470" s="33" t="s">
        <v>437</v>
      </c>
      <c r="I470" s="40" t="str">
        <f t="array" ref="I470">_xlfn.XLOOKUP($B470, DB[samplingPoint], DB[location])</f>
        <v>MFG 1</v>
      </c>
      <c r="J470" s="39" t="str">
        <f t="array" ref="J470">_xlfn.XLOOKUP($B470, DB[samplingPoint], DB[waterType])</f>
        <v>PW</v>
      </c>
      <c r="K470" s="43">
        <f t="shared" si="32"/>
        <v>46248</v>
      </c>
      <c r="L470" s="26">
        <v>46251.0</v>
      </c>
      <c r="M470" s="32">
        <v>0.0</v>
      </c>
      <c r="N470" s="32">
        <v>0.0</v>
      </c>
      <c r="O470" s="32">
        <f t="shared" si="20"/>
        <v>0</v>
      </c>
      <c r="P470" s="49"/>
      <c r="Q470" s="49"/>
      <c r="R470" s="32">
        <f t="array" ref="R470">_xlfn.XLOOKUP($B470, DB[samplingPoint], DB[Criteria])</f>
        <v>100</v>
      </c>
      <c r="S470" s="50" t="str">
        <f t="shared" si="3"/>
        <v>PASSED</v>
      </c>
      <c r="T470" s="38" t="b">
        <v>0</v>
      </c>
      <c r="U470" s="39"/>
      <c r="V470" s="32" t="s">
        <v>304</v>
      </c>
    </row>
    <row r="471" ht="22.5" customHeight="1">
      <c r="A471" s="26">
        <v>46248.0</v>
      </c>
      <c r="B471" s="48" t="s">
        <v>548</v>
      </c>
      <c r="C471" s="32" t="str">
        <f t="array" ref="C471">_xlfn.XLOOKUP(B471, DB[samplingPoint], DB[samplingTag])</f>
        <v>DV136.17</v>
      </c>
      <c r="D471" s="33" t="s">
        <v>158</v>
      </c>
      <c r="E471" s="35" t="s">
        <v>308</v>
      </c>
      <c r="F471" s="38" t="b">
        <v>1</v>
      </c>
      <c r="G471" s="39" t="str">
        <f t="array" ref="G471">_xlfn.XLOOKUP($B471, DB[samplingPoint], DB[noLocation])</f>
        <v>12-2-065</v>
      </c>
      <c r="H471" s="33" t="s">
        <v>437</v>
      </c>
      <c r="I471" s="40" t="str">
        <f t="array" ref="I471">_xlfn.XLOOKUP($B471, DB[samplingPoint], DB[location])</f>
        <v>WASHING</v>
      </c>
      <c r="J471" s="39" t="str">
        <f t="array" ref="J471">_xlfn.XLOOKUP($B471, DB[samplingPoint], DB[waterType])</f>
        <v>PW</v>
      </c>
      <c r="K471" s="43">
        <f t="shared" si="32"/>
        <v>46248</v>
      </c>
      <c r="L471" s="26">
        <v>46251.0</v>
      </c>
      <c r="M471" s="32">
        <v>0.0</v>
      </c>
      <c r="N471" s="32">
        <v>0.0</v>
      </c>
      <c r="O471" s="32">
        <f t="shared" si="20"/>
        <v>0</v>
      </c>
      <c r="P471" s="49"/>
      <c r="Q471" s="49"/>
      <c r="R471" s="32">
        <f t="array" ref="R471">_xlfn.XLOOKUP($B471, DB[samplingPoint], DB[Criteria])</f>
        <v>100</v>
      </c>
      <c r="S471" s="50" t="str">
        <f t="shared" si="3"/>
        <v>PASSED</v>
      </c>
      <c r="T471" s="38" t="b">
        <v>0</v>
      </c>
      <c r="U471" s="39"/>
      <c r="V471" s="32" t="s">
        <v>304</v>
      </c>
    </row>
    <row r="472" ht="22.5" customHeight="1">
      <c r="A472" s="26">
        <v>46248.0</v>
      </c>
      <c r="B472" s="113" t="s">
        <v>349</v>
      </c>
      <c r="C472" s="32" t="str">
        <f t="array" ref="C472">_xlfn.XLOOKUP(B472, DB[samplingPoint], DB[samplingTag])</f>
        <v>VB-05(10)</v>
      </c>
      <c r="D472" s="33" t="s">
        <v>500</v>
      </c>
      <c r="E472" s="35" t="s">
        <v>310</v>
      </c>
      <c r="F472" s="38" t="b">
        <v>1</v>
      </c>
      <c r="G472" s="39" t="str">
        <f t="array" ref="G472">_xlfn.XLOOKUP($B472, DB[samplingPoint], DB[noLocation])</f>
        <v>WATER SYSTEM (B10)</v>
      </c>
      <c r="H472" s="33" t="s">
        <v>180</v>
      </c>
      <c r="I472" s="40" t="str">
        <f t="array" ref="I472">_xlfn.XLOOKUP($B472, DB[samplingPoint], DB[location])</f>
        <v>After Chlorine circulation tank (B10)</v>
      </c>
      <c r="J472" s="39" t="str">
        <f t="array" ref="J472">_xlfn.XLOOKUP($B472, DB[samplingPoint], DB[waterType])</f>
        <v>PRW</v>
      </c>
      <c r="K472" s="43">
        <f t="shared" si="32"/>
        <v>46248</v>
      </c>
      <c r="L472" s="26">
        <v>46251.0</v>
      </c>
      <c r="M472" s="32">
        <v>0.0</v>
      </c>
      <c r="N472" s="32">
        <v>0.0</v>
      </c>
      <c r="O472" s="32">
        <f t="shared" si="20"/>
        <v>0</v>
      </c>
      <c r="P472" s="49"/>
      <c r="Q472" s="49"/>
      <c r="R472" s="32">
        <f t="array" ref="R472">_xlfn.XLOOKUP($B472, DB[samplingPoint], DB[Criteria])</f>
        <v>500</v>
      </c>
      <c r="S472" s="50" t="str">
        <f t="shared" si="3"/>
        <v>PASSED</v>
      </c>
      <c r="T472" s="38" t="b">
        <v>0</v>
      </c>
      <c r="U472" s="39"/>
      <c r="V472" s="32" t="s">
        <v>304</v>
      </c>
    </row>
    <row r="473" ht="22.5" customHeight="1">
      <c r="A473" s="26">
        <v>46248.0</v>
      </c>
      <c r="B473" s="58" t="s">
        <v>366</v>
      </c>
      <c r="C473" s="32" t="str">
        <f t="array" ref="C473">_xlfn.XLOOKUP(B473, DB[samplingPoint], DB[samplingTag])</f>
        <v>V50-61(10)</v>
      </c>
      <c r="D473" s="33" t="s">
        <v>500</v>
      </c>
      <c r="E473" s="35" t="s">
        <v>310</v>
      </c>
      <c r="F473" s="38" t="b">
        <v>1</v>
      </c>
      <c r="G473" s="39" t="str">
        <f t="array" ref="G473">_xlfn.XLOOKUP($B473, DB[samplingPoint], DB[noLocation])</f>
        <v>WATER SYSTEM (B10)</v>
      </c>
      <c r="H473" s="33" t="s">
        <v>180</v>
      </c>
      <c r="I473" s="40" t="str">
        <f t="array" ref="I473">_xlfn.XLOOKUP($B473, DB[samplingPoint], DB[location])</f>
        <v>After Cartridge filter 5 µm (B10)</v>
      </c>
      <c r="J473" s="39" t="str">
        <f t="array" ref="J473">_xlfn.XLOOKUP($B473, DB[samplingPoint], DB[waterType])</f>
        <v>PRW</v>
      </c>
      <c r="K473" s="43">
        <f t="shared" si="32"/>
        <v>46248</v>
      </c>
      <c r="L473" s="26">
        <v>46251.0</v>
      </c>
      <c r="M473" s="32">
        <v>0.0</v>
      </c>
      <c r="N473" s="32">
        <v>0.0</v>
      </c>
      <c r="O473" s="32">
        <f t="shared" si="20"/>
        <v>0</v>
      </c>
      <c r="P473" s="49"/>
      <c r="Q473" s="49"/>
      <c r="R473" s="32">
        <f t="array" ref="R473">_xlfn.XLOOKUP($B473, DB[samplingPoint], DB[Criteria])</f>
        <v>500</v>
      </c>
      <c r="S473" s="50" t="str">
        <f t="shared" si="3"/>
        <v>PASSED</v>
      </c>
      <c r="T473" s="38" t="b">
        <v>0</v>
      </c>
      <c r="U473" s="39"/>
      <c r="V473" s="32" t="s">
        <v>304</v>
      </c>
    </row>
    <row r="474" ht="22.5" customHeight="1">
      <c r="A474" s="26">
        <v>46248.0</v>
      </c>
      <c r="B474" s="27" t="s">
        <v>368</v>
      </c>
      <c r="C474" s="32" t="str">
        <f t="array" ref="C474">_xlfn.XLOOKUP(B474, DB[samplingPoint], DB[samplingTag])</f>
        <v>V50-11C(10)</v>
      </c>
      <c r="D474" s="33" t="s">
        <v>500</v>
      </c>
      <c r="E474" s="35" t="s">
        <v>310</v>
      </c>
      <c r="F474" s="38" t="b">
        <v>1</v>
      </c>
      <c r="G474" s="39" t="str">
        <f t="array" ref="G474">_xlfn.XLOOKUP($B474, DB[samplingPoint], DB[noLocation])</f>
        <v>WATER SYSTEM (B10)</v>
      </c>
      <c r="H474" s="33" t="s">
        <v>180</v>
      </c>
      <c r="I474" s="40" t="str">
        <f t="array" ref="I474">_xlfn.XLOOKUP($B474, DB[samplingPoint], DB[location])</f>
        <v>After RO (Before EDI) (B10)</v>
      </c>
      <c r="J474" s="39" t="str">
        <f t="array" ref="J474">_xlfn.XLOOKUP($B474, DB[samplingPoint], DB[waterType])</f>
        <v>RO water</v>
      </c>
      <c r="K474" s="43">
        <f t="shared" si="32"/>
        <v>46248</v>
      </c>
      <c r="L474" s="26">
        <v>46251.0</v>
      </c>
      <c r="M474" s="32">
        <v>0.0</v>
      </c>
      <c r="N474" s="32">
        <v>0.0</v>
      </c>
      <c r="O474" s="32">
        <f t="shared" si="20"/>
        <v>0</v>
      </c>
      <c r="P474" s="49"/>
      <c r="Q474" s="49"/>
      <c r="R474" s="32">
        <f t="array" ref="R474">_xlfn.XLOOKUP($B474, DB[samplingPoint], DB[Criteria])</f>
        <v>500</v>
      </c>
      <c r="S474" s="50" t="str">
        <f t="shared" si="3"/>
        <v>PASSED</v>
      </c>
      <c r="T474" s="38" t="b">
        <v>0</v>
      </c>
      <c r="U474" s="39"/>
      <c r="V474" s="32" t="s">
        <v>304</v>
      </c>
    </row>
    <row r="475" ht="22.5" customHeight="1">
      <c r="A475" s="26">
        <v>46248.0</v>
      </c>
      <c r="B475" s="58" t="s">
        <v>374</v>
      </c>
      <c r="C475" s="32" t="str">
        <f t="array" ref="C475">_xlfn.XLOOKUP(B475, DB[samplingPoint], DB[samplingTag])</f>
        <v>V50-39(10)</v>
      </c>
      <c r="D475" s="33" t="s">
        <v>500</v>
      </c>
      <c r="E475" s="35" t="s">
        <v>310</v>
      </c>
      <c r="F475" s="38" t="b">
        <v>1</v>
      </c>
      <c r="G475" s="39" t="str">
        <f t="array" ref="G475">_xlfn.XLOOKUP($B475, DB[samplingPoint], DB[noLocation])</f>
        <v>WATER SYSTEM (B10)</v>
      </c>
      <c r="H475" s="33" t="s">
        <v>180</v>
      </c>
      <c r="I475" s="40" t="str">
        <f t="array" ref="I475">_xlfn.XLOOKUP($B475, DB[samplingPoint], DB[location])</f>
        <v>After EDI (B10)</v>
      </c>
      <c r="J475" s="39" t="str">
        <f t="array" ref="J475">_xlfn.XLOOKUP($B475, DB[samplingPoint], DB[waterType])</f>
        <v>PW</v>
      </c>
      <c r="K475" s="43">
        <f t="shared" si="32"/>
        <v>46248</v>
      </c>
      <c r="L475" s="26">
        <v>46251.0</v>
      </c>
      <c r="M475" s="32">
        <v>0.0</v>
      </c>
      <c r="N475" s="32">
        <v>0.0</v>
      </c>
      <c r="O475" s="32">
        <f t="shared" si="20"/>
        <v>0</v>
      </c>
      <c r="P475" s="49"/>
      <c r="Q475" s="49"/>
      <c r="R475" s="32">
        <f t="array" ref="R475">_xlfn.XLOOKUP($B475, DB[samplingPoint], DB[Criteria])</f>
        <v>100</v>
      </c>
      <c r="S475" s="50" t="str">
        <f t="shared" si="3"/>
        <v>PASSED</v>
      </c>
      <c r="T475" s="38" t="b">
        <v>0</v>
      </c>
      <c r="U475" s="39"/>
      <c r="V475" s="32" t="s">
        <v>304</v>
      </c>
    </row>
    <row r="476" ht="22.5" customHeight="1">
      <c r="A476" s="26">
        <v>46248.0</v>
      </c>
      <c r="B476" s="27" t="s">
        <v>390</v>
      </c>
      <c r="C476" s="32" t="str">
        <f t="array" ref="C476">_xlfn.XLOOKUP(B476, DB[samplingPoint], DB[samplingTag])</f>
        <v>SV117.01</v>
      </c>
      <c r="D476" s="33" t="s">
        <v>500</v>
      </c>
      <c r="E476" s="35" t="s">
        <v>310</v>
      </c>
      <c r="F476" s="38" t="b">
        <v>1</v>
      </c>
      <c r="G476" s="39" t="str">
        <f t="array" ref="G476">_xlfn.XLOOKUP($B476, DB[samplingPoint], DB[noLocation])</f>
        <v>WATER SYSTEM (B10)</v>
      </c>
      <c r="H476" s="33" t="s">
        <v>180</v>
      </c>
      <c r="I476" s="40" t="str">
        <f t="array" ref="I476">_xlfn.XLOOKUP($B476, DB[samplingPoint], DB[location])</f>
        <v>Return loop (B10)</v>
      </c>
      <c r="J476" s="39" t="str">
        <f t="array" ref="J476">_xlfn.XLOOKUP($B476, DB[samplingPoint], DB[waterType])</f>
        <v>PW</v>
      </c>
      <c r="K476" s="43">
        <f t="shared" si="32"/>
        <v>46248</v>
      </c>
      <c r="L476" s="26">
        <v>46251.0</v>
      </c>
      <c r="M476" s="32">
        <v>0.0</v>
      </c>
      <c r="N476" s="32">
        <v>0.0</v>
      </c>
      <c r="O476" s="32">
        <f t="shared" si="20"/>
        <v>0</v>
      </c>
      <c r="P476" s="49"/>
      <c r="Q476" s="49"/>
      <c r="R476" s="32">
        <f t="array" ref="R476">_xlfn.XLOOKUP($B476, DB[samplingPoint], DB[Criteria])</f>
        <v>100</v>
      </c>
      <c r="S476" s="50" t="str">
        <f t="shared" si="3"/>
        <v>PASSED</v>
      </c>
      <c r="T476" s="38" t="b">
        <v>0</v>
      </c>
      <c r="U476" s="39"/>
      <c r="V476" s="32" t="s">
        <v>304</v>
      </c>
    </row>
    <row r="477" ht="22.5" customHeight="1">
      <c r="A477" s="26">
        <v>46248.0</v>
      </c>
      <c r="B477" s="99" t="s">
        <v>536</v>
      </c>
      <c r="C477" s="32" t="str">
        <f t="array" ref="C477">_xlfn.XLOOKUP(B477, DB[samplingPoint], DB[samplingTag])</f>
        <v>SV116.05</v>
      </c>
      <c r="D477" s="33" t="s">
        <v>500</v>
      </c>
      <c r="E477" s="35" t="s">
        <v>310</v>
      </c>
      <c r="F477" s="38" t="b">
        <v>1</v>
      </c>
      <c r="G477" s="39" t="str">
        <f t="array" ref="G477">_xlfn.XLOOKUP($B477, DB[samplingPoint], DB[noLocation])</f>
        <v>10-3-062</v>
      </c>
      <c r="H477" s="33" t="s">
        <v>180</v>
      </c>
      <c r="I477" s="40" t="str">
        <f t="array" ref="I477">_xlfn.XLOOKUP($B477, DB[samplingPoint], DB[location])</f>
        <v>COATING ROOM-3</v>
      </c>
      <c r="J477" s="39" t="str">
        <f t="array" ref="J477">_xlfn.XLOOKUP($B477, DB[samplingPoint], DB[waterType])</f>
        <v>PW</v>
      </c>
      <c r="K477" s="43">
        <f t="shared" si="32"/>
        <v>46248</v>
      </c>
      <c r="L477" s="26">
        <v>46251.0</v>
      </c>
      <c r="M477" s="32">
        <v>0.0</v>
      </c>
      <c r="N477" s="32">
        <v>0.0</v>
      </c>
      <c r="O477" s="32">
        <f t="shared" si="20"/>
        <v>0</v>
      </c>
      <c r="P477" s="49"/>
      <c r="Q477" s="49"/>
      <c r="R477" s="32">
        <f t="array" ref="R477">_xlfn.XLOOKUP($B477, DB[samplingPoint], DB[Criteria])</f>
        <v>100</v>
      </c>
      <c r="S477" s="50" t="str">
        <f t="shared" si="3"/>
        <v>PASSED</v>
      </c>
      <c r="T477" s="38" t="b">
        <v>0</v>
      </c>
      <c r="U477" s="39"/>
      <c r="V477" s="32" t="s">
        <v>304</v>
      </c>
    </row>
    <row r="478" ht="22.5" customHeight="1">
      <c r="A478" s="26">
        <v>46248.0</v>
      </c>
      <c r="B478" s="102" t="s">
        <v>535</v>
      </c>
      <c r="C478" s="32" t="str">
        <f t="array" ref="C478">_xlfn.XLOOKUP(B478, DB[samplingPoint], DB[samplingTag])</f>
        <v>SV116.04</v>
      </c>
      <c r="D478" s="33" t="s">
        <v>500</v>
      </c>
      <c r="E478" s="35" t="s">
        <v>310</v>
      </c>
      <c r="F478" s="38" t="b">
        <v>1</v>
      </c>
      <c r="G478" s="39" t="str">
        <f t="array" ref="G478">_xlfn.XLOOKUP($B478, DB[samplingPoint], DB[noLocation])</f>
        <v>10-3-061</v>
      </c>
      <c r="H478" s="33" t="s">
        <v>180</v>
      </c>
      <c r="I478" s="40" t="str">
        <f t="array" ref="I478">_xlfn.XLOOKUP($B478, DB[samplingPoint], DB[location])</f>
        <v>COATING ROOM-2</v>
      </c>
      <c r="J478" s="39" t="str">
        <f t="array" ref="J478">_xlfn.XLOOKUP($B478, DB[samplingPoint], DB[waterType])</f>
        <v>PW</v>
      </c>
      <c r="K478" s="43">
        <f t="shared" si="32"/>
        <v>46248</v>
      </c>
      <c r="L478" s="26">
        <v>46251.0</v>
      </c>
      <c r="M478" s="32">
        <v>0.0</v>
      </c>
      <c r="N478" s="32">
        <v>0.0</v>
      </c>
      <c r="O478" s="32">
        <f t="shared" si="20"/>
        <v>0</v>
      </c>
      <c r="P478" s="49"/>
      <c r="Q478" s="49"/>
      <c r="R478" s="32">
        <f t="array" ref="R478">_xlfn.XLOOKUP($B478, DB[samplingPoint], DB[Criteria])</f>
        <v>100</v>
      </c>
      <c r="S478" s="50" t="str">
        <f t="shared" si="3"/>
        <v>PASSED</v>
      </c>
      <c r="T478" s="38" t="b">
        <v>0</v>
      </c>
      <c r="U478" s="39"/>
      <c r="V478" s="32" t="s">
        <v>304</v>
      </c>
    </row>
    <row r="479" ht="22.5" customHeight="1">
      <c r="A479" s="26">
        <v>46248.0</v>
      </c>
      <c r="B479" s="99" t="s">
        <v>529</v>
      </c>
      <c r="C479" s="32" t="str">
        <f t="array" ref="C479">_xlfn.XLOOKUP(B479, DB[samplingPoint], DB[samplingTag])</f>
        <v>DV116.09</v>
      </c>
      <c r="D479" s="33" t="s">
        <v>500</v>
      </c>
      <c r="E479" s="35" t="s">
        <v>310</v>
      </c>
      <c r="F479" s="38" t="b">
        <v>1</v>
      </c>
      <c r="G479" s="39" t="str">
        <f t="array" ref="G479">_xlfn.XLOOKUP($B479, DB[samplingPoint], DB[noLocation])</f>
        <v>10-3-060</v>
      </c>
      <c r="H479" s="33" t="s">
        <v>180</v>
      </c>
      <c r="I479" s="40" t="str">
        <f t="array" ref="I479">_xlfn.XLOOKUP($B479, DB[samplingPoint], DB[location])</f>
        <v>COATING SOLUTION PREP.-2</v>
      </c>
      <c r="J479" s="39" t="str">
        <f t="array" ref="J479">_xlfn.XLOOKUP($B479, DB[samplingPoint], DB[waterType])</f>
        <v>PW</v>
      </c>
      <c r="K479" s="43">
        <f t="shared" si="32"/>
        <v>46248</v>
      </c>
      <c r="L479" s="26">
        <v>46251.0</v>
      </c>
      <c r="M479" s="32">
        <v>0.0</v>
      </c>
      <c r="N479" s="32">
        <v>0.0</v>
      </c>
      <c r="O479" s="32">
        <f t="shared" si="20"/>
        <v>0</v>
      </c>
      <c r="P479" s="49"/>
      <c r="Q479" s="49"/>
      <c r="R479" s="32">
        <f t="array" ref="R479">_xlfn.XLOOKUP($B479, DB[samplingPoint], DB[Criteria])</f>
        <v>100</v>
      </c>
      <c r="S479" s="50" t="str">
        <f t="shared" si="3"/>
        <v>PASSED</v>
      </c>
      <c r="T479" s="38" t="b">
        <v>0</v>
      </c>
      <c r="U479" s="39"/>
      <c r="V479" s="32" t="s">
        <v>304</v>
      </c>
    </row>
    <row r="480" ht="22.5" customHeight="1">
      <c r="A480" s="26">
        <v>46248.0</v>
      </c>
      <c r="B480" s="102" t="s">
        <v>528</v>
      </c>
      <c r="C480" s="32" t="str">
        <f t="array" ref="C480">_xlfn.XLOOKUP(B480, DB[samplingPoint], DB[samplingTag])</f>
        <v>DV116.08</v>
      </c>
      <c r="D480" s="33" t="s">
        <v>500</v>
      </c>
      <c r="E480" s="35" t="s">
        <v>310</v>
      </c>
      <c r="F480" s="38" t="b">
        <v>1</v>
      </c>
      <c r="G480" s="39" t="str">
        <f t="array" ref="G480">_xlfn.XLOOKUP($B480, DB[samplingPoint], DB[noLocation])</f>
        <v>10-3-059</v>
      </c>
      <c r="H480" s="33" t="s">
        <v>180</v>
      </c>
      <c r="I480" s="40" t="str">
        <f t="array" ref="I480">_xlfn.XLOOKUP($B480, DB[samplingPoint], DB[location])</f>
        <v>COATING SOLUTION PREP.-1</v>
      </c>
      <c r="J480" s="39" t="str">
        <f t="array" ref="J480">_xlfn.XLOOKUP($B480, DB[samplingPoint], DB[waterType])</f>
        <v>PW</v>
      </c>
      <c r="K480" s="43">
        <f t="shared" si="32"/>
        <v>46248</v>
      </c>
      <c r="L480" s="26">
        <v>46251.0</v>
      </c>
      <c r="M480" s="32">
        <v>0.0</v>
      </c>
      <c r="N480" s="32">
        <v>0.0</v>
      </c>
      <c r="O480" s="32">
        <f t="shared" si="20"/>
        <v>0</v>
      </c>
      <c r="P480" s="49"/>
      <c r="Q480" s="49"/>
      <c r="R480" s="32">
        <f t="array" ref="R480">_xlfn.XLOOKUP($B480, DB[samplingPoint], DB[Criteria])</f>
        <v>100</v>
      </c>
      <c r="S480" s="50" t="str">
        <f t="shared" si="3"/>
        <v>PASSED</v>
      </c>
      <c r="T480" s="38" t="b">
        <v>0</v>
      </c>
      <c r="U480" s="39"/>
      <c r="V480" s="32" t="s">
        <v>304</v>
      </c>
    </row>
    <row r="481" ht="22.5" customHeight="1">
      <c r="A481" s="26">
        <v>46248.0</v>
      </c>
      <c r="B481" s="99" t="s">
        <v>534</v>
      </c>
      <c r="C481" s="32" t="str">
        <f t="array" ref="C481">_xlfn.XLOOKUP(B481, DB[samplingPoint], DB[samplingTag])</f>
        <v>SV116.03</v>
      </c>
      <c r="D481" s="33" t="s">
        <v>500</v>
      </c>
      <c r="E481" s="35" t="s">
        <v>310</v>
      </c>
      <c r="F481" s="38" t="b">
        <v>1</v>
      </c>
      <c r="G481" s="39" t="str">
        <f t="array" ref="G481">_xlfn.XLOOKUP($B481, DB[samplingPoint], DB[noLocation])</f>
        <v>10-3-058</v>
      </c>
      <c r="H481" s="33" t="s">
        <v>180</v>
      </c>
      <c r="I481" s="40" t="str">
        <f t="array" ref="I481">_xlfn.XLOOKUP($B481, DB[samplingPoint], DB[location])</f>
        <v>COATING ROOM-1</v>
      </c>
      <c r="J481" s="39" t="str">
        <f t="array" ref="J481">_xlfn.XLOOKUP($B481, DB[samplingPoint], DB[waterType])</f>
        <v>PW</v>
      </c>
      <c r="K481" s="43">
        <f t="shared" si="32"/>
        <v>46248</v>
      </c>
      <c r="L481" s="26">
        <v>46251.0</v>
      </c>
      <c r="M481" s="32">
        <v>0.0</v>
      </c>
      <c r="N481" s="32">
        <v>0.0</v>
      </c>
      <c r="O481" s="32">
        <f t="shared" si="20"/>
        <v>0</v>
      </c>
      <c r="P481" s="49"/>
      <c r="Q481" s="49"/>
      <c r="R481" s="32">
        <f t="array" ref="R481">_xlfn.XLOOKUP($B481, DB[samplingPoint], DB[Criteria])</f>
        <v>100</v>
      </c>
      <c r="S481" s="50" t="str">
        <f t="shared" si="3"/>
        <v>PASSED</v>
      </c>
      <c r="T481" s="38" t="b">
        <v>0</v>
      </c>
      <c r="U481" s="39"/>
      <c r="V481" s="32" t="s">
        <v>304</v>
      </c>
    </row>
    <row r="482" ht="22.5" customHeight="1">
      <c r="A482" s="26">
        <v>46248.0</v>
      </c>
      <c r="B482" s="102" t="s">
        <v>541</v>
      </c>
      <c r="C482" s="32" t="str">
        <f t="array" ref="C482">_xlfn.XLOOKUP(B482, DB[samplingPoint], DB[samplingTag])</f>
        <v>SV116.08</v>
      </c>
      <c r="D482" s="33" t="s">
        <v>500</v>
      </c>
      <c r="E482" s="35" t="s">
        <v>310</v>
      </c>
      <c r="F482" s="38" t="b">
        <v>1</v>
      </c>
      <c r="G482" s="39" t="str">
        <f t="array" ref="G482">_xlfn.XLOOKUP($B482, DB[samplingPoint], DB[noLocation])</f>
        <v>10-3-067</v>
      </c>
      <c r="H482" s="33" t="s">
        <v>180</v>
      </c>
      <c r="I482" s="40" t="str">
        <f t="array" ref="I482">_xlfn.XLOOKUP($B482, DB[samplingPoint], DB[location])</f>
        <v>COATING ROOM-6</v>
      </c>
      <c r="J482" s="39" t="str">
        <f t="array" ref="J482">_xlfn.XLOOKUP($B482, DB[samplingPoint], DB[waterType])</f>
        <v>PW</v>
      </c>
      <c r="K482" s="43">
        <f t="shared" si="32"/>
        <v>46248</v>
      </c>
      <c r="L482" s="26">
        <v>46251.0</v>
      </c>
      <c r="M482" s="32">
        <v>0.0</v>
      </c>
      <c r="N482" s="32">
        <v>0.0</v>
      </c>
      <c r="O482" s="32">
        <f t="shared" si="20"/>
        <v>0</v>
      </c>
      <c r="P482" s="49"/>
      <c r="Q482" s="49"/>
      <c r="R482" s="32">
        <f t="array" ref="R482">_xlfn.XLOOKUP($B482, DB[samplingPoint], DB[Criteria])</f>
        <v>100</v>
      </c>
      <c r="S482" s="50" t="str">
        <f t="shared" si="3"/>
        <v>PASSED</v>
      </c>
      <c r="T482" s="38" t="b">
        <v>0</v>
      </c>
      <c r="U482" s="39"/>
      <c r="V482" s="32" t="s">
        <v>304</v>
      </c>
    </row>
    <row r="483" ht="22.5" customHeight="1">
      <c r="A483" s="26">
        <v>46248.0</v>
      </c>
      <c r="B483" s="99" t="s">
        <v>532</v>
      </c>
      <c r="C483" s="32" t="str">
        <f t="array" ref="C483">_xlfn.XLOOKUP(B483, DB[samplingPoint], DB[samplingTag])</f>
        <v>DV116.11</v>
      </c>
      <c r="D483" s="33" t="s">
        <v>500</v>
      </c>
      <c r="E483" s="35" t="s">
        <v>310</v>
      </c>
      <c r="F483" s="38" t="b">
        <v>1</v>
      </c>
      <c r="G483" s="39" t="str">
        <f t="array" ref="G483">_xlfn.XLOOKUP($B483, DB[samplingPoint], DB[noLocation])</f>
        <v>10-3-066</v>
      </c>
      <c r="H483" s="33" t="s">
        <v>180</v>
      </c>
      <c r="I483" s="40" t="str">
        <f t="array" ref="I483">_xlfn.XLOOKUP($B483, DB[samplingPoint], DB[location])</f>
        <v>COATING SOLUTION PREP.-4</v>
      </c>
      <c r="J483" s="39" t="str">
        <f t="array" ref="J483">_xlfn.XLOOKUP($B483, DB[samplingPoint], DB[waterType])</f>
        <v>PW</v>
      </c>
      <c r="K483" s="43">
        <f t="shared" si="32"/>
        <v>46248</v>
      </c>
      <c r="L483" s="26">
        <v>46251.0</v>
      </c>
      <c r="M483" s="32">
        <v>0.0</v>
      </c>
      <c r="N483" s="32">
        <v>0.0</v>
      </c>
      <c r="O483" s="32">
        <f t="shared" si="20"/>
        <v>0</v>
      </c>
      <c r="P483" s="49"/>
      <c r="Q483" s="49"/>
      <c r="R483" s="32">
        <f t="array" ref="R483">_xlfn.XLOOKUP($B483, DB[samplingPoint], DB[Criteria])</f>
        <v>100</v>
      </c>
      <c r="S483" s="50" t="str">
        <f t="shared" si="3"/>
        <v>PASSED</v>
      </c>
      <c r="T483" s="38" t="b">
        <v>0</v>
      </c>
      <c r="U483" s="39"/>
      <c r="V483" s="32" t="s">
        <v>304</v>
      </c>
    </row>
    <row r="484" ht="22.5" customHeight="1">
      <c r="A484" s="26">
        <v>46248.0</v>
      </c>
      <c r="B484" s="102" t="s">
        <v>531</v>
      </c>
      <c r="C484" s="32" t="str">
        <f t="array" ref="C484">_xlfn.XLOOKUP(B484, DB[samplingPoint], DB[samplingTag])</f>
        <v>DV116.10</v>
      </c>
      <c r="D484" s="33" t="s">
        <v>500</v>
      </c>
      <c r="E484" s="35" t="s">
        <v>310</v>
      </c>
      <c r="F484" s="38" t="b">
        <v>1</v>
      </c>
      <c r="G484" s="39" t="str">
        <f t="array" ref="G484">_xlfn.XLOOKUP($B484, DB[samplingPoint], DB[noLocation])</f>
        <v>10-3-065</v>
      </c>
      <c r="H484" s="33" t="s">
        <v>180</v>
      </c>
      <c r="I484" s="40" t="str">
        <f t="array" ref="I484">_xlfn.XLOOKUP($B484, DB[samplingPoint], DB[location])</f>
        <v>COATING SOLUTION PREP.-3</v>
      </c>
      <c r="J484" s="39" t="str">
        <f t="array" ref="J484">_xlfn.XLOOKUP($B484, DB[samplingPoint], DB[waterType])</f>
        <v>PW</v>
      </c>
      <c r="K484" s="43">
        <f t="shared" si="32"/>
        <v>46248</v>
      </c>
      <c r="L484" s="26">
        <v>46251.0</v>
      </c>
      <c r="M484" s="32">
        <v>0.0</v>
      </c>
      <c r="N484" s="32">
        <v>0.0</v>
      </c>
      <c r="O484" s="32">
        <f t="shared" si="20"/>
        <v>0</v>
      </c>
      <c r="P484" s="49"/>
      <c r="Q484" s="49"/>
      <c r="R484" s="32">
        <f t="array" ref="R484">_xlfn.XLOOKUP($B484, DB[samplingPoint], DB[Criteria])</f>
        <v>100</v>
      </c>
      <c r="S484" s="50" t="str">
        <f t="shared" si="3"/>
        <v>PASSED</v>
      </c>
      <c r="T484" s="38" t="b">
        <v>0</v>
      </c>
      <c r="U484" s="39"/>
      <c r="V484" s="32" t="s">
        <v>304</v>
      </c>
    </row>
    <row r="485" ht="22.5" customHeight="1">
      <c r="A485" s="26">
        <v>46248.0</v>
      </c>
      <c r="B485" s="99" t="s">
        <v>539</v>
      </c>
      <c r="C485" s="32" t="str">
        <f t="array" ref="C485">_xlfn.XLOOKUP(B485, DB[samplingPoint], DB[samplingTag])</f>
        <v>SV116.07</v>
      </c>
      <c r="D485" s="33" t="s">
        <v>500</v>
      </c>
      <c r="E485" s="35" t="s">
        <v>310</v>
      </c>
      <c r="F485" s="38" t="b">
        <v>1</v>
      </c>
      <c r="G485" s="39" t="str">
        <f t="array" ref="G485">_xlfn.XLOOKUP($B485, DB[samplingPoint], DB[noLocation])</f>
        <v>10-3-064</v>
      </c>
      <c r="H485" s="33" t="s">
        <v>180</v>
      </c>
      <c r="I485" s="40" t="str">
        <f t="array" ref="I485">_xlfn.XLOOKUP($B485, DB[samplingPoint], DB[location])</f>
        <v>COATING ROOM-5</v>
      </c>
      <c r="J485" s="39" t="str">
        <f t="array" ref="J485">_xlfn.XLOOKUP($B485, DB[samplingPoint], DB[waterType])</f>
        <v>PW</v>
      </c>
      <c r="K485" s="43">
        <f t="shared" si="32"/>
        <v>46248</v>
      </c>
      <c r="L485" s="26">
        <v>46251.0</v>
      </c>
      <c r="M485" s="32">
        <v>0.0</v>
      </c>
      <c r="N485" s="32">
        <v>0.0</v>
      </c>
      <c r="O485" s="32">
        <f t="shared" si="20"/>
        <v>0</v>
      </c>
      <c r="P485" s="49"/>
      <c r="Q485" s="49"/>
      <c r="R485" s="32">
        <f t="array" ref="R485">_xlfn.XLOOKUP($B485, DB[samplingPoint], DB[Criteria])</f>
        <v>100</v>
      </c>
      <c r="S485" s="50" t="str">
        <f t="shared" si="3"/>
        <v>PASSED</v>
      </c>
      <c r="T485" s="38" t="b">
        <v>0</v>
      </c>
      <c r="U485" s="39"/>
      <c r="V485" s="32" t="s">
        <v>304</v>
      </c>
    </row>
    <row r="486" ht="22.5" customHeight="1">
      <c r="A486" s="26">
        <v>46248.0</v>
      </c>
      <c r="B486" s="102" t="s">
        <v>538</v>
      </c>
      <c r="C486" s="32" t="str">
        <f t="array" ref="C486">_xlfn.XLOOKUP(B486, DB[samplingPoint], DB[samplingTag])</f>
        <v>SV116.06</v>
      </c>
      <c r="D486" s="33" t="s">
        <v>500</v>
      </c>
      <c r="E486" s="35" t="s">
        <v>310</v>
      </c>
      <c r="F486" s="38" t="b">
        <v>1</v>
      </c>
      <c r="G486" s="39" t="str">
        <f t="array" ref="G486">_xlfn.XLOOKUP($B486, DB[samplingPoint], DB[noLocation])</f>
        <v>10-3-063</v>
      </c>
      <c r="H486" s="33" t="s">
        <v>180</v>
      </c>
      <c r="I486" s="40" t="str">
        <f t="array" ref="I486">_xlfn.XLOOKUP($B486, DB[samplingPoint], DB[location])</f>
        <v>COATING ROOM-4</v>
      </c>
      <c r="J486" s="39" t="str">
        <f t="array" ref="J486">_xlfn.XLOOKUP($B486, DB[samplingPoint], DB[waterType])</f>
        <v>PW</v>
      </c>
      <c r="K486" s="43">
        <f t="shared" si="32"/>
        <v>46248</v>
      </c>
      <c r="L486" s="26">
        <v>46251.0</v>
      </c>
      <c r="M486" s="32">
        <v>0.0</v>
      </c>
      <c r="N486" s="32">
        <v>0.0</v>
      </c>
      <c r="O486" s="32">
        <f t="shared" si="20"/>
        <v>0</v>
      </c>
      <c r="P486" s="49"/>
      <c r="Q486" s="49"/>
      <c r="R486" s="32">
        <f t="array" ref="R486">_xlfn.XLOOKUP($B486, DB[samplingPoint], DB[Criteria])</f>
        <v>100</v>
      </c>
      <c r="S486" s="50" t="str">
        <f t="shared" si="3"/>
        <v>PASSED</v>
      </c>
      <c r="T486" s="38" t="b">
        <v>0</v>
      </c>
      <c r="U486" s="39"/>
      <c r="V486" s="32" t="s">
        <v>304</v>
      </c>
    </row>
    <row r="487" ht="22.5" customHeight="1">
      <c r="A487" s="26">
        <v>46248.0</v>
      </c>
      <c r="B487" s="99" t="s">
        <v>520</v>
      </c>
      <c r="C487" s="32" t="str">
        <f t="array" ref="C487">_xlfn.XLOOKUP(B487, DB[samplingPoint], DB[samplingTag])</f>
        <v>DV116.03</v>
      </c>
      <c r="D487" s="33" t="s">
        <v>500</v>
      </c>
      <c r="E487" s="35" t="s">
        <v>310</v>
      </c>
      <c r="F487" s="38" t="b">
        <v>1</v>
      </c>
      <c r="G487" s="39" t="str">
        <f t="array" ref="G487">_xlfn.XLOOKUP($B487, DB[samplingPoint], DB[noLocation])</f>
        <v>10-2-034</v>
      </c>
      <c r="H487" s="33" t="s">
        <v>180</v>
      </c>
      <c r="I487" s="40" t="str">
        <f t="array" ref="I487">_xlfn.XLOOKUP($B487, DB[samplingPoint], DB[location])</f>
        <v>SAMPLE PREPARATION</v>
      </c>
      <c r="J487" s="39" t="str">
        <f t="array" ref="J487">_xlfn.XLOOKUP($B487, DB[samplingPoint], DB[waterType])</f>
        <v>PW</v>
      </c>
      <c r="K487" s="43">
        <f t="shared" si="32"/>
        <v>46248</v>
      </c>
      <c r="L487" s="26">
        <v>46251.0</v>
      </c>
      <c r="M487" s="32">
        <v>0.0</v>
      </c>
      <c r="N487" s="32">
        <v>0.0</v>
      </c>
      <c r="O487" s="32">
        <f t="shared" si="20"/>
        <v>0</v>
      </c>
      <c r="P487" s="49"/>
      <c r="Q487" s="49"/>
      <c r="R487" s="32">
        <f t="array" ref="R487">_xlfn.XLOOKUP($B487, DB[samplingPoint], DB[Criteria])</f>
        <v>100</v>
      </c>
      <c r="S487" s="50" t="str">
        <f t="shared" si="3"/>
        <v>PASSED</v>
      </c>
      <c r="T487" s="38" t="b">
        <v>0</v>
      </c>
      <c r="U487" s="39"/>
      <c r="V487" s="32" t="s">
        <v>304</v>
      </c>
    </row>
    <row r="488" ht="22.5" customHeight="1">
      <c r="A488" s="26">
        <v>46248.0</v>
      </c>
      <c r="B488" s="102" t="s">
        <v>526</v>
      </c>
      <c r="C488" s="32" t="str">
        <f t="array" ref="C488">_xlfn.XLOOKUP(B488, DB[samplingPoint], DB[samplingTag])</f>
        <v>DV116.06</v>
      </c>
      <c r="D488" s="33" t="s">
        <v>500</v>
      </c>
      <c r="E488" s="35" t="s">
        <v>310</v>
      </c>
      <c r="F488" s="38" t="b">
        <v>1</v>
      </c>
      <c r="G488" s="39" t="str">
        <f t="array" ref="G488">_xlfn.XLOOKUP($B488, DB[samplingPoint], DB[noLocation])</f>
        <v>10-2-034</v>
      </c>
      <c r="H488" s="33" t="s">
        <v>180</v>
      </c>
      <c r="I488" s="40" t="str">
        <f t="array" ref="I488">_xlfn.XLOOKUP($B488, DB[samplingPoint], DB[location])</f>
        <v>SAMPLE PREPARATION</v>
      </c>
      <c r="J488" s="39" t="str">
        <f t="array" ref="J488">_xlfn.XLOOKUP($B488, DB[samplingPoint], DB[waterType])</f>
        <v>PW</v>
      </c>
      <c r="K488" s="43">
        <f t="shared" si="32"/>
        <v>46248</v>
      </c>
      <c r="L488" s="26">
        <v>46251.0</v>
      </c>
      <c r="M488" s="32">
        <v>0.0</v>
      </c>
      <c r="N488" s="32">
        <v>0.0</v>
      </c>
      <c r="O488" s="32">
        <f t="shared" si="20"/>
        <v>0</v>
      </c>
      <c r="P488" s="49"/>
      <c r="Q488" s="49"/>
      <c r="R488" s="32">
        <f t="array" ref="R488">_xlfn.XLOOKUP($B488, DB[samplingPoint], DB[Criteria])</f>
        <v>100</v>
      </c>
      <c r="S488" s="50" t="str">
        <f t="shared" si="3"/>
        <v>PASSED</v>
      </c>
      <c r="T488" s="38" t="b">
        <v>0</v>
      </c>
      <c r="U488" s="39"/>
      <c r="V488" s="32" t="s">
        <v>304</v>
      </c>
    </row>
    <row r="489" ht="22.5" customHeight="1">
      <c r="A489" s="26">
        <v>46248.0</v>
      </c>
      <c r="B489" s="99" t="s">
        <v>527</v>
      </c>
      <c r="C489" s="32" t="str">
        <f t="array" ref="C489">_xlfn.XLOOKUP(B489, DB[samplingPoint], DB[samplingTag])</f>
        <v>DV116.07</v>
      </c>
      <c r="D489" s="33" t="s">
        <v>500</v>
      </c>
      <c r="E489" s="35" t="s">
        <v>310</v>
      </c>
      <c r="F489" s="38" t="b">
        <v>1</v>
      </c>
      <c r="G489" s="39" t="str">
        <f t="array" ref="G489">_xlfn.XLOOKUP($B489, DB[samplingPoint], DB[noLocation])</f>
        <v>10-2-032</v>
      </c>
      <c r="H489" s="33" t="s">
        <v>180</v>
      </c>
      <c r="I489" s="40" t="str">
        <f t="array" ref="I489">_xlfn.XLOOKUP($B489, DB[samplingPoint], DB[location])</f>
        <v>GLASS-WARE WASHING</v>
      </c>
      <c r="J489" s="39" t="str">
        <f t="array" ref="J489">_xlfn.XLOOKUP($B489, DB[samplingPoint], DB[waterType])</f>
        <v>PW</v>
      </c>
      <c r="K489" s="43">
        <f t="shared" si="32"/>
        <v>46248</v>
      </c>
      <c r="L489" s="26">
        <v>46251.0</v>
      </c>
      <c r="M489" s="32">
        <v>0.0</v>
      </c>
      <c r="N489" s="32">
        <v>0.0</v>
      </c>
      <c r="O489" s="32">
        <f t="shared" si="20"/>
        <v>0</v>
      </c>
      <c r="P489" s="49"/>
      <c r="Q489" s="49"/>
      <c r="R489" s="32">
        <f t="array" ref="R489">_xlfn.XLOOKUP($B489, DB[samplingPoint], DB[Criteria])</f>
        <v>100</v>
      </c>
      <c r="S489" s="50" t="str">
        <f t="shared" si="3"/>
        <v>PASSED</v>
      </c>
      <c r="T489" s="38" t="b">
        <v>0</v>
      </c>
      <c r="U489" s="39"/>
      <c r="V489" s="32" t="s">
        <v>304</v>
      </c>
    </row>
    <row r="490" ht="22.5" customHeight="1">
      <c r="A490" s="26">
        <v>46248.0</v>
      </c>
      <c r="B490" s="102" t="s">
        <v>524</v>
      </c>
      <c r="C490" s="32" t="str">
        <f t="array" ref="C490">_xlfn.XLOOKUP(B490, DB[samplingPoint], DB[samplingTag])</f>
        <v>DV116.05</v>
      </c>
      <c r="D490" s="33" t="s">
        <v>500</v>
      </c>
      <c r="E490" s="35" t="s">
        <v>310</v>
      </c>
      <c r="F490" s="38" t="b">
        <v>1</v>
      </c>
      <c r="G490" s="39" t="str">
        <f t="array" ref="G490">_xlfn.XLOOKUP($B490, DB[samplingPoint], DB[noLocation])</f>
        <v>10-2-032</v>
      </c>
      <c r="H490" s="33" t="s">
        <v>180</v>
      </c>
      <c r="I490" s="40" t="str">
        <f t="array" ref="I490">_xlfn.XLOOKUP($B490, DB[samplingPoint], DB[location])</f>
        <v>GLASS-WARE WASHING</v>
      </c>
      <c r="J490" s="39" t="str">
        <f t="array" ref="J490">_xlfn.XLOOKUP($B490, DB[samplingPoint], DB[waterType])</f>
        <v>PW</v>
      </c>
      <c r="K490" s="43">
        <f t="shared" si="32"/>
        <v>46248</v>
      </c>
      <c r="L490" s="26">
        <v>46251.0</v>
      </c>
      <c r="M490" s="32">
        <v>0.0</v>
      </c>
      <c r="N490" s="32">
        <v>0.0</v>
      </c>
      <c r="O490" s="32">
        <f t="shared" si="20"/>
        <v>0</v>
      </c>
      <c r="P490" s="49"/>
      <c r="Q490" s="49"/>
      <c r="R490" s="32">
        <f t="array" ref="R490">_xlfn.XLOOKUP($B490, DB[samplingPoint], DB[Criteria])</f>
        <v>100</v>
      </c>
      <c r="S490" s="50" t="str">
        <f t="shared" si="3"/>
        <v>PASSED</v>
      </c>
      <c r="T490" s="38" t="b">
        <v>0</v>
      </c>
      <c r="U490" s="39"/>
      <c r="V490" s="32" t="s">
        <v>304</v>
      </c>
    </row>
    <row r="491" ht="22.5" customHeight="1">
      <c r="A491" s="26">
        <v>46248.0</v>
      </c>
      <c r="B491" s="99" t="s">
        <v>522</v>
      </c>
      <c r="C491" s="32" t="str">
        <f t="array" ref="C491">_xlfn.XLOOKUP(B491, DB[samplingPoint], DB[samplingTag])</f>
        <v>DV116.04</v>
      </c>
      <c r="D491" s="33" t="s">
        <v>500</v>
      </c>
      <c r="E491" s="35" t="s">
        <v>310</v>
      </c>
      <c r="F491" s="38" t="b">
        <v>1</v>
      </c>
      <c r="G491" s="39" t="str">
        <f t="array" ref="G491">_xlfn.XLOOKUP($B491, DB[samplingPoint], DB[noLocation])</f>
        <v>10-2-037</v>
      </c>
      <c r="H491" s="33" t="s">
        <v>180</v>
      </c>
      <c r="I491" s="40" t="str">
        <f t="array" ref="I491">_xlfn.XLOOKUP($B491, DB[samplingPoint], DB[location])</f>
        <v>SKID FOR BIN WASHING-1</v>
      </c>
      <c r="J491" s="39" t="str">
        <f t="array" ref="J491">_xlfn.XLOOKUP($B491, DB[samplingPoint], DB[waterType])</f>
        <v>PW</v>
      </c>
      <c r="K491" s="43">
        <f t="shared" si="32"/>
        <v>46248</v>
      </c>
      <c r="L491" s="26">
        <v>46251.0</v>
      </c>
      <c r="M491" s="32">
        <v>0.0</v>
      </c>
      <c r="N491" s="32">
        <v>0.0</v>
      </c>
      <c r="O491" s="32">
        <f t="shared" si="20"/>
        <v>0</v>
      </c>
      <c r="P491" s="49"/>
      <c r="Q491" s="49"/>
      <c r="R491" s="32">
        <f t="array" ref="R491">_xlfn.XLOOKUP($B491, DB[samplingPoint], DB[Criteria])</f>
        <v>100</v>
      </c>
      <c r="S491" s="50" t="str">
        <f t="shared" si="3"/>
        <v>PASSED</v>
      </c>
      <c r="T491" s="38" t="b">
        <v>0</v>
      </c>
      <c r="U491" s="39"/>
      <c r="V491" s="32" t="s">
        <v>304</v>
      </c>
    </row>
    <row r="492" ht="22.5" customHeight="1">
      <c r="A492" s="26">
        <v>46248.0</v>
      </c>
      <c r="B492" s="48" t="s">
        <v>575</v>
      </c>
      <c r="C492" s="32" t="str">
        <f t="array" ref="C492">_xlfn.XLOOKUP(B492, DB[samplingPoint], DB[samplingTag])</f>
        <v>#N/A</v>
      </c>
      <c r="D492" s="33" t="s">
        <v>500</v>
      </c>
      <c r="E492" s="35" t="s">
        <v>316</v>
      </c>
      <c r="F492" s="38" t="b">
        <v>1</v>
      </c>
      <c r="G492" s="39" t="str">
        <f t="array" ref="G492">_xlfn.XLOOKUP($B492, DB[samplingPoint], DB[noLocation])</f>
        <v>#N/A</v>
      </c>
      <c r="H492" s="33" t="s">
        <v>1020</v>
      </c>
      <c r="I492" s="40" t="str">
        <f t="array" ref="I492">_xlfn.XLOOKUP($B492, DB[samplingPoint], DB[location])</f>
        <v>#N/A</v>
      </c>
      <c r="J492" s="39" t="str">
        <f t="array" ref="J492">_xlfn.XLOOKUP($B492, DB[samplingPoint], DB[waterType])</f>
        <v>#N/A</v>
      </c>
      <c r="K492" s="43">
        <f t="shared" si="32"/>
        <v>46248</v>
      </c>
      <c r="L492" s="26">
        <v>46251.0</v>
      </c>
      <c r="M492" s="32">
        <v>0.0</v>
      </c>
      <c r="N492" s="32">
        <v>0.0</v>
      </c>
      <c r="O492" s="32">
        <f t="shared" si="20"/>
        <v>0</v>
      </c>
      <c r="P492" s="49"/>
      <c r="Q492" s="49"/>
      <c r="R492" s="32" t="str">
        <f t="array" ref="R492">_xlfn.XLOOKUP($B492, DB[samplingPoint], DB[Criteria])</f>
        <v>#N/A</v>
      </c>
      <c r="S492" s="50" t="str">
        <f t="shared" si="3"/>
        <v>NA</v>
      </c>
      <c r="T492" s="38" t="b">
        <v>0</v>
      </c>
      <c r="U492" s="39"/>
      <c r="V492" s="32" t="s">
        <v>304</v>
      </c>
    </row>
    <row r="493" ht="22.5" customHeight="1">
      <c r="A493" s="26">
        <v>46252.0</v>
      </c>
      <c r="B493" s="88" t="s">
        <v>435</v>
      </c>
      <c r="C493" s="32" t="str">
        <f t="array" ref="C493">_xlfn.XLOOKUP(B493, DB[samplingPoint], DB[samplingTag])</f>
        <v>SV133.01</v>
      </c>
      <c r="D493" s="33" t="s">
        <v>364</v>
      </c>
      <c r="E493" s="35" t="s">
        <v>329</v>
      </c>
      <c r="F493" s="38" t="b">
        <v>1</v>
      </c>
      <c r="G493" s="39" t="str">
        <f t="array" ref="G493">_xlfn.XLOOKUP($B493, DB[samplingPoint], DB[noLocation])</f>
        <v>WATER SYSTEM (B12)</v>
      </c>
      <c r="H493" s="33" t="s">
        <v>437</v>
      </c>
      <c r="I493" s="40" t="str">
        <f t="array" ref="I493">_xlfn.XLOOKUP($B493, DB[samplingPoint], DB[location])</f>
        <v>After Storage tank (B12)</v>
      </c>
      <c r="J493" s="39" t="str">
        <f t="array" ref="J493">_xlfn.XLOOKUP($B493, DB[samplingPoint], DB[waterType])</f>
        <v>PW</v>
      </c>
      <c r="K493" s="43">
        <f t="shared" si="32"/>
        <v>46252</v>
      </c>
      <c r="L493" s="26">
        <v>46255.0</v>
      </c>
      <c r="M493" s="32">
        <v>0.0</v>
      </c>
      <c r="N493" s="32">
        <v>0.0</v>
      </c>
      <c r="O493" s="32">
        <f t="shared" si="20"/>
        <v>0</v>
      </c>
      <c r="P493" s="49"/>
      <c r="Q493" s="49"/>
      <c r="R493" s="32">
        <f t="array" ref="R493">_xlfn.XLOOKUP($B493, DB[samplingPoint], DB[Criteria])</f>
        <v>100</v>
      </c>
      <c r="S493" s="50" t="str">
        <f t="shared" si="3"/>
        <v>PASSED</v>
      </c>
      <c r="T493" s="38" t="b">
        <v>0</v>
      </c>
      <c r="U493" s="39"/>
      <c r="V493" s="32" t="s">
        <v>304</v>
      </c>
    </row>
    <row r="494" ht="22.5" customHeight="1">
      <c r="A494" s="26">
        <v>46252.0</v>
      </c>
      <c r="B494" s="88" t="s">
        <v>438</v>
      </c>
      <c r="C494" s="32" t="str">
        <f t="array" ref="C494">_xlfn.XLOOKUP(B494, DB[samplingPoint], DB[samplingTag])</f>
        <v>SV135.02</v>
      </c>
      <c r="D494" s="33" t="s">
        <v>364</v>
      </c>
      <c r="E494" s="35" t="s">
        <v>329</v>
      </c>
      <c r="F494" s="38" t="b">
        <v>1</v>
      </c>
      <c r="G494" s="39" t="str">
        <f t="array" ref="G494">_xlfn.XLOOKUP($B494, DB[samplingPoint], DB[noLocation])</f>
        <v>WATER SYSTEM (B12)</v>
      </c>
      <c r="H494" s="33" t="s">
        <v>437</v>
      </c>
      <c r="I494" s="40" t="str">
        <f t="array" ref="I494">_xlfn.XLOOKUP($B494, DB[samplingPoint], DB[location])</f>
        <v>After UV (B12)</v>
      </c>
      <c r="J494" s="39" t="str">
        <f t="array" ref="J494">_xlfn.XLOOKUP($B494, DB[samplingPoint], DB[waterType])</f>
        <v>PW</v>
      </c>
      <c r="K494" s="43">
        <f t="shared" si="32"/>
        <v>46252</v>
      </c>
      <c r="L494" s="26">
        <v>46255.0</v>
      </c>
      <c r="M494" s="32">
        <v>0.0</v>
      </c>
      <c r="N494" s="32">
        <v>0.0</v>
      </c>
      <c r="O494" s="32">
        <f t="shared" si="20"/>
        <v>0</v>
      </c>
      <c r="P494" s="49"/>
      <c r="Q494" s="49"/>
      <c r="R494" s="32">
        <f t="array" ref="R494">_xlfn.XLOOKUP($B494, DB[samplingPoint], DB[Criteria])</f>
        <v>100</v>
      </c>
      <c r="S494" s="50" t="str">
        <f t="shared" si="3"/>
        <v>PASSED</v>
      </c>
      <c r="T494" s="38" t="b">
        <v>0</v>
      </c>
      <c r="U494" s="39"/>
      <c r="V494" s="32" t="s">
        <v>304</v>
      </c>
    </row>
    <row r="495" ht="22.5" customHeight="1">
      <c r="A495" s="26">
        <v>46252.0</v>
      </c>
      <c r="B495" s="88" t="s">
        <v>430</v>
      </c>
      <c r="C495" s="32" t="str">
        <f t="array" ref="C495">_xlfn.XLOOKUP(B495, DB[samplingPoint], DB[samplingTag])</f>
        <v>SV137.01</v>
      </c>
      <c r="D495" s="33" t="s">
        <v>364</v>
      </c>
      <c r="E495" s="35" t="s">
        <v>329</v>
      </c>
      <c r="F495" s="38" t="b">
        <v>1</v>
      </c>
      <c r="G495" s="39" t="str">
        <f t="array" ref="G495">_xlfn.XLOOKUP($B495, DB[samplingPoint], DB[noLocation])</f>
        <v>WATER SYSTEM (B12)</v>
      </c>
      <c r="H495" s="33" t="s">
        <v>437</v>
      </c>
      <c r="I495" s="40" t="str">
        <f t="array" ref="I495">_xlfn.XLOOKUP($B495, DB[samplingPoint], DB[location])</f>
        <v>Return loop (B12)</v>
      </c>
      <c r="J495" s="39" t="str">
        <f t="array" ref="J495">_xlfn.XLOOKUP($B495, DB[samplingPoint], DB[waterType])</f>
        <v>PW</v>
      </c>
      <c r="K495" s="43">
        <f t="shared" si="32"/>
        <v>46252</v>
      </c>
      <c r="L495" s="26">
        <v>46255.0</v>
      </c>
      <c r="M495" s="32">
        <v>0.0</v>
      </c>
      <c r="N495" s="32">
        <v>0.0</v>
      </c>
      <c r="O495" s="32">
        <f t="shared" si="20"/>
        <v>0</v>
      </c>
      <c r="P495" s="49"/>
      <c r="Q495" s="49"/>
      <c r="R495" s="32">
        <f t="array" ref="R495">_xlfn.XLOOKUP($B495, DB[samplingPoint], DB[Criteria])</f>
        <v>100</v>
      </c>
      <c r="S495" s="50" t="str">
        <f t="shared" si="3"/>
        <v>PASSED</v>
      </c>
      <c r="T495" s="38" t="b">
        <v>0</v>
      </c>
      <c r="U495" s="39"/>
      <c r="V495" s="32" t="s">
        <v>304</v>
      </c>
    </row>
    <row r="496" ht="22.5" customHeight="1">
      <c r="A496" s="26">
        <v>46252.0</v>
      </c>
      <c r="B496" s="27" t="s">
        <v>548</v>
      </c>
      <c r="C496" s="32" t="str">
        <f t="array" ref="C496">_xlfn.XLOOKUP(B496, DB[samplingPoint], DB[samplingTag])</f>
        <v>DV136.17</v>
      </c>
      <c r="D496" s="33" t="s">
        <v>364</v>
      </c>
      <c r="E496" s="35" t="s">
        <v>329</v>
      </c>
      <c r="F496" s="38" t="b">
        <v>1</v>
      </c>
      <c r="G496" s="39" t="str">
        <f t="array" ref="G496">_xlfn.XLOOKUP($B496, DB[samplingPoint], DB[noLocation])</f>
        <v>12-2-065</v>
      </c>
      <c r="H496" s="33" t="s">
        <v>437</v>
      </c>
      <c r="I496" s="40" t="str">
        <f t="array" ref="I496">_xlfn.XLOOKUP($B496, DB[samplingPoint], DB[location])</f>
        <v>WASHING</v>
      </c>
      <c r="J496" s="39" t="str">
        <f t="array" ref="J496">_xlfn.XLOOKUP($B496, DB[samplingPoint], DB[waterType])</f>
        <v>PW</v>
      </c>
      <c r="K496" s="43">
        <f t="shared" si="32"/>
        <v>46252</v>
      </c>
      <c r="L496" s="26">
        <v>46255.0</v>
      </c>
      <c r="M496" s="32">
        <v>0.0</v>
      </c>
      <c r="N496" s="32">
        <v>0.0</v>
      </c>
      <c r="O496" s="32">
        <f t="shared" si="20"/>
        <v>0</v>
      </c>
      <c r="P496" s="49"/>
      <c r="Q496" s="49"/>
      <c r="R496" s="32">
        <f t="array" ref="R496">_xlfn.XLOOKUP($B496, DB[samplingPoint], DB[Criteria])</f>
        <v>100</v>
      </c>
      <c r="S496" s="50" t="str">
        <f t="shared" si="3"/>
        <v>PASSED</v>
      </c>
      <c r="T496" s="38" t="b">
        <v>0</v>
      </c>
      <c r="U496" s="39"/>
      <c r="V496" s="32" t="s">
        <v>304</v>
      </c>
    </row>
    <row r="497" ht="22.5" customHeight="1">
      <c r="A497" s="26">
        <v>46252.0</v>
      </c>
      <c r="B497" s="27" t="s">
        <v>551</v>
      </c>
      <c r="C497" s="32" t="str">
        <f t="array" ref="C497">_xlfn.XLOOKUP(B497, DB[samplingPoint], DB[samplingTag])</f>
        <v>SV136.16</v>
      </c>
      <c r="D497" s="33" t="s">
        <v>364</v>
      </c>
      <c r="E497" s="35" t="s">
        <v>329</v>
      </c>
      <c r="F497" s="38" t="b">
        <v>1</v>
      </c>
      <c r="G497" s="39" t="str">
        <f t="array" ref="G497">_xlfn.XLOOKUP($B497, DB[samplingPoint], DB[noLocation])</f>
        <v>12-2-057</v>
      </c>
      <c r="H497" s="33" t="s">
        <v>437</v>
      </c>
      <c r="I497" s="40" t="str">
        <f t="array" ref="I497">_xlfn.XLOOKUP($B497, DB[samplingPoint], DB[location])</f>
        <v>CIP 2</v>
      </c>
      <c r="J497" s="39" t="str">
        <f t="array" ref="J497">_xlfn.XLOOKUP($B497, DB[samplingPoint], DB[waterType])</f>
        <v>PW</v>
      </c>
      <c r="K497" s="43">
        <f t="shared" si="32"/>
        <v>46252</v>
      </c>
      <c r="L497" s="26">
        <v>46255.0</v>
      </c>
      <c r="M497" s="32">
        <v>0.0</v>
      </c>
      <c r="N497" s="32">
        <v>0.0</v>
      </c>
      <c r="O497" s="32">
        <f t="shared" si="20"/>
        <v>0</v>
      </c>
      <c r="P497" s="49"/>
      <c r="Q497" s="49"/>
      <c r="R497" s="32">
        <f t="array" ref="R497">_xlfn.XLOOKUP($B497, DB[samplingPoint], DB[Criteria])</f>
        <v>100</v>
      </c>
      <c r="S497" s="50" t="str">
        <f t="shared" si="3"/>
        <v>PASSED</v>
      </c>
      <c r="T497" s="38" t="b">
        <v>0</v>
      </c>
      <c r="U497" s="39"/>
      <c r="V497" s="32" t="s">
        <v>304</v>
      </c>
    </row>
    <row r="498" ht="22.5" customHeight="1">
      <c r="A498" s="26">
        <v>46252.0</v>
      </c>
      <c r="B498" s="160" t="s">
        <v>549</v>
      </c>
      <c r="C498" s="32" t="str">
        <f t="array" ref="C498">_xlfn.XLOOKUP(B498, DB[samplingPoint], DB[samplingTag])</f>
        <v>SV136.15</v>
      </c>
      <c r="D498" s="33" t="s">
        <v>364</v>
      </c>
      <c r="E498" s="35" t="s">
        <v>329</v>
      </c>
      <c r="F498" s="38" t="b">
        <v>1</v>
      </c>
      <c r="G498" s="39" t="str">
        <f t="array" ref="G498">_xlfn.XLOOKUP($B498, DB[samplingPoint], DB[noLocation])</f>
        <v>12-2-055</v>
      </c>
      <c r="H498" s="33" t="s">
        <v>437</v>
      </c>
      <c r="I498" s="40" t="str">
        <f t="array" ref="I498">_xlfn.XLOOKUP($B498, DB[samplingPoint], DB[location])</f>
        <v>CIP 3</v>
      </c>
      <c r="J498" s="39" t="str">
        <f t="array" ref="J498">_xlfn.XLOOKUP($B498, DB[samplingPoint], DB[waterType])</f>
        <v>PW</v>
      </c>
      <c r="K498" s="43">
        <f t="shared" si="32"/>
        <v>46252</v>
      </c>
      <c r="L498" s="26">
        <v>46255.0</v>
      </c>
      <c r="M498" s="32">
        <v>0.0</v>
      </c>
      <c r="N498" s="32">
        <v>0.0</v>
      </c>
      <c r="O498" s="32">
        <f t="shared" si="20"/>
        <v>0</v>
      </c>
      <c r="P498" s="49"/>
      <c r="Q498" s="49"/>
      <c r="R498" s="32">
        <f t="array" ref="R498">_xlfn.XLOOKUP($B498, DB[samplingPoint], DB[Criteria])</f>
        <v>100</v>
      </c>
      <c r="S498" s="50" t="str">
        <f t="shared" si="3"/>
        <v>PASSED</v>
      </c>
      <c r="T498" s="38" t="b">
        <v>0</v>
      </c>
      <c r="U498" s="39"/>
      <c r="V498" s="32" t="s">
        <v>304</v>
      </c>
    </row>
    <row r="499" ht="22.5" customHeight="1">
      <c r="A499" s="26">
        <v>46252.0</v>
      </c>
      <c r="B499" s="203" t="s">
        <v>545</v>
      </c>
      <c r="C499" s="32" t="str">
        <f t="array" ref="C499">_xlfn.XLOOKUP(B499, DB[samplingPoint], DB[samplingTag])</f>
        <v>DV136.03</v>
      </c>
      <c r="D499" s="33" t="s">
        <v>364</v>
      </c>
      <c r="E499" s="35" t="s">
        <v>329</v>
      </c>
      <c r="F499" s="38" t="b">
        <v>1</v>
      </c>
      <c r="G499" s="39" t="str">
        <f t="array" ref="G499">_xlfn.XLOOKUP($B499, DB[samplingPoint], DB[noLocation])</f>
        <v>12-2-053</v>
      </c>
      <c r="H499" s="33" t="s">
        <v>437</v>
      </c>
      <c r="I499" s="40" t="str">
        <f t="array" ref="I499">_xlfn.XLOOKUP($B499, DB[samplingPoint], DB[location])</f>
        <v>IPQC</v>
      </c>
      <c r="J499" s="39" t="str">
        <f t="array" ref="J499">_xlfn.XLOOKUP($B499, DB[samplingPoint], DB[waterType])</f>
        <v>PW</v>
      </c>
      <c r="K499" s="43">
        <f t="shared" si="32"/>
        <v>46252</v>
      </c>
      <c r="L499" s="26">
        <v>46255.0</v>
      </c>
      <c r="M499" s="32">
        <v>0.0</v>
      </c>
      <c r="N499" s="32">
        <v>0.0</v>
      </c>
      <c r="O499" s="32">
        <f t="shared" si="20"/>
        <v>0</v>
      </c>
      <c r="P499" s="49"/>
      <c r="Q499" s="49"/>
      <c r="R499" s="32">
        <f t="array" ref="R499">_xlfn.XLOOKUP($B499, DB[samplingPoint], DB[Criteria])</f>
        <v>100</v>
      </c>
      <c r="S499" s="50" t="str">
        <f t="shared" si="3"/>
        <v>PASSED</v>
      </c>
      <c r="T499" s="38" t="b">
        <v>0</v>
      </c>
      <c r="U499" s="39"/>
      <c r="V499" s="32" t="s">
        <v>304</v>
      </c>
    </row>
    <row r="500" ht="22.5" customHeight="1">
      <c r="A500" s="26">
        <v>46252.0</v>
      </c>
      <c r="B500" s="203" t="s">
        <v>543</v>
      </c>
      <c r="C500" s="32" t="str">
        <f t="array" ref="C500">_xlfn.XLOOKUP(B500, DB[samplingPoint], DB[samplingTag])</f>
        <v>DV136.01</v>
      </c>
      <c r="D500" s="33" t="s">
        <v>364</v>
      </c>
      <c r="E500" s="35" t="s">
        <v>329</v>
      </c>
      <c r="F500" s="38" t="b">
        <v>1</v>
      </c>
      <c r="G500" s="39" t="str">
        <f t="array" ref="G500">_xlfn.XLOOKUP($B500, DB[samplingPoint], DB[noLocation])</f>
        <v>12-1-035</v>
      </c>
      <c r="H500" s="33" t="s">
        <v>437</v>
      </c>
      <c r="I500" s="40" t="str">
        <f t="array" ref="I500">_xlfn.XLOOKUP($B500, DB[samplingPoint], DB[location])</f>
        <v>SUGAR TRANSFERRING</v>
      </c>
      <c r="J500" s="39" t="str">
        <f t="array" ref="J500">_xlfn.XLOOKUP($B500, DB[samplingPoint], DB[waterType])</f>
        <v>PW</v>
      </c>
      <c r="K500" s="43">
        <f t="shared" si="32"/>
        <v>46252</v>
      </c>
      <c r="L500" s="26">
        <v>46255.0</v>
      </c>
      <c r="M500" s="32">
        <v>0.0</v>
      </c>
      <c r="N500" s="32">
        <v>0.0</v>
      </c>
      <c r="O500" s="32">
        <f t="shared" si="20"/>
        <v>0</v>
      </c>
      <c r="P500" s="49"/>
      <c r="Q500" s="49"/>
      <c r="R500" s="32">
        <f t="array" ref="R500">_xlfn.XLOOKUP($B500, DB[samplingPoint], DB[Criteria])</f>
        <v>100</v>
      </c>
      <c r="S500" s="50" t="str">
        <f t="shared" si="3"/>
        <v>PASSED</v>
      </c>
      <c r="T500" s="38" t="b">
        <v>0</v>
      </c>
      <c r="U500" s="39"/>
      <c r="V500" s="32" t="s">
        <v>304</v>
      </c>
    </row>
    <row r="501" ht="22.5" customHeight="1">
      <c r="A501" s="26">
        <v>46252.0</v>
      </c>
      <c r="B501" s="160" t="s">
        <v>547</v>
      </c>
      <c r="C501" s="32" t="str">
        <f t="array" ref="C501">_xlfn.XLOOKUP(B501, DB[samplingPoint], DB[samplingTag])</f>
        <v>DV136.16</v>
      </c>
      <c r="D501" s="33" t="s">
        <v>364</v>
      </c>
      <c r="E501" s="35" t="s">
        <v>329</v>
      </c>
      <c r="F501" s="38" t="b">
        <v>1</v>
      </c>
      <c r="G501" s="39" t="str">
        <f t="array" ref="G501">_xlfn.XLOOKUP($B501, DB[samplingPoint], DB[noLocation])</f>
        <v>12-1-064</v>
      </c>
      <c r="H501" s="33" t="s">
        <v>437</v>
      </c>
      <c r="I501" s="40" t="str">
        <f t="array" ref="I501">_xlfn.XLOOKUP($B501, DB[samplingPoint], DB[location])</f>
        <v>WASHING</v>
      </c>
      <c r="J501" s="39" t="str">
        <f t="array" ref="J501">_xlfn.XLOOKUP($B501, DB[samplingPoint], DB[waterType])</f>
        <v>PW</v>
      </c>
      <c r="K501" s="43">
        <f t="shared" si="32"/>
        <v>46252</v>
      </c>
      <c r="L501" s="26">
        <v>46255.0</v>
      </c>
      <c r="M501" s="32">
        <v>0.0</v>
      </c>
      <c r="N501" s="32">
        <v>0.0</v>
      </c>
      <c r="O501" s="32">
        <f t="shared" si="20"/>
        <v>0</v>
      </c>
      <c r="P501" s="49"/>
      <c r="Q501" s="49"/>
      <c r="R501" s="32">
        <f t="array" ref="R501">_xlfn.XLOOKUP($B501, DB[samplingPoint], DB[Criteria])</f>
        <v>100</v>
      </c>
      <c r="S501" s="50" t="str">
        <f t="shared" si="3"/>
        <v>PASSED</v>
      </c>
      <c r="T501" s="38" t="b">
        <v>0</v>
      </c>
      <c r="U501" s="39"/>
      <c r="V501" s="32" t="s">
        <v>304</v>
      </c>
    </row>
    <row r="502" ht="22.5" customHeight="1">
      <c r="A502" s="26">
        <v>46252.0</v>
      </c>
      <c r="B502" s="27" t="s">
        <v>546</v>
      </c>
      <c r="C502" s="32" t="str">
        <f t="array" ref="C502">_xlfn.XLOOKUP(B502, DB[samplingPoint], DB[samplingTag])</f>
        <v>DV136.04</v>
      </c>
      <c r="D502" s="33" t="s">
        <v>364</v>
      </c>
      <c r="E502" s="35" t="s">
        <v>329</v>
      </c>
      <c r="F502" s="38" t="b">
        <v>1</v>
      </c>
      <c r="G502" s="39" t="str">
        <f t="array" ref="G502">_xlfn.XLOOKUP($B502, DB[samplingPoint], DB[noLocation])</f>
        <v>12-2-077</v>
      </c>
      <c r="H502" s="33" t="s">
        <v>437</v>
      </c>
      <c r="I502" s="40" t="str">
        <f t="array" ref="I502">_xlfn.XLOOKUP($B502, DB[samplingPoint], DB[location])</f>
        <v>WATER SYSTEM ROOM</v>
      </c>
      <c r="J502" s="39" t="str">
        <f t="array" ref="J502">_xlfn.XLOOKUP($B502, DB[samplingPoint], DB[waterType])</f>
        <v>PW</v>
      </c>
      <c r="K502" s="43">
        <f t="shared" si="32"/>
        <v>46252</v>
      </c>
      <c r="L502" s="26">
        <v>46255.0</v>
      </c>
      <c r="M502" s="32">
        <v>0.0</v>
      </c>
      <c r="N502" s="32">
        <v>0.0</v>
      </c>
      <c r="O502" s="32">
        <f t="shared" si="20"/>
        <v>0</v>
      </c>
      <c r="P502" s="49"/>
      <c r="Q502" s="49"/>
      <c r="R502" s="32">
        <f t="array" ref="R502">_xlfn.XLOOKUP($B502, DB[samplingPoint], DB[Criteria])</f>
        <v>100</v>
      </c>
      <c r="S502" s="50" t="str">
        <f t="shared" si="3"/>
        <v>PASSED</v>
      </c>
      <c r="T502" s="38" t="b">
        <v>0</v>
      </c>
      <c r="U502" s="39"/>
      <c r="V502" s="32" t="s">
        <v>304</v>
      </c>
    </row>
    <row r="503" ht="22.5" customHeight="1">
      <c r="A503" s="26">
        <v>46252.0</v>
      </c>
      <c r="B503" s="203" t="s">
        <v>467</v>
      </c>
      <c r="C503" s="32" t="str">
        <f t="array" ref="C503">_xlfn.XLOOKUP(B503, DB[samplingPoint], DB[samplingTag])</f>
        <v>SV123.01</v>
      </c>
      <c r="D503" s="33" t="s">
        <v>364</v>
      </c>
      <c r="E503" s="35" t="s">
        <v>331</v>
      </c>
      <c r="F503" s="38" t="b">
        <v>1</v>
      </c>
      <c r="G503" s="39" t="str">
        <f t="array" ref="G503">_xlfn.XLOOKUP($B503, DB[samplingPoint], DB[noLocation])</f>
        <v>WATER SYSTEM (B16)</v>
      </c>
      <c r="H503" s="33" t="s">
        <v>327</v>
      </c>
      <c r="I503" s="40" t="str">
        <f t="array" ref="I503">_xlfn.XLOOKUP($B503, DB[samplingPoint], DB[location])</f>
        <v>After Storage tank (B16)</v>
      </c>
      <c r="J503" s="39" t="str">
        <f t="array" ref="J503">_xlfn.XLOOKUP($B503, DB[samplingPoint], DB[waterType])</f>
        <v>PW</v>
      </c>
      <c r="K503" s="43">
        <f t="shared" si="32"/>
        <v>46252</v>
      </c>
      <c r="L503" s="26">
        <v>46255.0</v>
      </c>
      <c r="M503" s="32">
        <v>0.0</v>
      </c>
      <c r="N503" s="32">
        <v>0.0</v>
      </c>
      <c r="O503" s="32">
        <f t="shared" si="20"/>
        <v>0</v>
      </c>
      <c r="P503" s="49"/>
      <c r="Q503" s="49"/>
      <c r="R503" s="32">
        <f t="array" ref="R503">_xlfn.XLOOKUP($B503, DB[samplingPoint], DB[Criteria])</f>
        <v>100</v>
      </c>
      <c r="S503" s="50" t="str">
        <f t="shared" si="3"/>
        <v>PASSED</v>
      </c>
      <c r="T503" s="38" t="b">
        <v>0</v>
      </c>
      <c r="U503" s="39"/>
      <c r="V503" s="32" t="s">
        <v>304</v>
      </c>
    </row>
    <row r="504" ht="22.5" customHeight="1">
      <c r="A504" s="26">
        <v>46252.0</v>
      </c>
      <c r="B504" s="203" t="s">
        <v>469</v>
      </c>
      <c r="C504" s="32" t="str">
        <f t="array" ref="C504">_xlfn.XLOOKUP(B504, DB[samplingPoint], DB[samplingTag])</f>
        <v>SV125.02</v>
      </c>
      <c r="D504" s="33" t="s">
        <v>364</v>
      </c>
      <c r="E504" s="35" t="s">
        <v>331</v>
      </c>
      <c r="F504" s="38" t="b">
        <v>1</v>
      </c>
      <c r="G504" s="39" t="str">
        <f t="array" ref="G504">_xlfn.XLOOKUP($B504, DB[samplingPoint], DB[noLocation])</f>
        <v>WATER SYSTEM (B16)</v>
      </c>
      <c r="H504" s="33" t="s">
        <v>327</v>
      </c>
      <c r="I504" s="40" t="str">
        <f t="array" ref="I504">_xlfn.XLOOKUP($B504, DB[samplingPoint], DB[location])</f>
        <v>After UV (B16)</v>
      </c>
      <c r="J504" s="39" t="str">
        <f t="array" ref="J504">_xlfn.XLOOKUP($B504, DB[samplingPoint], DB[waterType])</f>
        <v>PW</v>
      </c>
      <c r="K504" s="43">
        <f t="shared" si="32"/>
        <v>46252</v>
      </c>
      <c r="L504" s="26">
        <v>46255.0</v>
      </c>
      <c r="M504" s="32">
        <v>0.0</v>
      </c>
      <c r="N504" s="32">
        <v>0.0</v>
      </c>
      <c r="O504" s="32">
        <f t="shared" si="20"/>
        <v>0</v>
      </c>
      <c r="P504" s="49"/>
      <c r="Q504" s="49"/>
      <c r="R504" s="32">
        <f t="array" ref="R504">_xlfn.XLOOKUP($B504, DB[samplingPoint], DB[Criteria])</f>
        <v>100</v>
      </c>
      <c r="S504" s="50" t="str">
        <f t="shared" si="3"/>
        <v>PASSED</v>
      </c>
      <c r="T504" s="38" t="b">
        <v>0</v>
      </c>
      <c r="U504" s="39"/>
      <c r="V504" s="32" t="s">
        <v>304</v>
      </c>
    </row>
    <row r="505" ht="22.5" customHeight="1">
      <c r="A505" s="26">
        <v>46252.0</v>
      </c>
      <c r="B505" s="160" t="s">
        <v>464</v>
      </c>
      <c r="C505" s="32" t="str">
        <f t="array" ref="C505">_xlfn.XLOOKUP(B505, DB[samplingPoint], DB[samplingTag])</f>
        <v>SV127.01</v>
      </c>
      <c r="D505" s="33" t="s">
        <v>364</v>
      </c>
      <c r="E505" s="35" t="s">
        <v>331</v>
      </c>
      <c r="F505" s="38" t="b">
        <v>1</v>
      </c>
      <c r="G505" s="39" t="str">
        <f t="array" ref="G505">_xlfn.XLOOKUP($B505, DB[samplingPoint], DB[noLocation])</f>
        <v>WATER SYSTEM (B16)</v>
      </c>
      <c r="H505" s="33" t="s">
        <v>327</v>
      </c>
      <c r="I505" s="40" t="str">
        <f t="array" ref="I505">_xlfn.XLOOKUP($B505, DB[samplingPoint], DB[location])</f>
        <v>Return loop (B16)</v>
      </c>
      <c r="J505" s="39" t="str">
        <f t="array" ref="J505">_xlfn.XLOOKUP($B505, DB[samplingPoint], DB[waterType])</f>
        <v>PW</v>
      </c>
      <c r="K505" s="43">
        <f t="shared" si="32"/>
        <v>46252</v>
      </c>
      <c r="L505" s="26">
        <v>46255.0</v>
      </c>
      <c r="M505" s="32">
        <v>0.0</v>
      </c>
      <c r="N505" s="32">
        <v>0.0</v>
      </c>
      <c r="O505" s="32">
        <f t="shared" si="20"/>
        <v>0</v>
      </c>
      <c r="P505" s="49"/>
      <c r="Q505" s="49"/>
      <c r="R505" s="32">
        <f t="array" ref="R505">_xlfn.XLOOKUP($B505, DB[samplingPoint], DB[Criteria])</f>
        <v>100</v>
      </c>
      <c r="S505" s="50" t="str">
        <f t="shared" si="3"/>
        <v>PASSED</v>
      </c>
      <c r="T505" s="38" t="b">
        <v>0</v>
      </c>
      <c r="U505" s="39"/>
      <c r="V505" s="32" t="s">
        <v>304</v>
      </c>
    </row>
    <row r="506" ht="22.5" customHeight="1">
      <c r="A506" s="26">
        <v>46252.0</v>
      </c>
      <c r="B506" s="160" t="s">
        <v>567</v>
      </c>
      <c r="C506" s="32" t="str">
        <f t="array" ref="C506">_xlfn.XLOOKUP(B506, DB[samplingPoint], DB[samplingTag])</f>
        <v>SV126.06</v>
      </c>
      <c r="D506" s="33" t="s">
        <v>364</v>
      </c>
      <c r="E506" s="35" t="s">
        <v>331</v>
      </c>
      <c r="F506" s="38" t="b">
        <v>1</v>
      </c>
      <c r="G506" s="39" t="str">
        <f t="array" ref="G506">_xlfn.XLOOKUP($B506, DB[samplingPoint], DB[noLocation])</f>
        <v>16-3-067</v>
      </c>
      <c r="H506" s="33" t="s">
        <v>327</v>
      </c>
      <c r="I506" s="40" t="str">
        <f t="array" ref="I506">_xlfn.XLOOKUP($B506, DB[samplingPoint], DB[location])</f>
        <v>MFG 1</v>
      </c>
      <c r="J506" s="39" t="str">
        <f t="array" ref="J506">_xlfn.XLOOKUP($B506, DB[samplingPoint], DB[waterType])</f>
        <v>PW</v>
      </c>
      <c r="K506" s="43">
        <f t="shared" si="32"/>
        <v>46252</v>
      </c>
      <c r="L506" s="26">
        <v>46255.0</v>
      </c>
      <c r="M506" s="32">
        <v>0.0</v>
      </c>
      <c r="N506" s="32">
        <v>0.0</v>
      </c>
      <c r="O506" s="32">
        <f t="shared" si="20"/>
        <v>0</v>
      </c>
      <c r="P506" s="49"/>
      <c r="Q506" s="49"/>
      <c r="R506" s="32">
        <f t="array" ref="R506">_xlfn.XLOOKUP($B506, DB[samplingPoint], DB[Criteria])</f>
        <v>100</v>
      </c>
      <c r="S506" s="50" t="str">
        <f t="shared" si="3"/>
        <v>PASSED</v>
      </c>
      <c r="T506" s="38" t="b">
        <v>0</v>
      </c>
      <c r="U506" s="39"/>
      <c r="V506" s="32" t="s">
        <v>304</v>
      </c>
    </row>
    <row r="507" ht="22.5" customHeight="1">
      <c r="A507" s="26">
        <v>46252.0</v>
      </c>
      <c r="B507" s="203" t="s">
        <v>569</v>
      </c>
      <c r="C507" s="32" t="str">
        <f t="array" ref="C507">_xlfn.XLOOKUP(B507, DB[samplingPoint], DB[samplingTag])</f>
        <v>SV126.21</v>
      </c>
      <c r="D507" s="33" t="s">
        <v>364</v>
      </c>
      <c r="E507" s="35" t="s">
        <v>331</v>
      </c>
      <c r="F507" s="38" t="b">
        <v>1</v>
      </c>
      <c r="G507" s="39" t="str">
        <f t="array" ref="G507">_xlfn.XLOOKUP($B507, DB[samplingPoint], DB[noLocation])</f>
        <v>16-3-090</v>
      </c>
      <c r="H507" s="33" t="s">
        <v>327</v>
      </c>
      <c r="I507" s="40" t="str">
        <f t="array" ref="I507">_xlfn.XLOOKUP($B507, DB[samplingPoint], DB[location])</f>
        <v>CIP 1 (EQUIPMENT REQUIREMENT)</v>
      </c>
      <c r="J507" s="39" t="str">
        <f t="array" ref="J507">_xlfn.XLOOKUP($B507, DB[samplingPoint], DB[waterType])</f>
        <v>PW</v>
      </c>
      <c r="K507" s="43">
        <f t="shared" si="32"/>
        <v>46252</v>
      </c>
      <c r="L507" s="26">
        <v>46255.0</v>
      </c>
      <c r="M507" s="32">
        <v>0.0</v>
      </c>
      <c r="N507" s="32">
        <v>0.0</v>
      </c>
      <c r="O507" s="32">
        <f t="shared" si="20"/>
        <v>0</v>
      </c>
      <c r="P507" s="49"/>
      <c r="Q507" s="49"/>
      <c r="R507" s="32">
        <f t="array" ref="R507">_xlfn.XLOOKUP($B507, DB[samplingPoint], DB[Criteria])</f>
        <v>100</v>
      </c>
      <c r="S507" s="50" t="str">
        <f t="shared" si="3"/>
        <v>PASSED</v>
      </c>
      <c r="T507" s="38" t="b">
        <v>0</v>
      </c>
      <c r="U507" s="39"/>
      <c r="V507" s="32" t="s">
        <v>304</v>
      </c>
    </row>
    <row r="508" ht="22.5" customHeight="1">
      <c r="A508" s="26">
        <v>46252.0</v>
      </c>
      <c r="B508" s="160" t="s">
        <v>562</v>
      </c>
      <c r="C508" s="32" t="str">
        <f t="array" ref="C508">_xlfn.XLOOKUP(B508, DB[samplingPoint], DB[samplingTag])</f>
        <v>DV126.09</v>
      </c>
      <c r="D508" s="33" t="s">
        <v>364</v>
      </c>
      <c r="E508" s="35" t="s">
        <v>331</v>
      </c>
      <c r="F508" s="38" t="b">
        <v>1</v>
      </c>
      <c r="G508" s="39" t="str">
        <f t="array" ref="G508">_xlfn.XLOOKUP($B508, DB[samplingPoint], DB[noLocation])</f>
        <v>16-3-090</v>
      </c>
      <c r="H508" s="33" t="s">
        <v>327</v>
      </c>
      <c r="I508" s="40" t="str">
        <f t="array" ref="I508">_xlfn.XLOOKUP($B508, DB[samplingPoint], DB[location])</f>
        <v>CIP 1 (ZINK WASHING)</v>
      </c>
      <c r="J508" s="39" t="str">
        <f t="array" ref="J508">_xlfn.XLOOKUP($B508, DB[samplingPoint], DB[waterType])</f>
        <v>PW</v>
      </c>
      <c r="K508" s="43">
        <f t="shared" si="32"/>
        <v>46252</v>
      </c>
      <c r="L508" s="26">
        <v>46255.0</v>
      </c>
      <c r="M508" s="32">
        <v>0.0</v>
      </c>
      <c r="N508" s="32">
        <v>0.0</v>
      </c>
      <c r="O508" s="32">
        <f t="shared" si="20"/>
        <v>0</v>
      </c>
      <c r="P508" s="49"/>
      <c r="Q508" s="49"/>
      <c r="R508" s="32">
        <f t="array" ref="R508">_xlfn.XLOOKUP($B508, DB[samplingPoint], DB[Criteria])</f>
        <v>100</v>
      </c>
      <c r="S508" s="50" t="str">
        <f t="shared" si="3"/>
        <v>PASSED</v>
      </c>
      <c r="T508" s="38" t="b">
        <v>0</v>
      </c>
      <c r="U508" s="39"/>
      <c r="V508" s="32" t="s">
        <v>304</v>
      </c>
    </row>
    <row r="509" ht="22.5" customHeight="1">
      <c r="A509" s="26">
        <v>46252.0</v>
      </c>
      <c r="B509" s="160" t="s">
        <v>568</v>
      </c>
      <c r="C509" s="32" t="str">
        <f t="array" ref="C509">_xlfn.XLOOKUP(B509, DB[samplingPoint], DB[samplingTag])</f>
        <v>SV126.18</v>
      </c>
      <c r="D509" s="33" t="s">
        <v>364</v>
      </c>
      <c r="E509" s="35" t="s">
        <v>331</v>
      </c>
      <c r="F509" s="38" t="b">
        <v>1</v>
      </c>
      <c r="G509" s="39" t="str">
        <f t="array" ref="G509">_xlfn.XLOOKUP($B509, DB[samplingPoint], DB[noLocation])</f>
        <v>16-3-085</v>
      </c>
      <c r="H509" s="33" t="s">
        <v>327</v>
      </c>
      <c r="I509" s="40" t="str">
        <f t="array" ref="I509">_xlfn.XLOOKUP($B509, DB[samplingPoint], DB[location])</f>
        <v>CIP 3 (EQUIPMENT REQUIREMENT)</v>
      </c>
      <c r="J509" s="39" t="str">
        <f t="array" ref="J509">_xlfn.XLOOKUP($B509, DB[samplingPoint], DB[waterType])</f>
        <v>PW</v>
      </c>
      <c r="K509" s="43">
        <f t="shared" si="32"/>
        <v>46252</v>
      </c>
      <c r="L509" s="26">
        <v>46255.0</v>
      </c>
      <c r="M509" s="32">
        <v>0.0</v>
      </c>
      <c r="N509" s="32">
        <v>0.0</v>
      </c>
      <c r="O509" s="32">
        <f t="shared" si="20"/>
        <v>0</v>
      </c>
      <c r="P509" s="49"/>
      <c r="Q509" s="49"/>
      <c r="R509" s="32">
        <f t="array" ref="R509">_xlfn.XLOOKUP($B509, DB[samplingPoint], DB[Criteria])</f>
        <v>100</v>
      </c>
      <c r="S509" s="50" t="str">
        <f t="shared" si="3"/>
        <v>PASSED</v>
      </c>
      <c r="T509" s="38" t="b">
        <v>0</v>
      </c>
      <c r="U509" s="39"/>
      <c r="V509" s="32" t="s">
        <v>304</v>
      </c>
    </row>
    <row r="510" ht="22.5" customHeight="1">
      <c r="A510" s="26">
        <v>46252.0</v>
      </c>
      <c r="B510" s="160" t="s">
        <v>564</v>
      </c>
      <c r="C510" s="32" t="str">
        <f t="array" ref="C510">_xlfn.XLOOKUP(B510, DB[samplingPoint], DB[samplingTag])</f>
        <v>SV126.05</v>
      </c>
      <c r="D510" s="33" t="s">
        <v>364</v>
      </c>
      <c r="E510" s="35" t="s">
        <v>331</v>
      </c>
      <c r="F510" s="38" t="b">
        <v>1</v>
      </c>
      <c r="G510" s="39" t="str">
        <f t="array" ref="G510">_xlfn.XLOOKUP($B510, DB[samplingPoint], DB[noLocation])</f>
        <v>16-3-049</v>
      </c>
      <c r="H510" s="33" t="s">
        <v>327</v>
      </c>
      <c r="I510" s="40" t="str">
        <f t="array" ref="I510">_xlfn.XLOOKUP($B510, DB[samplingPoint], DB[location])</f>
        <v>LINEN WASHING</v>
      </c>
      <c r="J510" s="39" t="str">
        <f t="array" ref="J510">_xlfn.XLOOKUP($B510, DB[samplingPoint], DB[waterType])</f>
        <v>PW</v>
      </c>
      <c r="K510" s="43">
        <f t="shared" si="32"/>
        <v>46252</v>
      </c>
      <c r="L510" s="26">
        <v>46255.0</v>
      </c>
      <c r="M510" s="32">
        <v>0.0</v>
      </c>
      <c r="N510" s="32">
        <v>0.0</v>
      </c>
      <c r="O510" s="32">
        <f t="shared" si="20"/>
        <v>0</v>
      </c>
      <c r="P510" s="49"/>
      <c r="Q510" s="49"/>
      <c r="R510" s="32">
        <f t="array" ref="R510">_xlfn.XLOOKUP($B510, DB[samplingPoint], DB[Criteria])</f>
        <v>100</v>
      </c>
      <c r="S510" s="50" t="str">
        <f t="shared" si="3"/>
        <v>PASSED</v>
      </c>
      <c r="T510" s="38" t="b">
        <v>0</v>
      </c>
      <c r="U510" s="39"/>
      <c r="V510" s="32" t="s">
        <v>304</v>
      </c>
    </row>
    <row r="511" ht="22.5" customHeight="1">
      <c r="A511" s="26">
        <v>46252.0</v>
      </c>
      <c r="B511" s="160" t="s">
        <v>558</v>
      </c>
      <c r="C511" s="32" t="str">
        <f t="array" ref="C511">_xlfn.XLOOKUP(B511, DB[samplingPoint], DB[samplingTag])</f>
        <v>DV126.04</v>
      </c>
      <c r="D511" s="33" t="s">
        <v>364</v>
      </c>
      <c r="E511" s="35" t="s">
        <v>331</v>
      </c>
      <c r="F511" s="38" t="b">
        <v>1</v>
      </c>
      <c r="G511" s="39" t="str">
        <f t="array" ref="G511">_xlfn.XLOOKUP($B511, DB[samplingPoint], DB[noLocation])</f>
        <v>16-2-010</v>
      </c>
      <c r="H511" s="33" t="s">
        <v>327</v>
      </c>
      <c r="I511" s="40" t="str">
        <f t="array" ref="I511">_xlfn.XLOOKUP($B511, DB[samplingPoint], DB[location])</f>
        <v>WATER SYSTEM (PW)</v>
      </c>
      <c r="J511" s="39" t="str">
        <f t="array" ref="J511">_xlfn.XLOOKUP($B511, DB[samplingPoint], DB[waterType])</f>
        <v>PW</v>
      </c>
      <c r="K511" s="43">
        <f t="shared" si="32"/>
        <v>46252</v>
      </c>
      <c r="L511" s="26">
        <v>46255.0</v>
      </c>
      <c r="M511" s="32">
        <v>0.0</v>
      </c>
      <c r="N511" s="32">
        <v>0.0</v>
      </c>
      <c r="O511" s="32">
        <f t="shared" si="20"/>
        <v>0</v>
      </c>
      <c r="P511" s="49"/>
      <c r="Q511" s="49"/>
      <c r="R511" s="32">
        <f t="array" ref="R511">_xlfn.XLOOKUP($B511, DB[samplingPoint], DB[Criteria])</f>
        <v>100</v>
      </c>
      <c r="S511" s="50" t="str">
        <f t="shared" si="3"/>
        <v>PASSED</v>
      </c>
      <c r="T511" s="38" t="b">
        <v>0</v>
      </c>
      <c r="U511" s="39"/>
      <c r="V511" s="32" t="s">
        <v>304</v>
      </c>
    </row>
    <row r="512" ht="22.5" customHeight="1">
      <c r="A512" s="26">
        <v>46255.0</v>
      </c>
      <c r="B512" s="160" t="s">
        <v>380</v>
      </c>
      <c r="C512" s="32" t="str">
        <f t="array" ref="C512">_xlfn.XLOOKUP(B512, DB[samplingPoint], DB[samplingTag])</f>
        <v>SV113.01</v>
      </c>
      <c r="D512" s="33" t="s">
        <v>364</v>
      </c>
      <c r="E512" s="35" t="s">
        <v>333</v>
      </c>
      <c r="F512" s="38" t="b">
        <v>1</v>
      </c>
      <c r="G512" s="39" t="str">
        <f t="array" ref="G512">_xlfn.XLOOKUP($B512, DB[samplingPoint], DB[noLocation])</f>
        <v>WATER SYSTEM (B10)</v>
      </c>
      <c r="H512" s="33" t="s">
        <v>180</v>
      </c>
      <c r="I512" s="40" t="str">
        <f t="array" ref="I512">_xlfn.XLOOKUP($B512, DB[samplingPoint], DB[location])</f>
        <v>After Storage tank (B10)</v>
      </c>
      <c r="J512" s="39" t="str">
        <f t="array" ref="J512">_xlfn.XLOOKUP($B512, DB[samplingPoint], DB[waterType])</f>
        <v>PW</v>
      </c>
      <c r="K512" s="43">
        <f t="shared" si="32"/>
        <v>46255</v>
      </c>
      <c r="L512" s="26">
        <v>46258.0</v>
      </c>
      <c r="M512" s="32">
        <v>0.0</v>
      </c>
      <c r="N512" s="32">
        <v>0.0</v>
      </c>
      <c r="O512" s="32">
        <f t="shared" si="20"/>
        <v>0</v>
      </c>
      <c r="P512" s="49"/>
      <c r="Q512" s="49"/>
      <c r="R512" s="32">
        <f t="array" ref="R512">_xlfn.XLOOKUP($B512, DB[samplingPoint], DB[Criteria])</f>
        <v>100</v>
      </c>
      <c r="S512" s="50" t="str">
        <f t="shared" si="3"/>
        <v>PASSED</v>
      </c>
      <c r="T512" s="38" t="b">
        <v>0</v>
      </c>
      <c r="U512" s="39"/>
      <c r="V512" s="32" t="s">
        <v>304</v>
      </c>
    </row>
    <row r="513" ht="22.5" customHeight="1">
      <c r="A513" s="26">
        <v>46255.0</v>
      </c>
      <c r="B513" s="160" t="s">
        <v>385</v>
      </c>
      <c r="C513" s="32" t="str">
        <f t="array" ref="C513">_xlfn.XLOOKUP(B513, DB[samplingPoint], DB[samplingTag])</f>
        <v>SV115.02</v>
      </c>
      <c r="D513" s="33" t="s">
        <v>364</v>
      </c>
      <c r="E513" s="35" t="s">
        <v>333</v>
      </c>
      <c r="F513" s="38" t="b">
        <v>1</v>
      </c>
      <c r="G513" s="39" t="str">
        <f t="array" ref="G513">_xlfn.XLOOKUP($B513, DB[samplingPoint], DB[noLocation])</f>
        <v>WATER SYSTEM (B10)</v>
      </c>
      <c r="H513" s="33" t="s">
        <v>180</v>
      </c>
      <c r="I513" s="40" t="str">
        <f t="array" ref="I513">_xlfn.XLOOKUP($B513, DB[samplingPoint], DB[location])</f>
        <v>After UV (B10)</v>
      </c>
      <c r="J513" s="39" t="str">
        <f t="array" ref="J513">_xlfn.XLOOKUP($B513, DB[samplingPoint], DB[waterType])</f>
        <v>PW</v>
      </c>
      <c r="K513" s="43">
        <f t="shared" si="32"/>
        <v>46255</v>
      </c>
      <c r="L513" s="26">
        <v>46258.0</v>
      </c>
      <c r="M513" s="32">
        <v>0.0</v>
      </c>
      <c r="N513" s="32">
        <v>0.0</v>
      </c>
      <c r="O513" s="32">
        <f t="shared" si="20"/>
        <v>0</v>
      </c>
      <c r="P513" s="49"/>
      <c r="Q513" s="49"/>
      <c r="R513" s="32">
        <f t="array" ref="R513">_xlfn.XLOOKUP($B513, DB[samplingPoint], DB[Criteria])</f>
        <v>100</v>
      </c>
      <c r="S513" s="50" t="str">
        <f t="shared" si="3"/>
        <v>PASSED</v>
      </c>
      <c r="T513" s="38" t="b">
        <v>0</v>
      </c>
      <c r="U513" s="39"/>
      <c r="V513" s="32" t="s">
        <v>304</v>
      </c>
    </row>
    <row r="514" ht="22.5" customHeight="1">
      <c r="A514" s="26">
        <v>46255.0</v>
      </c>
      <c r="B514" s="160" t="s">
        <v>390</v>
      </c>
      <c r="C514" s="32" t="str">
        <f t="array" ref="C514">_xlfn.XLOOKUP(B514, DB[samplingPoint], DB[samplingTag])</f>
        <v>SV117.01</v>
      </c>
      <c r="D514" s="33" t="s">
        <v>364</v>
      </c>
      <c r="E514" s="35" t="s">
        <v>333</v>
      </c>
      <c r="F514" s="38" t="b">
        <v>1</v>
      </c>
      <c r="G514" s="39" t="str">
        <f t="array" ref="G514">_xlfn.XLOOKUP($B514, DB[samplingPoint], DB[noLocation])</f>
        <v>WATER SYSTEM (B10)</v>
      </c>
      <c r="H514" s="33" t="s">
        <v>180</v>
      </c>
      <c r="I514" s="40" t="str">
        <f t="array" ref="I514">_xlfn.XLOOKUP($B514, DB[samplingPoint], DB[location])</f>
        <v>Return loop (B10)</v>
      </c>
      <c r="J514" s="39" t="str">
        <f t="array" ref="J514">_xlfn.XLOOKUP($B514, DB[samplingPoint], DB[waterType])</f>
        <v>PW</v>
      </c>
      <c r="K514" s="43">
        <f t="shared" si="32"/>
        <v>46255</v>
      </c>
      <c r="L514" s="26">
        <v>46258.0</v>
      </c>
      <c r="M514" s="32">
        <v>0.0</v>
      </c>
      <c r="N514" s="32">
        <v>0.0</v>
      </c>
      <c r="O514" s="32">
        <f t="shared" si="20"/>
        <v>0</v>
      </c>
      <c r="P514" s="49"/>
      <c r="Q514" s="49"/>
      <c r="R514" s="32">
        <f t="array" ref="R514">_xlfn.XLOOKUP($B514, DB[samplingPoint], DB[Criteria])</f>
        <v>100</v>
      </c>
      <c r="S514" s="50" t="str">
        <f t="shared" si="3"/>
        <v>PASSED</v>
      </c>
      <c r="T514" s="38" t="b">
        <v>0</v>
      </c>
      <c r="U514" s="39"/>
      <c r="V514" s="32" t="s">
        <v>304</v>
      </c>
    </row>
    <row r="515" ht="22.5" customHeight="1">
      <c r="A515" s="26">
        <v>46255.0</v>
      </c>
      <c r="B515" s="160" t="s">
        <v>394</v>
      </c>
      <c r="C515" s="32" t="str">
        <f t="array" ref="C515">_xlfn.XLOOKUP(B515, DB[samplingPoint], DB[samplingTag])</f>
        <v>DV116.25</v>
      </c>
      <c r="D515" s="33" t="s">
        <v>364</v>
      </c>
      <c r="E515" s="35" t="s">
        <v>333</v>
      </c>
      <c r="F515" s="38" t="b">
        <v>1</v>
      </c>
      <c r="G515" s="39" t="str">
        <f t="array" ref="G515">_xlfn.XLOOKUP($B515, DB[samplingPoint], DB[noLocation])</f>
        <v>10-3-171</v>
      </c>
      <c r="H515" s="33" t="s">
        <v>180</v>
      </c>
      <c r="I515" s="40" t="str">
        <f t="array" ref="I515">_xlfn.XLOOKUP($B515, DB[samplingPoint], DB[location])</f>
        <v>TOOL WASHING-P</v>
      </c>
      <c r="J515" s="39" t="str">
        <f t="array" ref="J515">_xlfn.XLOOKUP($B515, DB[samplingPoint], DB[waterType])</f>
        <v>PW</v>
      </c>
      <c r="K515" s="43">
        <f t="shared" si="32"/>
        <v>46255</v>
      </c>
      <c r="L515" s="26">
        <v>46258.0</v>
      </c>
      <c r="M515" s="32">
        <v>0.0</v>
      </c>
      <c r="N515" s="32">
        <v>0.0</v>
      </c>
      <c r="O515" s="32">
        <f t="shared" si="20"/>
        <v>0</v>
      </c>
      <c r="P515" s="49"/>
      <c r="Q515" s="49"/>
      <c r="R515" s="32">
        <f t="array" ref="R515">_xlfn.XLOOKUP($B515, DB[samplingPoint], DB[Criteria])</f>
        <v>100</v>
      </c>
      <c r="S515" s="50" t="str">
        <f t="shared" si="3"/>
        <v>PASSED</v>
      </c>
      <c r="T515" s="38" t="b">
        <v>0</v>
      </c>
      <c r="U515" s="39"/>
      <c r="V515" s="32" t="s">
        <v>304</v>
      </c>
    </row>
    <row r="516" ht="22.5" customHeight="1">
      <c r="A516" s="26">
        <v>46255.0</v>
      </c>
      <c r="B516" s="160" t="s">
        <v>398</v>
      </c>
      <c r="C516" s="32" t="str">
        <f t="array" ref="C516">_xlfn.XLOOKUP(B516, DB[samplingPoint], DB[samplingTag])</f>
        <v>DV116.24</v>
      </c>
      <c r="D516" s="33" t="s">
        <v>364</v>
      </c>
      <c r="E516" s="35" t="s">
        <v>333</v>
      </c>
      <c r="F516" s="38" t="b">
        <v>1</v>
      </c>
      <c r="G516" s="39" t="str">
        <f t="array" ref="G516">_xlfn.XLOOKUP($B516, DB[samplingPoint], DB[noLocation])</f>
        <v>10-3-163</v>
      </c>
      <c r="H516" s="33" t="s">
        <v>180</v>
      </c>
      <c r="I516" s="40" t="str">
        <f t="array" ref="I516">_xlfn.XLOOKUP($B516, DB[samplingPoint], DB[location])</f>
        <v>WET GRANULATION 1-P</v>
      </c>
      <c r="J516" s="39" t="str">
        <f t="array" ref="J516">_xlfn.XLOOKUP($B516, DB[samplingPoint], DB[waterType])</f>
        <v>PW</v>
      </c>
      <c r="K516" s="43">
        <f t="shared" si="32"/>
        <v>46255</v>
      </c>
      <c r="L516" s="26">
        <v>46258.0</v>
      </c>
      <c r="M516" s="32">
        <v>0.0</v>
      </c>
      <c r="N516" s="32">
        <v>0.0</v>
      </c>
      <c r="O516" s="32">
        <f t="shared" si="20"/>
        <v>0</v>
      </c>
      <c r="P516" s="49"/>
      <c r="Q516" s="49"/>
      <c r="R516" s="32">
        <f t="array" ref="R516">_xlfn.XLOOKUP($B516, DB[samplingPoint], DB[Criteria])</f>
        <v>100</v>
      </c>
      <c r="S516" s="50" t="str">
        <f t="shared" si="3"/>
        <v>PASSED</v>
      </c>
      <c r="T516" s="38" t="b">
        <v>0</v>
      </c>
      <c r="U516" s="39"/>
      <c r="V516" s="32" t="s">
        <v>304</v>
      </c>
    </row>
    <row r="517" ht="22.5" customHeight="1">
      <c r="A517" s="26">
        <v>46255.0</v>
      </c>
      <c r="B517" s="160" t="s">
        <v>401</v>
      </c>
      <c r="C517" s="32" t="str">
        <f t="array" ref="C517">_xlfn.XLOOKUP(B517, DB[samplingPoint], DB[samplingTag])</f>
        <v>DV116.23</v>
      </c>
      <c r="D517" s="33" t="s">
        <v>364</v>
      </c>
      <c r="E517" s="35" t="s">
        <v>333</v>
      </c>
      <c r="F517" s="38" t="b">
        <v>1</v>
      </c>
      <c r="G517" s="39" t="str">
        <f t="array" ref="G517">_xlfn.XLOOKUP($B517, DB[samplingPoint], DB[noLocation])</f>
        <v>10-3-159</v>
      </c>
      <c r="H517" s="33" t="s">
        <v>180</v>
      </c>
      <c r="I517" s="40" t="str">
        <f t="array" ref="I517">_xlfn.XLOOKUP($B517, DB[samplingPoint], DB[location])</f>
        <v>BINDER PREPARATION-P</v>
      </c>
      <c r="J517" s="39" t="str">
        <f t="array" ref="J517">_xlfn.XLOOKUP($B517, DB[samplingPoint], DB[waterType])</f>
        <v>PW</v>
      </c>
      <c r="K517" s="43">
        <f t="shared" si="32"/>
        <v>46255</v>
      </c>
      <c r="L517" s="26">
        <v>46258.0</v>
      </c>
      <c r="M517" s="32">
        <v>0.0</v>
      </c>
      <c r="N517" s="32">
        <v>0.0</v>
      </c>
      <c r="O517" s="32">
        <f t="shared" si="20"/>
        <v>0</v>
      </c>
      <c r="P517" s="49"/>
      <c r="Q517" s="49"/>
      <c r="R517" s="32">
        <f t="array" ref="R517">_xlfn.XLOOKUP($B517, DB[samplingPoint], DB[Criteria])</f>
        <v>100</v>
      </c>
      <c r="S517" s="50" t="str">
        <f t="shared" si="3"/>
        <v>PASSED</v>
      </c>
      <c r="T517" s="38" t="b">
        <v>0</v>
      </c>
      <c r="U517" s="39"/>
      <c r="V517" s="32" t="s">
        <v>304</v>
      </c>
    </row>
    <row r="518" ht="22.5" customHeight="1">
      <c r="A518" s="26">
        <v>46255.0</v>
      </c>
      <c r="B518" s="160" t="s">
        <v>406</v>
      </c>
      <c r="C518" s="32" t="str">
        <f t="array" ref="C518">_xlfn.XLOOKUP(B518, DB[samplingPoint], DB[samplingTag])</f>
        <v>DV116.21</v>
      </c>
      <c r="D518" s="33" t="s">
        <v>364</v>
      </c>
      <c r="E518" s="35" t="s">
        <v>333</v>
      </c>
      <c r="F518" s="38" t="b">
        <v>1</v>
      </c>
      <c r="G518" s="39" t="str">
        <f t="array" ref="G518">_xlfn.XLOOKUP($B518, DB[samplingPoint], DB[noLocation])</f>
        <v>10-3-152</v>
      </c>
      <c r="H518" s="33" t="s">
        <v>180</v>
      </c>
      <c r="I518" s="40" t="str">
        <f t="array" ref="I518">_xlfn.XLOOKUP($B518, DB[samplingPoint], DB[location])</f>
        <v>WASHING-P</v>
      </c>
      <c r="J518" s="39" t="str">
        <f t="array" ref="J518">_xlfn.XLOOKUP($B518, DB[samplingPoint], DB[waterType])</f>
        <v>PW</v>
      </c>
      <c r="K518" s="43">
        <f t="shared" si="32"/>
        <v>46255</v>
      </c>
      <c r="L518" s="26">
        <v>46258.0</v>
      </c>
      <c r="M518" s="32">
        <v>0.0</v>
      </c>
      <c r="N518" s="32">
        <v>0.0</v>
      </c>
      <c r="O518" s="32">
        <f t="shared" si="20"/>
        <v>0</v>
      </c>
      <c r="P518" s="49"/>
      <c r="Q518" s="49"/>
      <c r="R518" s="32">
        <f t="array" ref="R518">_xlfn.XLOOKUP($B518, DB[samplingPoint], DB[Criteria])</f>
        <v>100</v>
      </c>
      <c r="S518" s="50" t="str">
        <f t="shared" si="3"/>
        <v>PASSED</v>
      </c>
      <c r="T518" s="38" t="b">
        <v>0</v>
      </c>
      <c r="U518" s="39"/>
      <c r="V518" s="32" t="s">
        <v>304</v>
      </c>
    </row>
    <row r="519" ht="22.5" customHeight="1">
      <c r="A519" s="26">
        <v>46255.0</v>
      </c>
      <c r="B519" s="160" t="s">
        <v>410</v>
      </c>
      <c r="C519" s="32" t="str">
        <f t="array" ref="C519">_xlfn.XLOOKUP(B519, DB[samplingPoint], DB[samplingTag])</f>
        <v>DV116.22</v>
      </c>
      <c r="D519" s="33" t="s">
        <v>364</v>
      </c>
      <c r="E519" s="35" t="s">
        <v>333</v>
      </c>
      <c r="F519" s="38" t="b">
        <v>1</v>
      </c>
      <c r="G519" s="39" t="str">
        <f t="array" ref="G519">_xlfn.XLOOKUP($B519, DB[samplingPoint], DB[noLocation])</f>
        <v>10-3-152</v>
      </c>
      <c r="H519" s="33" t="s">
        <v>180</v>
      </c>
      <c r="I519" s="40" t="str">
        <f t="array" ref="I519">_xlfn.XLOOKUP($B519, DB[samplingPoint], DB[location])</f>
        <v>WASHING-P</v>
      </c>
      <c r="J519" s="39" t="str">
        <f t="array" ref="J519">_xlfn.XLOOKUP($B519, DB[samplingPoint], DB[waterType])</f>
        <v>PW</v>
      </c>
      <c r="K519" s="43">
        <f t="shared" si="32"/>
        <v>46255</v>
      </c>
      <c r="L519" s="26">
        <v>46258.0</v>
      </c>
      <c r="M519" s="32">
        <v>0.0</v>
      </c>
      <c r="N519" s="32">
        <v>0.0</v>
      </c>
      <c r="O519" s="32">
        <f t="shared" si="20"/>
        <v>0</v>
      </c>
      <c r="P519" s="49"/>
      <c r="Q519" s="49"/>
      <c r="R519" s="32">
        <f t="array" ref="R519">_xlfn.XLOOKUP($B519, DB[samplingPoint], DB[Criteria])</f>
        <v>100</v>
      </c>
      <c r="S519" s="50" t="str">
        <f t="shared" si="3"/>
        <v>PASSED</v>
      </c>
      <c r="T519" s="38" t="b">
        <v>0</v>
      </c>
      <c r="U519" s="39"/>
      <c r="V519" s="32" t="s">
        <v>304</v>
      </c>
    </row>
    <row r="520" ht="22.5" customHeight="1">
      <c r="A520" s="26">
        <v>46255.0</v>
      </c>
      <c r="B520" s="160" t="s">
        <v>414</v>
      </c>
      <c r="C520" s="32" t="str">
        <f t="array" ref="C520">_xlfn.XLOOKUP(B520, DB[samplingPoint], DB[samplingTag])</f>
        <v>SV116.13</v>
      </c>
      <c r="D520" s="33" t="s">
        <v>364</v>
      </c>
      <c r="E520" s="35" t="s">
        <v>333</v>
      </c>
      <c r="F520" s="38" t="b">
        <v>1</v>
      </c>
      <c r="G520" s="39" t="str">
        <f t="array" ref="G520">_xlfn.XLOOKUP($B520, DB[samplingPoint], DB[noLocation])</f>
        <v>10-3-152</v>
      </c>
      <c r="H520" s="33" t="s">
        <v>180</v>
      </c>
      <c r="I520" s="40" t="str">
        <f t="array" ref="I520">_xlfn.XLOOKUP($B520, DB[samplingPoint], DB[location])</f>
        <v>WASHING-P</v>
      </c>
      <c r="J520" s="39" t="str">
        <f t="array" ref="J520">_xlfn.XLOOKUP($B520, DB[samplingPoint], DB[waterType])</f>
        <v>PW</v>
      </c>
      <c r="K520" s="43">
        <f t="shared" si="32"/>
        <v>46255</v>
      </c>
      <c r="L520" s="26">
        <v>46258.0</v>
      </c>
      <c r="M520" s="32">
        <v>0.0</v>
      </c>
      <c r="N520" s="32">
        <v>0.0</v>
      </c>
      <c r="O520" s="32">
        <f t="shared" si="20"/>
        <v>0</v>
      </c>
      <c r="P520" s="49"/>
      <c r="Q520" s="49"/>
      <c r="R520" s="32">
        <f t="array" ref="R520">_xlfn.XLOOKUP($B520, DB[samplingPoint], DB[Criteria])</f>
        <v>100</v>
      </c>
      <c r="S520" s="50" t="str">
        <f t="shared" si="3"/>
        <v>PASSED</v>
      </c>
      <c r="T520" s="38" t="b">
        <v>0</v>
      </c>
      <c r="U520" s="39"/>
      <c r="V520" s="32" t="s">
        <v>304</v>
      </c>
    </row>
    <row r="521" ht="22.5" customHeight="1">
      <c r="A521" s="26">
        <v>46255.0</v>
      </c>
      <c r="B521" s="160" t="s">
        <v>417</v>
      </c>
      <c r="C521" s="32" t="str">
        <f t="array" ref="C521">_xlfn.XLOOKUP(B521, DB[samplingPoint], DB[samplingTag])</f>
        <v>DV116.20</v>
      </c>
      <c r="D521" s="33" t="s">
        <v>364</v>
      </c>
      <c r="E521" s="35" t="s">
        <v>333</v>
      </c>
      <c r="F521" s="38" t="b">
        <v>1</v>
      </c>
      <c r="G521" s="39" t="str">
        <f t="array" ref="G521">_xlfn.XLOOKUP($B521, DB[samplingPoint], DB[noLocation])</f>
        <v>10-3-149</v>
      </c>
      <c r="H521" s="33" t="s">
        <v>180</v>
      </c>
      <c r="I521" s="40" t="str">
        <f t="array" ref="I521">_xlfn.XLOOKUP($B521, DB[samplingPoint], DB[location])</f>
        <v>IPQC-1-P</v>
      </c>
      <c r="J521" s="39" t="str">
        <f t="array" ref="J521">_xlfn.XLOOKUP($B521, DB[samplingPoint], DB[waterType])</f>
        <v>PW</v>
      </c>
      <c r="K521" s="43">
        <f t="shared" si="32"/>
        <v>46255</v>
      </c>
      <c r="L521" s="26">
        <v>46258.0</v>
      </c>
      <c r="M521" s="32">
        <v>0.0</v>
      </c>
      <c r="N521" s="32">
        <v>0.0</v>
      </c>
      <c r="O521" s="32">
        <f t="shared" si="20"/>
        <v>0</v>
      </c>
      <c r="P521" s="49"/>
      <c r="Q521" s="49"/>
      <c r="R521" s="32">
        <f t="array" ref="R521">_xlfn.XLOOKUP($B521, DB[samplingPoint], DB[Criteria])</f>
        <v>100</v>
      </c>
      <c r="S521" s="50" t="str">
        <f t="shared" si="3"/>
        <v>PASSED</v>
      </c>
      <c r="T521" s="38" t="b">
        <v>0</v>
      </c>
      <c r="U521" s="39"/>
      <c r="V521" s="32" t="s">
        <v>304</v>
      </c>
    </row>
    <row r="522" ht="22.5" customHeight="1">
      <c r="A522" s="26">
        <v>46255.0</v>
      </c>
      <c r="B522" s="160" t="s">
        <v>421</v>
      </c>
      <c r="C522" s="32" t="str">
        <f t="array" ref="C522">_xlfn.XLOOKUP(B522, DB[samplingPoint], DB[samplingTag])</f>
        <v>DV116.19</v>
      </c>
      <c r="D522" s="33" t="s">
        <v>364</v>
      </c>
      <c r="E522" s="35" t="s">
        <v>333</v>
      </c>
      <c r="F522" s="38" t="b">
        <v>1</v>
      </c>
      <c r="G522" s="39" t="str">
        <f t="array" ref="G522">_xlfn.XLOOKUP($B522, DB[samplingPoint], DB[noLocation])</f>
        <v>10-3-143</v>
      </c>
      <c r="H522" s="33" t="s">
        <v>180</v>
      </c>
      <c r="I522" s="40" t="str">
        <f t="array" ref="I522">_xlfn.XLOOKUP($B522, DB[samplingPoint], DB[location])</f>
        <v>COATING SOLUTION PREP.-P</v>
      </c>
      <c r="J522" s="39" t="str">
        <f t="array" ref="J522">_xlfn.XLOOKUP($B522, DB[samplingPoint], DB[waterType])</f>
        <v>PW</v>
      </c>
      <c r="K522" s="43">
        <f t="shared" si="32"/>
        <v>46255</v>
      </c>
      <c r="L522" s="26">
        <v>46258.0</v>
      </c>
      <c r="M522" s="32">
        <v>0.0</v>
      </c>
      <c r="N522" s="32">
        <v>0.0</v>
      </c>
      <c r="O522" s="32">
        <f t="shared" si="20"/>
        <v>0</v>
      </c>
      <c r="P522" s="49"/>
      <c r="Q522" s="49"/>
      <c r="R522" s="32">
        <f t="array" ref="R522">_xlfn.XLOOKUP($B522, DB[samplingPoint], DB[Criteria])</f>
        <v>100</v>
      </c>
      <c r="S522" s="50" t="str">
        <f t="shared" si="3"/>
        <v>PASSED</v>
      </c>
      <c r="T522" s="38" t="b">
        <v>0</v>
      </c>
      <c r="U522" s="39"/>
      <c r="V522" s="32" t="s">
        <v>304</v>
      </c>
    </row>
    <row r="523" ht="22.5" customHeight="1">
      <c r="A523" s="26">
        <v>46255.0</v>
      </c>
      <c r="B523" s="160" t="s">
        <v>423</v>
      </c>
      <c r="C523" s="32" t="str">
        <f t="array" ref="C523">_xlfn.XLOOKUP(B523, DB[samplingPoint], DB[samplingTag])</f>
        <v>SV116.12</v>
      </c>
      <c r="D523" s="33" t="s">
        <v>364</v>
      </c>
      <c r="E523" s="35" t="s">
        <v>333</v>
      </c>
      <c r="F523" s="38" t="b">
        <v>1</v>
      </c>
      <c r="G523" s="39" t="str">
        <f t="array" ref="G523">_xlfn.XLOOKUP($B523, DB[samplingPoint], DB[noLocation])</f>
        <v>10-3-144</v>
      </c>
      <c r="H523" s="33" t="s">
        <v>180</v>
      </c>
      <c r="I523" s="40" t="str">
        <f t="array" ref="I523">_xlfn.XLOOKUP($B523, DB[samplingPoint], DB[location])</f>
        <v>COATING-P</v>
      </c>
      <c r="J523" s="39" t="str">
        <f t="array" ref="J523">_xlfn.XLOOKUP($B523, DB[samplingPoint], DB[waterType])</f>
        <v>PW</v>
      </c>
      <c r="K523" s="43">
        <f t="shared" si="32"/>
        <v>46255</v>
      </c>
      <c r="L523" s="26">
        <v>46258.0</v>
      </c>
      <c r="M523" s="32">
        <v>0.0</v>
      </c>
      <c r="N523" s="32">
        <v>0.0</v>
      </c>
      <c r="O523" s="32">
        <f t="shared" si="20"/>
        <v>0</v>
      </c>
      <c r="P523" s="49"/>
      <c r="Q523" s="49"/>
      <c r="R523" s="32">
        <f t="array" ref="R523">_xlfn.XLOOKUP($B523, DB[samplingPoint], DB[Criteria])</f>
        <v>100</v>
      </c>
      <c r="S523" s="50" t="str">
        <f t="shared" si="3"/>
        <v>PASSED</v>
      </c>
      <c r="T523" s="38" t="b">
        <v>0</v>
      </c>
      <c r="U523" s="39"/>
      <c r="V523" s="32" t="s">
        <v>304</v>
      </c>
    </row>
    <row r="524" ht="22.5" customHeight="1">
      <c r="A524" s="26">
        <v>46255.0</v>
      </c>
      <c r="B524" s="160" t="s">
        <v>425</v>
      </c>
      <c r="C524" s="32" t="str">
        <f t="array" ref="C524">_xlfn.XLOOKUP(B524, DB[samplingPoint], DB[samplingTag])</f>
        <v>DV116.02</v>
      </c>
      <c r="D524" s="33" t="s">
        <v>364</v>
      </c>
      <c r="E524" s="35" t="s">
        <v>333</v>
      </c>
      <c r="F524" s="38" t="b">
        <v>1</v>
      </c>
      <c r="G524" s="39" t="str">
        <f t="array" ref="G524">_xlfn.XLOOKUP($B524, DB[samplingPoint], DB[noLocation])</f>
        <v>10-1-115</v>
      </c>
      <c r="H524" s="33" t="s">
        <v>180</v>
      </c>
      <c r="I524" s="40" t="str">
        <f t="array" ref="I524">_xlfn.XLOOKUP($B524, DB[samplingPoint], DB[location])</f>
        <v>WASHING</v>
      </c>
      <c r="J524" s="39" t="str">
        <f t="array" ref="J524">_xlfn.XLOOKUP($B524, DB[samplingPoint], DB[waterType])</f>
        <v>PW</v>
      </c>
      <c r="K524" s="43">
        <f t="shared" si="32"/>
        <v>46255</v>
      </c>
      <c r="L524" s="26">
        <v>46258.0</v>
      </c>
      <c r="M524" s="32">
        <v>0.0</v>
      </c>
      <c r="N524" s="32">
        <v>0.0</v>
      </c>
      <c r="O524" s="32">
        <f t="shared" si="20"/>
        <v>0</v>
      </c>
      <c r="P524" s="49"/>
      <c r="Q524" s="49"/>
      <c r="R524" s="32">
        <f t="array" ref="R524">_xlfn.XLOOKUP($B524, DB[samplingPoint], DB[Criteria])</f>
        <v>100</v>
      </c>
      <c r="S524" s="50" t="str">
        <f t="shared" si="3"/>
        <v>PASSED</v>
      </c>
      <c r="T524" s="38" t="b">
        <v>0</v>
      </c>
      <c r="U524" s="39"/>
      <c r="V524" s="32" t="s">
        <v>304</v>
      </c>
    </row>
    <row r="525" ht="22.5" customHeight="1">
      <c r="A525" s="26">
        <v>46255.0</v>
      </c>
      <c r="B525" s="160" t="s">
        <v>428</v>
      </c>
      <c r="C525" s="32" t="str">
        <f t="array" ref="C525">_xlfn.XLOOKUP(B525, DB[samplingPoint], DB[samplingTag])</f>
        <v>DV116.01</v>
      </c>
      <c r="D525" s="33" t="s">
        <v>364</v>
      </c>
      <c r="E525" s="35" t="s">
        <v>333</v>
      </c>
      <c r="F525" s="38" t="b">
        <v>1</v>
      </c>
      <c r="G525" s="39" t="str">
        <f t="array" ref="G525">_xlfn.XLOOKUP($B525, DB[samplingPoint], DB[noLocation])</f>
        <v>10-1-057</v>
      </c>
      <c r="H525" s="33" t="s">
        <v>180</v>
      </c>
      <c r="I525" s="40" t="str">
        <f t="array" ref="I525">_xlfn.XLOOKUP($B525, DB[samplingPoint], DB[location])</f>
        <v>WASHING-P</v>
      </c>
      <c r="J525" s="39" t="str">
        <f t="array" ref="J525">_xlfn.XLOOKUP($B525, DB[samplingPoint], DB[waterType])</f>
        <v>PW</v>
      </c>
      <c r="K525" s="43">
        <f t="shared" si="32"/>
        <v>46255</v>
      </c>
      <c r="L525" s="26">
        <v>46258.0</v>
      </c>
      <c r="M525" s="32">
        <v>0.0</v>
      </c>
      <c r="N525" s="32">
        <v>0.0</v>
      </c>
      <c r="O525" s="32">
        <f t="shared" si="20"/>
        <v>0</v>
      </c>
      <c r="P525" s="49"/>
      <c r="Q525" s="49"/>
      <c r="R525" s="32">
        <f t="array" ref="R525">_xlfn.XLOOKUP($B525, DB[samplingPoint], DB[Criteria])</f>
        <v>100</v>
      </c>
      <c r="S525" s="50" t="str">
        <f t="shared" si="3"/>
        <v>PASSED</v>
      </c>
      <c r="T525" s="38" t="b">
        <v>0</v>
      </c>
      <c r="U525" s="39"/>
      <c r="V525" s="32" t="s">
        <v>304</v>
      </c>
    </row>
    <row r="526" ht="22.5" customHeight="1">
      <c r="A526" s="26">
        <v>46255.0</v>
      </c>
      <c r="B526" s="73" t="s">
        <v>431</v>
      </c>
      <c r="C526" s="32" t="str">
        <f t="array" ref="C526">_xlfn.XLOOKUP(B526, DB[samplingPoint], DB[samplingTag])</f>
        <v>SV-14</v>
      </c>
      <c r="D526" s="33" t="s">
        <v>364</v>
      </c>
      <c r="E526" s="35" t="s">
        <v>335</v>
      </c>
      <c r="F526" s="38" t="b">
        <v>1</v>
      </c>
      <c r="G526" s="39" t="str">
        <f t="array" ref="G526">_xlfn.XLOOKUP($B526, DB[samplingPoint], DB[noLocation])</f>
        <v>PROCESS WATER (B19)</v>
      </c>
      <c r="H526" s="33" t="s">
        <v>432</v>
      </c>
      <c r="I526" s="40" t="str">
        <f t="array" ref="I526">_xlfn.XLOOKUP($B526, DB[samplingPoint], DB[location])</f>
        <v>AFTER RO SYSTEM NO.12 SV14</v>
      </c>
      <c r="J526" s="39" t="str">
        <f t="array" ref="J526">_xlfn.XLOOKUP($B526, DB[samplingPoint], DB[waterType])</f>
        <v>PRW</v>
      </c>
      <c r="K526" s="43">
        <f t="shared" si="32"/>
        <v>46255</v>
      </c>
      <c r="L526" s="26">
        <v>46258.0</v>
      </c>
      <c r="M526" s="32">
        <v>142.0</v>
      </c>
      <c r="N526" s="32">
        <v>209.0</v>
      </c>
      <c r="O526" s="32">
        <f t="shared" si="20"/>
        <v>176</v>
      </c>
      <c r="P526" s="49"/>
      <c r="Q526" s="49"/>
      <c r="R526" s="32">
        <f t="array" ref="R526">_xlfn.XLOOKUP($B526, DB[samplingPoint], DB[Criteria])</f>
        <v>500</v>
      </c>
      <c r="S526" s="50" t="str">
        <f t="shared" si="3"/>
        <v>PASSED</v>
      </c>
      <c r="T526" s="38" t="b">
        <v>0</v>
      </c>
      <c r="U526" s="39"/>
      <c r="V526" s="32" t="s">
        <v>304</v>
      </c>
    </row>
    <row r="527" ht="22.5" customHeight="1">
      <c r="A527" s="26">
        <v>46259.0</v>
      </c>
      <c r="B527" s="58" t="s">
        <v>444</v>
      </c>
      <c r="C527" s="32" t="str">
        <f t="array" ref="C527">_xlfn.XLOOKUP(B527, DB[samplingPoint], DB[samplingTag])</f>
        <v>VB-05 (12)</v>
      </c>
      <c r="D527" s="33" t="s">
        <v>436</v>
      </c>
      <c r="E527" s="35" t="s">
        <v>337</v>
      </c>
      <c r="F527" s="38" t="b">
        <v>1</v>
      </c>
      <c r="G527" s="39" t="str">
        <f t="array" ref="G527">_xlfn.XLOOKUP($B527, DB[samplingPoint], DB[noLocation])</f>
        <v>WATER SYSTEM (B12)</v>
      </c>
      <c r="H527" s="33" t="s">
        <v>437</v>
      </c>
      <c r="I527" s="40" t="str">
        <f t="array" ref="I527">_xlfn.XLOOKUP($B527, DB[samplingPoint], DB[location])</f>
        <v>After Chlorine circulation tank</v>
      </c>
      <c r="J527" s="39" t="str">
        <f t="array" ref="J527">_xlfn.XLOOKUP($B527, DB[samplingPoint], DB[waterType])</f>
        <v>PRW</v>
      </c>
      <c r="K527" s="43">
        <f t="shared" si="32"/>
        <v>46259</v>
      </c>
      <c r="L527" s="26">
        <v>46262.0</v>
      </c>
      <c r="M527" s="32">
        <v>221.0</v>
      </c>
      <c r="N527" s="32">
        <v>235.0</v>
      </c>
      <c r="O527" s="32">
        <f t="shared" si="20"/>
        <v>228</v>
      </c>
      <c r="P527" s="49"/>
      <c r="Q527" s="49"/>
      <c r="R527" s="32">
        <f t="array" ref="R527">_xlfn.XLOOKUP($B527, DB[samplingPoint], DB[Criteria])</f>
        <v>500</v>
      </c>
      <c r="S527" s="50" t="str">
        <f t="shared" si="3"/>
        <v>PASSED</v>
      </c>
      <c r="T527" s="38" t="b">
        <v>0</v>
      </c>
      <c r="U527" s="39"/>
      <c r="V527" s="32" t="s">
        <v>304</v>
      </c>
    </row>
    <row r="528" ht="22.5" customHeight="1">
      <c r="A528" s="26">
        <v>46259.0</v>
      </c>
      <c r="B528" s="58" t="s">
        <v>442</v>
      </c>
      <c r="C528" s="32" t="str">
        <f t="array" ref="C528">_xlfn.XLOOKUP(B528, DB[samplingPoint], DB[samplingTag])</f>
        <v>V50-61 (12)</v>
      </c>
      <c r="D528" s="33" t="s">
        <v>436</v>
      </c>
      <c r="E528" s="35" t="s">
        <v>337</v>
      </c>
      <c r="F528" s="38" t="b">
        <v>1</v>
      </c>
      <c r="G528" s="39" t="str">
        <f t="array" ref="G528">_xlfn.XLOOKUP($B528, DB[samplingPoint], DB[noLocation])</f>
        <v>WATER SYSTEM (B12)</v>
      </c>
      <c r="H528" s="33" t="s">
        <v>437</v>
      </c>
      <c r="I528" s="40" t="str">
        <f t="array" ref="I528">_xlfn.XLOOKUP($B528, DB[samplingPoint], DB[location])</f>
        <v>After Cartridge filter 5 µm (B12)</v>
      </c>
      <c r="J528" s="39" t="str">
        <f t="array" ref="J528">_xlfn.XLOOKUP($B528, DB[samplingPoint], DB[waterType])</f>
        <v>PRW</v>
      </c>
      <c r="K528" s="43">
        <f t="shared" si="32"/>
        <v>46259</v>
      </c>
      <c r="L528" s="26">
        <v>46262.0</v>
      </c>
      <c r="M528" s="32">
        <v>349.0</v>
      </c>
      <c r="N528" s="32">
        <v>332.0</v>
      </c>
      <c r="O528" s="32">
        <f t="shared" si="20"/>
        <v>341</v>
      </c>
      <c r="P528" s="49"/>
      <c r="Q528" s="49"/>
      <c r="R528" s="32">
        <f t="array" ref="R528">_xlfn.XLOOKUP($B528, DB[samplingPoint], DB[Criteria])</f>
        <v>500</v>
      </c>
      <c r="S528" s="50" t="str">
        <f t="shared" si="3"/>
        <v>PASSED</v>
      </c>
      <c r="T528" s="38" t="b">
        <v>0</v>
      </c>
      <c r="U528" s="39"/>
      <c r="V528" s="32" t="s">
        <v>304</v>
      </c>
    </row>
    <row r="529" ht="22.5" customHeight="1">
      <c r="A529" s="26">
        <v>46259.0</v>
      </c>
      <c r="B529" s="58" t="s">
        <v>434</v>
      </c>
      <c r="C529" s="32" t="str">
        <f t="array" ref="C529">_xlfn.XLOOKUP(B529, DB[samplingPoint], DB[samplingTag])</f>
        <v>V50-11C (12)</v>
      </c>
      <c r="D529" s="33" t="s">
        <v>436</v>
      </c>
      <c r="E529" s="35" t="s">
        <v>337</v>
      </c>
      <c r="F529" s="38" t="b">
        <v>1</v>
      </c>
      <c r="G529" s="39" t="str">
        <f t="array" ref="G529">_xlfn.XLOOKUP($B529, DB[samplingPoint], DB[noLocation])</f>
        <v>WATER SYSTEM (B12)</v>
      </c>
      <c r="H529" s="33" t="s">
        <v>437</v>
      </c>
      <c r="I529" s="40" t="str">
        <f t="array" ref="I529">_xlfn.XLOOKUP($B529, DB[samplingPoint], DB[location])</f>
        <v>After RO (Before EDI) (B12)</v>
      </c>
      <c r="J529" s="39" t="str">
        <f t="array" ref="J529">_xlfn.XLOOKUP($B529, DB[samplingPoint], DB[waterType])</f>
        <v>RO water</v>
      </c>
      <c r="K529" s="43">
        <f t="shared" si="32"/>
        <v>46259</v>
      </c>
      <c r="L529" s="26">
        <v>46262.0</v>
      </c>
      <c r="M529" s="32">
        <v>0.0</v>
      </c>
      <c r="N529" s="32">
        <v>0.0</v>
      </c>
      <c r="O529" s="32">
        <f t="shared" si="20"/>
        <v>0</v>
      </c>
      <c r="P529" s="49"/>
      <c r="Q529" s="49"/>
      <c r="R529" s="32">
        <f t="array" ref="R529">_xlfn.XLOOKUP($B529, DB[samplingPoint], DB[Criteria])</f>
        <v>500</v>
      </c>
      <c r="S529" s="50" t="str">
        <f t="shared" si="3"/>
        <v>PASSED</v>
      </c>
      <c r="T529" s="38" t="b">
        <v>0</v>
      </c>
      <c r="U529" s="39"/>
      <c r="V529" s="32" t="s">
        <v>304</v>
      </c>
    </row>
    <row r="530" ht="22.5" customHeight="1">
      <c r="A530" s="26">
        <v>46259.0</v>
      </c>
      <c r="B530" s="58" t="s">
        <v>440</v>
      </c>
      <c r="C530" s="32" t="str">
        <f t="array" ref="C530">_xlfn.XLOOKUP(B530, DB[samplingPoint], DB[samplingTag])</f>
        <v>V50-39 (12)</v>
      </c>
      <c r="D530" s="33" t="s">
        <v>436</v>
      </c>
      <c r="E530" s="35" t="s">
        <v>337</v>
      </c>
      <c r="F530" s="38" t="b">
        <v>1</v>
      </c>
      <c r="G530" s="39" t="str">
        <f t="array" ref="G530">_xlfn.XLOOKUP($B530, DB[samplingPoint], DB[noLocation])</f>
        <v>WATER SYSTEM (B12)</v>
      </c>
      <c r="H530" s="33" t="s">
        <v>437</v>
      </c>
      <c r="I530" s="40" t="str">
        <f t="array" ref="I530">_xlfn.XLOOKUP($B530, DB[samplingPoint], DB[location])</f>
        <v>After EDI (B12)</v>
      </c>
      <c r="J530" s="39" t="str">
        <f t="array" ref="J530">_xlfn.XLOOKUP($B530, DB[samplingPoint], DB[waterType])</f>
        <v>PW</v>
      </c>
      <c r="K530" s="43">
        <f t="shared" si="32"/>
        <v>46259</v>
      </c>
      <c r="L530" s="26">
        <v>46262.0</v>
      </c>
      <c r="M530" s="32">
        <v>0.0</v>
      </c>
      <c r="N530" s="32">
        <v>0.0</v>
      </c>
      <c r="O530" s="32">
        <f t="shared" si="20"/>
        <v>0</v>
      </c>
      <c r="P530" s="49"/>
      <c r="Q530" s="49"/>
      <c r="R530" s="32">
        <f t="array" ref="R530">_xlfn.XLOOKUP($B530, DB[samplingPoint], DB[Criteria])</f>
        <v>100</v>
      </c>
      <c r="S530" s="50" t="str">
        <f t="shared" si="3"/>
        <v>PASSED</v>
      </c>
      <c r="T530" s="38" t="b">
        <v>0</v>
      </c>
      <c r="U530" s="39"/>
      <c r="V530" s="32" t="s">
        <v>304</v>
      </c>
    </row>
    <row r="531" ht="22.5" customHeight="1">
      <c r="A531" s="26">
        <v>46259.0</v>
      </c>
      <c r="B531" s="27" t="s">
        <v>430</v>
      </c>
      <c r="C531" s="32" t="str">
        <f t="array" ref="C531">_xlfn.XLOOKUP(B531, DB[samplingPoint], DB[samplingTag])</f>
        <v>SV137.01</v>
      </c>
      <c r="D531" s="33" t="s">
        <v>436</v>
      </c>
      <c r="E531" s="35" t="s">
        <v>337</v>
      </c>
      <c r="F531" s="38" t="b">
        <v>1</v>
      </c>
      <c r="G531" s="39" t="str">
        <f t="array" ref="G531">_xlfn.XLOOKUP($B531, DB[samplingPoint], DB[noLocation])</f>
        <v>WATER SYSTEM (B12)</v>
      </c>
      <c r="H531" s="33" t="s">
        <v>437</v>
      </c>
      <c r="I531" s="40" t="str">
        <f t="array" ref="I531">_xlfn.XLOOKUP($B531, DB[samplingPoint], DB[location])</f>
        <v>Return loop (B12)</v>
      </c>
      <c r="J531" s="39" t="str">
        <f t="array" ref="J531">_xlfn.XLOOKUP($B531, DB[samplingPoint], DB[waterType])</f>
        <v>PW</v>
      </c>
      <c r="K531" s="43">
        <f t="shared" si="32"/>
        <v>46259</v>
      </c>
      <c r="L531" s="26">
        <v>46262.0</v>
      </c>
      <c r="M531" s="32">
        <v>0.0</v>
      </c>
      <c r="N531" s="32">
        <v>0.0</v>
      </c>
      <c r="O531" s="32">
        <f t="shared" si="20"/>
        <v>0</v>
      </c>
      <c r="P531" s="49"/>
      <c r="Q531" s="49"/>
      <c r="R531" s="32">
        <f t="array" ref="R531">_xlfn.XLOOKUP($B531, DB[samplingPoint], DB[Criteria])</f>
        <v>100</v>
      </c>
      <c r="S531" s="50" t="str">
        <f t="shared" si="3"/>
        <v>PASSED</v>
      </c>
      <c r="T531" s="38" t="b">
        <v>0</v>
      </c>
      <c r="U531" s="39"/>
      <c r="V531" s="32" t="s">
        <v>304</v>
      </c>
    </row>
    <row r="532" ht="22.5" customHeight="1">
      <c r="A532" s="26">
        <v>46259.0</v>
      </c>
      <c r="B532" s="27" t="s">
        <v>443</v>
      </c>
      <c r="C532" s="32" t="str">
        <f t="array" ref="C532">_xlfn.XLOOKUP(B532, DB[samplingPoint], DB[samplingTag])</f>
        <v>SV136.09</v>
      </c>
      <c r="D532" s="33" t="s">
        <v>436</v>
      </c>
      <c r="E532" s="35" t="s">
        <v>337</v>
      </c>
      <c r="F532" s="38" t="b">
        <v>1</v>
      </c>
      <c r="G532" s="39" t="str">
        <f t="array" ref="G532">_xlfn.XLOOKUP($B532, DB[samplingPoint], DB[noLocation])</f>
        <v>12-2-039</v>
      </c>
      <c r="H532" s="33" t="s">
        <v>437</v>
      </c>
      <c r="I532" s="40" t="str">
        <f t="array" ref="I532">_xlfn.XLOOKUP($B532, DB[samplingPoint], DB[location])</f>
        <v>MFG 1</v>
      </c>
      <c r="J532" s="39" t="str">
        <f t="array" ref="J532">_xlfn.XLOOKUP($B532, DB[samplingPoint], DB[waterType])</f>
        <v>PW</v>
      </c>
      <c r="K532" s="43">
        <f t="shared" si="32"/>
        <v>46259</v>
      </c>
      <c r="L532" s="26">
        <v>46262.0</v>
      </c>
      <c r="M532" s="32">
        <v>0.0</v>
      </c>
      <c r="N532" s="32">
        <v>0.0</v>
      </c>
      <c r="O532" s="32">
        <f t="shared" si="20"/>
        <v>0</v>
      </c>
      <c r="P532" s="49"/>
      <c r="Q532" s="49"/>
      <c r="R532" s="32">
        <f t="array" ref="R532">_xlfn.XLOOKUP($B532, DB[samplingPoint], DB[Criteria])</f>
        <v>100</v>
      </c>
      <c r="S532" s="50" t="str">
        <f t="shared" si="3"/>
        <v>PASSED</v>
      </c>
      <c r="T532" s="38" t="b">
        <v>0</v>
      </c>
      <c r="U532" s="39"/>
      <c r="V532" s="32" t="s">
        <v>304</v>
      </c>
    </row>
    <row r="533" ht="22.5" customHeight="1">
      <c r="A533" s="26">
        <v>46259.0</v>
      </c>
      <c r="B533" s="58" t="s">
        <v>445</v>
      </c>
      <c r="C533" s="32" t="str">
        <f t="array" ref="C533">_xlfn.XLOOKUP(B533, DB[samplingPoint], DB[samplingTag])</f>
        <v>SV136.10</v>
      </c>
      <c r="D533" s="33" t="s">
        <v>436</v>
      </c>
      <c r="E533" s="35" t="s">
        <v>337</v>
      </c>
      <c r="F533" s="38" t="b">
        <v>1</v>
      </c>
      <c r="G533" s="39" t="str">
        <f t="array" ref="G533">_xlfn.XLOOKUP($B533, DB[samplingPoint], DB[noLocation])</f>
        <v>12-2-041</v>
      </c>
      <c r="H533" s="33" t="s">
        <v>437</v>
      </c>
      <c r="I533" s="40" t="str">
        <f t="array" ref="I533">_xlfn.XLOOKUP($B533, DB[samplingPoint], DB[location])</f>
        <v>MFG 2</v>
      </c>
      <c r="J533" s="39" t="str">
        <f t="array" ref="J533">_xlfn.XLOOKUP($B533, DB[samplingPoint], DB[waterType])</f>
        <v>PW</v>
      </c>
      <c r="K533" s="43">
        <f t="shared" si="32"/>
        <v>46259</v>
      </c>
      <c r="L533" s="26">
        <v>46262.0</v>
      </c>
      <c r="M533" s="32">
        <v>0.0</v>
      </c>
      <c r="N533" s="32">
        <v>0.0</v>
      </c>
      <c r="O533" s="32">
        <f t="shared" si="20"/>
        <v>0</v>
      </c>
      <c r="P533" s="49"/>
      <c r="Q533" s="49"/>
      <c r="R533" s="32">
        <f t="array" ref="R533">_xlfn.XLOOKUP($B533, DB[samplingPoint], DB[Criteria])</f>
        <v>100</v>
      </c>
      <c r="S533" s="50" t="str">
        <f t="shared" si="3"/>
        <v>PASSED</v>
      </c>
      <c r="T533" s="38" t="b">
        <v>0</v>
      </c>
      <c r="U533" s="39"/>
      <c r="V533" s="32" t="s">
        <v>304</v>
      </c>
    </row>
    <row r="534" ht="22.5" customHeight="1">
      <c r="A534" s="26">
        <v>46259.0</v>
      </c>
      <c r="B534" s="27" t="s">
        <v>449</v>
      </c>
      <c r="C534" s="32" t="str">
        <f t="array" ref="C534">_xlfn.XLOOKUP(B534, DB[samplingPoint], DB[samplingTag])</f>
        <v>SV136.11</v>
      </c>
      <c r="D534" s="33" t="s">
        <v>436</v>
      </c>
      <c r="E534" s="35" t="s">
        <v>337</v>
      </c>
      <c r="F534" s="38" t="b">
        <v>1</v>
      </c>
      <c r="G534" s="39" t="str">
        <f t="array" ref="G534">_xlfn.XLOOKUP($B534, DB[samplingPoint], DB[noLocation])</f>
        <v>12-2-043</v>
      </c>
      <c r="H534" s="33" t="s">
        <v>437</v>
      </c>
      <c r="I534" s="40" t="str">
        <f t="array" ref="I534">_xlfn.XLOOKUP($B534, DB[samplingPoint], DB[location])</f>
        <v>MFG 3</v>
      </c>
      <c r="J534" s="39" t="str">
        <f t="array" ref="J534">_xlfn.XLOOKUP($B534, DB[samplingPoint], DB[waterType])</f>
        <v>PW</v>
      </c>
      <c r="K534" s="43">
        <f t="shared" si="32"/>
        <v>46259</v>
      </c>
      <c r="L534" s="26">
        <v>46262.0</v>
      </c>
      <c r="M534" s="32">
        <v>0.0</v>
      </c>
      <c r="N534" s="32">
        <v>0.0</v>
      </c>
      <c r="O534" s="32">
        <f t="shared" si="20"/>
        <v>0</v>
      </c>
      <c r="P534" s="49"/>
      <c r="Q534" s="49"/>
      <c r="R534" s="32">
        <f t="array" ref="R534">_xlfn.XLOOKUP($B534, DB[samplingPoint], DB[Criteria])</f>
        <v>100</v>
      </c>
      <c r="S534" s="50" t="str">
        <f t="shared" si="3"/>
        <v>PASSED</v>
      </c>
      <c r="T534" s="38" t="b">
        <v>0</v>
      </c>
      <c r="U534" s="39"/>
      <c r="V534" s="32" t="s">
        <v>304</v>
      </c>
    </row>
    <row r="535" ht="22.5" customHeight="1">
      <c r="A535" s="26">
        <v>46259.0</v>
      </c>
      <c r="B535" s="58" t="s">
        <v>453</v>
      </c>
      <c r="C535" s="32" t="str">
        <f t="array" ref="C535">_xlfn.XLOOKUP(B535, DB[samplingPoint], DB[samplingTag])</f>
        <v>SV136.13</v>
      </c>
      <c r="D535" s="33" t="s">
        <v>436</v>
      </c>
      <c r="E535" s="35" t="s">
        <v>337</v>
      </c>
      <c r="F535" s="38" t="b">
        <v>1</v>
      </c>
      <c r="G535" s="39" t="str">
        <f t="array" ref="G535">_xlfn.XLOOKUP($B535, DB[samplingPoint], DB[noLocation])</f>
        <v>12-2-043</v>
      </c>
      <c r="H535" s="33" t="s">
        <v>437</v>
      </c>
      <c r="I535" s="40" t="str">
        <f t="array" ref="I535">_xlfn.XLOOKUP($B535, DB[samplingPoint], DB[location])</f>
        <v>MFG 3</v>
      </c>
      <c r="J535" s="39" t="str">
        <f t="array" ref="J535">_xlfn.XLOOKUP($B535, DB[samplingPoint], DB[waterType])</f>
        <v>PW</v>
      </c>
      <c r="K535" s="43">
        <f t="shared" si="32"/>
        <v>46259</v>
      </c>
      <c r="L535" s="26">
        <v>46262.0</v>
      </c>
      <c r="M535" s="32">
        <v>0.0</v>
      </c>
      <c r="N535" s="32">
        <v>0.0</v>
      </c>
      <c r="O535" s="32">
        <f t="shared" si="20"/>
        <v>0</v>
      </c>
      <c r="P535" s="49"/>
      <c r="Q535" s="49"/>
      <c r="R535" s="32">
        <f t="array" ref="R535">_xlfn.XLOOKUP($B535, DB[samplingPoint], DB[Criteria])</f>
        <v>100</v>
      </c>
      <c r="S535" s="50" t="str">
        <f t="shared" si="3"/>
        <v>PASSED</v>
      </c>
      <c r="T535" s="38" t="b">
        <v>0</v>
      </c>
      <c r="U535" s="39"/>
      <c r="V535" s="32" t="s">
        <v>304</v>
      </c>
    </row>
    <row r="536" ht="22.5" customHeight="1">
      <c r="A536" s="26">
        <v>46259.0</v>
      </c>
      <c r="B536" s="48" t="s">
        <v>455</v>
      </c>
      <c r="C536" s="32" t="str">
        <f t="array" ref="C536">_xlfn.XLOOKUP(B536, DB[samplingPoint], DB[samplingTag])</f>
        <v>SV136.08</v>
      </c>
      <c r="D536" s="33" t="s">
        <v>436</v>
      </c>
      <c r="E536" s="35" t="s">
        <v>337</v>
      </c>
      <c r="F536" s="38" t="b">
        <v>1</v>
      </c>
      <c r="G536" s="39" t="str">
        <f t="array" ref="G536">_xlfn.XLOOKUP($B536, DB[samplingPoint], DB[noLocation])</f>
        <v>12-2-043</v>
      </c>
      <c r="H536" s="33" t="s">
        <v>437</v>
      </c>
      <c r="I536" s="40" t="str">
        <f t="array" ref="I536">_xlfn.XLOOKUP($B536, DB[samplingPoint], DB[location])</f>
        <v>MFG 3</v>
      </c>
      <c r="J536" s="39" t="str">
        <f t="array" ref="J536">_xlfn.XLOOKUP($B536, DB[samplingPoint], DB[waterType])</f>
        <v>PW</v>
      </c>
      <c r="K536" s="43">
        <f t="shared" si="32"/>
        <v>46259</v>
      </c>
      <c r="L536" s="26">
        <v>46262.0</v>
      </c>
      <c r="M536" s="32">
        <v>0.0</v>
      </c>
      <c r="N536" s="32">
        <v>0.0</v>
      </c>
      <c r="O536" s="32">
        <f t="shared" si="20"/>
        <v>0</v>
      </c>
      <c r="P536" s="49"/>
      <c r="Q536" s="49"/>
      <c r="R536" s="32">
        <f t="array" ref="R536">_xlfn.XLOOKUP($B536, DB[samplingPoint], DB[Criteria])</f>
        <v>100</v>
      </c>
      <c r="S536" s="50" t="str">
        <f t="shared" si="3"/>
        <v>PASSED</v>
      </c>
      <c r="T536" s="38" t="b">
        <v>0</v>
      </c>
      <c r="U536" s="39"/>
      <c r="V536" s="32" t="s">
        <v>304</v>
      </c>
    </row>
    <row r="537" ht="22.5" customHeight="1">
      <c r="A537" s="26">
        <v>46259.0</v>
      </c>
      <c r="B537" s="27" t="s">
        <v>458</v>
      </c>
      <c r="C537" s="32" t="str">
        <f t="array" ref="C537">_xlfn.XLOOKUP(B537, DB[samplingPoint], DB[samplingTag])</f>
        <v>SV136.14</v>
      </c>
      <c r="D537" s="33" t="s">
        <v>436</v>
      </c>
      <c r="E537" s="35" t="s">
        <v>337</v>
      </c>
      <c r="F537" s="38" t="b">
        <v>1</v>
      </c>
      <c r="G537" s="39" t="str">
        <f t="array" ref="G537">_xlfn.XLOOKUP($B537, DB[samplingPoint], DB[noLocation])</f>
        <v>12-2-045</v>
      </c>
      <c r="H537" s="33" t="s">
        <v>437</v>
      </c>
      <c r="I537" s="40" t="str">
        <f t="array" ref="I537">_xlfn.XLOOKUP($B537, DB[samplingPoint], DB[location])</f>
        <v>MFG 4</v>
      </c>
      <c r="J537" s="39" t="str">
        <f t="array" ref="J537">_xlfn.XLOOKUP($B537, DB[samplingPoint], DB[waterType])</f>
        <v>PW</v>
      </c>
      <c r="K537" s="43">
        <f t="shared" si="32"/>
        <v>46259</v>
      </c>
      <c r="L537" s="26">
        <v>46262.0</v>
      </c>
      <c r="M537" s="32">
        <v>3.0</v>
      </c>
      <c r="N537" s="32">
        <v>0.0</v>
      </c>
      <c r="O537" s="32">
        <f t="shared" si="20"/>
        <v>2</v>
      </c>
      <c r="P537" s="49"/>
      <c r="Q537" s="49"/>
      <c r="R537" s="32">
        <f t="array" ref="R537">_xlfn.XLOOKUP($B537, DB[samplingPoint], DB[Criteria])</f>
        <v>100</v>
      </c>
      <c r="S537" s="50" t="str">
        <f t="shared" si="3"/>
        <v>PASSED</v>
      </c>
      <c r="T537" s="38" t="b">
        <v>0</v>
      </c>
      <c r="U537" s="39"/>
      <c r="V537" s="32" t="s">
        <v>304</v>
      </c>
    </row>
    <row r="538" ht="22.5" customHeight="1">
      <c r="A538" s="26">
        <v>46259.0</v>
      </c>
      <c r="B538" s="27" t="s">
        <v>460</v>
      </c>
      <c r="C538" s="32" t="str">
        <f t="array" ref="C538">_xlfn.XLOOKUP(B538, DB[samplingPoint], DB[samplingTag])</f>
        <v>SV136.02</v>
      </c>
      <c r="D538" s="33" t="s">
        <v>436</v>
      </c>
      <c r="E538" s="35" t="s">
        <v>337</v>
      </c>
      <c r="F538" s="38" t="b">
        <v>1</v>
      </c>
      <c r="G538" s="39" t="str">
        <f t="array" ref="G538">_xlfn.XLOOKUP($B538, DB[samplingPoint], DB[noLocation])</f>
        <v>12-2-024</v>
      </c>
      <c r="H538" s="33" t="s">
        <v>437</v>
      </c>
      <c r="I538" s="40" t="str">
        <f t="array" ref="I538">_xlfn.XLOOKUP($B538, DB[samplingPoint], DB[location])</f>
        <v>LIQUORICE EXTRACT</v>
      </c>
      <c r="J538" s="39" t="str">
        <f t="array" ref="J538">_xlfn.XLOOKUP($B538, DB[samplingPoint], DB[waterType])</f>
        <v>PW</v>
      </c>
      <c r="K538" s="43">
        <f t="shared" si="32"/>
        <v>46259</v>
      </c>
      <c r="L538" s="26">
        <v>46262.0</v>
      </c>
      <c r="M538" s="32">
        <v>8.0</v>
      </c>
      <c r="N538" s="32">
        <v>2.0</v>
      </c>
      <c r="O538" s="32">
        <f t="shared" si="20"/>
        <v>5</v>
      </c>
      <c r="P538" s="49"/>
      <c r="Q538" s="49"/>
      <c r="R538" s="32">
        <f t="array" ref="R538">_xlfn.XLOOKUP($B538, DB[samplingPoint], DB[Criteria])</f>
        <v>100</v>
      </c>
      <c r="S538" s="50" t="str">
        <f t="shared" si="3"/>
        <v>PASSED</v>
      </c>
      <c r="T538" s="38" t="b">
        <v>0</v>
      </c>
      <c r="U538" s="39"/>
      <c r="V538" s="32" t="s">
        <v>304</v>
      </c>
    </row>
    <row r="539" ht="22.5" customHeight="1">
      <c r="A539" s="26">
        <v>46259.0</v>
      </c>
      <c r="B539" s="27" t="s">
        <v>463</v>
      </c>
      <c r="C539" s="32" t="str">
        <f t="array" ref="C539">_xlfn.XLOOKUP(B539, DB[samplingPoint], DB[samplingTag])</f>
        <v>DV136.08</v>
      </c>
      <c r="D539" s="33" t="s">
        <v>436</v>
      </c>
      <c r="E539" s="35" t="s">
        <v>337</v>
      </c>
      <c r="F539" s="38" t="b">
        <v>1</v>
      </c>
      <c r="G539" s="39" t="str">
        <f t="array" ref="G539">_xlfn.XLOOKUP($B539, DB[samplingPoint], DB[noLocation])</f>
        <v>12-3-042</v>
      </c>
      <c r="H539" s="33" t="s">
        <v>437</v>
      </c>
      <c r="I539" s="40" t="str">
        <f t="array" ref="I539">_xlfn.XLOOKUP($B539, DB[samplingPoint], DB[location])</f>
        <v>SAMPLE PREPARATION</v>
      </c>
      <c r="J539" s="39" t="str">
        <f t="array" ref="J539">_xlfn.XLOOKUP($B539, DB[samplingPoint], DB[waterType])</f>
        <v>PW</v>
      </c>
      <c r="K539" s="43">
        <f t="shared" si="32"/>
        <v>46259</v>
      </c>
      <c r="L539" s="26">
        <v>46262.0</v>
      </c>
      <c r="M539" s="32">
        <v>0.0</v>
      </c>
      <c r="N539" s="32">
        <v>0.0</v>
      </c>
      <c r="O539" s="32">
        <f t="shared" si="20"/>
        <v>0</v>
      </c>
      <c r="P539" s="49"/>
      <c r="Q539" s="49"/>
      <c r="R539" s="32">
        <f t="array" ref="R539">_xlfn.XLOOKUP($B539, DB[samplingPoint], DB[Criteria])</f>
        <v>100</v>
      </c>
      <c r="S539" s="50" t="str">
        <f t="shared" si="3"/>
        <v>PASSED</v>
      </c>
      <c r="T539" s="38" t="b">
        <v>0</v>
      </c>
      <c r="U539" s="39"/>
      <c r="V539" s="32" t="s">
        <v>304</v>
      </c>
    </row>
    <row r="540" ht="22.5" customHeight="1">
      <c r="A540" s="26">
        <v>46259.0</v>
      </c>
      <c r="B540" s="58" t="s">
        <v>465</v>
      </c>
      <c r="C540" s="32" t="str">
        <f t="array" ref="C540">_xlfn.XLOOKUP(B540, DB[samplingPoint], DB[samplingTag])</f>
        <v>DV136.09</v>
      </c>
      <c r="D540" s="33" t="s">
        <v>436</v>
      </c>
      <c r="E540" s="35" t="s">
        <v>337</v>
      </c>
      <c r="F540" s="38" t="b">
        <v>1</v>
      </c>
      <c r="G540" s="39" t="str">
        <f t="array" ref="G540">_xlfn.XLOOKUP($B540, DB[samplingPoint], DB[noLocation])</f>
        <v>12-3-042</v>
      </c>
      <c r="H540" s="33" t="s">
        <v>437</v>
      </c>
      <c r="I540" s="40" t="str">
        <f t="array" ref="I540">_xlfn.XLOOKUP($B540, DB[samplingPoint], DB[location])</f>
        <v>SAMPLE PREPARATION</v>
      </c>
      <c r="J540" s="39" t="str">
        <f t="array" ref="J540">_xlfn.XLOOKUP($B540, DB[samplingPoint], DB[waterType])</f>
        <v>PW</v>
      </c>
      <c r="K540" s="43">
        <f t="shared" si="32"/>
        <v>46259</v>
      </c>
      <c r="L540" s="26">
        <v>46262.0</v>
      </c>
      <c r="M540" s="32">
        <v>0.0</v>
      </c>
      <c r="N540" s="32">
        <v>0.0</v>
      </c>
      <c r="O540" s="32">
        <f t="shared" si="20"/>
        <v>0</v>
      </c>
      <c r="P540" s="49"/>
      <c r="Q540" s="49"/>
      <c r="R540" s="32">
        <f t="array" ref="R540">_xlfn.XLOOKUP($B540, DB[samplingPoint], DB[Criteria])</f>
        <v>100</v>
      </c>
      <c r="S540" s="50" t="str">
        <f t="shared" si="3"/>
        <v>PASSED</v>
      </c>
      <c r="T540" s="38" t="b">
        <v>0</v>
      </c>
      <c r="U540" s="39"/>
      <c r="V540" s="32" t="s">
        <v>304</v>
      </c>
    </row>
    <row r="541" ht="22.5" customHeight="1">
      <c r="A541" s="26">
        <v>46259.0</v>
      </c>
      <c r="B541" s="58" t="s">
        <v>471</v>
      </c>
      <c r="C541" s="32" t="str">
        <f t="array" ref="C541">_xlfn.XLOOKUP(B541, DB[samplingPoint], DB[samplingTag])</f>
        <v>VB-05 (16)</v>
      </c>
      <c r="D541" s="33" t="s">
        <v>436</v>
      </c>
      <c r="E541" s="35" t="s">
        <v>339</v>
      </c>
      <c r="F541" s="38" t="b">
        <v>1</v>
      </c>
      <c r="G541" s="39" t="str">
        <f t="array" ref="G541">_xlfn.XLOOKUP($B541, DB[samplingPoint], DB[noLocation])</f>
        <v>WATER SYSTEM (B16)</v>
      </c>
      <c r="H541" s="33" t="s">
        <v>327</v>
      </c>
      <c r="I541" s="40" t="str">
        <f t="array" ref="I541">_xlfn.XLOOKUP($B541, DB[samplingPoint], DB[location])</f>
        <v>After Chlorine circulation tank (B16)</v>
      </c>
      <c r="J541" s="39" t="str">
        <f t="array" ref="J541">_xlfn.XLOOKUP($B541, DB[samplingPoint], DB[waterType])</f>
        <v>PRW</v>
      </c>
      <c r="K541" s="43">
        <f t="shared" si="32"/>
        <v>46259</v>
      </c>
      <c r="L541" s="26">
        <v>46262.0</v>
      </c>
      <c r="M541" s="32">
        <v>9.0</v>
      </c>
      <c r="N541" s="32">
        <v>1.0</v>
      </c>
      <c r="O541" s="32">
        <f t="shared" si="20"/>
        <v>5</v>
      </c>
      <c r="P541" s="49"/>
      <c r="Q541" s="49"/>
      <c r="R541" s="32">
        <f t="array" ref="R541">_xlfn.XLOOKUP($B541, DB[samplingPoint], DB[Criteria])</f>
        <v>500</v>
      </c>
      <c r="S541" s="50" t="str">
        <f t="shared" si="3"/>
        <v>PASSED</v>
      </c>
      <c r="T541" s="38" t="b">
        <v>0</v>
      </c>
      <c r="U541" s="39"/>
      <c r="V541" s="32" t="s">
        <v>304</v>
      </c>
    </row>
    <row r="542" ht="22.5" customHeight="1">
      <c r="A542" s="26">
        <v>46259.0</v>
      </c>
      <c r="B542" s="58" t="s">
        <v>470</v>
      </c>
      <c r="C542" s="32" t="str">
        <f t="array" ref="C542">_xlfn.XLOOKUP(B542, DB[samplingPoint], DB[samplingTag])</f>
        <v>V50-61 (16)</v>
      </c>
      <c r="D542" s="33" t="s">
        <v>436</v>
      </c>
      <c r="E542" s="35" t="s">
        <v>339</v>
      </c>
      <c r="F542" s="38" t="b">
        <v>1</v>
      </c>
      <c r="G542" s="39" t="str">
        <f t="array" ref="G542">_xlfn.XLOOKUP($B542, DB[samplingPoint], DB[noLocation])</f>
        <v>WATER SYSTEM (B16)</v>
      </c>
      <c r="H542" s="33" t="s">
        <v>327</v>
      </c>
      <c r="I542" s="40" t="str">
        <f t="array" ref="I542">_xlfn.XLOOKUP($B542, DB[samplingPoint], DB[location])</f>
        <v>After Cartridge filter 5 µm (B16)</v>
      </c>
      <c r="J542" s="39" t="str">
        <f t="array" ref="J542">_xlfn.XLOOKUP($B542, DB[samplingPoint], DB[waterType])</f>
        <v>PRW</v>
      </c>
      <c r="K542" s="43">
        <f t="shared" si="32"/>
        <v>46259</v>
      </c>
      <c r="L542" s="26">
        <v>46262.0</v>
      </c>
      <c r="M542" s="32">
        <v>49.0</v>
      </c>
      <c r="N542" s="32">
        <v>52.0</v>
      </c>
      <c r="O542" s="32">
        <f t="shared" si="20"/>
        <v>51</v>
      </c>
      <c r="P542" s="49"/>
      <c r="Q542" s="49"/>
      <c r="R542" s="32">
        <f t="array" ref="R542">_xlfn.XLOOKUP($B542, DB[samplingPoint], DB[Criteria])</f>
        <v>500</v>
      </c>
      <c r="S542" s="50" t="str">
        <f t="shared" si="3"/>
        <v>PASSED</v>
      </c>
      <c r="T542" s="38" t="b">
        <v>0</v>
      </c>
      <c r="U542" s="39"/>
      <c r="V542" s="32" t="s">
        <v>304</v>
      </c>
    </row>
    <row r="543" ht="22.5" customHeight="1">
      <c r="A543" s="26">
        <v>46259.0</v>
      </c>
      <c r="B543" s="58" t="s">
        <v>466</v>
      </c>
      <c r="C543" s="32" t="str">
        <f t="array" ref="C543">_xlfn.XLOOKUP(B543, DB[samplingPoint], DB[samplingTag])</f>
        <v>V50-11C (16)</v>
      </c>
      <c r="D543" s="33" t="s">
        <v>436</v>
      </c>
      <c r="E543" s="35" t="s">
        <v>339</v>
      </c>
      <c r="F543" s="38" t="b">
        <v>1</v>
      </c>
      <c r="G543" s="39" t="str">
        <f t="array" ref="G543">_xlfn.XLOOKUP($B543, DB[samplingPoint], DB[noLocation])</f>
        <v>WATER SYSTEM (B16)</v>
      </c>
      <c r="H543" s="33" t="s">
        <v>327</v>
      </c>
      <c r="I543" s="40" t="str">
        <f t="array" ref="I543">_xlfn.XLOOKUP($B543, DB[samplingPoint], DB[location])</f>
        <v>After RO (Before EDI) (B16)</v>
      </c>
      <c r="J543" s="39" t="str">
        <f t="array" ref="J543">_xlfn.XLOOKUP($B543, DB[samplingPoint], DB[waterType])</f>
        <v>RO water</v>
      </c>
      <c r="K543" s="43">
        <f t="shared" si="32"/>
        <v>46259</v>
      </c>
      <c r="L543" s="26">
        <v>46262.0</v>
      </c>
      <c r="M543" s="32">
        <v>0.0</v>
      </c>
      <c r="N543" s="32">
        <v>0.0</v>
      </c>
      <c r="O543" s="32">
        <f t="shared" si="20"/>
        <v>0</v>
      </c>
      <c r="P543" s="49"/>
      <c r="Q543" s="49"/>
      <c r="R543" s="32">
        <f t="array" ref="R543">_xlfn.XLOOKUP($B543, DB[samplingPoint], DB[Criteria])</f>
        <v>500</v>
      </c>
      <c r="S543" s="50" t="str">
        <f t="shared" si="3"/>
        <v>PASSED</v>
      </c>
      <c r="T543" s="38" t="b">
        <v>0</v>
      </c>
      <c r="U543" s="39"/>
      <c r="V543" s="32" t="s">
        <v>304</v>
      </c>
    </row>
    <row r="544" ht="22.5" customHeight="1">
      <c r="A544" s="26">
        <v>46259.0</v>
      </c>
      <c r="B544" s="58" t="s">
        <v>468</v>
      </c>
      <c r="C544" s="32" t="str">
        <f t="array" ref="C544">_xlfn.XLOOKUP(B544, DB[samplingPoint], DB[samplingTag])</f>
        <v>V50-39 (16)</v>
      </c>
      <c r="D544" s="33" t="s">
        <v>436</v>
      </c>
      <c r="E544" s="35" t="s">
        <v>339</v>
      </c>
      <c r="F544" s="38" t="b">
        <v>1</v>
      </c>
      <c r="G544" s="39" t="str">
        <f t="array" ref="G544">_xlfn.XLOOKUP($B544, DB[samplingPoint], DB[noLocation])</f>
        <v>WATER SYSTEM (B16)</v>
      </c>
      <c r="H544" s="33" t="s">
        <v>327</v>
      </c>
      <c r="I544" s="40" t="str">
        <f t="array" ref="I544">_xlfn.XLOOKUP($B544, DB[samplingPoint], DB[location])</f>
        <v>After EDI (B16)</v>
      </c>
      <c r="J544" s="39" t="str">
        <f t="array" ref="J544">_xlfn.XLOOKUP($B544, DB[samplingPoint], DB[waterType])</f>
        <v>PW</v>
      </c>
      <c r="K544" s="43">
        <f t="shared" si="32"/>
        <v>46259</v>
      </c>
      <c r="L544" s="26">
        <v>46262.0</v>
      </c>
      <c r="M544" s="32">
        <v>0.0</v>
      </c>
      <c r="N544" s="32">
        <v>0.0</v>
      </c>
      <c r="O544" s="32">
        <f t="shared" si="20"/>
        <v>0</v>
      </c>
      <c r="P544" s="49"/>
      <c r="Q544" s="49"/>
      <c r="R544" s="32">
        <f t="array" ref="R544">_xlfn.XLOOKUP($B544, DB[samplingPoint], DB[Criteria])</f>
        <v>100</v>
      </c>
      <c r="S544" s="50" t="str">
        <f t="shared" si="3"/>
        <v>PASSED</v>
      </c>
      <c r="T544" s="38" t="b">
        <v>0</v>
      </c>
      <c r="U544" s="39"/>
      <c r="V544" s="32" t="s">
        <v>304</v>
      </c>
    </row>
    <row r="545" ht="22.5" customHeight="1">
      <c r="A545" s="26">
        <v>46259.0</v>
      </c>
      <c r="B545" s="58" t="s">
        <v>464</v>
      </c>
      <c r="C545" s="32" t="str">
        <f t="array" ref="C545">_xlfn.XLOOKUP(B545, DB[samplingPoint], DB[samplingTag])</f>
        <v>SV127.01</v>
      </c>
      <c r="D545" s="33" t="s">
        <v>436</v>
      </c>
      <c r="E545" s="35" t="s">
        <v>339</v>
      </c>
      <c r="F545" s="38" t="b">
        <v>1</v>
      </c>
      <c r="G545" s="39" t="str">
        <f t="array" ref="G545">_xlfn.XLOOKUP($B545, DB[samplingPoint], DB[noLocation])</f>
        <v>WATER SYSTEM (B16)</v>
      </c>
      <c r="H545" s="33" t="s">
        <v>327</v>
      </c>
      <c r="I545" s="40" t="str">
        <f t="array" ref="I545">_xlfn.XLOOKUP($B545, DB[samplingPoint], DB[location])</f>
        <v>Return loop (B16)</v>
      </c>
      <c r="J545" s="39" t="str">
        <f t="array" ref="J545">_xlfn.XLOOKUP($B545, DB[samplingPoint], DB[waterType])</f>
        <v>PW</v>
      </c>
      <c r="K545" s="43">
        <f t="shared" si="32"/>
        <v>46259</v>
      </c>
      <c r="L545" s="26">
        <v>46262.0</v>
      </c>
      <c r="M545" s="32">
        <v>0.0</v>
      </c>
      <c r="N545" s="32">
        <v>0.0</v>
      </c>
      <c r="O545" s="32">
        <f t="shared" si="20"/>
        <v>0</v>
      </c>
      <c r="P545" s="49"/>
      <c r="Q545" s="49"/>
      <c r="R545" s="32">
        <f t="array" ref="R545">_xlfn.XLOOKUP($B545, DB[samplingPoint], DB[Criteria])</f>
        <v>100</v>
      </c>
      <c r="S545" s="50" t="str">
        <f t="shared" si="3"/>
        <v>PASSED</v>
      </c>
      <c r="T545" s="38" t="b">
        <v>0</v>
      </c>
      <c r="U545" s="39"/>
      <c r="V545" s="32" t="s">
        <v>304</v>
      </c>
    </row>
    <row r="546" ht="22.5" customHeight="1">
      <c r="A546" s="26">
        <v>46259.0</v>
      </c>
      <c r="B546" s="27" t="s">
        <v>472</v>
      </c>
      <c r="C546" s="32" t="str">
        <f t="array" ref="C546">_xlfn.XLOOKUP(B546, DB[samplingPoint], DB[samplingTag])</f>
        <v>SV126.19</v>
      </c>
      <c r="D546" s="33" t="s">
        <v>436</v>
      </c>
      <c r="E546" s="35" t="s">
        <v>339</v>
      </c>
      <c r="F546" s="38" t="b">
        <v>1</v>
      </c>
      <c r="G546" s="39" t="str">
        <f t="array" ref="G546">_xlfn.XLOOKUP($B546, DB[samplingPoint], DB[noLocation])</f>
        <v>16-3-087</v>
      </c>
      <c r="H546" s="33" t="s">
        <v>327</v>
      </c>
      <c r="I546" s="40" t="str">
        <f t="array" ref="I546">_xlfn.XLOOKUP($B546, DB[samplingPoint], DB[location])</f>
        <v>CIP 2 (EQUIPMENT REQUIREMENT)</v>
      </c>
      <c r="J546" s="39" t="str">
        <f t="array" ref="J546">_xlfn.XLOOKUP($B546, DB[samplingPoint], DB[waterType])</f>
        <v>PW</v>
      </c>
      <c r="K546" s="43">
        <f t="shared" si="32"/>
        <v>46259</v>
      </c>
      <c r="L546" s="26">
        <v>46262.0</v>
      </c>
      <c r="M546" s="32">
        <v>23.0</v>
      </c>
      <c r="N546" s="32">
        <v>33.0</v>
      </c>
      <c r="O546" s="32">
        <f t="shared" si="20"/>
        <v>28</v>
      </c>
      <c r="P546" s="49" t="s">
        <v>1026</v>
      </c>
      <c r="Q546" s="49"/>
      <c r="R546" s="32">
        <f t="array" ref="R546">_xlfn.XLOOKUP($B546, DB[samplingPoint], DB[Criteria])</f>
        <v>100</v>
      </c>
      <c r="S546" s="50" t="str">
        <f t="shared" si="3"/>
        <v>PASSED</v>
      </c>
      <c r="T546" s="38" t="b">
        <v>0</v>
      </c>
      <c r="U546" s="39"/>
      <c r="V546" s="32" t="s">
        <v>304</v>
      </c>
    </row>
    <row r="547" ht="22.5" customHeight="1">
      <c r="A547" s="26">
        <v>46259.0</v>
      </c>
      <c r="B547" s="58" t="s">
        <v>474</v>
      </c>
      <c r="C547" s="32" t="str">
        <f t="array" ref="C547">_xlfn.XLOOKUP(B547, DB[samplingPoint], DB[samplingTag])</f>
        <v>DV126.11</v>
      </c>
      <c r="D547" s="33" t="s">
        <v>436</v>
      </c>
      <c r="E547" s="35" t="s">
        <v>339</v>
      </c>
      <c r="F547" s="38" t="b">
        <v>1</v>
      </c>
      <c r="G547" s="39" t="str">
        <f t="array" ref="G547">_xlfn.XLOOKUP($B547, DB[samplingPoint], DB[noLocation])</f>
        <v>16-3-073</v>
      </c>
      <c r="H547" s="33" t="s">
        <v>327</v>
      </c>
      <c r="I547" s="40" t="str">
        <f t="array" ref="I547">_xlfn.XLOOKUP($B547, DB[samplingPoint], DB[location])</f>
        <v>MFG 4 (5000L)</v>
      </c>
      <c r="J547" s="39" t="str">
        <f t="array" ref="J547">_xlfn.XLOOKUP($B547, DB[samplingPoint], DB[waterType])</f>
        <v>PW</v>
      </c>
      <c r="K547" s="43">
        <f t="shared" si="32"/>
        <v>46259</v>
      </c>
      <c r="L547" s="26">
        <v>46262.0</v>
      </c>
      <c r="M547" s="32">
        <v>1.0</v>
      </c>
      <c r="N547" s="32">
        <v>0.0</v>
      </c>
      <c r="O547" s="32">
        <f t="shared" si="20"/>
        <v>1</v>
      </c>
      <c r="P547" s="49"/>
      <c r="Q547" s="49"/>
      <c r="R547" s="32">
        <f t="array" ref="R547">_xlfn.XLOOKUP($B547, DB[samplingPoint], DB[Criteria])</f>
        <v>100</v>
      </c>
      <c r="S547" s="50" t="str">
        <f t="shared" si="3"/>
        <v>PASSED</v>
      </c>
      <c r="T547" s="38" t="b">
        <v>0</v>
      </c>
      <c r="U547" s="39"/>
      <c r="V547" s="32" t="s">
        <v>304</v>
      </c>
    </row>
    <row r="548" ht="22.5" customHeight="1">
      <c r="A548" s="26">
        <v>46259.0</v>
      </c>
      <c r="B548" s="27" t="s">
        <v>478</v>
      </c>
      <c r="C548" s="32" t="str">
        <f t="array" ref="C548">_xlfn.XLOOKUP(B548, DB[samplingPoint], DB[samplingTag])</f>
        <v>SV126.14</v>
      </c>
      <c r="D548" s="33" t="s">
        <v>436</v>
      </c>
      <c r="E548" s="35" t="s">
        <v>339</v>
      </c>
      <c r="F548" s="38" t="b">
        <v>1</v>
      </c>
      <c r="G548" s="39" t="str">
        <f t="array" ref="G548">_xlfn.XLOOKUP($B548, DB[samplingPoint], DB[noLocation])</f>
        <v>16-3-073</v>
      </c>
      <c r="H548" s="33" t="s">
        <v>327</v>
      </c>
      <c r="I548" s="40" t="str">
        <f t="array" ref="I548">_xlfn.XLOOKUP($B548, DB[samplingPoint], DB[location])</f>
        <v>MFG 4 (400L)</v>
      </c>
      <c r="J548" s="39" t="str">
        <f t="array" ref="J548">_xlfn.XLOOKUP($B548, DB[samplingPoint], DB[waterType])</f>
        <v>PW</v>
      </c>
      <c r="K548" s="43">
        <f t="shared" si="32"/>
        <v>46259</v>
      </c>
      <c r="L548" s="26">
        <v>46262.0</v>
      </c>
      <c r="M548" s="32">
        <v>9.0</v>
      </c>
      <c r="N548" s="32">
        <v>8.0</v>
      </c>
      <c r="O548" s="32">
        <f t="shared" si="20"/>
        <v>9</v>
      </c>
      <c r="P548" s="49" t="s">
        <v>1027</v>
      </c>
      <c r="Q548" s="49"/>
      <c r="R548" s="32">
        <f t="array" ref="R548">_xlfn.XLOOKUP($B548, DB[samplingPoint], DB[Criteria])</f>
        <v>100</v>
      </c>
      <c r="S548" s="50" t="str">
        <f t="shared" si="3"/>
        <v>PASSED</v>
      </c>
      <c r="T548" s="38" t="b">
        <v>0</v>
      </c>
      <c r="U548" s="39"/>
      <c r="V548" s="32" t="s">
        <v>304</v>
      </c>
    </row>
    <row r="549" ht="22.5" customHeight="1">
      <c r="A549" s="26">
        <v>46259.0</v>
      </c>
      <c r="B549" s="27" t="s">
        <v>481</v>
      </c>
      <c r="C549" s="32" t="str">
        <f t="array" ref="C549">_xlfn.XLOOKUP(B549, DB[samplingPoint], DB[samplingTag])</f>
        <v>SV126.15</v>
      </c>
      <c r="D549" s="33" t="s">
        <v>436</v>
      </c>
      <c r="E549" s="35" t="s">
        <v>339</v>
      </c>
      <c r="F549" s="38" t="b">
        <v>1</v>
      </c>
      <c r="G549" s="39" t="str">
        <f t="array" ref="G549">_xlfn.XLOOKUP($B549, DB[samplingPoint], DB[noLocation])</f>
        <v>16-3-075</v>
      </c>
      <c r="H549" s="33" t="s">
        <v>327</v>
      </c>
      <c r="I549" s="40" t="str">
        <f t="array" ref="I549">_xlfn.XLOOKUP($B549, DB[samplingPoint], DB[location])</f>
        <v>MFG 5 PROCESS (2000L)</v>
      </c>
      <c r="J549" s="39" t="str">
        <f t="array" ref="J549">_xlfn.XLOOKUP($B549, DB[samplingPoint], DB[waterType])</f>
        <v>PW</v>
      </c>
      <c r="K549" s="43">
        <f t="shared" si="32"/>
        <v>46259</v>
      </c>
      <c r="L549" s="26">
        <v>46262.0</v>
      </c>
      <c r="M549" s="32">
        <v>0.0</v>
      </c>
      <c r="N549" s="32">
        <v>0.0</v>
      </c>
      <c r="O549" s="32">
        <f t="shared" si="20"/>
        <v>0</v>
      </c>
      <c r="P549" s="49"/>
      <c r="Q549" s="49"/>
      <c r="R549" s="32">
        <f t="array" ref="R549">_xlfn.XLOOKUP($B549, DB[samplingPoint], DB[Criteria])</f>
        <v>100</v>
      </c>
      <c r="S549" s="50" t="str">
        <f t="shared" si="3"/>
        <v>PASSED</v>
      </c>
      <c r="T549" s="38" t="b">
        <v>0</v>
      </c>
      <c r="U549" s="39"/>
      <c r="V549" s="32" t="s">
        <v>304</v>
      </c>
    </row>
    <row r="550" ht="22.5" customHeight="1">
      <c r="A550" s="26">
        <v>46259.0</v>
      </c>
      <c r="B550" s="27" t="s">
        <v>483</v>
      </c>
      <c r="C550" s="32" t="str">
        <f t="array" ref="C550">_xlfn.XLOOKUP(B550, DB[samplingPoint], DB[samplingTag])</f>
        <v>DV126.05</v>
      </c>
      <c r="D550" s="33" t="s">
        <v>436</v>
      </c>
      <c r="E550" s="35" t="s">
        <v>339</v>
      </c>
      <c r="F550" s="38" t="b">
        <v>1</v>
      </c>
      <c r="G550" s="39" t="str">
        <f t="array" ref="G550">_xlfn.XLOOKUP($B550, DB[samplingPoint], DB[noLocation])</f>
        <v>16-3-054</v>
      </c>
      <c r="H550" s="33" t="s">
        <v>327</v>
      </c>
      <c r="I550" s="40" t="str">
        <f t="array" ref="I550">_xlfn.XLOOKUP($B550, DB[samplingPoint], DB[location])</f>
        <v>WASHING</v>
      </c>
      <c r="J550" s="39" t="str">
        <f t="array" ref="J550">_xlfn.XLOOKUP($B550, DB[samplingPoint], DB[waterType])</f>
        <v>PW</v>
      </c>
      <c r="K550" s="43">
        <f t="shared" si="32"/>
        <v>46259</v>
      </c>
      <c r="L550" s="26">
        <v>46262.0</v>
      </c>
      <c r="M550" s="32">
        <v>0.0</v>
      </c>
      <c r="N550" s="32">
        <v>0.0</v>
      </c>
      <c r="O550" s="32">
        <f t="shared" si="20"/>
        <v>0</v>
      </c>
      <c r="P550" s="49"/>
      <c r="Q550" s="49"/>
      <c r="R550" s="32">
        <f t="array" ref="R550">_xlfn.XLOOKUP($B550, DB[samplingPoint], DB[Criteria])</f>
        <v>100</v>
      </c>
      <c r="S550" s="50" t="str">
        <f t="shared" si="3"/>
        <v>PASSED</v>
      </c>
      <c r="T550" s="38" t="b">
        <v>0</v>
      </c>
      <c r="U550" s="39"/>
      <c r="V550" s="32" t="s">
        <v>304</v>
      </c>
    </row>
    <row r="551" ht="22.5" customHeight="1">
      <c r="A551" s="26">
        <v>46259.0</v>
      </c>
      <c r="B551" s="27" t="s">
        <v>486</v>
      </c>
      <c r="C551" s="32" t="str">
        <f t="array" ref="C551">_xlfn.XLOOKUP(B551, DB[samplingPoint], DB[samplingTag])</f>
        <v>SV126.04</v>
      </c>
      <c r="D551" s="33" t="s">
        <v>436</v>
      </c>
      <c r="E551" s="35" t="s">
        <v>339</v>
      </c>
      <c r="F551" s="38" t="b">
        <v>1</v>
      </c>
      <c r="G551" s="39" t="str">
        <f t="array" ref="G551">_xlfn.XLOOKUP($B551, DB[samplingPoint], DB[noLocation])</f>
        <v>16-2-010</v>
      </c>
      <c r="H551" s="33" t="s">
        <v>327</v>
      </c>
      <c r="I551" s="40" t="str">
        <f t="array" ref="I551">_xlfn.XLOOKUP($B551, DB[samplingPoint], DB[location])</f>
        <v>WATER SYSTEM (PSG)</v>
      </c>
      <c r="J551" s="39" t="str">
        <f t="array" ref="J551">_xlfn.XLOOKUP($B551, DB[samplingPoint], DB[waterType])</f>
        <v>PW</v>
      </c>
      <c r="K551" s="43">
        <f t="shared" si="32"/>
        <v>46259</v>
      </c>
      <c r="L551" s="26">
        <v>46262.0</v>
      </c>
      <c r="M551" s="32">
        <v>4.0</v>
      </c>
      <c r="N551" s="32">
        <v>0.0</v>
      </c>
      <c r="O551" s="32">
        <f t="shared" si="20"/>
        <v>2</v>
      </c>
      <c r="P551" s="49"/>
      <c r="Q551" s="49"/>
      <c r="R551" s="32">
        <f t="array" ref="R551">_xlfn.XLOOKUP($B551, DB[samplingPoint], DB[Criteria])</f>
        <v>100</v>
      </c>
      <c r="S551" s="50" t="str">
        <f t="shared" si="3"/>
        <v>PASSED</v>
      </c>
      <c r="T551" s="38" t="b">
        <v>0</v>
      </c>
      <c r="U551" s="39"/>
      <c r="V551" s="32" t="s">
        <v>304</v>
      </c>
    </row>
    <row r="552" ht="22.5" customHeight="1">
      <c r="A552" s="26">
        <v>46262.0</v>
      </c>
      <c r="B552" s="58" t="s">
        <v>349</v>
      </c>
      <c r="C552" s="32" t="str">
        <f t="array" ref="C552">_xlfn.XLOOKUP(B552, DB[samplingPoint], DB[samplingTag])</f>
        <v>VB-05(10)</v>
      </c>
      <c r="D552" s="33" t="s">
        <v>436</v>
      </c>
      <c r="E552" s="35" t="s">
        <v>352</v>
      </c>
      <c r="F552" s="38" t="b">
        <v>1</v>
      </c>
      <c r="G552" s="39" t="str">
        <f t="array" ref="G552">_xlfn.XLOOKUP($B552, DB[samplingPoint], DB[noLocation])</f>
        <v>WATER SYSTEM (B10)</v>
      </c>
      <c r="H552" s="33" t="s">
        <v>180</v>
      </c>
      <c r="I552" s="40" t="str">
        <f t="array" ref="I552">_xlfn.XLOOKUP($B552, DB[samplingPoint], DB[location])</f>
        <v>After Chlorine circulation tank (B10)</v>
      </c>
      <c r="J552" s="39" t="str">
        <f t="array" ref="J552">_xlfn.XLOOKUP($B552, DB[samplingPoint], DB[waterType])</f>
        <v>PRW</v>
      </c>
      <c r="K552" s="43">
        <f t="shared" si="32"/>
        <v>46262</v>
      </c>
      <c r="L552" s="26">
        <v>46265.0</v>
      </c>
      <c r="M552" s="32">
        <v>0.0</v>
      </c>
      <c r="N552" s="32">
        <v>0.0</v>
      </c>
      <c r="O552" s="32">
        <f t="shared" si="20"/>
        <v>0</v>
      </c>
      <c r="P552" s="49"/>
      <c r="Q552" s="49"/>
      <c r="R552" s="32">
        <f t="array" ref="R552">_xlfn.XLOOKUP($B552, DB[samplingPoint], DB[Criteria])</f>
        <v>500</v>
      </c>
      <c r="S552" s="50" t="str">
        <f t="shared" si="3"/>
        <v>PASSED</v>
      </c>
      <c r="T552" s="38" t="b">
        <v>0</v>
      </c>
      <c r="U552" s="39"/>
      <c r="V552" s="32" t="s">
        <v>304</v>
      </c>
    </row>
    <row r="553" ht="22.5" customHeight="1">
      <c r="A553" s="26">
        <v>46262.0</v>
      </c>
      <c r="B553" s="58" t="s">
        <v>366</v>
      </c>
      <c r="C553" s="32" t="str">
        <f t="array" ref="C553">_xlfn.XLOOKUP(B553, DB[samplingPoint], DB[samplingTag])</f>
        <v>V50-61(10)</v>
      </c>
      <c r="D553" s="33" t="s">
        <v>436</v>
      </c>
      <c r="E553" s="35" t="s">
        <v>352</v>
      </c>
      <c r="F553" s="38" t="b">
        <v>1</v>
      </c>
      <c r="G553" s="39" t="str">
        <f t="array" ref="G553">_xlfn.XLOOKUP($B553, DB[samplingPoint], DB[noLocation])</f>
        <v>WATER SYSTEM (B10)</v>
      </c>
      <c r="H553" s="33" t="s">
        <v>180</v>
      </c>
      <c r="I553" s="40" t="str">
        <f t="array" ref="I553">_xlfn.XLOOKUP($B553, DB[samplingPoint], DB[location])</f>
        <v>After Cartridge filter 5 µm (B10)</v>
      </c>
      <c r="J553" s="39" t="str">
        <f t="array" ref="J553">_xlfn.XLOOKUP($B553, DB[samplingPoint], DB[waterType])</f>
        <v>PRW</v>
      </c>
      <c r="K553" s="43">
        <f t="shared" si="32"/>
        <v>46262</v>
      </c>
      <c r="L553" s="26">
        <v>46265.0</v>
      </c>
      <c r="M553" s="32">
        <v>34.0</v>
      </c>
      <c r="N553" s="32">
        <v>34.0</v>
      </c>
      <c r="O553" s="32">
        <f t="shared" si="20"/>
        <v>34</v>
      </c>
      <c r="P553" s="49"/>
      <c r="Q553" s="49"/>
      <c r="R553" s="32">
        <f t="array" ref="R553">_xlfn.XLOOKUP($B553, DB[samplingPoint], DB[Criteria])</f>
        <v>500</v>
      </c>
      <c r="S553" s="50" t="str">
        <f t="shared" si="3"/>
        <v>PASSED</v>
      </c>
      <c r="T553" s="38" t="b">
        <v>0</v>
      </c>
      <c r="U553" s="39"/>
      <c r="V553" s="32" t="s">
        <v>304</v>
      </c>
    </row>
    <row r="554" ht="22.5" customHeight="1">
      <c r="A554" s="26">
        <v>46262.0</v>
      </c>
      <c r="B554" s="27" t="s">
        <v>368</v>
      </c>
      <c r="C554" s="32" t="str">
        <f t="array" ref="C554">_xlfn.XLOOKUP(B554, DB[samplingPoint], DB[samplingTag])</f>
        <v>V50-11C(10)</v>
      </c>
      <c r="D554" s="33" t="s">
        <v>436</v>
      </c>
      <c r="E554" s="35" t="s">
        <v>352</v>
      </c>
      <c r="F554" s="38" t="b">
        <v>1</v>
      </c>
      <c r="G554" s="39" t="str">
        <f t="array" ref="G554">_xlfn.XLOOKUP($B554, DB[samplingPoint], DB[noLocation])</f>
        <v>WATER SYSTEM (B10)</v>
      </c>
      <c r="H554" s="33" t="s">
        <v>180</v>
      </c>
      <c r="I554" s="40" t="str">
        <f t="array" ref="I554">_xlfn.XLOOKUP($B554, DB[samplingPoint], DB[location])</f>
        <v>After RO (Before EDI) (B10)</v>
      </c>
      <c r="J554" s="39" t="str">
        <f t="array" ref="J554">_xlfn.XLOOKUP($B554, DB[samplingPoint], DB[waterType])</f>
        <v>RO water</v>
      </c>
      <c r="K554" s="43">
        <f t="shared" si="32"/>
        <v>46262</v>
      </c>
      <c r="L554" s="26">
        <v>46265.0</v>
      </c>
      <c r="M554" s="32">
        <v>0.0</v>
      </c>
      <c r="N554" s="32">
        <v>0.0</v>
      </c>
      <c r="O554" s="32">
        <f t="shared" si="20"/>
        <v>0</v>
      </c>
      <c r="P554" s="49"/>
      <c r="Q554" s="49"/>
      <c r="R554" s="32">
        <f t="array" ref="R554">_xlfn.XLOOKUP($B554, DB[samplingPoint], DB[Criteria])</f>
        <v>500</v>
      </c>
      <c r="S554" s="50" t="str">
        <f t="shared" si="3"/>
        <v>PASSED</v>
      </c>
      <c r="T554" s="38" t="b">
        <v>0</v>
      </c>
      <c r="U554" s="39"/>
      <c r="V554" s="32" t="s">
        <v>304</v>
      </c>
    </row>
    <row r="555" ht="22.5" customHeight="1">
      <c r="A555" s="26">
        <v>46262.0</v>
      </c>
      <c r="B555" s="58" t="s">
        <v>374</v>
      </c>
      <c r="C555" s="32" t="str">
        <f t="array" ref="C555">_xlfn.XLOOKUP(B555, DB[samplingPoint], DB[samplingTag])</f>
        <v>V50-39(10)</v>
      </c>
      <c r="D555" s="33" t="s">
        <v>436</v>
      </c>
      <c r="E555" s="35" t="s">
        <v>352</v>
      </c>
      <c r="F555" s="38" t="b">
        <v>1</v>
      </c>
      <c r="G555" s="39" t="str">
        <f t="array" ref="G555">_xlfn.XLOOKUP($B555, DB[samplingPoint], DB[noLocation])</f>
        <v>WATER SYSTEM (B10)</v>
      </c>
      <c r="H555" s="33" t="s">
        <v>180</v>
      </c>
      <c r="I555" s="40" t="str">
        <f t="array" ref="I555">_xlfn.XLOOKUP($B555, DB[samplingPoint], DB[location])</f>
        <v>After EDI (B10)</v>
      </c>
      <c r="J555" s="39" t="str">
        <f t="array" ref="J555">_xlfn.XLOOKUP($B555, DB[samplingPoint], DB[waterType])</f>
        <v>PW</v>
      </c>
      <c r="K555" s="43">
        <f t="shared" si="32"/>
        <v>46262</v>
      </c>
      <c r="L555" s="26">
        <v>46265.0</v>
      </c>
      <c r="M555" s="32">
        <v>0.0</v>
      </c>
      <c r="N555" s="32">
        <v>0.0</v>
      </c>
      <c r="O555" s="32">
        <f t="shared" si="20"/>
        <v>0</v>
      </c>
      <c r="P555" s="49"/>
      <c r="Q555" s="49"/>
      <c r="R555" s="32">
        <f t="array" ref="R555">_xlfn.XLOOKUP($B555, DB[samplingPoint], DB[Criteria])</f>
        <v>100</v>
      </c>
      <c r="S555" s="50" t="str">
        <f t="shared" si="3"/>
        <v>PASSED</v>
      </c>
      <c r="T555" s="38" t="b">
        <v>0</v>
      </c>
      <c r="U555" s="39"/>
      <c r="V555" s="32" t="s">
        <v>304</v>
      </c>
    </row>
    <row r="556" ht="22.5" customHeight="1">
      <c r="A556" s="26">
        <v>46262.0</v>
      </c>
      <c r="B556" s="27" t="s">
        <v>390</v>
      </c>
      <c r="C556" s="32" t="str">
        <f t="array" ref="C556">_xlfn.XLOOKUP(B556, DB[samplingPoint], DB[samplingTag])</f>
        <v>SV117.01</v>
      </c>
      <c r="D556" s="33" t="s">
        <v>436</v>
      </c>
      <c r="E556" s="35" t="s">
        <v>352</v>
      </c>
      <c r="F556" s="38" t="b">
        <v>1</v>
      </c>
      <c r="G556" s="39" t="str">
        <f t="array" ref="G556">_xlfn.XLOOKUP($B556, DB[samplingPoint], DB[noLocation])</f>
        <v>WATER SYSTEM (B10)</v>
      </c>
      <c r="H556" s="33" t="s">
        <v>180</v>
      </c>
      <c r="I556" s="40" t="str">
        <f t="array" ref="I556">_xlfn.XLOOKUP($B556, DB[samplingPoint], DB[location])</f>
        <v>Return loop (B10)</v>
      </c>
      <c r="J556" s="39" t="str">
        <f t="array" ref="J556">_xlfn.XLOOKUP($B556, DB[samplingPoint], DB[waterType])</f>
        <v>PW</v>
      </c>
      <c r="K556" s="43">
        <f t="shared" si="32"/>
        <v>46262</v>
      </c>
      <c r="L556" s="26">
        <v>46265.0</v>
      </c>
      <c r="M556" s="32">
        <v>0.0</v>
      </c>
      <c r="N556" s="32">
        <v>0.0</v>
      </c>
      <c r="O556" s="32">
        <f t="shared" si="20"/>
        <v>0</v>
      </c>
      <c r="P556" s="49"/>
      <c r="Q556" s="49"/>
      <c r="R556" s="32">
        <f t="array" ref="R556">_xlfn.XLOOKUP($B556, DB[samplingPoint], DB[Criteria])</f>
        <v>100</v>
      </c>
      <c r="S556" s="50" t="str">
        <f t="shared" si="3"/>
        <v>PASSED</v>
      </c>
      <c r="T556" s="38" t="b">
        <v>0</v>
      </c>
      <c r="U556" s="39"/>
      <c r="V556" s="32" t="s">
        <v>304</v>
      </c>
    </row>
    <row r="557" ht="22.5" customHeight="1">
      <c r="A557" s="26">
        <v>46262.0</v>
      </c>
      <c r="B557" s="58" t="s">
        <v>491</v>
      </c>
      <c r="C557" s="32" t="str">
        <f t="array" ref="C557">_xlfn.XLOOKUP(B557, DB[samplingPoint], DB[samplingTag])</f>
        <v>SV116.15</v>
      </c>
      <c r="D557" s="33" t="s">
        <v>436</v>
      </c>
      <c r="E557" s="35" t="s">
        <v>352</v>
      </c>
      <c r="F557" s="38" t="b">
        <v>1</v>
      </c>
      <c r="G557" s="39" t="str">
        <f t="array" ref="G557">_xlfn.XLOOKUP($B557, DB[samplingPoint], DB[noLocation])</f>
        <v>10-4-012</v>
      </c>
      <c r="H557" s="33" t="s">
        <v>180</v>
      </c>
      <c r="I557" s="40" t="str">
        <f t="array" ref="I557">_xlfn.XLOOKUP($B557, DB[samplingPoint], DB[location])</f>
        <v>CIP SKID-1 FOR BIN WASHING-1</v>
      </c>
      <c r="J557" s="39" t="str">
        <f t="array" ref="J557">_xlfn.XLOOKUP($B557, DB[samplingPoint], DB[waterType])</f>
        <v>PW</v>
      </c>
      <c r="K557" s="43">
        <f t="shared" si="32"/>
        <v>46262</v>
      </c>
      <c r="L557" s="26">
        <v>46265.0</v>
      </c>
      <c r="M557" s="32">
        <v>0.0</v>
      </c>
      <c r="N557" s="32">
        <v>0.0</v>
      </c>
      <c r="O557" s="32">
        <f t="shared" si="20"/>
        <v>0</v>
      </c>
      <c r="P557" s="49"/>
      <c r="Q557" s="49"/>
      <c r="R557" s="32">
        <f t="array" ref="R557">_xlfn.XLOOKUP($B557, DB[samplingPoint], DB[Criteria])</f>
        <v>100</v>
      </c>
      <c r="S557" s="50" t="str">
        <f t="shared" si="3"/>
        <v>PASSED</v>
      </c>
      <c r="T557" s="38" t="b">
        <v>0</v>
      </c>
      <c r="U557" s="39"/>
      <c r="V557" s="32" t="s">
        <v>304</v>
      </c>
    </row>
    <row r="558" ht="22.5" customHeight="1">
      <c r="A558" s="26">
        <v>46262.0</v>
      </c>
      <c r="B558" s="27" t="s">
        <v>493</v>
      </c>
      <c r="C558" s="32" t="str">
        <f t="array" ref="C558">_xlfn.XLOOKUP(B558, DB[samplingPoint], DB[samplingTag])</f>
        <v>SV116.16</v>
      </c>
      <c r="D558" s="33" t="s">
        <v>436</v>
      </c>
      <c r="E558" s="35" t="s">
        <v>352</v>
      </c>
      <c r="F558" s="38" t="b">
        <v>1</v>
      </c>
      <c r="G558" s="39" t="str">
        <f t="array" ref="G558">_xlfn.XLOOKUP($B558, DB[samplingPoint], DB[noLocation])</f>
        <v>10-4-012</v>
      </c>
      <c r="H558" s="33" t="s">
        <v>180</v>
      </c>
      <c r="I558" s="40" t="str">
        <f t="array" ref="I558">_xlfn.XLOOKUP($B558, DB[samplingPoint], DB[location])</f>
        <v>WIP SKID-3 FOR GRANULATION POTENT</v>
      </c>
      <c r="J558" s="39" t="str">
        <f t="array" ref="J558">_xlfn.XLOOKUP($B558, DB[samplingPoint], DB[waterType])</f>
        <v>PW</v>
      </c>
      <c r="K558" s="43">
        <f t="shared" si="32"/>
        <v>46262</v>
      </c>
      <c r="L558" s="26">
        <v>46265.0</v>
      </c>
      <c r="M558" s="32">
        <v>0.0</v>
      </c>
      <c r="N558" s="32">
        <v>0.0</v>
      </c>
      <c r="O558" s="32">
        <f t="shared" si="20"/>
        <v>0</v>
      </c>
      <c r="P558" s="49"/>
      <c r="Q558" s="49"/>
      <c r="R558" s="32">
        <f t="array" ref="R558">_xlfn.XLOOKUP($B558, DB[samplingPoint], DB[Criteria])</f>
        <v>100</v>
      </c>
      <c r="S558" s="50" t="str">
        <f t="shared" si="3"/>
        <v>PASSED</v>
      </c>
      <c r="T558" s="38" t="b">
        <v>0</v>
      </c>
      <c r="U558" s="39"/>
      <c r="V558" s="32" t="s">
        <v>304</v>
      </c>
    </row>
    <row r="559" ht="22.5" customHeight="1">
      <c r="A559" s="26">
        <v>46262.0</v>
      </c>
      <c r="B559" s="58" t="s">
        <v>494</v>
      </c>
      <c r="C559" s="32" t="str">
        <f t="array" ref="C559">_xlfn.XLOOKUP(B559, DB[samplingPoint], DB[samplingTag])</f>
        <v>SV116.17</v>
      </c>
      <c r="D559" s="33" t="s">
        <v>436</v>
      </c>
      <c r="E559" s="35" t="s">
        <v>352</v>
      </c>
      <c r="F559" s="38" t="b">
        <v>1</v>
      </c>
      <c r="G559" s="39" t="str">
        <f t="array" ref="G559">_xlfn.XLOOKUP($B559, DB[samplingPoint], DB[noLocation])</f>
        <v>10-4-012</v>
      </c>
      <c r="H559" s="33" t="s">
        <v>180</v>
      </c>
      <c r="I559" s="40" t="str">
        <f t="array" ref="I559">_xlfn.XLOOKUP($B559, DB[samplingPoint], DB[location])</f>
        <v>CIP SKID-2 FOR BIN WASHING-1</v>
      </c>
      <c r="J559" s="39" t="str">
        <f t="array" ref="J559">_xlfn.XLOOKUP($B559, DB[samplingPoint], DB[waterType])</f>
        <v>PW</v>
      </c>
      <c r="K559" s="43">
        <f t="shared" si="32"/>
        <v>46262</v>
      </c>
      <c r="L559" s="26">
        <v>46265.0</v>
      </c>
      <c r="M559" s="32">
        <v>0.0</v>
      </c>
      <c r="N559" s="32">
        <v>0.0</v>
      </c>
      <c r="O559" s="32">
        <f t="shared" si="20"/>
        <v>0</v>
      </c>
      <c r="P559" s="49"/>
      <c r="Q559" s="49"/>
      <c r="R559" s="32">
        <f t="array" ref="R559">_xlfn.XLOOKUP($B559, DB[samplingPoint], DB[Criteria])</f>
        <v>100</v>
      </c>
      <c r="S559" s="50" t="str">
        <f t="shared" si="3"/>
        <v>PASSED</v>
      </c>
      <c r="T559" s="38" t="b">
        <v>0</v>
      </c>
      <c r="U559" s="39"/>
      <c r="V559" s="32" t="s">
        <v>304</v>
      </c>
    </row>
    <row r="560" ht="22.5" customHeight="1">
      <c r="A560" s="26">
        <v>46262.0</v>
      </c>
      <c r="B560" s="27" t="s">
        <v>495</v>
      </c>
      <c r="C560" s="32" t="str">
        <f t="array" ref="C560">_xlfn.XLOOKUP(B560, DB[samplingPoint], DB[samplingTag])</f>
        <v>SV116.18</v>
      </c>
      <c r="D560" s="33" t="s">
        <v>436</v>
      </c>
      <c r="E560" s="35" t="s">
        <v>352</v>
      </c>
      <c r="F560" s="38" t="b">
        <v>1</v>
      </c>
      <c r="G560" s="39" t="str">
        <f t="array" ref="G560">_xlfn.XLOOKUP($B560, DB[samplingPoint], DB[noLocation])</f>
        <v>10-4-012</v>
      </c>
      <c r="H560" s="33" t="s">
        <v>180</v>
      </c>
      <c r="I560" s="40" t="str">
        <f t="array" ref="I560">_xlfn.XLOOKUP($B560, DB[samplingPoint], DB[location])</f>
        <v>WIP SKID-1 FOR GRANULATION NON POTENT</v>
      </c>
      <c r="J560" s="39" t="str">
        <f t="array" ref="J560">_xlfn.XLOOKUP($B560, DB[samplingPoint], DB[waterType])</f>
        <v>PW</v>
      </c>
      <c r="K560" s="43">
        <f t="shared" si="32"/>
        <v>46262</v>
      </c>
      <c r="L560" s="26">
        <v>46265.0</v>
      </c>
      <c r="M560" s="32">
        <v>0.0</v>
      </c>
      <c r="N560" s="32">
        <v>0.0</v>
      </c>
      <c r="O560" s="32">
        <f t="shared" si="20"/>
        <v>0</v>
      </c>
      <c r="P560" s="49"/>
      <c r="Q560" s="49"/>
      <c r="R560" s="32">
        <f t="array" ref="R560">_xlfn.XLOOKUP($B560, DB[samplingPoint], DB[Criteria])</f>
        <v>100</v>
      </c>
      <c r="S560" s="50" t="str">
        <f t="shared" si="3"/>
        <v>PASSED</v>
      </c>
      <c r="T560" s="38" t="b">
        <v>0</v>
      </c>
      <c r="U560" s="39"/>
      <c r="V560" s="32" t="s">
        <v>304</v>
      </c>
    </row>
    <row r="561" ht="22.5" customHeight="1">
      <c r="A561" s="26">
        <v>46262.0</v>
      </c>
      <c r="B561" s="58" t="s">
        <v>496</v>
      </c>
      <c r="C561" s="32" t="str">
        <f t="array" ref="C561">_xlfn.XLOOKUP(B561, DB[samplingPoint], DB[samplingTag])</f>
        <v>SV116.19</v>
      </c>
      <c r="D561" s="33" t="s">
        <v>436</v>
      </c>
      <c r="E561" s="35" t="s">
        <v>352</v>
      </c>
      <c r="F561" s="38" t="b">
        <v>1</v>
      </c>
      <c r="G561" s="39" t="str">
        <f t="array" ref="G561">_xlfn.XLOOKUP($B561, DB[samplingPoint], DB[noLocation])</f>
        <v>10-4-012</v>
      </c>
      <c r="H561" s="33" t="s">
        <v>180</v>
      </c>
      <c r="I561" s="40" t="str">
        <f t="array" ref="I561">_xlfn.XLOOKUP($B561, DB[samplingPoint], DB[location])</f>
        <v>WIP SKID-2 FOR GRANULATION NON POTENT</v>
      </c>
      <c r="J561" s="39" t="str">
        <f t="array" ref="J561">_xlfn.XLOOKUP($B561, DB[samplingPoint], DB[waterType])</f>
        <v>PW</v>
      </c>
      <c r="K561" s="43">
        <f t="shared" si="32"/>
        <v>46262</v>
      </c>
      <c r="L561" s="26">
        <v>46265.0</v>
      </c>
      <c r="M561" s="32">
        <v>1.0</v>
      </c>
      <c r="N561" s="32">
        <v>4.0</v>
      </c>
      <c r="O561" s="32">
        <f t="shared" si="20"/>
        <v>3</v>
      </c>
      <c r="P561" s="49"/>
      <c r="Q561" s="49"/>
      <c r="R561" s="32">
        <f t="array" ref="R561">_xlfn.XLOOKUP($B561, DB[samplingPoint], DB[Criteria])</f>
        <v>100</v>
      </c>
      <c r="S561" s="50" t="str">
        <f t="shared" si="3"/>
        <v>PASSED</v>
      </c>
      <c r="T561" s="38" t="b">
        <v>0</v>
      </c>
      <c r="U561" s="39"/>
      <c r="V561" s="32" t="s">
        <v>304</v>
      </c>
    </row>
    <row r="562" ht="22.5" customHeight="1">
      <c r="A562" s="26">
        <v>46262.0</v>
      </c>
      <c r="B562" s="27" t="s">
        <v>498</v>
      </c>
      <c r="C562" s="32" t="str">
        <f t="array" ref="C562">_xlfn.XLOOKUP(B562, DB[samplingPoint], DB[samplingTag])</f>
        <v>SV116.02</v>
      </c>
      <c r="D562" s="33" t="s">
        <v>436</v>
      </c>
      <c r="E562" s="35" t="s">
        <v>352</v>
      </c>
      <c r="F562" s="38" t="b">
        <v>1</v>
      </c>
      <c r="G562" s="39" t="str">
        <f t="array" ref="G562">_xlfn.XLOOKUP($B562, DB[samplingPoint], DB[noLocation])</f>
        <v>10-2-037</v>
      </c>
      <c r="H562" s="33" t="s">
        <v>180</v>
      </c>
      <c r="I562" s="40" t="str">
        <f t="array" ref="I562">_xlfn.XLOOKUP($B562, DB[samplingPoint], DB[location])</f>
        <v>SKID FOR BIN WASHING-2</v>
      </c>
      <c r="J562" s="39" t="str">
        <f t="array" ref="J562">_xlfn.XLOOKUP($B562, DB[samplingPoint], DB[waterType])</f>
        <v>PW</v>
      </c>
      <c r="K562" s="43">
        <f t="shared" si="32"/>
        <v>46262</v>
      </c>
      <c r="L562" s="26">
        <v>46265.0</v>
      </c>
      <c r="M562" s="32">
        <v>0.0</v>
      </c>
      <c r="N562" s="32">
        <v>0.0</v>
      </c>
      <c r="O562" s="32">
        <f t="shared" si="20"/>
        <v>0</v>
      </c>
      <c r="P562" s="49"/>
      <c r="Q562" s="49"/>
      <c r="R562" s="32">
        <f t="array" ref="R562">_xlfn.XLOOKUP($B562, DB[samplingPoint], DB[Criteria])</f>
        <v>100</v>
      </c>
      <c r="S562" s="50" t="str">
        <f t="shared" si="3"/>
        <v>PASSED</v>
      </c>
      <c r="T562" s="38" t="b">
        <v>0</v>
      </c>
      <c r="U562" s="39"/>
      <c r="V562" s="32" t="s">
        <v>304</v>
      </c>
    </row>
    <row r="563" ht="22.5" customHeight="1">
      <c r="A563" s="26">
        <v>46262.0</v>
      </c>
      <c r="B563" s="58" t="s">
        <v>499</v>
      </c>
      <c r="C563" s="32" t="str">
        <f t="array" ref="C563">_xlfn.XLOOKUP(B563, DB[samplingPoint], DB[samplingTag])</f>
        <v>SV116.01</v>
      </c>
      <c r="D563" s="33" t="s">
        <v>436</v>
      </c>
      <c r="E563" s="35" t="s">
        <v>352</v>
      </c>
      <c r="F563" s="38" t="b">
        <v>1</v>
      </c>
      <c r="G563" s="39" t="str">
        <f t="array" ref="G563">_xlfn.XLOOKUP($B563, DB[samplingPoint], DB[noLocation])</f>
        <v>10-2-021</v>
      </c>
      <c r="H563" s="33" t="s">
        <v>180</v>
      </c>
      <c r="I563" s="40" t="str">
        <f t="array" ref="I563">_xlfn.XLOOKUP($B563, DB[samplingPoint], DB[location])</f>
        <v>INSTRUMENT-1</v>
      </c>
      <c r="J563" s="39" t="str">
        <f t="array" ref="J563">_xlfn.XLOOKUP($B563, DB[samplingPoint], DB[waterType])</f>
        <v>PW</v>
      </c>
      <c r="K563" s="43">
        <f t="shared" si="32"/>
        <v>46262</v>
      </c>
      <c r="L563" s="26">
        <v>46265.0</v>
      </c>
      <c r="M563" s="32">
        <v>0.0</v>
      </c>
      <c r="N563" s="32">
        <v>0.0</v>
      </c>
      <c r="O563" s="32">
        <f t="shared" si="20"/>
        <v>0</v>
      </c>
      <c r="P563" s="49"/>
      <c r="Q563" s="49"/>
      <c r="R563" s="32">
        <f t="array" ref="R563">_xlfn.XLOOKUP($B563, DB[samplingPoint], DB[Criteria])</f>
        <v>100</v>
      </c>
      <c r="S563" s="50" t="str">
        <f t="shared" si="3"/>
        <v>PASSED</v>
      </c>
      <c r="T563" s="38" t="b">
        <v>0</v>
      </c>
      <c r="U563" s="39"/>
      <c r="V563" s="32" t="s">
        <v>304</v>
      </c>
    </row>
    <row r="564" ht="22.5" customHeight="1">
      <c r="A564" s="26">
        <v>46262.0</v>
      </c>
      <c r="B564" s="58" t="s">
        <v>502</v>
      </c>
      <c r="C564" s="32" t="str">
        <f t="array" ref="C564">_xlfn.XLOOKUP(B564, DB[samplingPoint], DB[samplingTag])</f>
        <v>DV116.26</v>
      </c>
      <c r="D564" s="33" t="s">
        <v>436</v>
      </c>
      <c r="E564" s="35" t="s">
        <v>352</v>
      </c>
      <c r="F564" s="38" t="b">
        <v>1</v>
      </c>
      <c r="G564" s="39" t="str">
        <f t="array" ref="G564">_xlfn.XLOOKUP($B564, DB[samplingPoint], DB[noLocation])</f>
        <v>10-4-015</v>
      </c>
      <c r="H564" s="33" t="s">
        <v>180</v>
      </c>
      <c r="I564" s="40" t="str">
        <f t="array" ref="I564">_xlfn.XLOOKUP($B564, DB[samplingPoint], DB[location])</f>
        <v>WATER SYSTEM ROOM</v>
      </c>
      <c r="J564" s="39" t="str">
        <f t="array" ref="J564">_xlfn.XLOOKUP($B564, DB[samplingPoint], DB[waterType])</f>
        <v>PW</v>
      </c>
      <c r="K564" s="43">
        <f t="shared" si="32"/>
        <v>46262</v>
      </c>
      <c r="L564" s="26">
        <v>46265.0</v>
      </c>
      <c r="M564" s="32">
        <v>0.0</v>
      </c>
      <c r="N564" s="32">
        <v>0.0</v>
      </c>
      <c r="O564" s="32">
        <f t="shared" si="20"/>
        <v>0</v>
      </c>
      <c r="P564" s="49"/>
      <c r="Q564" s="49"/>
      <c r="R564" s="32">
        <f t="array" ref="R564">_xlfn.XLOOKUP($B564, DB[samplingPoint], DB[Criteria])</f>
        <v>100</v>
      </c>
      <c r="S564" s="50" t="str">
        <f t="shared" si="3"/>
        <v>PASSED</v>
      </c>
      <c r="T564" s="38" t="b">
        <v>0</v>
      </c>
      <c r="U564" s="39"/>
      <c r="V564" s="32" t="s">
        <v>304</v>
      </c>
    </row>
    <row r="565" ht="22.5" customHeight="1">
      <c r="A565" s="26">
        <v>46266.0</v>
      </c>
      <c r="B565" s="27" t="s">
        <v>435</v>
      </c>
      <c r="C565" s="32" t="str">
        <f t="array" ref="C565">_xlfn.XLOOKUP(B565, DB[samplingPoint], DB[samplingTag])</f>
        <v>SV133.01</v>
      </c>
      <c r="D565" s="33" t="s">
        <v>375</v>
      </c>
      <c r="E565" s="35" t="s">
        <v>354</v>
      </c>
      <c r="F565" s="38" t="b">
        <v>1</v>
      </c>
      <c r="G565" s="39" t="str">
        <f t="array" ref="G565">_xlfn.XLOOKUP($B565, DB[samplingPoint], DB[noLocation])</f>
        <v>WATER SYSTEM (B12)</v>
      </c>
      <c r="H565" s="33" t="s">
        <v>437</v>
      </c>
      <c r="I565" s="40" t="str">
        <f t="array" ref="I565">_xlfn.XLOOKUP($B565, DB[samplingPoint], DB[location])</f>
        <v>After Storage tank (B12)</v>
      </c>
      <c r="J565" s="39" t="str">
        <f t="array" ref="J565">_xlfn.XLOOKUP($B565, DB[samplingPoint], DB[waterType])</f>
        <v>PW</v>
      </c>
      <c r="K565" s="43">
        <f t="shared" si="32"/>
        <v>46266</v>
      </c>
      <c r="L565" s="26">
        <v>46270.0</v>
      </c>
      <c r="M565" s="32">
        <v>0.0</v>
      </c>
      <c r="N565" s="32">
        <v>0.0</v>
      </c>
      <c r="O565" s="32">
        <f t="shared" si="20"/>
        <v>0</v>
      </c>
      <c r="P565" s="49"/>
      <c r="Q565" s="49"/>
      <c r="R565" s="32">
        <f t="array" ref="R565">_xlfn.XLOOKUP($B565, DB[samplingPoint], DB[Criteria])</f>
        <v>100</v>
      </c>
      <c r="S565" s="50" t="str">
        <f t="shared" si="3"/>
        <v>PASSED</v>
      </c>
      <c r="T565" s="38" t="b">
        <v>0</v>
      </c>
      <c r="U565" s="39"/>
      <c r="V565" s="32" t="s">
        <v>304</v>
      </c>
    </row>
    <row r="566" ht="22.5" customHeight="1">
      <c r="A566" s="26">
        <v>46266.0</v>
      </c>
      <c r="B566" s="58" t="s">
        <v>438</v>
      </c>
      <c r="C566" s="32" t="str">
        <f t="array" ref="C566">_xlfn.XLOOKUP(B566, DB[samplingPoint], DB[samplingTag])</f>
        <v>SV135.02</v>
      </c>
      <c r="D566" s="33" t="s">
        <v>375</v>
      </c>
      <c r="E566" s="35" t="s">
        <v>354</v>
      </c>
      <c r="F566" s="38" t="b">
        <v>1</v>
      </c>
      <c r="G566" s="39" t="str">
        <f t="array" ref="G566">_xlfn.XLOOKUP($B566, DB[samplingPoint], DB[noLocation])</f>
        <v>WATER SYSTEM (B12)</v>
      </c>
      <c r="H566" s="33" t="s">
        <v>437</v>
      </c>
      <c r="I566" s="40" t="str">
        <f t="array" ref="I566">_xlfn.XLOOKUP($B566, DB[samplingPoint], DB[location])</f>
        <v>After UV (B12)</v>
      </c>
      <c r="J566" s="39" t="str">
        <f t="array" ref="J566">_xlfn.XLOOKUP($B566, DB[samplingPoint], DB[waterType])</f>
        <v>PW</v>
      </c>
      <c r="K566" s="43">
        <f t="shared" si="32"/>
        <v>46266</v>
      </c>
      <c r="L566" s="26">
        <v>46270.0</v>
      </c>
      <c r="M566" s="32">
        <v>0.0</v>
      </c>
      <c r="N566" s="32">
        <v>0.0</v>
      </c>
      <c r="O566" s="32">
        <f t="shared" si="20"/>
        <v>0</v>
      </c>
      <c r="P566" s="49"/>
      <c r="Q566" s="49"/>
      <c r="R566" s="32">
        <f t="array" ref="R566">_xlfn.XLOOKUP($B566, DB[samplingPoint], DB[Criteria])</f>
        <v>100</v>
      </c>
      <c r="S566" s="50" t="str">
        <f t="shared" si="3"/>
        <v>PASSED</v>
      </c>
      <c r="T566" s="38" t="b">
        <v>0</v>
      </c>
      <c r="U566" s="39"/>
      <c r="V566" s="32" t="s">
        <v>304</v>
      </c>
    </row>
    <row r="567" ht="22.5" customHeight="1">
      <c r="A567" s="26">
        <v>46266.0</v>
      </c>
      <c r="B567" s="27" t="s">
        <v>430</v>
      </c>
      <c r="C567" s="32" t="str">
        <f t="array" ref="C567">_xlfn.XLOOKUP(B567, DB[samplingPoint], DB[samplingTag])</f>
        <v>SV137.01</v>
      </c>
      <c r="D567" s="33" t="s">
        <v>375</v>
      </c>
      <c r="E567" s="35" t="s">
        <v>354</v>
      </c>
      <c r="F567" s="38" t="b">
        <v>1</v>
      </c>
      <c r="G567" s="39" t="str">
        <f t="array" ref="G567">_xlfn.XLOOKUP($B567, DB[samplingPoint], DB[noLocation])</f>
        <v>WATER SYSTEM (B12)</v>
      </c>
      <c r="H567" s="33" t="s">
        <v>437</v>
      </c>
      <c r="I567" s="40" t="str">
        <f t="array" ref="I567">_xlfn.XLOOKUP($B567, DB[samplingPoint], DB[location])</f>
        <v>Return loop (B12)</v>
      </c>
      <c r="J567" s="39" t="str">
        <f t="array" ref="J567">_xlfn.XLOOKUP($B567, DB[samplingPoint], DB[waterType])</f>
        <v>PW</v>
      </c>
      <c r="K567" s="43">
        <f t="shared" si="32"/>
        <v>46266</v>
      </c>
      <c r="L567" s="26">
        <v>46270.0</v>
      </c>
      <c r="M567" s="32">
        <v>0.0</v>
      </c>
      <c r="N567" s="32">
        <v>0.0</v>
      </c>
      <c r="O567" s="32">
        <f t="shared" si="20"/>
        <v>0</v>
      </c>
      <c r="P567" s="49"/>
      <c r="Q567" s="49"/>
      <c r="R567" s="32">
        <f t="array" ref="R567">_xlfn.XLOOKUP($B567, DB[samplingPoint], DB[Criteria])</f>
        <v>100</v>
      </c>
      <c r="S567" s="50" t="str">
        <f t="shared" si="3"/>
        <v>PASSED</v>
      </c>
      <c r="T567" s="38" t="b">
        <v>0</v>
      </c>
      <c r="U567" s="39"/>
      <c r="V567" s="32" t="s">
        <v>304</v>
      </c>
    </row>
    <row r="568" ht="22.5" customHeight="1">
      <c r="A568" s="26">
        <v>46266.0</v>
      </c>
      <c r="B568" s="58" t="s">
        <v>419</v>
      </c>
      <c r="C568" s="32" t="str">
        <f t="array" ref="C568">_xlfn.XLOOKUP(B568, DB[samplingPoint], DB[samplingTag])</f>
        <v>DV136.15</v>
      </c>
      <c r="D568" s="33" t="s">
        <v>375</v>
      </c>
      <c r="E568" s="35" t="s">
        <v>354</v>
      </c>
      <c r="F568" s="38" t="b">
        <v>1</v>
      </c>
      <c r="G568" s="39" t="str">
        <f t="array" ref="G568">_xlfn.XLOOKUP($B568, DB[samplingPoint], DB[noLocation])</f>
        <v>12-3-078</v>
      </c>
      <c r="H568" s="33" t="s">
        <v>437</v>
      </c>
      <c r="I568" s="40" t="str">
        <f t="array" ref="I568">_xlfn.XLOOKUP($B568, DB[samplingPoint], DB[location])</f>
        <v>GLASSWARE WASHING 2</v>
      </c>
      <c r="J568" s="39" t="str">
        <f t="array" ref="J568">_xlfn.XLOOKUP($B568, DB[samplingPoint], DB[waterType])</f>
        <v>PW</v>
      </c>
      <c r="K568" s="43">
        <f t="shared" si="32"/>
        <v>46266</v>
      </c>
      <c r="L568" s="26">
        <v>46270.0</v>
      </c>
      <c r="M568" s="32">
        <v>0.0</v>
      </c>
      <c r="N568" s="32">
        <v>0.0</v>
      </c>
      <c r="O568" s="32">
        <f t="shared" si="20"/>
        <v>0</v>
      </c>
      <c r="P568" s="49"/>
      <c r="Q568" s="49"/>
      <c r="R568" s="32">
        <f t="array" ref="R568">_xlfn.XLOOKUP($B568, DB[samplingPoint], DB[Criteria])</f>
        <v>100</v>
      </c>
      <c r="S568" s="50" t="str">
        <f t="shared" si="3"/>
        <v>PASSED</v>
      </c>
      <c r="T568" s="38" t="b">
        <v>0</v>
      </c>
      <c r="U568" s="39"/>
      <c r="V568" s="32" t="s">
        <v>304</v>
      </c>
    </row>
    <row r="569" ht="22.5" customHeight="1">
      <c r="A569" s="26">
        <v>46266.0</v>
      </c>
      <c r="B569" s="27" t="s">
        <v>409</v>
      </c>
      <c r="C569" s="32" t="str">
        <f t="array" ref="C569">_xlfn.XLOOKUP(B569, DB[samplingPoint], DB[samplingTag])</f>
        <v>DV136.13</v>
      </c>
      <c r="D569" s="33" t="s">
        <v>375</v>
      </c>
      <c r="E569" s="35" t="s">
        <v>354</v>
      </c>
      <c r="F569" s="38" t="b">
        <v>1</v>
      </c>
      <c r="G569" s="39" t="str">
        <f t="array" ref="G569">_xlfn.XLOOKUP($B569, DB[samplingPoint], DB[noLocation])</f>
        <v>12-3-057</v>
      </c>
      <c r="H569" s="33" t="s">
        <v>437</v>
      </c>
      <c r="I569" s="40" t="str">
        <f t="array" ref="I569">_xlfn.XLOOKUP($B569, DB[samplingPoint], DB[location])</f>
        <v>STERILIZATION</v>
      </c>
      <c r="J569" s="39" t="str">
        <f t="array" ref="J569">_xlfn.XLOOKUP($B569, DB[samplingPoint], DB[waterType])</f>
        <v>PW</v>
      </c>
      <c r="K569" s="43">
        <f t="shared" si="32"/>
        <v>46266</v>
      </c>
      <c r="L569" s="26">
        <v>46270.0</v>
      </c>
      <c r="M569" s="32">
        <v>0.0</v>
      </c>
      <c r="N569" s="32">
        <v>0.0</v>
      </c>
      <c r="O569" s="32">
        <f t="shared" si="20"/>
        <v>0</v>
      </c>
      <c r="P569" s="49"/>
      <c r="Q569" s="49"/>
      <c r="R569" s="32">
        <f t="array" ref="R569">_xlfn.XLOOKUP($B569, DB[samplingPoint], DB[Criteria])</f>
        <v>100</v>
      </c>
      <c r="S569" s="50" t="str">
        <f t="shared" si="3"/>
        <v>PASSED</v>
      </c>
      <c r="T569" s="38" t="b">
        <v>0</v>
      </c>
      <c r="U569" s="39"/>
      <c r="V569" s="32" t="s">
        <v>304</v>
      </c>
    </row>
    <row r="570" ht="22.5" customHeight="1">
      <c r="A570" s="26">
        <v>46266.0</v>
      </c>
      <c r="B570" s="58" t="s">
        <v>427</v>
      </c>
      <c r="C570" s="32" t="str">
        <f t="array" ref="C570">_xlfn.XLOOKUP(B570, DB[samplingPoint], DB[samplingTag])</f>
        <v>SV136.18</v>
      </c>
      <c r="D570" s="33" t="s">
        <v>375</v>
      </c>
      <c r="E570" s="35" t="s">
        <v>354</v>
      </c>
      <c r="F570" s="38" t="b">
        <v>1</v>
      </c>
      <c r="G570" s="39" t="str">
        <f t="array" ref="G570">_xlfn.XLOOKUP($B570, DB[samplingPoint], DB[noLocation])</f>
        <v>12-3-059</v>
      </c>
      <c r="H570" s="33" t="s">
        <v>437</v>
      </c>
      <c r="I570" s="40" t="str">
        <f t="array" ref="I570">_xlfn.XLOOKUP($B570, DB[samplingPoint], DB[location])</f>
        <v>AUTOCLAVE</v>
      </c>
      <c r="J570" s="39" t="str">
        <f t="array" ref="J570">_xlfn.XLOOKUP($B570, DB[samplingPoint], DB[waterType])</f>
        <v>PW</v>
      </c>
      <c r="K570" s="43">
        <f t="shared" si="32"/>
        <v>46266</v>
      </c>
      <c r="L570" s="26">
        <v>46270.0</v>
      </c>
      <c r="M570" s="32">
        <v>0.0</v>
      </c>
      <c r="N570" s="32">
        <v>0.0</v>
      </c>
      <c r="O570" s="32">
        <f t="shared" si="20"/>
        <v>0</v>
      </c>
      <c r="P570" s="49"/>
      <c r="Q570" s="49"/>
      <c r="R570" s="32">
        <f t="array" ref="R570">_xlfn.XLOOKUP($B570, DB[samplingPoint], DB[Criteria])</f>
        <v>100</v>
      </c>
      <c r="S570" s="50" t="str">
        <f t="shared" si="3"/>
        <v>PASSED</v>
      </c>
      <c r="T570" s="38" t="b">
        <v>0</v>
      </c>
      <c r="U570" s="39"/>
      <c r="V570" s="32" t="s">
        <v>304</v>
      </c>
    </row>
    <row r="571" ht="22.5" customHeight="1">
      <c r="A571" s="26">
        <v>46266.0</v>
      </c>
      <c r="B571" s="27" t="s">
        <v>399</v>
      </c>
      <c r="C571" s="32" t="str">
        <f t="array" ref="C571">_xlfn.XLOOKUP(B571, DB[samplingPoint], DB[samplingTag])</f>
        <v>DV136.11</v>
      </c>
      <c r="D571" s="33" t="s">
        <v>375</v>
      </c>
      <c r="E571" s="35" t="s">
        <v>354</v>
      </c>
      <c r="F571" s="38" t="b">
        <v>1</v>
      </c>
      <c r="G571" s="39" t="str">
        <f t="array" ref="G571">_xlfn.XLOOKUP($B571, DB[samplingPoint], DB[noLocation])</f>
        <v>12-3-059</v>
      </c>
      <c r="H571" s="33" t="s">
        <v>437</v>
      </c>
      <c r="I571" s="40" t="str">
        <f t="array" ref="I571">_xlfn.XLOOKUP($B571, DB[samplingPoint], DB[location])</f>
        <v>AUTOCLAVE</v>
      </c>
      <c r="J571" s="39" t="str">
        <f t="array" ref="J571">_xlfn.XLOOKUP($B571, DB[samplingPoint], DB[waterType])</f>
        <v>PW</v>
      </c>
      <c r="K571" s="43">
        <f t="shared" si="32"/>
        <v>46266</v>
      </c>
      <c r="L571" s="26">
        <v>46270.0</v>
      </c>
      <c r="M571" s="32">
        <v>4.0</v>
      </c>
      <c r="N571" s="32">
        <v>3.0</v>
      </c>
      <c r="O571" s="32">
        <f t="shared" si="20"/>
        <v>4</v>
      </c>
      <c r="P571" s="49"/>
      <c r="Q571" s="49"/>
      <c r="R571" s="32">
        <f t="array" ref="R571">_xlfn.XLOOKUP($B571, DB[samplingPoint], DB[Criteria])</f>
        <v>100</v>
      </c>
      <c r="S571" s="50" t="str">
        <f t="shared" si="3"/>
        <v>PASSED</v>
      </c>
      <c r="T571" s="38" t="b">
        <v>0</v>
      </c>
      <c r="U571" s="39"/>
      <c r="V571" s="32" t="s">
        <v>304</v>
      </c>
    </row>
    <row r="572" ht="22.5" customHeight="1">
      <c r="A572" s="26">
        <v>46266.0</v>
      </c>
      <c r="B572" s="58" t="s">
        <v>405</v>
      </c>
      <c r="C572" s="32" t="str">
        <f t="array" ref="C572">_xlfn.XLOOKUP(B572, DB[samplingPoint], DB[samplingTag])</f>
        <v>DV136.12</v>
      </c>
      <c r="D572" s="33" t="s">
        <v>375</v>
      </c>
      <c r="E572" s="35" t="s">
        <v>354</v>
      </c>
      <c r="F572" s="38" t="b">
        <v>1</v>
      </c>
      <c r="G572" s="39" t="str">
        <f t="array" ref="G572">_xlfn.XLOOKUP($B572, DB[samplingPoint], DB[noLocation])</f>
        <v>12-3-056</v>
      </c>
      <c r="H572" s="33" t="s">
        <v>437</v>
      </c>
      <c r="I572" s="40" t="str">
        <f t="array" ref="I572">_xlfn.XLOOKUP($B572, DB[samplingPoint], DB[location])</f>
        <v>MEDIA PREPARATION</v>
      </c>
      <c r="J572" s="39" t="str">
        <f t="array" ref="J572">_xlfn.XLOOKUP($B572, DB[samplingPoint], DB[waterType])</f>
        <v>PW</v>
      </c>
      <c r="K572" s="43">
        <f t="shared" si="32"/>
        <v>46266</v>
      </c>
      <c r="L572" s="26">
        <v>46270.0</v>
      </c>
      <c r="M572" s="32">
        <v>0.0</v>
      </c>
      <c r="N572" s="32">
        <v>0.0</v>
      </c>
      <c r="O572" s="32">
        <f t="shared" si="20"/>
        <v>0</v>
      </c>
      <c r="P572" s="49"/>
      <c r="Q572" s="49"/>
      <c r="R572" s="32">
        <f t="array" ref="R572">_xlfn.XLOOKUP($B572, DB[samplingPoint], DB[Criteria])</f>
        <v>100</v>
      </c>
      <c r="S572" s="50" t="str">
        <f t="shared" si="3"/>
        <v>PASSED</v>
      </c>
      <c r="T572" s="38" t="b">
        <v>0</v>
      </c>
      <c r="U572" s="39"/>
      <c r="V572" s="32" t="s">
        <v>304</v>
      </c>
    </row>
    <row r="573" ht="22.5" customHeight="1">
      <c r="A573" s="26">
        <v>46266.0</v>
      </c>
      <c r="B573" s="27" t="s">
        <v>393</v>
      </c>
      <c r="C573" s="32" t="str">
        <f t="array" ref="C573">_xlfn.XLOOKUP(B573, DB[samplingPoint], DB[samplingTag])</f>
        <v>DV136.10</v>
      </c>
      <c r="D573" s="33" t="s">
        <v>375</v>
      </c>
      <c r="E573" s="35" t="s">
        <v>354</v>
      </c>
      <c r="F573" s="38" t="b">
        <v>1</v>
      </c>
      <c r="G573" s="39" t="str">
        <f t="array" ref="G573">_xlfn.XLOOKUP($B573, DB[samplingPoint], DB[noLocation])</f>
        <v>12-3-056</v>
      </c>
      <c r="H573" s="33" t="s">
        <v>437</v>
      </c>
      <c r="I573" s="40" t="str">
        <f t="array" ref="I573">_xlfn.XLOOKUP($B573, DB[samplingPoint], DB[location])</f>
        <v>MEDIA PREPARATION</v>
      </c>
      <c r="J573" s="39" t="str">
        <f t="array" ref="J573">_xlfn.XLOOKUP($B573, DB[samplingPoint], DB[waterType])</f>
        <v>PW</v>
      </c>
      <c r="K573" s="43">
        <f t="shared" si="32"/>
        <v>46266</v>
      </c>
      <c r="L573" s="26">
        <v>46270.0</v>
      </c>
      <c r="M573" s="32">
        <v>0.0</v>
      </c>
      <c r="N573" s="32">
        <v>0.0</v>
      </c>
      <c r="O573" s="32">
        <f t="shared" si="20"/>
        <v>0</v>
      </c>
      <c r="P573" s="49"/>
      <c r="Q573" s="49"/>
      <c r="R573" s="32">
        <f t="array" ref="R573">_xlfn.XLOOKUP($B573, DB[samplingPoint], DB[Criteria])</f>
        <v>100</v>
      </c>
      <c r="S573" s="50" t="str">
        <f t="shared" si="3"/>
        <v>PASSED</v>
      </c>
      <c r="T573" s="38" t="b">
        <v>0</v>
      </c>
      <c r="U573" s="39"/>
      <c r="V573" s="32" t="s">
        <v>304</v>
      </c>
    </row>
    <row r="574" ht="22.5" customHeight="1">
      <c r="A574" s="26">
        <v>46266.0</v>
      </c>
      <c r="B574" s="58" t="s">
        <v>413</v>
      </c>
      <c r="C574" s="32" t="str">
        <f t="array" ref="C574">_xlfn.XLOOKUP(B574, DB[samplingPoint], DB[samplingTag])</f>
        <v>DV136.14</v>
      </c>
      <c r="D574" s="33" t="s">
        <v>375</v>
      </c>
      <c r="E574" s="35" t="s">
        <v>354</v>
      </c>
      <c r="F574" s="38" t="b">
        <v>1</v>
      </c>
      <c r="G574" s="39" t="str">
        <f t="array" ref="G574">_xlfn.XLOOKUP($B574, DB[samplingPoint], DB[noLocation])</f>
        <v>12-3-074</v>
      </c>
      <c r="H574" s="33" t="s">
        <v>437</v>
      </c>
      <c r="I574" s="40" t="str">
        <f t="array" ref="I574">_xlfn.XLOOKUP($B574, DB[samplingPoint], DB[location])</f>
        <v>DECONTAMINATION</v>
      </c>
      <c r="J574" s="39" t="str">
        <f t="array" ref="J574">_xlfn.XLOOKUP($B574, DB[samplingPoint], DB[waterType])</f>
        <v>PW</v>
      </c>
      <c r="K574" s="43">
        <f t="shared" si="32"/>
        <v>46266</v>
      </c>
      <c r="L574" s="26">
        <v>46270.0</v>
      </c>
      <c r="M574" s="32">
        <v>0.0</v>
      </c>
      <c r="N574" s="32">
        <v>0.0</v>
      </c>
      <c r="O574" s="32">
        <f t="shared" si="20"/>
        <v>0</v>
      </c>
      <c r="P574" s="49"/>
      <c r="Q574" s="49"/>
      <c r="R574" s="32">
        <f t="array" ref="R574">_xlfn.XLOOKUP($B574, DB[samplingPoint], DB[Criteria])</f>
        <v>100</v>
      </c>
      <c r="S574" s="50" t="str">
        <f t="shared" si="3"/>
        <v>PASSED</v>
      </c>
      <c r="T574" s="38" t="b">
        <v>0</v>
      </c>
      <c r="U574" s="39"/>
      <c r="V574" s="32" t="s">
        <v>304</v>
      </c>
    </row>
    <row r="575" ht="22.5" customHeight="1">
      <c r="A575" s="26">
        <v>46266.0</v>
      </c>
      <c r="B575" s="27" t="s">
        <v>422</v>
      </c>
      <c r="C575" s="32" t="str">
        <f t="array" ref="C575">_xlfn.XLOOKUP(B575, DB[samplingPoint], DB[samplingTag])</f>
        <v>DV136.18</v>
      </c>
      <c r="D575" s="33" t="s">
        <v>375</v>
      </c>
      <c r="E575" s="35" t="s">
        <v>354</v>
      </c>
      <c r="F575" s="38" t="b">
        <v>1</v>
      </c>
      <c r="G575" s="39" t="str">
        <f t="array" ref="G575">_xlfn.XLOOKUP($B575, DB[samplingPoint], DB[noLocation])</f>
        <v>12-3-037</v>
      </c>
      <c r="H575" s="33" t="s">
        <v>437</v>
      </c>
      <c r="I575" s="40" t="str">
        <f t="array" ref="I575">_xlfn.XLOOKUP($B575, DB[samplingPoint], DB[location])</f>
        <v>GLASSWARE WASHING 1</v>
      </c>
      <c r="J575" s="39" t="str">
        <f t="array" ref="J575">_xlfn.XLOOKUP($B575, DB[samplingPoint], DB[waterType])</f>
        <v>PW</v>
      </c>
      <c r="K575" s="43">
        <f t="shared" si="32"/>
        <v>46266</v>
      </c>
      <c r="L575" s="26">
        <v>46270.0</v>
      </c>
      <c r="M575" s="32">
        <v>4.0</v>
      </c>
      <c r="N575" s="32">
        <v>8.0</v>
      </c>
      <c r="O575" s="32">
        <f t="shared" si="20"/>
        <v>6</v>
      </c>
      <c r="P575" s="49"/>
      <c r="Q575" s="49"/>
      <c r="R575" s="32">
        <f t="array" ref="R575">_xlfn.XLOOKUP($B575, DB[samplingPoint], DB[Criteria])</f>
        <v>100</v>
      </c>
      <c r="S575" s="50" t="str">
        <f t="shared" si="3"/>
        <v>PASSED</v>
      </c>
      <c r="T575" s="38" t="b">
        <v>0</v>
      </c>
      <c r="U575" s="39"/>
      <c r="V575" s="32" t="s">
        <v>304</v>
      </c>
    </row>
    <row r="576" ht="22.5" customHeight="1">
      <c r="A576" s="26">
        <v>46266.0</v>
      </c>
      <c r="B576" s="58" t="s">
        <v>373</v>
      </c>
      <c r="C576" s="32" t="str">
        <f t="array" ref="C576">_xlfn.XLOOKUP(B576, DB[samplingPoint], DB[samplingTag])</f>
        <v>DV136.05</v>
      </c>
      <c r="D576" s="33" t="s">
        <v>375</v>
      </c>
      <c r="E576" s="35" t="s">
        <v>354</v>
      </c>
      <c r="F576" s="38" t="b">
        <v>1</v>
      </c>
      <c r="G576" s="39" t="str">
        <f t="array" ref="G576">_xlfn.XLOOKUP($B576, DB[samplingPoint], DB[noLocation])</f>
        <v>12-3-037</v>
      </c>
      <c r="H576" s="33" t="s">
        <v>437</v>
      </c>
      <c r="I576" s="40" t="str">
        <f t="array" ref="I576">_xlfn.XLOOKUP($B576, DB[samplingPoint], DB[location])</f>
        <v>GLASSWARE WASHING 1</v>
      </c>
      <c r="J576" s="39" t="str">
        <f t="array" ref="J576">_xlfn.XLOOKUP($B576, DB[samplingPoint], DB[waterType])</f>
        <v>PW</v>
      </c>
      <c r="K576" s="43">
        <f t="shared" si="32"/>
        <v>46266</v>
      </c>
      <c r="L576" s="26">
        <v>46270.0</v>
      </c>
      <c r="M576" s="32">
        <v>39.0</v>
      </c>
      <c r="N576" s="32">
        <v>29.0</v>
      </c>
      <c r="O576" s="32">
        <f t="shared" si="20"/>
        <v>34</v>
      </c>
      <c r="P576" s="204" t="s">
        <v>1031</v>
      </c>
      <c r="Q576" s="49"/>
      <c r="R576" s="32">
        <f t="array" ref="R576">_xlfn.XLOOKUP($B576, DB[samplingPoint], DB[Criteria])</f>
        <v>100</v>
      </c>
      <c r="S576" s="50" t="str">
        <f t="shared" si="3"/>
        <v>PASSED</v>
      </c>
      <c r="T576" s="38" t="b">
        <v>0</v>
      </c>
      <c r="U576" s="39"/>
      <c r="V576" s="32" t="s">
        <v>304</v>
      </c>
    </row>
    <row r="577" ht="22.5" customHeight="1">
      <c r="A577" s="26">
        <v>46266.0</v>
      </c>
      <c r="B577" s="27" t="s">
        <v>389</v>
      </c>
      <c r="C577" s="32" t="str">
        <f t="array" ref="C577">_xlfn.XLOOKUP(B577, DB[samplingPoint], DB[samplingTag])</f>
        <v>DV136.06</v>
      </c>
      <c r="D577" s="33" t="s">
        <v>375</v>
      </c>
      <c r="E577" s="35" t="s">
        <v>354</v>
      </c>
      <c r="F577" s="38" t="b">
        <v>1</v>
      </c>
      <c r="G577" s="39" t="str">
        <f t="array" ref="G577">_xlfn.XLOOKUP($B577, DB[samplingPoint], DB[noLocation])</f>
        <v>12-3-037</v>
      </c>
      <c r="H577" s="33" t="s">
        <v>437</v>
      </c>
      <c r="I577" s="40" t="str">
        <f t="array" ref="I577">_xlfn.XLOOKUP($B577, DB[samplingPoint], DB[location])</f>
        <v>GLASSWARE WASHING 1</v>
      </c>
      <c r="J577" s="39" t="str">
        <f t="array" ref="J577">_xlfn.XLOOKUP($B577, DB[samplingPoint], DB[waterType])</f>
        <v>PW</v>
      </c>
      <c r="K577" s="43">
        <f t="shared" si="32"/>
        <v>46266</v>
      </c>
      <c r="L577" s="26">
        <v>46270.0</v>
      </c>
      <c r="M577" s="32">
        <v>0.0</v>
      </c>
      <c r="N577" s="32">
        <v>0.0</v>
      </c>
      <c r="O577" s="32">
        <f t="shared" si="20"/>
        <v>0</v>
      </c>
      <c r="P577" s="49"/>
      <c r="Q577" s="49"/>
      <c r="R577" s="32">
        <f t="array" ref="R577">_xlfn.XLOOKUP($B577, DB[samplingPoint], DB[Criteria])</f>
        <v>100</v>
      </c>
      <c r="S577" s="50" t="str">
        <f t="shared" si="3"/>
        <v>PASSED</v>
      </c>
      <c r="T577" s="38" t="b">
        <v>0</v>
      </c>
      <c r="U577" s="39"/>
      <c r="V577" s="32" t="s">
        <v>304</v>
      </c>
    </row>
    <row r="578" ht="22.5" customHeight="1">
      <c r="A578" s="26">
        <v>46266.0</v>
      </c>
      <c r="B578" s="58" t="s">
        <v>467</v>
      </c>
      <c r="C578" s="32" t="str">
        <f t="array" ref="C578">_xlfn.XLOOKUP(B578, DB[samplingPoint], DB[samplingTag])</f>
        <v>SV123.01</v>
      </c>
      <c r="D578" s="33" t="s">
        <v>375</v>
      </c>
      <c r="E578" s="35" t="s">
        <v>356</v>
      </c>
      <c r="F578" s="38" t="b">
        <v>1</v>
      </c>
      <c r="G578" s="39" t="str">
        <f t="array" ref="G578">_xlfn.XLOOKUP($B578, DB[samplingPoint], DB[noLocation])</f>
        <v>WATER SYSTEM (B16)</v>
      </c>
      <c r="H578" s="33" t="s">
        <v>327</v>
      </c>
      <c r="I578" s="40" t="str">
        <f t="array" ref="I578">_xlfn.XLOOKUP($B578, DB[samplingPoint], DB[location])</f>
        <v>After Storage tank (B16)</v>
      </c>
      <c r="J578" s="39" t="str">
        <f t="array" ref="J578">_xlfn.XLOOKUP($B578, DB[samplingPoint], DB[waterType])</f>
        <v>PW</v>
      </c>
      <c r="K578" s="43">
        <f t="shared" si="32"/>
        <v>46266</v>
      </c>
      <c r="L578" s="26">
        <v>46270.0</v>
      </c>
      <c r="M578" s="32">
        <v>0.0</v>
      </c>
      <c r="N578" s="32">
        <v>0.0</v>
      </c>
      <c r="O578" s="32">
        <f t="shared" si="20"/>
        <v>0</v>
      </c>
      <c r="P578" s="49"/>
      <c r="Q578" s="49"/>
      <c r="R578" s="32">
        <f t="array" ref="R578">_xlfn.XLOOKUP($B578, DB[samplingPoint], DB[Criteria])</f>
        <v>100</v>
      </c>
      <c r="S578" s="50" t="str">
        <f t="shared" si="3"/>
        <v>PASSED</v>
      </c>
      <c r="T578" s="38" t="b">
        <v>0</v>
      </c>
      <c r="U578" s="39"/>
      <c r="V578" s="32" t="s">
        <v>304</v>
      </c>
    </row>
    <row r="579" ht="22.5" customHeight="1">
      <c r="A579" s="26">
        <v>46266.0</v>
      </c>
      <c r="B579" s="58" t="s">
        <v>469</v>
      </c>
      <c r="C579" s="32" t="str">
        <f t="array" ref="C579">_xlfn.XLOOKUP(B579, DB[samplingPoint], DB[samplingTag])</f>
        <v>SV125.02</v>
      </c>
      <c r="D579" s="33" t="s">
        <v>375</v>
      </c>
      <c r="E579" s="35" t="s">
        <v>356</v>
      </c>
      <c r="F579" s="38" t="b">
        <v>1</v>
      </c>
      <c r="G579" s="39" t="str">
        <f t="array" ref="G579">_xlfn.XLOOKUP($B579, DB[samplingPoint], DB[noLocation])</f>
        <v>WATER SYSTEM (B16)</v>
      </c>
      <c r="H579" s="33" t="s">
        <v>327</v>
      </c>
      <c r="I579" s="40" t="str">
        <f t="array" ref="I579">_xlfn.XLOOKUP($B579, DB[samplingPoint], DB[location])</f>
        <v>After UV (B16)</v>
      </c>
      <c r="J579" s="39" t="str">
        <f t="array" ref="J579">_xlfn.XLOOKUP($B579, DB[samplingPoint], DB[waterType])</f>
        <v>PW</v>
      </c>
      <c r="K579" s="43">
        <f t="shared" si="32"/>
        <v>46266</v>
      </c>
      <c r="L579" s="26">
        <v>46270.0</v>
      </c>
      <c r="M579" s="32">
        <v>0.0</v>
      </c>
      <c r="N579" s="32">
        <v>0.0</v>
      </c>
      <c r="O579" s="32">
        <f t="shared" si="20"/>
        <v>0</v>
      </c>
      <c r="P579" s="49"/>
      <c r="Q579" s="49"/>
      <c r="R579" s="32">
        <f t="array" ref="R579">_xlfn.XLOOKUP($B579, DB[samplingPoint], DB[Criteria])</f>
        <v>100</v>
      </c>
      <c r="S579" s="50" t="str">
        <f t="shared" si="3"/>
        <v>PASSED</v>
      </c>
      <c r="T579" s="38" t="b">
        <v>0</v>
      </c>
      <c r="U579" s="39"/>
      <c r="V579" s="32" t="s">
        <v>304</v>
      </c>
    </row>
    <row r="580" ht="22.5" customHeight="1">
      <c r="A580" s="26">
        <v>46266.0</v>
      </c>
      <c r="B580" s="58" t="s">
        <v>464</v>
      </c>
      <c r="C580" s="32" t="str">
        <f t="array" ref="C580">_xlfn.XLOOKUP(B580, DB[samplingPoint], DB[samplingTag])</f>
        <v>SV127.01</v>
      </c>
      <c r="D580" s="33" t="s">
        <v>375</v>
      </c>
      <c r="E580" s="35" t="s">
        <v>356</v>
      </c>
      <c r="F580" s="38" t="b">
        <v>1</v>
      </c>
      <c r="G580" s="39" t="str">
        <f t="array" ref="G580">_xlfn.XLOOKUP($B580, DB[samplingPoint], DB[noLocation])</f>
        <v>WATER SYSTEM (B16)</v>
      </c>
      <c r="H580" s="33" t="s">
        <v>327</v>
      </c>
      <c r="I580" s="40" t="str">
        <f t="array" ref="I580">_xlfn.XLOOKUP($B580, DB[samplingPoint], DB[location])</f>
        <v>Return loop (B16)</v>
      </c>
      <c r="J580" s="39" t="str">
        <f t="array" ref="J580">_xlfn.XLOOKUP($B580, DB[samplingPoint], DB[waterType])</f>
        <v>PW</v>
      </c>
      <c r="K580" s="43">
        <f t="shared" si="32"/>
        <v>46266</v>
      </c>
      <c r="L580" s="26">
        <v>46270.0</v>
      </c>
      <c r="M580" s="32">
        <v>0.0</v>
      </c>
      <c r="N580" s="32">
        <v>0.0</v>
      </c>
      <c r="O580" s="32">
        <f t="shared" si="20"/>
        <v>0</v>
      </c>
      <c r="P580" s="49"/>
      <c r="Q580" s="49"/>
      <c r="R580" s="32">
        <f t="array" ref="R580">_xlfn.XLOOKUP($B580, DB[samplingPoint], DB[Criteria])</f>
        <v>100</v>
      </c>
      <c r="S580" s="50" t="str">
        <f t="shared" si="3"/>
        <v>PASSED</v>
      </c>
      <c r="T580" s="38" t="b">
        <v>0</v>
      </c>
      <c r="U580" s="39"/>
      <c r="V580" s="32" t="s">
        <v>304</v>
      </c>
    </row>
    <row r="581" ht="22.5" customHeight="1">
      <c r="A581" s="26">
        <v>46266.0</v>
      </c>
      <c r="B581" s="27" t="s">
        <v>451</v>
      </c>
      <c r="C581" s="32" t="str">
        <f t="array" ref="C581">_xlfn.XLOOKUP(B581, DB[samplingPoint], DB[samplingTag])</f>
        <v>DV126.02</v>
      </c>
      <c r="D581" s="33" t="s">
        <v>375</v>
      </c>
      <c r="E581" s="35" t="s">
        <v>356</v>
      </c>
      <c r="F581" s="38" t="b">
        <v>1</v>
      </c>
      <c r="G581" s="39" t="str">
        <f t="array" ref="G581">_xlfn.XLOOKUP($B581, DB[samplingPoint], DB[noLocation])</f>
        <v>16-1-082</v>
      </c>
      <c r="H581" s="33" t="s">
        <v>327</v>
      </c>
      <c r="I581" s="40" t="str">
        <f t="array" ref="I581">_xlfn.XLOOKUP($B581, DB[samplingPoint], DB[location])</f>
        <v>WASHING</v>
      </c>
      <c r="J581" s="39" t="str">
        <f t="array" ref="J581">_xlfn.XLOOKUP($B581, DB[samplingPoint], DB[waterType])</f>
        <v>PW</v>
      </c>
      <c r="K581" s="43">
        <f t="shared" si="32"/>
        <v>46266</v>
      </c>
      <c r="L581" s="26">
        <v>46270.0</v>
      </c>
      <c r="M581" s="32">
        <v>0.0</v>
      </c>
      <c r="N581" s="32">
        <v>0.0</v>
      </c>
      <c r="O581" s="32">
        <f t="shared" si="20"/>
        <v>0</v>
      </c>
      <c r="P581" s="49"/>
      <c r="Q581" s="49"/>
      <c r="R581" s="32">
        <f t="array" ref="R581">_xlfn.XLOOKUP($B581, DB[samplingPoint], DB[Criteria])</f>
        <v>100</v>
      </c>
      <c r="S581" s="50" t="str">
        <f t="shared" si="3"/>
        <v>PASSED</v>
      </c>
      <c r="T581" s="38" t="b">
        <v>0</v>
      </c>
      <c r="U581" s="39"/>
      <c r="V581" s="32" t="s">
        <v>304</v>
      </c>
    </row>
    <row r="582" ht="22.5" customHeight="1">
      <c r="A582" s="26">
        <v>46266.0</v>
      </c>
      <c r="B582" s="58" t="s">
        <v>447</v>
      </c>
      <c r="C582" s="32" t="str">
        <f t="array" ref="C582">_xlfn.XLOOKUP(B582, DB[samplingPoint], DB[samplingTag])</f>
        <v>DV126.01</v>
      </c>
      <c r="D582" s="33" t="s">
        <v>375</v>
      </c>
      <c r="E582" s="35" t="s">
        <v>356</v>
      </c>
      <c r="F582" s="38" t="b">
        <v>1</v>
      </c>
      <c r="G582" s="39" t="str">
        <f t="array" ref="G582">_xlfn.XLOOKUP($B582, DB[samplingPoint], DB[noLocation])</f>
        <v>16-1-082</v>
      </c>
      <c r="H582" s="33" t="s">
        <v>327</v>
      </c>
      <c r="I582" s="40" t="str">
        <f t="array" ref="I582">_xlfn.XLOOKUP($B582, DB[samplingPoint], DB[location])</f>
        <v>WASHING</v>
      </c>
      <c r="J582" s="39" t="str">
        <f t="array" ref="J582">_xlfn.XLOOKUP($B582, DB[samplingPoint], DB[waterType])</f>
        <v>PW</v>
      </c>
      <c r="K582" s="43">
        <f t="shared" si="32"/>
        <v>46266</v>
      </c>
      <c r="L582" s="26">
        <v>46270.0</v>
      </c>
      <c r="M582" s="32">
        <v>0.0</v>
      </c>
      <c r="N582" s="32">
        <v>0.0</v>
      </c>
      <c r="O582" s="32">
        <f t="shared" si="20"/>
        <v>0</v>
      </c>
      <c r="P582" s="49"/>
      <c r="Q582" s="49"/>
      <c r="R582" s="32">
        <f t="array" ref="R582">_xlfn.XLOOKUP($B582, DB[samplingPoint], DB[Criteria])</f>
        <v>100</v>
      </c>
      <c r="S582" s="50" t="str">
        <f t="shared" si="3"/>
        <v>PASSED</v>
      </c>
      <c r="T582" s="38" t="b">
        <v>0</v>
      </c>
      <c r="U582" s="39"/>
      <c r="V582" s="32" t="s">
        <v>304</v>
      </c>
    </row>
    <row r="583" ht="22.5" customHeight="1">
      <c r="A583" s="26">
        <v>46266.0</v>
      </c>
      <c r="B583" s="27" t="s">
        <v>459</v>
      </c>
      <c r="C583" s="32" t="str">
        <f t="array" ref="C583">_xlfn.XLOOKUP(B583, DB[samplingPoint], DB[samplingTag])</f>
        <v>SV126.02</v>
      </c>
      <c r="D583" s="33" t="s">
        <v>375</v>
      </c>
      <c r="E583" s="35" t="s">
        <v>356</v>
      </c>
      <c r="F583" s="38" t="b">
        <v>1</v>
      </c>
      <c r="G583" s="39" t="str">
        <f t="array" ref="G583">_xlfn.XLOOKUP($B583, DB[samplingPoint], DB[noLocation])</f>
        <v>16-1-098</v>
      </c>
      <c r="H583" s="33" t="s">
        <v>327</v>
      </c>
      <c r="I583" s="40" t="str">
        <f t="array" ref="I583">_xlfn.XLOOKUP($B583, DB[samplingPoint], DB[location])</f>
        <v>CIP/SIP (EQUIPMENT REQUIREMENT – 200L)</v>
      </c>
      <c r="J583" s="39" t="str">
        <f t="array" ref="J583">_xlfn.XLOOKUP($B583, DB[samplingPoint], DB[waterType])</f>
        <v>PW</v>
      </c>
      <c r="K583" s="43">
        <f t="shared" si="32"/>
        <v>46266</v>
      </c>
      <c r="L583" s="26">
        <v>46270.0</v>
      </c>
      <c r="M583" s="32">
        <v>0.0</v>
      </c>
      <c r="N583" s="32">
        <v>0.0</v>
      </c>
      <c r="O583" s="32">
        <f t="shared" si="20"/>
        <v>0</v>
      </c>
      <c r="P583" s="49"/>
      <c r="Q583" s="49"/>
      <c r="R583" s="32">
        <f t="array" ref="R583">_xlfn.XLOOKUP($B583, DB[samplingPoint], DB[Criteria])</f>
        <v>100</v>
      </c>
      <c r="S583" s="50" t="str">
        <f t="shared" si="3"/>
        <v>PASSED</v>
      </c>
      <c r="T583" s="38" t="b">
        <v>0</v>
      </c>
      <c r="U583" s="39"/>
      <c r="V583" s="32" t="s">
        <v>304</v>
      </c>
    </row>
    <row r="584" ht="22.5" customHeight="1">
      <c r="A584" s="26">
        <v>46266.0</v>
      </c>
      <c r="B584" s="58" t="s">
        <v>454</v>
      </c>
      <c r="C584" s="32" t="str">
        <f t="array" ref="C584">_xlfn.XLOOKUP(B584, DB[samplingPoint], DB[samplingTag])</f>
        <v>DV126.03</v>
      </c>
      <c r="D584" s="33" t="s">
        <v>375</v>
      </c>
      <c r="E584" s="35" t="s">
        <v>356</v>
      </c>
      <c r="F584" s="38" t="b">
        <v>1</v>
      </c>
      <c r="G584" s="39" t="str">
        <f t="array" ref="G584">_xlfn.XLOOKUP($B584, DB[samplingPoint], DB[noLocation])</f>
        <v>16-1-098</v>
      </c>
      <c r="H584" s="33" t="s">
        <v>327</v>
      </c>
      <c r="I584" s="40" t="str">
        <f t="array" ref="I584">_xlfn.XLOOKUP($B584, DB[samplingPoint], DB[location])</f>
        <v>CIP/SIP (SINK WASHING)</v>
      </c>
      <c r="J584" s="39" t="str">
        <f t="array" ref="J584">_xlfn.XLOOKUP($B584, DB[samplingPoint], DB[waterType])</f>
        <v>PW</v>
      </c>
      <c r="K584" s="43">
        <f t="shared" si="32"/>
        <v>46266</v>
      </c>
      <c r="L584" s="26">
        <v>46270.0</v>
      </c>
      <c r="M584" s="32">
        <v>0.0</v>
      </c>
      <c r="N584" s="32">
        <v>0.0</v>
      </c>
      <c r="O584" s="32">
        <f t="shared" si="20"/>
        <v>0</v>
      </c>
      <c r="P584" s="49"/>
      <c r="Q584" s="49"/>
      <c r="R584" s="32">
        <f t="array" ref="R584">_xlfn.XLOOKUP($B584, DB[samplingPoint], DB[Criteria])</f>
        <v>100</v>
      </c>
      <c r="S584" s="50" t="str">
        <f t="shared" si="3"/>
        <v>PASSED</v>
      </c>
      <c r="T584" s="38" t="b">
        <v>0</v>
      </c>
      <c r="U584" s="39"/>
      <c r="V584" s="32" t="s">
        <v>304</v>
      </c>
    </row>
    <row r="585" ht="22.5" customHeight="1">
      <c r="A585" s="26">
        <v>46266.0</v>
      </c>
      <c r="B585" s="27" t="s">
        <v>457</v>
      </c>
      <c r="C585" s="32" t="str">
        <f t="array" ref="C585">_xlfn.XLOOKUP(B585, DB[samplingPoint], DB[samplingTag])</f>
        <v>SV126.01</v>
      </c>
      <c r="D585" s="33" t="s">
        <v>375</v>
      </c>
      <c r="E585" s="35" t="s">
        <v>356</v>
      </c>
      <c r="F585" s="38" t="b">
        <v>1</v>
      </c>
      <c r="G585" s="39" t="str">
        <f t="array" ref="G585">_xlfn.XLOOKUP($B585, DB[samplingPoint], DB[noLocation])</f>
        <v>16-1-092</v>
      </c>
      <c r="H585" s="33" t="s">
        <v>327</v>
      </c>
      <c r="I585" s="40" t="str">
        <f t="array" ref="I585">_xlfn.XLOOKUP($B585, DB[samplingPoint], DB[location])</f>
        <v>LINEN WASHING</v>
      </c>
      <c r="J585" s="39" t="str">
        <f t="array" ref="J585">_xlfn.XLOOKUP($B585, DB[samplingPoint], DB[waterType])</f>
        <v>PW</v>
      </c>
      <c r="K585" s="43">
        <f t="shared" si="32"/>
        <v>46266</v>
      </c>
      <c r="L585" s="26">
        <v>46270.0</v>
      </c>
      <c r="M585" s="32">
        <v>0.0</v>
      </c>
      <c r="N585" s="32">
        <v>0.0</v>
      </c>
      <c r="O585" s="32">
        <f t="shared" si="20"/>
        <v>0</v>
      </c>
      <c r="P585" s="49"/>
      <c r="Q585" s="49"/>
      <c r="R585" s="32">
        <f t="array" ref="R585">_xlfn.XLOOKUP($B585, DB[samplingPoint], DB[Criteria])</f>
        <v>100</v>
      </c>
      <c r="S585" s="50" t="str">
        <f t="shared" si="3"/>
        <v>PASSED</v>
      </c>
      <c r="T585" s="38" t="b">
        <v>0</v>
      </c>
      <c r="U585" s="39"/>
      <c r="V585" s="32" t="s">
        <v>304</v>
      </c>
    </row>
    <row r="586" ht="22.5" customHeight="1">
      <c r="A586" s="26">
        <v>46266.0</v>
      </c>
      <c r="B586" s="58" t="s">
        <v>461</v>
      </c>
      <c r="C586" s="32" t="str">
        <f t="array" ref="C586">_xlfn.XLOOKUP(B586, DB[samplingPoint], DB[samplingTag])</f>
        <v>SV126.03</v>
      </c>
      <c r="D586" s="33" t="s">
        <v>375</v>
      </c>
      <c r="E586" s="35" t="s">
        <v>356</v>
      </c>
      <c r="F586" s="38" t="b">
        <v>1</v>
      </c>
      <c r="G586" s="39" t="str">
        <f t="array" ref="G586">_xlfn.XLOOKUP($B586, DB[samplingPoint], DB[noLocation])</f>
        <v>16-2-010</v>
      </c>
      <c r="H586" s="33" t="s">
        <v>327</v>
      </c>
      <c r="I586" s="40" t="str">
        <f t="array" ref="I586">_xlfn.XLOOKUP($B586, DB[samplingPoint], DB[location])</f>
        <v>WATER SYSTEM (WFI)</v>
      </c>
      <c r="J586" s="39" t="str">
        <f t="array" ref="J586">_xlfn.XLOOKUP($B586, DB[samplingPoint], DB[waterType])</f>
        <v>PW</v>
      </c>
      <c r="K586" s="43">
        <f t="shared" si="32"/>
        <v>46266</v>
      </c>
      <c r="L586" s="26">
        <v>46270.0</v>
      </c>
      <c r="M586" s="32">
        <v>0.0</v>
      </c>
      <c r="N586" s="32">
        <v>0.0</v>
      </c>
      <c r="O586" s="32">
        <f t="shared" si="20"/>
        <v>0</v>
      </c>
      <c r="P586" s="49"/>
      <c r="Q586" s="49"/>
      <c r="R586" s="32">
        <f t="array" ref="R586">_xlfn.XLOOKUP($B586, DB[samplingPoint], DB[Criteria])</f>
        <v>100</v>
      </c>
      <c r="S586" s="50" t="str">
        <f t="shared" si="3"/>
        <v>PASSED</v>
      </c>
      <c r="T586" s="38" t="b">
        <v>0</v>
      </c>
      <c r="U586" s="39"/>
      <c r="V586" s="32" t="s">
        <v>304</v>
      </c>
    </row>
    <row r="587" ht="22.5" customHeight="1">
      <c r="A587" s="26">
        <v>46238.0</v>
      </c>
      <c r="B587" s="73" t="s">
        <v>431</v>
      </c>
      <c r="C587" s="32" t="str">
        <f t="array" ref="C587">_xlfn.XLOOKUP(B587, DB[samplingPoint], DB[samplingTag])</f>
        <v>SV-14</v>
      </c>
      <c r="D587" s="33" t="s">
        <v>375</v>
      </c>
      <c r="E587" s="35"/>
      <c r="F587" s="38" t="b">
        <v>1</v>
      </c>
      <c r="G587" s="39" t="str">
        <f t="array" ref="G587">_xlfn.XLOOKUP($B587, DB[samplingPoint], DB[noLocation])</f>
        <v>PROCESS WATER (B19)</v>
      </c>
      <c r="H587" s="33" t="s">
        <v>432</v>
      </c>
      <c r="I587" s="40" t="str">
        <f t="array" ref="I587">_xlfn.XLOOKUP($B587, DB[samplingPoint], DB[location])</f>
        <v>AFTER RO SYSTEM NO.12 SV14</v>
      </c>
      <c r="J587" s="39" t="str">
        <f t="array" ref="J587">_xlfn.XLOOKUP($B587, DB[samplingPoint], DB[waterType])</f>
        <v>PRW</v>
      </c>
      <c r="K587" s="43">
        <f t="shared" ref="K587:K599" si="33">$A587+1</f>
        <v>46239</v>
      </c>
      <c r="L587" s="26"/>
      <c r="M587" s="32"/>
      <c r="N587" s="32"/>
      <c r="O587" s="32" t="str">
        <f t="shared" si="20"/>
        <v/>
      </c>
      <c r="P587" s="49"/>
      <c r="Q587" s="49"/>
      <c r="R587" s="32">
        <f t="array" ref="R587">_xlfn.XLOOKUP($B587, DB[samplingPoint], DB[Criteria])</f>
        <v>500</v>
      </c>
      <c r="S587" s="50" t="str">
        <f t="shared" si="3"/>
        <v>NOT-PASSED</v>
      </c>
      <c r="T587" s="38" t="b">
        <v>0</v>
      </c>
      <c r="U587" s="39"/>
      <c r="V587" s="32"/>
    </row>
    <row r="588" ht="22.5" customHeight="1">
      <c r="A588" s="26">
        <v>46238.0</v>
      </c>
      <c r="B588" s="27" t="s">
        <v>380</v>
      </c>
      <c r="C588" s="32" t="str">
        <f t="array" ref="C588">_xlfn.XLOOKUP(B588, DB[samplingPoint], DB[samplingTag])</f>
        <v>SV113.01</v>
      </c>
      <c r="D588" s="33" t="s">
        <v>375</v>
      </c>
      <c r="E588" s="35"/>
      <c r="F588" s="38" t="b">
        <v>1</v>
      </c>
      <c r="G588" s="39" t="str">
        <f t="array" ref="G588">_xlfn.XLOOKUP($B588, DB[samplingPoint], DB[noLocation])</f>
        <v>WATER SYSTEM (B10)</v>
      </c>
      <c r="H588" s="33" t="s">
        <v>180</v>
      </c>
      <c r="I588" s="40" t="str">
        <f t="array" ref="I588">_xlfn.XLOOKUP($B588, DB[samplingPoint], DB[location])</f>
        <v>After Storage tank (B10)</v>
      </c>
      <c r="J588" s="39" t="str">
        <f t="array" ref="J588">_xlfn.XLOOKUP($B588, DB[samplingPoint], DB[waterType])</f>
        <v>PW</v>
      </c>
      <c r="K588" s="43">
        <f t="shared" si="33"/>
        <v>46239</v>
      </c>
      <c r="L588" s="205"/>
      <c r="M588" s="32"/>
      <c r="N588" s="32"/>
      <c r="O588" s="32" t="str">
        <f t="shared" si="20"/>
        <v/>
      </c>
      <c r="P588" s="49"/>
      <c r="Q588" s="49"/>
      <c r="R588" s="32">
        <f t="array" ref="R588">_xlfn.XLOOKUP($B588, DB[samplingPoint], DB[Criteria])</f>
        <v>100</v>
      </c>
      <c r="S588" s="50" t="str">
        <f t="shared" si="3"/>
        <v>NOT-PASSED</v>
      </c>
      <c r="T588" s="38" t="b">
        <v>0</v>
      </c>
      <c r="U588" s="39"/>
      <c r="V588" s="32"/>
    </row>
    <row r="589" ht="22.5" customHeight="1">
      <c r="A589" s="26">
        <v>46238.0</v>
      </c>
      <c r="B589" s="58" t="s">
        <v>385</v>
      </c>
      <c r="C589" s="32" t="str">
        <f t="array" ref="C589">_xlfn.XLOOKUP(B589, DB[samplingPoint], DB[samplingTag])</f>
        <v>SV115.02</v>
      </c>
      <c r="D589" s="33" t="s">
        <v>375</v>
      </c>
      <c r="E589" s="35"/>
      <c r="F589" s="38" t="b">
        <v>1</v>
      </c>
      <c r="G589" s="39" t="str">
        <f t="array" ref="G589">_xlfn.XLOOKUP($B589, DB[samplingPoint], DB[noLocation])</f>
        <v>WATER SYSTEM (B10)</v>
      </c>
      <c r="H589" s="33" t="s">
        <v>180</v>
      </c>
      <c r="I589" s="40" t="str">
        <f t="array" ref="I589">_xlfn.XLOOKUP($B589, DB[samplingPoint], DB[location])</f>
        <v>After UV (B10)</v>
      </c>
      <c r="J589" s="39" t="str">
        <f t="array" ref="J589">_xlfn.XLOOKUP($B589, DB[samplingPoint], DB[waterType])</f>
        <v>PW</v>
      </c>
      <c r="K589" s="43">
        <f t="shared" si="33"/>
        <v>46239</v>
      </c>
      <c r="L589" s="26"/>
      <c r="M589" s="32"/>
      <c r="N589" s="32"/>
      <c r="O589" s="32" t="str">
        <f t="shared" si="20"/>
        <v/>
      </c>
      <c r="P589" s="49"/>
      <c r="Q589" s="49"/>
      <c r="R589" s="32">
        <f t="array" ref="R589">_xlfn.XLOOKUP($B589, DB[samplingPoint], DB[Criteria])</f>
        <v>100</v>
      </c>
      <c r="S589" s="50" t="str">
        <f t="shared" si="3"/>
        <v>NOT-PASSED</v>
      </c>
      <c r="T589" s="38" t="b">
        <v>0</v>
      </c>
      <c r="U589" s="39"/>
      <c r="V589" s="32"/>
    </row>
    <row r="590" ht="22.5" customHeight="1">
      <c r="A590" s="26">
        <v>46238.0</v>
      </c>
      <c r="B590" s="27" t="s">
        <v>390</v>
      </c>
      <c r="C590" s="32" t="str">
        <f t="array" ref="C590">_xlfn.XLOOKUP(B590, DB[samplingPoint], DB[samplingTag])</f>
        <v>SV117.01</v>
      </c>
      <c r="D590" s="33" t="s">
        <v>375</v>
      </c>
      <c r="E590" s="35"/>
      <c r="F590" s="38" t="b">
        <v>1</v>
      </c>
      <c r="G590" s="39" t="str">
        <f t="array" ref="G590">_xlfn.XLOOKUP($B590, DB[samplingPoint], DB[noLocation])</f>
        <v>WATER SYSTEM (B10)</v>
      </c>
      <c r="H590" s="33" t="s">
        <v>180</v>
      </c>
      <c r="I590" s="40" t="str">
        <f t="array" ref="I590">_xlfn.XLOOKUP($B590, DB[samplingPoint], DB[location])</f>
        <v>Return loop (B10)</v>
      </c>
      <c r="J590" s="39" t="str">
        <f t="array" ref="J590">_xlfn.XLOOKUP($B590, DB[samplingPoint], DB[waterType])</f>
        <v>PW</v>
      </c>
      <c r="K590" s="43">
        <f t="shared" si="33"/>
        <v>46239</v>
      </c>
      <c r="L590" s="26"/>
      <c r="M590" s="32"/>
      <c r="N590" s="32"/>
      <c r="O590" s="32" t="str">
        <f t="shared" si="20"/>
        <v/>
      </c>
      <c r="P590" s="49"/>
      <c r="Q590" s="49"/>
      <c r="R590" s="32">
        <f t="array" ref="R590">_xlfn.XLOOKUP($B590, DB[samplingPoint], DB[Criteria])</f>
        <v>100</v>
      </c>
      <c r="S590" s="50" t="str">
        <f t="shared" si="3"/>
        <v>NOT-PASSED</v>
      </c>
      <c r="T590" s="38" t="b">
        <v>0</v>
      </c>
      <c r="U590" s="39"/>
      <c r="V590" s="32"/>
    </row>
    <row r="591" ht="22.5" customHeight="1">
      <c r="A591" s="26">
        <v>46238.0</v>
      </c>
      <c r="B591" s="27" t="s">
        <v>489</v>
      </c>
      <c r="C591" s="32" t="str">
        <f t="array" ref="C591">_xlfn.XLOOKUP(B591, DB[samplingPoint], DB[samplingTag])</f>
        <v>DV116.18</v>
      </c>
      <c r="D591" s="33" t="s">
        <v>375</v>
      </c>
      <c r="E591" s="35"/>
      <c r="F591" s="38" t="b">
        <v>1</v>
      </c>
      <c r="G591" s="39" t="str">
        <f t="array" ref="G591">_xlfn.XLOOKUP($B591, DB[samplingPoint], DB[noLocation])</f>
        <v>10-3-111</v>
      </c>
      <c r="H591" s="33" t="s">
        <v>180</v>
      </c>
      <c r="I591" s="40" t="str">
        <f t="array" ref="I591">_xlfn.XLOOKUP($B591, DB[samplingPoint], DB[location])</f>
        <v>WET GRANULATION-5</v>
      </c>
      <c r="J591" s="39" t="str">
        <f t="array" ref="J591">_xlfn.XLOOKUP($B591, DB[samplingPoint], DB[waterType])</f>
        <v>PW</v>
      </c>
      <c r="K591" s="43">
        <f t="shared" si="33"/>
        <v>46239</v>
      </c>
      <c r="L591" s="26"/>
      <c r="M591" s="32"/>
      <c r="N591" s="32"/>
      <c r="O591" s="32" t="str">
        <f t="shared" si="20"/>
        <v/>
      </c>
      <c r="P591" s="49"/>
      <c r="Q591" s="49"/>
      <c r="R591" s="32">
        <f t="array" ref="R591">_xlfn.XLOOKUP($B591, DB[samplingPoint], DB[Criteria])</f>
        <v>100</v>
      </c>
      <c r="S591" s="50" t="str">
        <f t="shared" si="3"/>
        <v>NOT-PASSED</v>
      </c>
      <c r="T591" s="38" t="b">
        <v>0</v>
      </c>
      <c r="U591" s="39"/>
      <c r="V591" s="32"/>
    </row>
    <row r="592" ht="22.5" customHeight="1">
      <c r="A592" s="26">
        <v>46238.0</v>
      </c>
      <c r="B592" s="58" t="s">
        <v>485</v>
      </c>
      <c r="C592" s="32" t="str">
        <f t="array" ref="C592">_xlfn.XLOOKUP(B592, DB[samplingPoint], DB[samplingTag])</f>
        <v>DV116.16</v>
      </c>
      <c r="D592" s="33" t="s">
        <v>375</v>
      </c>
      <c r="E592" s="35"/>
      <c r="F592" s="38" t="b">
        <v>1</v>
      </c>
      <c r="G592" s="39" t="str">
        <f t="array" ref="G592">_xlfn.XLOOKUP($B592, DB[samplingPoint], DB[noLocation])</f>
        <v>10-3-107</v>
      </c>
      <c r="H592" s="33" t="s">
        <v>180</v>
      </c>
      <c r="I592" s="40" t="str">
        <f t="array" ref="I592">_xlfn.XLOOKUP($B592, DB[samplingPoint], DB[location])</f>
        <v>WET GRANULATION-2</v>
      </c>
      <c r="J592" s="39" t="str">
        <f t="array" ref="J592">_xlfn.XLOOKUP($B592, DB[samplingPoint], DB[waterType])</f>
        <v>PW</v>
      </c>
      <c r="K592" s="43">
        <f t="shared" si="33"/>
        <v>46239</v>
      </c>
      <c r="L592" s="26"/>
      <c r="M592" s="32"/>
      <c r="N592" s="32"/>
      <c r="O592" s="32" t="str">
        <f t="shared" si="20"/>
        <v/>
      </c>
      <c r="P592" s="49"/>
      <c r="Q592" s="49"/>
      <c r="R592" s="32">
        <f t="array" ref="R592">_xlfn.XLOOKUP($B592, DB[samplingPoint], DB[Criteria])</f>
        <v>100</v>
      </c>
      <c r="S592" s="50" t="str">
        <f t="shared" si="3"/>
        <v>NOT-PASSED</v>
      </c>
      <c r="T592" s="38" t="b">
        <v>0</v>
      </c>
      <c r="U592" s="39"/>
      <c r="V592" s="32"/>
    </row>
    <row r="593" ht="22.5" customHeight="1">
      <c r="A593" s="26">
        <v>46238.0</v>
      </c>
      <c r="B593" s="27" t="s">
        <v>492</v>
      </c>
      <c r="C593" s="32" t="str">
        <f t="array" ref="C593">_xlfn.XLOOKUP(B593, DB[samplingPoint], DB[samplingTag])</f>
        <v>SV116.11</v>
      </c>
      <c r="D593" s="33" t="s">
        <v>375</v>
      </c>
      <c r="E593" s="35"/>
      <c r="F593" s="38" t="b">
        <v>1</v>
      </c>
      <c r="G593" s="39" t="str">
        <f t="array" ref="G593">_xlfn.XLOOKUP($B593, DB[samplingPoint], DB[noLocation])</f>
        <v>10-3-107</v>
      </c>
      <c r="H593" s="33" t="s">
        <v>180</v>
      </c>
      <c r="I593" s="40" t="str">
        <f t="array" ref="I593">_xlfn.XLOOKUP($B593, DB[samplingPoint], DB[location])</f>
        <v>WET GRANULATION-2</v>
      </c>
      <c r="J593" s="39" t="str">
        <f t="array" ref="J593">_xlfn.XLOOKUP($B593, DB[samplingPoint], DB[waterType])</f>
        <v>PW</v>
      </c>
      <c r="K593" s="43">
        <f t="shared" si="33"/>
        <v>46239</v>
      </c>
      <c r="L593" s="26"/>
      <c r="M593" s="32"/>
      <c r="N593" s="32"/>
      <c r="O593" s="32" t="str">
        <f t="shared" si="20"/>
        <v/>
      </c>
      <c r="P593" s="49"/>
      <c r="Q593" s="49"/>
      <c r="R593" s="32">
        <f t="array" ref="R593">_xlfn.XLOOKUP($B593, DB[samplingPoint], DB[Criteria])</f>
        <v>100</v>
      </c>
      <c r="S593" s="50" t="str">
        <f t="shared" si="3"/>
        <v>NOT-PASSED</v>
      </c>
      <c r="T593" s="38" t="b">
        <v>0</v>
      </c>
      <c r="U593" s="39"/>
      <c r="V593" s="32"/>
    </row>
    <row r="594" ht="22.5" customHeight="1">
      <c r="A594" s="26">
        <v>46238.0</v>
      </c>
      <c r="B594" s="58" t="s">
        <v>482</v>
      </c>
      <c r="C594" s="32" t="str">
        <f t="array" ref="C594">_xlfn.XLOOKUP(B594, DB[samplingPoint], DB[samplingTag])</f>
        <v>DV116.14</v>
      </c>
      <c r="D594" s="33" t="s">
        <v>375</v>
      </c>
      <c r="E594" s="35"/>
      <c r="F594" s="38" t="b">
        <v>1</v>
      </c>
      <c r="G594" s="39" t="str">
        <f t="array" ref="G594">_xlfn.XLOOKUP($B594, DB[samplingPoint], DB[noLocation])</f>
        <v>10-3-086</v>
      </c>
      <c r="H594" s="33" t="s">
        <v>180</v>
      </c>
      <c r="I594" s="40" t="str">
        <f t="array" ref="I594">_xlfn.XLOOKUP($B594, DB[samplingPoint], DB[location])</f>
        <v>TOOL WASHING</v>
      </c>
      <c r="J594" s="39" t="str">
        <f t="array" ref="J594">_xlfn.XLOOKUP($B594, DB[samplingPoint], DB[waterType])</f>
        <v>PW</v>
      </c>
      <c r="K594" s="43">
        <f t="shared" si="33"/>
        <v>46239</v>
      </c>
      <c r="L594" s="26"/>
      <c r="M594" s="32"/>
      <c r="N594" s="32"/>
      <c r="O594" s="32" t="str">
        <f t="shared" si="20"/>
        <v/>
      </c>
      <c r="P594" s="49"/>
      <c r="Q594" s="49"/>
      <c r="R594" s="32">
        <f t="array" ref="R594">_xlfn.XLOOKUP($B594, DB[samplingPoint], DB[Criteria])</f>
        <v>100</v>
      </c>
      <c r="S594" s="50" t="str">
        <f t="shared" si="3"/>
        <v>NOT-PASSED</v>
      </c>
      <c r="T594" s="38" t="b">
        <v>0</v>
      </c>
      <c r="U594" s="39"/>
      <c r="V594" s="32"/>
    </row>
    <row r="595" ht="22.5" customHeight="1">
      <c r="A595" s="26">
        <v>46238.0</v>
      </c>
      <c r="B595" s="27" t="s">
        <v>490</v>
      </c>
      <c r="C595" s="32" t="str">
        <f t="array" ref="C595">_xlfn.XLOOKUP(B595, DB[samplingPoint], DB[samplingTag])</f>
        <v>SV116.09</v>
      </c>
      <c r="D595" s="33" t="s">
        <v>375</v>
      </c>
      <c r="E595" s="35"/>
      <c r="F595" s="38" t="b">
        <v>1</v>
      </c>
      <c r="G595" s="39" t="str">
        <f t="array" ref="G595">_xlfn.XLOOKUP($B595, DB[samplingPoint], DB[noLocation])</f>
        <v>10-3-078</v>
      </c>
      <c r="H595" s="33" t="s">
        <v>180</v>
      </c>
      <c r="I595" s="40" t="str">
        <f t="array" ref="I595">_xlfn.XLOOKUP($B595, DB[samplingPoint], DB[location])</f>
        <v>WASHING</v>
      </c>
      <c r="J595" s="39" t="str">
        <f t="array" ref="J595">_xlfn.XLOOKUP($B595, DB[samplingPoint], DB[waterType])</f>
        <v>PW</v>
      </c>
      <c r="K595" s="43">
        <f t="shared" si="33"/>
        <v>46239</v>
      </c>
      <c r="L595" s="26"/>
      <c r="M595" s="32"/>
      <c r="N595" s="32"/>
      <c r="O595" s="32" t="str">
        <f t="shared" si="20"/>
        <v/>
      </c>
      <c r="P595" s="49"/>
      <c r="Q595" s="49"/>
      <c r="R595" s="32">
        <f t="array" ref="R595">_xlfn.XLOOKUP($B595, DB[samplingPoint], DB[Criteria])</f>
        <v>100</v>
      </c>
      <c r="S595" s="50" t="str">
        <f t="shared" si="3"/>
        <v>NOT-PASSED</v>
      </c>
      <c r="T595" s="38" t="b">
        <v>0</v>
      </c>
      <c r="U595" s="39"/>
      <c r="V595" s="32"/>
    </row>
    <row r="596" ht="22.5" customHeight="1">
      <c r="A596" s="26">
        <v>46238.0</v>
      </c>
      <c r="B596" s="58" t="s">
        <v>479</v>
      </c>
      <c r="C596" s="32" t="str">
        <f t="array" ref="C596">_xlfn.XLOOKUP(B596, DB[samplingPoint], DB[samplingTag])</f>
        <v>DV116.13</v>
      </c>
      <c r="D596" s="33" t="s">
        <v>375</v>
      </c>
      <c r="E596" s="35"/>
      <c r="F596" s="38" t="b">
        <v>1</v>
      </c>
      <c r="G596" s="39" t="str">
        <f t="array" ref="G596">_xlfn.XLOOKUP($B596, DB[samplingPoint], DB[noLocation])</f>
        <v>10-3-078</v>
      </c>
      <c r="H596" s="33" t="s">
        <v>180</v>
      </c>
      <c r="I596" s="40" t="str">
        <f t="array" ref="I596">_xlfn.XLOOKUP($B596, DB[samplingPoint], DB[location])</f>
        <v>WASHING</v>
      </c>
      <c r="J596" s="39" t="str">
        <f t="array" ref="J596">_xlfn.XLOOKUP($B596, DB[samplingPoint], DB[waterType])</f>
        <v>PW</v>
      </c>
      <c r="K596" s="43">
        <f t="shared" si="33"/>
        <v>46239</v>
      </c>
      <c r="L596" s="26"/>
      <c r="M596" s="32"/>
      <c r="N596" s="32"/>
      <c r="O596" s="32" t="str">
        <f t="shared" si="20"/>
        <v/>
      </c>
      <c r="P596" s="49"/>
      <c r="Q596" s="49"/>
      <c r="R596" s="32">
        <f t="array" ref="R596">_xlfn.XLOOKUP($B596, DB[samplingPoint], DB[Criteria])</f>
        <v>100</v>
      </c>
      <c r="S596" s="50" t="str">
        <f t="shared" si="3"/>
        <v>NOT-PASSED</v>
      </c>
      <c r="T596" s="38" t="b">
        <v>0</v>
      </c>
      <c r="U596" s="39"/>
      <c r="V596" s="32"/>
    </row>
    <row r="597" ht="22.5" customHeight="1">
      <c r="A597" s="26">
        <v>46238.0</v>
      </c>
      <c r="B597" s="27" t="s">
        <v>476</v>
      </c>
      <c r="C597" s="32" t="str">
        <f t="array" ref="C597">_xlfn.XLOOKUP(B597, DB[samplingPoint], DB[samplingTag])</f>
        <v>DV116.12</v>
      </c>
      <c r="D597" s="33" t="s">
        <v>375</v>
      </c>
      <c r="E597" s="35"/>
      <c r="F597" s="38" t="b">
        <v>1</v>
      </c>
      <c r="G597" s="39" t="str">
        <f t="array" ref="G597">_xlfn.XLOOKUP($B597, DB[samplingPoint], DB[noLocation])</f>
        <v>10-3-078</v>
      </c>
      <c r="H597" s="33" t="s">
        <v>180</v>
      </c>
      <c r="I597" s="40" t="str">
        <f t="array" ref="I597">_xlfn.XLOOKUP($B597, DB[samplingPoint], DB[location])</f>
        <v>WASHING</v>
      </c>
      <c r="J597" s="39" t="str">
        <f t="array" ref="J597">_xlfn.XLOOKUP($B597, DB[samplingPoint], DB[waterType])</f>
        <v>PW</v>
      </c>
      <c r="K597" s="43">
        <f t="shared" si="33"/>
        <v>46239</v>
      </c>
      <c r="L597" s="26"/>
      <c r="M597" s="32"/>
      <c r="N597" s="32"/>
      <c r="O597" s="32" t="str">
        <f t="shared" si="20"/>
        <v/>
      </c>
      <c r="P597" s="49"/>
      <c r="Q597" s="49"/>
      <c r="R597" s="32">
        <f t="array" ref="R597">_xlfn.XLOOKUP($B597, DB[samplingPoint], DB[Criteria])</f>
        <v>100</v>
      </c>
      <c r="S597" s="50" t="str">
        <f t="shared" si="3"/>
        <v>NOT-PASSED</v>
      </c>
      <c r="T597" s="38" t="b">
        <v>0</v>
      </c>
      <c r="U597" s="39"/>
      <c r="V597" s="32"/>
    </row>
    <row r="598" ht="22.5" customHeight="1">
      <c r="A598" s="26">
        <v>46238.0</v>
      </c>
      <c r="B598" s="58" t="s">
        <v>488</v>
      </c>
      <c r="C598" s="32" t="str">
        <f t="array" ref="C598">_xlfn.XLOOKUP(B598, DB[samplingPoint], DB[samplingTag])</f>
        <v>DV116.17</v>
      </c>
      <c r="D598" s="33" t="s">
        <v>375</v>
      </c>
      <c r="E598" s="35"/>
      <c r="F598" s="38" t="b">
        <v>1</v>
      </c>
      <c r="G598" s="39" t="str">
        <f t="array" ref="G598">_xlfn.XLOOKUP($B598, DB[samplingPoint], DB[noLocation])</f>
        <v>10-3-117</v>
      </c>
      <c r="H598" s="33" t="s">
        <v>180</v>
      </c>
      <c r="I598" s="40" t="str">
        <f t="array" ref="I598">_xlfn.XLOOKUP($B598, DB[samplingPoint], DB[location])</f>
        <v>IPQC-2</v>
      </c>
      <c r="J598" s="39" t="str">
        <f t="array" ref="J598">_xlfn.XLOOKUP($B598, DB[samplingPoint], DB[waterType])</f>
        <v>PW</v>
      </c>
      <c r="K598" s="43">
        <f t="shared" si="33"/>
        <v>46239</v>
      </c>
      <c r="L598" s="26"/>
      <c r="M598" s="32"/>
      <c r="N598" s="32"/>
      <c r="O598" s="32" t="str">
        <f t="shared" si="20"/>
        <v/>
      </c>
      <c r="P598" s="49"/>
      <c r="Q598" s="49"/>
      <c r="R598" s="32">
        <f t="array" ref="R598">_xlfn.XLOOKUP($B598, DB[samplingPoint], DB[Criteria])</f>
        <v>100</v>
      </c>
      <c r="S598" s="50" t="str">
        <f t="shared" si="3"/>
        <v>NOT-PASSED</v>
      </c>
      <c r="T598" s="38" t="b">
        <v>0</v>
      </c>
      <c r="U598" s="39"/>
      <c r="V598" s="32"/>
    </row>
    <row r="599" ht="22.5" customHeight="1">
      <c r="A599" s="26">
        <v>46238.0</v>
      </c>
      <c r="B599" s="27" t="s">
        <v>119</v>
      </c>
      <c r="C599" s="32" t="str">
        <f t="array" ref="C599">_xlfn.XLOOKUP(B599, DB[samplingPoint], DB[samplingTag])</f>
        <v>DV116.15</v>
      </c>
      <c r="D599" s="33" t="s">
        <v>375</v>
      </c>
      <c r="E599" s="35"/>
      <c r="F599" s="38" t="b">
        <v>1</v>
      </c>
      <c r="G599" s="39" t="str">
        <f t="array" ref="G599">_xlfn.XLOOKUP($B599, DB[samplingPoint], DB[noLocation])</f>
        <v>10-3-104</v>
      </c>
      <c r="H599" s="33" t="s">
        <v>180</v>
      </c>
      <c r="I599" s="40" t="str">
        <f t="array" ref="I599">_xlfn.XLOOKUP($B599, DB[samplingPoint], DB[location])</f>
        <v>BINDER PREPARATION</v>
      </c>
      <c r="J599" s="39" t="str">
        <f t="array" ref="J599">_xlfn.XLOOKUP($B599, DB[samplingPoint], DB[waterType])</f>
        <v>PW</v>
      </c>
      <c r="K599" s="43">
        <f t="shared" si="33"/>
        <v>46239</v>
      </c>
      <c r="L599" s="26"/>
      <c r="M599" s="32"/>
      <c r="N599" s="32"/>
      <c r="O599" s="32" t="str">
        <f t="shared" si="20"/>
        <v/>
      </c>
      <c r="P599" s="49"/>
      <c r="Q599" s="49"/>
      <c r="R599" s="32">
        <f t="array" ref="R599">_xlfn.XLOOKUP($B599, DB[samplingPoint], DB[Criteria])</f>
        <v>100</v>
      </c>
      <c r="S599" s="50" t="str">
        <f t="shared" si="3"/>
        <v>NOT-PASSED</v>
      </c>
      <c r="T599" s="38" t="b">
        <v>0</v>
      </c>
      <c r="U599" s="39"/>
      <c r="V599" s="32"/>
    </row>
    <row r="600" ht="22.5" customHeight="1">
      <c r="A600" s="26">
        <v>46273.0</v>
      </c>
      <c r="B600" s="27" t="s">
        <v>444</v>
      </c>
      <c r="C600" s="50" t="s">
        <v>743</v>
      </c>
      <c r="D600" s="33" t="s">
        <v>500</v>
      </c>
      <c r="E600" s="35"/>
      <c r="F600" s="38" t="b">
        <v>0</v>
      </c>
      <c r="G600" s="39" t="str">
        <f t="array" ref="G600">_xlfn.XLOOKUP($B600, DB[samplingPoint], DB[noLocation])</f>
        <v>WATER SYSTEM (B12)</v>
      </c>
      <c r="H600" s="33" t="s">
        <v>437</v>
      </c>
      <c r="I600" s="40" t="str">
        <f t="array" ref="I600">_xlfn.XLOOKUP($B600, DB[samplingPoint], DB[location])</f>
        <v>After Chlorine circulation tank</v>
      </c>
      <c r="J600" s="39" t="str">
        <f t="array" ref="J600">_xlfn.XLOOKUP($B600, DB[samplingPoint], DB[waterType])</f>
        <v>PRW</v>
      </c>
      <c r="K600" s="43">
        <f t="shared" ref="K600:K621" si="34">$A600+0</f>
        <v>46273</v>
      </c>
      <c r="L600" s="26"/>
      <c r="M600" s="32"/>
      <c r="N600" s="32"/>
      <c r="O600" s="32" t="str">
        <f t="shared" si="20"/>
        <v/>
      </c>
      <c r="P600" s="49"/>
      <c r="Q600" s="49"/>
      <c r="R600" s="32">
        <f t="array" ref="R600">_xlfn.XLOOKUP($B600, DB[samplingPoint], DB[Criteria])</f>
        <v>500</v>
      </c>
      <c r="S600" s="50" t="str">
        <f t="shared" si="3"/>
        <v>NOT-PASSED</v>
      </c>
      <c r="T600" s="38" t="b">
        <v>0</v>
      </c>
      <c r="U600" s="39"/>
      <c r="V600" s="32"/>
    </row>
    <row r="601" ht="22.5" customHeight="1">
      <c r="A601" s="26">
        <v>46273.0</v>
      </c>
      <c r="B601" s="27" t="s">
        <v>442</v>
      </c>
      <c r="C601" s="50" t="s">
        <v>746</v>
      </c>
      <c r="D601" s="33" t="s">
        <v>500</v>
      </c>
      <c r="E601" s="35"/>
      <c r="F601" s="38" t="b">
        <v>0</v>
      </c>
      <c r="G601" s="39" t="str">
        <f t="array" ref="G601">_xlfn.XLOOKUP($B601, DB[samplingPoint], DB[noLocation])</f>
        <v>WATER SYSTEM (B12)</v>
      </c>
      <c r="H601" s="33" t="s">
        <v>437</v>
      </c>
      <c r="I601" s="40" t="str">
        <f t="array" ref="I601">_xlfn.XLOOKUP($B601, DB[samplingPoint], DB[location])</f>
        <v>After Cartridge filter 5 µm (B12)</v>
      </c>
      <c r="J601" s="39" t="str">
        <f t="array" ref="J601">_xlfn.XLOOKUP($B601, DB[samplingPoint], DB[waterType])</f>
        <v>PRW</v>
      </c>
      <c r="K601" s="43">
        <f t="shared" si="34"/>
        <v>46273</v>
      </c>
      <c r="L601" s="26"/>
      <c r="M601" s="32"/>
      <c r="N601" s="32"/>
      <c r="O601" s="32" t="str">
        <f t="shared" si="20"/>
        <v/>
      </c>
      <c r="P601" s="49"/>
      <c r="Q601" s="49"/>
      <c r="R601" s="32">
        <f t="array" ref="R601">_xlfn.XLOOKUP($B601, DB[samplingPoint], DB[Criteria])</f>
        <v>500</v>
      </c>
      <c r="S601" s="50" t="str">
        <f t="shared" si="3"/>
        <v>NOT-PASSED</v>
      </c>
      <c r="T601" s="38" t="b">
        <v>0</v>
      </c>
      <c r="U601" s="39"/>
      <c r="V601" s="32"/>
    </row>
    <row r="602" ht="22.5" customHeight="1">
      <c r="A602" s="26">
        <v>46273.0</v>
      </c>
      <c r="B602" s="27" t="s">
        <v>434</v>
      </c>
      <c r="C602" s="50" t="s">
        <v>747</v>
      </c>
      <c r="D602" s="33" t="s">
        <v>500</v>
      </c>
      <c r="E602" s="35"/>
      <c r="F602" s="38" t="b">
        <v>0</v>
      </c>
      <c r="G602" s="39" t="str">
        <f t="array" ref="G602">_xlfn.XLOOKUP($B602, DB[samplingPoint], DB[noLocation])</f>
        <v>WATER SYSTEM (B12)</v>
      </c>
      <c r="H602" s="33" t="s">
        <v>437</v>
      </c>
      <c r="I602" s="40" t="str">
        <f t="array" ref="I602">_xlfn.XLOOKUP($B602, DB[samplingPoint], DB[location])</f>
        <v>After RO (Before EDI) (B12)</v>
      </c>
      <c r="J602" s="39" t="str">
        <f t="array" ref="J602">_xlfn.XLOOKUP($B602, DB[samplingPoint], DB[waterType])</f>
        <v>RO water</v>
      </c>
      <c r="K602" s="43">
        <f t="shared" si="34"/>
        <v>46273</v>
      </c>
      <c r="L602" s="26"/>
      <c r="M602" s="32"/>
      <c r="N602" s="32"/>
      <c r="O602" s="32" t="str">
        <f t="shared" si="20"/>
        <v/>
      </c>
      <c r="P602" s="49"/>
      <c r="Q602" s="49"/>
      <c r="R602" s="32">
        <f t="array" ref="R602">_xlfn.XLOOKUP($B602, DB[samplingPoint], DB[Criteria])</f>
        <v>500</v>
      </c>
      <c r="S602" s="50" t="str">
        <f t="shared" si="3"/>
        <v>NOT-PASSED</v>
      </c>
      <c r="T602" s="38" t="b">
        <v>0</v>
      </c>
      <c r="U602" s="39"/>
      <c r="V602" s="32"/>
    </row>
    <row r="603" ht="22.5" customHeight="1">
      <c r="A603" s="26">
        <v>46273.0</v>
      </c>
      <c r="B603" s="27" t="s">
        <v>440</v>
      </c>
      <c r="C603" s="50" t="s">
        <v>748</v>
      </c>
      <c r="D603" s="33" t="s">
        <v>500</v>
      </c>
      <c r="E603" s="35"/>
      <c r="F603" s="38" t="b">
        <v>0</v>
      </c>
      <c r="G603" s="39" t="str">
        <f t="array" ref="G603">_xlfn.XLOOKUP($B603, DB[samplingPoint], DB[noLocation])</f>
        <v>WATER SYSTEM (B12)</v>
      </c>
      <c r="H603" s="33" t="s">
        <v>437</v>
      </c>
      <c r="I603" s="40" t="str">
        <f t="array" ref="I603">_xlfn.XLOOKUP($B603, DB[samplingPoint], DB[location])</f>
        <v>After EDI (B12)</v>
      </c>
      <c r="J603" s="39" t="str">
        <f t="array" ref="J603">_xlfn.XLOOKUP($B603, DB[samplingPoint], DB[waterType])</f>
        <v>PW</v>
      </c>
      <c r="K603" s="43">
        <f t="shared" si="34"/>
        <v>46273</v>
      </c>
      <c r="L603" s="26"/>
      <c r="M603" s="32"/>
      <c r="N603" s="32"/>
      <c r="O603" s="32" t="str">
        <f t="shared" si="20"/>
        <v/>
      </c>
      <c r="P603" s="49"/>
      <c r="Q603" s="49"/>
      <c r="R603" s="32">
        <f t="array" ref="R603">_xlfn.XLOOKUP($B603, DB[samplingPoint], DB[Criteria])</f>
        <v>100</v>
      </c>
      <c r="S603" s="50" t="str">
        <f t="shared" si="3"/>
        <v>NOT-PASSED</v>
      </c>
      <c r="T603" s="38" t="b">
        <v>0</v>
      </c>
      <c r="U603" s="39"/>
      <c r="V603" s="32"/>
    </row>
    <row r="604" ht="22.5" customHeight="1">
      <c r="A604" s="26">
        <v>46273.0</v>
      </c>
      <c r="B604" s="27" t="s">
        <v>430</v>
      </c>
      <c r="C604" s="195" t="s">
        <v>753</v>
      </c>
      <c r="D604" s="33" t="s">
        <v>500</v>
      </c>
      <c r="E604" s="206"/>
      <c r="F604" s="38" t="b">
        <v>0</v>
      </c>
      <c r="G604" s="39" t="str">
        <f t="array" ref="G604">_xlfn.XLOOKUP($B604, DB[samplingPoint], DB[noLocation])</f>
        <v>WATER SYSTEM (B12)</v>
      </c>
      <c r="H604" s="33" t="s">
        <v>437</v>
      </c>
      <c r="I604" s="40" t="str">
        <f t="array" ref="I604">_xlfn.XLOOKUP($B604, DB[samplingPoint], DB[location])</f>
        <v>Return loop (B12)</v>
      </c>
      <c r="J604" s="39" t="str">
        <f t="array" ref="J604">_xlfn.XLOOKUP($B604, DB[samplingPoint], DB[waterType])</f>
        <v>PW</v>
      </c>
      <c r="K604" s="43">
        <f t="shared" si="34"/>
        <v>46273</v>
      </c>
      <c r="L604" s="26"/>
      <c r="M604" s="32"/>
      <c r="N604" s="32"/>
      <c r="O604" s="32" t="str">
        <f t="shared" si="20"/>
        <v/>
      </c>
      <c r="P604" s="49"/>
      <c r="Q604" s="49"/>
      <c r="R604" s="32">
        <f t="array" ref="R604">_xlfn.XLOOKUP($B604, DB[samplingPoint], DB[Criteria])</f>
        <v>100</v>
      </c>
      <c r="S604" s="50" t="str">
        <f t="shared" si="3"/>
        <v>NOT-PASSED</v>
      </c>
      <c r="T604" s="38" t="b">
        <v>0</v>
      </c>
      <c r="U604" s="39"/>
      <c r="V604" s="32"/>
    </row>
    <row r="605" ht="22.5" customHeight="1">
      <c r="A605" s="26">
        <v>46273.0</v>
      </c>
      <c r="B605" s="27" t="s">
        <v>518</v>
      </c>
      <c r="C605" s="195" t="s">
        <v>760</v>
      </c>
      <c r="D605" s="33" t="s">
        <v>500</v>
      </c>
      <c r="E605" s="35"/>
      <c r="F605" s="38" t="b">
        <v>0</v>
      </c>
      <c r="G605" s="39" t="str">
        <f t="array" ref="G605">_xlfn.XLOOKUP($B605, DB[samplingPoint], DB[noLocation])</f>
        <v>12-2-036</v>
      </c>
      <c r="H605" s="33" t="s">
        <v>437</v>
      </c>
      <c r="I605" s="40" t="str">
        <f t="array" ref="I605">_xlfn.XLOOKUP($B605, DB[samplingPoint], DB[location])</f>
        <v>CIP 1</v>
      </c>
      <c r="J605" s="39" t="str">
        <f t="array" ref="J605">_xlfn.XLOOKUP($B605, DB[samplingPoint], DB[waterType])</f>
        <v>PW</v>
      </c>
      <c r="K605" s="43">
        <f t="shared" si="34"/>
        <v>46273</v>
      </c>
      <c r="L605" s="26"/>
      <c r="M605" s="32"/>
      <c r="N605" s="32"/>
      <c r="O605" s="32" t="str">
        <f t="shared" si="20"/>
        <v/>
      </c>
      <c r="P605" s="49"/>
      <c r="Q605" s="49"/>
      <c r="R605" s="32">
        <f t="array" ref="R605">_xlfn.XLOOKUP($B605, DB[samplingPoint], DB[Criteria])</f>
        <v>100</v>
      </c>
      <c r="S605" s="50" t="str">
        <f t="shared" si="3"/>
        <v>NOT-PASSED</v>
      </c>
      <c r="T605" s="38" t="b">
        <v>0</v>
      </c>
      <c r="U605" s="39"/>
      <c r="V605" s="32"/>
    </row>
    <row r="606" ht="22.5" customHeight="1">
      <c r="A606" s="26">
        <v>46273.0</v>
      </c>
      <c r="B606" s="27" t="s">
        <v>517</v>
      </c>
      <c r="C606" s="195" t="s">
        <v>763</v>
      </c>
      <c r="D606" s="33" t="s">
        <v>500</v>
      </c>
      <c r="E606" s="35"/>
      <c r="F606" s="38" t="b">
        <v>0</v>
      </c>
      <c r="G606" s="39" t="str">
        <f t="array" ref="G606">_xlfn.XLOOKUP($B606, DB[samplingPoint], DB[noLocation])</f>
        <v>12-2-034</v>
      </c>
      <c r="H606" s="33" t="s">
        <v>437</v>
      </c>
      <c r="I606" s="40" t="str">
        <f t="array" ref="I606">_xlfn.XLOOKUP($B606, DB[samplingPoint], DB[location])</f>
        <v>SYRUP PREPARATION</v>
      </c>
      <c r="J606" s="39" t="str">
        <f t="array" ref="J606">_xlfn.XLOOKUP($B606, DB[samplingPoint], DB[waterType])</f>
        <v>PW</v>
      </c>
      <c r="K606" s="43">
        <f t="shared" si="34"/>
        <v>46273</v>
      </c>
      <c r="L606" s="26"/>
      <c r="M606" s="32"/>
      <c r="N606" s="32"/>
      <c r="O606" s="32" t="str">
        <f t="shared" si="20"/>
        <v/>
      </c>
      <c r="P606" s="49"/>
      <c r="Q606" s="49"/>
      <c r="R606" s="32">
        <f t="array" ref="R606">_xlfn.XLOOKUP($B606, DB[samplingPoint], DB[Criteria])</f>
        <v>100</v>
      </c>
      <c r="S606" s="50" t="str">
        <f t="shared" si="3"/>
        <v>NOT-PASSED</v>
      </c>
      <c r="T606" s="38" t="b">
        <v>0</v>
      </c>
      <c r="U606" s="39"/>
      <c r="V606" s="32"/>
    </row>
    <row r="607" ht="22.5" customHeight="1">
      <c r="A607" s="26">
        <v>46273.0</v>
      </c>
      <c r="B607" s="27" t="s">
        <v>516</v>
      </c>
      <c r="C607" s="195" t="s">
        <v>767</v>
      </c>
      <c r="D607" s="33" t="s">
        <v>500</v>
      </c>
      <c r="E607" s="35"/>
      <c r="F607" s="38" t="b">
        <v>0</v>
      </c>
      <c r="G607" s="39" t="str">
        <f t="array" ref="G607">_xlfn.XLOOKUP($B607, DB[samplingPoint], DB[noLocation])</f>
        <v>12-2-034</v>
      </c>
      <c r="H607" s="33" t="s">
        <v>437</v>
      </c>
      <c r="I607" s="40" t="str">
        <f t="array" ref="I607">_xlfn.XLOOKUP($B607, DB[samplingPoint], DB[location])</f>
        <v>SYRUP PREPARATION</v>
      </c>
      <c r="J607" s="39" t="str">
        <f t="array" ref="J607">_xlfn.XLOOKUP($B607, DB[samplingPoint], DB[waterType])</f>
        <v>PW</v>
      </c>
      <c r="K607" s="43">
        <f t="shared" si="34"/>
        <v>46273</v>
      </c>
      <c r="L607" s="26"/>
      <c r="M607" s="32"/>
      <c r="N607" s="32"/>
      <c r="O607" s="32" t="str">
        <f t="shared" si="20"/>
        <v/>
      </c>
      <c r="P607" s="49"/>
      <c r="Q607" s="49"/>
      <c r="R607" s="32">
        <f t="array" ref="R607">_xlfn.XLOOKUP($B607, DB[samplingPoint], DB[Criteria])</f>
        <v>100</v>
      </c>
      <c r="S607" s="50" t="str">
        <f t="shared" si="3"/>
        <v>NOT-PASSED</v>
      </c>
      <c r="T607" s="38" t="b">
        <v>0</v>
      </c>
      <c r="U607" s="39"/>
      <c r="V607" s="32"/>
    </row>
    <row r="608" ht="22.5" customHeight="1">
      <c r="A608" s="26">
        <v>46273.0</v>
      </c>
      <c r="B608" s="27" t="s">
        <v>510</v>
      </c>
      <c r="C608" s="207" t="s">
        <v>783</v>
      </c>
      <c r="D608" s="33" t="s">
        <v>500</v>
      </c>
      <c r="E608" s="35"/>
      <c r="F608" s="38" t="b">
        <v>0</v>
      </c>
      <c r="G608" s="39" t="str">
        <f t="array" ref="G608">_xlfn.XLOOKUP($B608, DB[samplingPoint], DB[noLocation])</f>
        <v>12-2-032</v>
      </c>
      <c r="H608" s="33" t="s">
        <v>437</v>
      </c>
      <c r="I608" s="40" t="str">
        <f t="array" ref="I608">_xlfn.XLOOKUP($B608, DB[samplingPoint], DB[location])</f>
        <v>CAMPHORATED OPIUM TINCTURE</v>
      </c>
      <c r="J608" s="39" t="str">
        <f t="array" ref="J608">_xlfn.XLOOKUP($B608, DB[samplingPoint], DB[waterType])</f>
        <v>PW</v>
      </c>
      <c r="K608" s="43">
        <f t="shared" si="34"/>
        <v>46273</v>
      </c>
      <c r="L608" s="26"/>
      <c r="M608" s="32"/>
      <c r="N608" s="32"/>
      <c r="O608" s="32" t="str">
        <f t="shared" si="20"/>
        <v/>
      </c>
      <c r="P608" s="49"/>
      <c r="Q608" s="49"/>
      <c r="R608" s="32">
        <f t="array" ref="R608">_xlfn.XLOOKUP($B608, DB[samplingPoint], DB[Criteria])</f>
        <v>100</v>
      </c>
      <c r="S608" s="50" t="str">
        <f t="shared" si="3"/>
        <v>NOT-PASSED</v>
      </c>
      <c r="T608" s="38" t="b">
        <v>0</v>
      </c>
      <c r="U608" s="39"/>
      <c r="V608" s="32"/>
    </row>
    <row r="609" ht="22.5" customHeight="1">
      <c r="A609" s="26">
        <v>46273.0</v>
      </c>
      <c r="B609" s="58" t="s">
        <v>514</v>
      </c>
      <c r="C609" s="208" t="s">
        <v>787</v>
      </c>
      <c r="D609" s="33" t="s">
        <v>500</v>
      </c>
      <c r="E609" s="35"/>
      <c r="F609" s="38" t="b">
        <v>0</v>
      </c>
      <c r="G609" s="39" t="str">
        <f t="array" ref="G609">_xlfn.XLOOKUP($B609, DB[samplingPoint], DB[noLocation])</f>
        <v>12-2-032</v>
      </c>
      <c r="H609" s="33" t="s">
        <v>437</v>
      </c>
      <c r="I609" s="40" t="str">
        <f t="array" ref="I609">_xlfn.XLOOKUP($B609, DB[samplingPoint], DB[location])</f>
        <v>CAMPHORATED OPIUM TINCTURE</v>
      </c>
      <c r="J609" s="39" t="str">
        <f t="array" ref="J609">_xlfn.XLOOKUP($B609, DB[samplingPoint], DB[waterType])</f>
        <v>PW</v>
      </c>
      <c r="K609" s="43">
        <f t="shared" si="34"/>
        <v>46273</v>
      </c>
      <c r="L609" s="26"/>
      <c r="M609" s="32"/>
      <c r="N609" s="32"/>
      <c r="O609" s="32" t="str">
        <f t="shared" si="20"/>
        <v/>
      </c>
      <c r="P609" s="49"/>
      <c r="Q609" s="49"/>
      <c r="R609" s="32">
        <f t="array" ref="R609">_xlfn.XLOOKUP($B609, DB[samplingPoint], DB[Criteria])</f>
        <v>100</v>
      </c>
      <c r="S609" s="50" t="str">
        <f t="shared" si="3"/>
        <v>NOT-PASSED</v>
      </c>
      <c r="T609" s="38" t="b">
        <v>0</v>
      </c>
      <c r="U609" s="39"/>
      <c r="V609" s="32"/>
    </row>
    <row r="610" ht="22.5" customHeight="1">
      <c r="A610" s="26">
        <v>46273.0</v>
      </c>
      <c r="B610" s="27" t="s">
        <v>513</v>
      </c>
      <c r="C610" s="207" t="s">
        <v>788</v>
      </c>
      <c r="D610" s="33" t="s">
        <v>500</v>
      </c>
      <c r="E610" s="35"/>
      <c r="F610" s="38" t="b">
        <v>0</v>
      </c>
      <c r="G610" s="39" t="str">
        <f t="array" ref="G610">_xlfn.XLOOKUP($B610, DB[samplingPoint], DB[noLocation])</f>
        <v>12-2-030</v>
      </c>
      <c r="H610" s="33" t="s">
        <v>437</v>
      </c>
      <c r="I610" s="40" t="str">
        <f t="array" ref="I610">_xlfn.XLOOKUP($B610, DB[samplingPoint], DB[location])</f>
        <v>OPIUM TINCTURE</v>
      </c>
      <c r="J610" s="39" t="str">
        <f t="array" ref="J610">_xlfn.XLOOKUP($B610, DB[samplingPoint], DB[waterType])</f>
        <v>PW</v>
      </c>
      <c r="K610" s="43">
        <f t="shared" si="34"/>
        <v>46273</v>
      </c>
      <c r="L610" s="26"/>
      <c r="M610" s="32"/>
      <c r="N610" s="32"/>
      <c r="O610" s="32" t="str">
        <f t="shared" si="20"/>
        <v/>
      </c>
      <c r="P610" s="49"/>
      <c r="Q610" s="49"/>
      <c r="R610" s="32">
        <f t="array" ref="R610">_xlfn.XLOOKUP($B610, DB[samplingPoint], DB[Criteria])</f>
        <v>100</v>
      </c>
      <c r="S610" s="50" t="str">
        <f t="shared" si="3"/>
        <v>NOT-PASSED</v>
      </c>
      <c r="T610" s="38" t="b">
        <v>0</v>
      </c>
      <c r="U610" s="39"/>
      <c r="V610" s="32"/>
    </row>
    <row r="611" ht="22.5" customHeight="1">
      <c r="A611" s="26">
        <v>46273.0</v>
      </c>
      <c r="B611" s="58" t="s">
        <v>506</v>
      </c>
      <c r="C611" s="208" t="s">
        <v>791</v>
      </c>
      <c r="D611" s="33" t="s">
        <v>500</v>
      </c>
      <c r="E611" s="35"/>
      <c r="F611" s="38" t="b">
        <v>0</v>
      </c>
      <c r="G611" s="39" t="str">
        <f t="array" ref="G611">_xlfn.XLOOKUP($B611, DB[samplingPoint], DB[noLocation])</f>
        <v>12-2-028</v>
      </c>
      <c r="H611" s="33" t="s">
        <v>437</v>
      </c>
      <c r="I611" s="40" t="str">
        <f t="array" ref="I611">_xlfn.XLOOKUP($B611, DB[samplingPoint], DB[location])</f>
        <v>ALCOHOL STORAGE</v>
      </c>
      <c r="J611" s="39" t="str">
        <f t="array" ref="J611">_xlfn.XLOOKUP($B611, DB[samplingPoint], DB[waterType])</f>
        <v>PW</v>
      </c>
      <c r="K611" s="43">
        <f t="shared" si="34"/>
        <v>46273</v>
      </c>
      <c r="L611" s="26"/>
      <c r="M611" s="32"/>
      <c r="N611" s="32"/>
      <c r="O611" s="32" t="str">
        <f t="shared" si="20"/>
        <v/>
      </c>
      <c r="P611" s="49"/>
      <c r="Q611" s="49"/>
      <c r="R611" s="32">
        <f t="array" ref="R611">_xlfn.XLOOKUP($B611, DB[samplingPoint], DB[Criteria])</f>
        <v>100</v>
      </c>
      <c r="S611" s="50" t="str">
        <f t="shared" si="3"/>
        <v>NOT-PASSED</v>
      </c>
      <c r="T611" s="38" t="b">
        <v>0</v>
      </c>
      <c r="U611" s="39"/>
      <c r="V611" s="32"/>
    </row>
    <row r="612" ht="22.5" customHeight="1">
      <c r="A612" s="26">
        <v>46273.0</v>
      </c>
      <c r="B612" s="58" t="s">
        <v>508</v>
      </c>
      <c r="C612" s="208" t="s">
        <v>828</v>
      </c>
      <c r="D612" s="33" t="s">
        <v>500</v>
      </c>
      <c r="E612" s="35"/>
      <c r="F612" s="38" t="b">
        <v>0</v>
      </c>
      <c r="G612" s="39" t="str">
        <f t="array" ref="G612">_xlfn.XLOOKUP($B612, DB[samplingPoint], DB[noLocation])</f>
        <v>12-3-039</v>
      </c>
      <c r="H612" s="33" t="s">
        <v>437</v>
      </c>
      <c r="I612" s="40" t="str">
        <f t="array" ref="I612">_xlfn.XLOOKUP($B612, DB[samplingPoint], DB[location])</f>
        <v>INSTRUMENT 7</v>
      </c>
      <c r="J612" s="39" t="str">
        <f t="array" ref="J612">_xlfn.XLOOKUP($B612, DB[samplingPoint], DB[waterType])</f>
        <v>PW</v>
      </c>
      <c r="K612" s="43">
        <f t="shared" si="34"/>
        <v>46273</v>
      </c>
      <c r="L612" s="26"/>
      <c r="M612" s="32"/>
      <c r="N612" s="32"/>
      <c r="O612" s="32" t="str">
        <f t="shared" si="20"/>
        <v/>
      </c>
      <c r="P612" s="49"/>
      <c r="Q612" s="49"/>
      <c r="R612" s="32">
        <f t="array" ref="R612">_xlfn.XLOOKUP($B612, DB[samplingPoint], DB[Criteria])</f>
        <v>100</v>
      </c>
      <c r="S612" s="50" t="str">
        <f t="shared" si="3"/>
        <v>NOT-PASSED</v>
      </c>
      <c r="T612" s="38" t="b">
        <v>0</v>
      </c>
      <c r="U612" s="39"/>
      <c r="V612" s="32"/>
    </row>
    <row r="613" ht="22.5" customHeight="1">
      <c r="A613" s="26">
        <v>46273.0</v>
      </c>
      <c r="B613" s="27" t="s">
        <v>471</v>
      </c>
      <c r="C613" s="195" t="s">
        <v>836</v>
      </c>
      <c r="D613" s="33" t="s">
        <v>500</v>
      </c>
      <c r="E613" s="35"/>
      <c r="F613" s="38" t="b">
        <v>0</v>
      </c>
      <c r="G613" s="39" t="str">
        <f t="array" ref="G613">_xlfn.XLOOKUP($B613, DB[samplingPoint], DB[noLocation])</f>
        <v>WATER SYSTEM (B16)</v>
      </c>
      <c r="H613" s="33" t="s">
        <v>327</v>
      </c>
      <c r="I613" s="40" t="str">
        <f t="array" ref="I613">_xlfn.XLOOKUP($B613, DB[samplingPoint], DB[location])</f>
        <v>After Chlorine circulation tank (B16)</v>
      </c>
      <c r="J613" s="39" t="str">
        <f t="array" ref="J613">_xlfn.XLOOKUP($B613, DB[samplingPoint], DB[waterType])</f>
        <v>PRW</v>
      </c>
      <c r="K613" s="43">
        <f t="shared" si="34"/>
        <v>46273</v>
      </c>
      <c r="L613" s="26"/>
      <c r="M613" s="32"/>
      <c r="N613" s="32"/>
      <c r="O613" s="32" t="str">
        <f t="shared" si="20"/>
        <v/>
      </c>
      <c r="P613" s="49"/>
      <c r="Q613" s="49"/>
      <c r="R613" s="32">
        <f t="array" ref="R613">_xlfn.XLOOKUP($B613, DB[samplingPoint], DB[Criteria])</f>
        <v>500</v>
      </c>
      <c r="S613" s="50" t="str">
        <f t="shared" si="3"/>
        <v>NOT-PASSED</v>
      </c>
      <c r="T613" s="38" t="b">
        <v>0</v>
      </c>
      <c r="U613" s="39"/>
      <c r="V613" s="32"/>
    </row>
    <row r="614" ht="22.5" customHeight="1">
      <c r="A614" s="26">
        <v>46273.0</v>
      </c>
      <c r="B614" s="27" t="s">
        <v>470</v>
      </c>
      <c r="C614" s="195" t="s">
        <v>838</v>
      </c>
      <c r="D614" s="33" t="s">
        <v>500</v>
      </c>
      <c r="E614" s="35"/>
      <c r="F614" s="38" t="b">
        <v>0</v>
      </c>
      <c r="G614" s="39" t="str">
        <f t="array" ref="G614">_xlfn.XLOOKUP($B614, DB[samplingPoint], DB[noLocation])</f>
        <v>WATER SYSTEM (B16)</v>
      </c>
      <c r="H614" s="33" t="s">
        <v>327</v>
      </c>
      <c r="I614" s="40" t="str">
        <f t="array" ref="I614">_xlfn.XLOOKUP($B614, DB[samplingPoint], DB[location])</f>
        <v>After Cartridge filter 5 µm (B16)</v>
      </c>
      <c r="J614" s="39" t="str">
        <f t="array" ref="J614">_xlfn.XLOOKUP($B614, DB[samplingPoint], DB[waterType])</f>
        <v>PRW</v>
      </c>
      <c r="K614" s="43">
        <f t="shared" si="34"/>
        <v>46273</v>
      </c>
      <c r="L614" s="26"/>
      <c r="M614" s="32"/>
      <c r="N614" s="32"/>
      <c r="O614" s="32" t="str">
        <f t="shared" si="20"/>
        <v/>
      </c>
      <c r="P614" s="49"/>
      <c r="Q614" s="49"/>
      <c r="R614" s="32">
        <f t="array" ref="R614">_xlfn.XLOOKUP($B614, DB[samplingPoint], DB[Criteria])</f>
        <v>500</v>
      </c>
      <c r="S614" s="50" t="str">
        <f t="shared" si="3"/>
        <v>NOT-PASSED</v>
      </c>
      <c r="T614" s="38" t="b">
        <v>0</v>
      </c>
      <c r="U614" s="39"/>
      <c r="V614" s="32"/>
    </row>
    <row r="615" ht="22.5" customHeight="1">
      <c r="A615" s="26">
        <v>46273.0</v>
      </c>
      <c r="B615" s="27" t="s">
        <v>466</v>
      </c>
      <c r="C615" s="195" t="s">
        <v>839</v>
      </c>
      <c r="D615" s="33" t="s">
        <v>500</v>
      </c>
      <c r="E615" s="35"/>
      <c r="F615" s="38" t="b">
        <v>0</v>
      </c>
      <c r="G615" s="39" t="str">
        <f t="array" ref="G615">_xlfn.XLOOKUP($B615, DB[samplingPoint], DB[noLocation])</f>
        <v>WATER SYSTEM (B16)</v>
      </c>
      <c r="H615" s="33" t="s">
        <v>327</v>
      </c>
      <c r="I615" s="40" t="str">
        <f t="array" ref="I615">_xlfn.XLOOKUP($B615, DB[samplingPoint], DB[location])</f>
        <v>After RO (Before EDI) (B16)</v>
      </c>
      <c r="J615" s="39" t="str">
        <f t="array" ref="J615">_xlfn.XLOOKUP($B615, DB[samplingPoint], DB[waterType])</f>
        <v>RO water</v>
      </c>
      <c r="K615" s="43">
        <f t="shared" si="34"/>
        <v>46273</v>
      </c>
      <c r="L615" s="26"/>
      <c r="M615" s="32"/>
      <c r="N615" s="32"/>
      <c r="O615" s="32" t="str">
        <f t="shared" si="20"/>
        <v/>
      </c>
      <c r="P615" s="49"/>
      <c r="Q615" s="49"/>
      <c r="R615" s="32">
        <f t="array" ref="R615">_xlfn.XLOOKUP($B615, DB[samplingPoint], DB[Criteria])</f>
        <v>500</v>
      </c>
      <c r="S615" s="50" t="str">
        <f t="shared" si="3"/>
        <v>NOT-PASSED</v>
      </c>
      <c r="T615" s="38" t="b">
        <v>0</v>
      </c>
      <c r="U615" s="39"/>
      <c r="V615" s="32"/>
    </row>
    <row r="616" ht="22.5" customHeight="1">
      <c r="A616" s="26">
        <v>46273.0</v>
      </c>
      <c r="B616" s="27" t="s">
        <v>468</v>
      </c>
      <c r="C616" s="195" t="s">
        <v>841</v>
      </c>
      <c r="D616" s="33" t="s">
        <v>500</v>
      </c>
      <c r="E616" s="35"/>
      <c r="F616" s="38" t="b">
        <v>0</v>
      </c>
      <c r="G616" s="39" t="str">
        <f t="array" ref="G616">_xlfn.XLOOKUP($B616, DB[samplingPoint], DB[noLocation])</f>
        <v>WATER SYSTEM (B16)</v>
      </c>
      <c r="H616" s="33" t="s">
        <v>327</v>
      </c>
      <c r="I616" s="40" t="str">
        <f t="array" ref="I616">_xlfn.XLOOKUP($B616, DB[samplingPoint], DB[location])</f>
        <v>After EDI (B16)</v>
      </c>
      <c r="J616" s="39" t="str">
        <f t="array" ref="J616">_xlfn.XLOOKUP($B616, DB[samplingPoint], DB[waterType])</f>
        <v>PW</v>
      </c>
      <c r="K616" s="43">
        <f t="shared" si="34"/>
        <v>46273</v>
      </c>
      <c r="L616" s="26"/>
      <c r="M616" s="32"/>
      <c r="N616" s="32"/>
      <c r="O616" s="32" t="str">
        <f t="shared" si="20"/>
        <v/>
      </c>
      <c r="P616" s="49"/>
      <c r="Q616" s="49"/>
      <c r="R616" s="32">
        <f t="array" ref="R616">_xlfn.XLOOKUP($B616, DB[samplingPoint], DB[Criteria])</f>
        <v>100</v>
      </c>
      <c r="S616" s="50" t="str">
        <f t="shared" si="3"/>
        <v>NOT-PASSED</v>
      </c>
      <c r="T616" s="38" t="b">
        <v>0</v>
      </c>
      <c r="U616" s="39"/>
      <c r="V616" s="32"/>
    </row>
    <row r="617" ht="22.5" customHeight="1">
      <c r="A617" s="26">
        <v>46273.0</v>
      </c>
      <c r="B617" s="27" t="s">
        <v>464</v>
      </c>
      <c r="C617" s="195" t="s">
        <v>848</v>
      </c>
      <c r="D617" s="33" t="s">
        <v>500</v>
      </c>
      <c r="E617" s="35"/>
      <c r="F617" s="38" t="b">
        <v>0</v>
      </c>
      <c r="G617" s="39" t="str">
        <f t="array" ref="G617">_xlfn.XLOOKUP($B617, DB[samplingPoint], DB[noLocation])</f>
        <v>WATER SYSTEM (B16)</v>
      </c>
      <c r="H617" s="33" t="s">
        <v>327</v>
      </c>
      <c r="I617" s="40" t="str">
        <f t="array" ref="I617">_xlfn.XLOOKUP($B617, DB[samplingPoint], DB[location])</f>
        <v>Return loop (B16)</v>
      </c>
      <c r="J617" s="39" t="str">
        <f t="array" ref="J617">_xlfn.XLOOKUP($B617, DB[samplingPoint], DB[waterType])</f>
        <v>PW</v>
      </c>
      <c r="K617" s="43">
        <f t="shared" si="34"/>
        <v>46273</v>
      </c>
      <c r="L617" s="26"/>
      <c r="M617" s="32"/>
      <c r="N617" s="32"/>
      <c r="O617" s="32" t="str">
        <f t="shared" si="20"/>
        <v/>
      </c>
      <c r="P617" s="49"/>
      <c r="Q617" s="49"/>
      <c r="R617" s="32">
        <f t="array" ref="R617">_xlfn.XLOOKUP($B617, DB[samplingPoint], DB[Criteria])</f>
        <v>100</v>
      </c>
      <c r="S617" s="50" t="str">
        <f t="shared" si="3"/>
        <v>NOT-PASSED</v>
      </c>
      <c r="T617" s="38" t="b">
        <v>0</v>
      </c>
      <c r="U617" s="39"/>
      <c r="V617" s="32"/>
    </row>
    <row r="618" ht="22.5" customHeight="1">
      <c r="A618" s="26">
        <v>46273.0</v>
      </c>
      <c r="B618" s="27" t="s">
        <v>553</v>
      </c>
      <c r="C618" s="207" t="s">
        <v>868</v>
      </c>
      <c r="D618" s="33" t="s">
        <v>500</v>
      </c>
      <c r="E618" s="35"/>
      <c r="F618" s="38" t="b">
        <v>0</v>
      </c>
      <c r="G618" s="39" t="str">
        <f t="array" ref="G618">_xlfn.XLOOKUP($B618, DB[samplingPoint], DB[noLocation])</f>
        <v>16-3-069</v>
      </c>
      <c r="H618" s="33" t="s">
        <v>327</v>
      </c>
      <c r="I618" s="40" t="str">
        <f t="array" ref="I618">_xlfn.XLOOKUP($B618, DB[samplingPoint], DB[location])</f>
        <v>MFG 2</v>
      </c>
      <c r="J618" s="39" t="str">
        <f t="array" ref="J618">_xlfn.XLOOKUP($B618, DB[samplingPoint], DB[waterType])</f>
        <v>PW</v>
      </c>
      <c r="K618" s="43">
        <f t="shared" si="34"/>
        <v>46273</v>
      </c>
      <c r="L618" s="26"/>
      <c r="M618" s="32"/>
      <c r="N618" s="32"/>
      <c r="O618" s="32" t="str">
        <f t="shared" si="20"/>
        <v/>
      </c>
      <c r="P618" s="49"/>
      <c r="Q618" s="49"/>
      <c r="R618" s="32">
        <f t="array" ref="R618">_xlfn.XLOOKUP($B618, DB[samplingPoint], DB[Criteria])</f>
        <v>100</v>
      </c>
      <c r="S618" s="50" t="str">
        <f t="shared" si="3"/>
        <v>NOT-PASSED</v>
      </c>
      <c r="T618" s="38" t="b">
        <v>0</v>
      </c>
      <c r="U618" s="39"/>
      <c r="V618" s="32"/>
    </row>
    <row r="619" ht="22.5" customHeight="1">
      <c r="A619" s="26">
        <v>46273.0</v>
      </c>
      <c r="B619" s="58" t="s">
        <v>555</v>
      </c>
      <c r="C619" s="208" t="s">
        <v>870</v>
      </c>
      <c r="D619" s="33" t="s">
        <v>500</v>
      </c>
      <c r="E619" s="35"/>
      <c r="F619" s="38" t="b">
        <v>0</v>
      </c>
      <c r="G619" s="39" t="str">
        <f t="array" ref="G619">_xlfn.XLOOKUP($B619, DB[samplingPoint], DB[noLocation])</f>
        <v>16-3-069</v>
      </c>
      <c r="H619" s="33" t="s">
        <v>327</v>
      </c>
      <c r="I619" s="40" t="str">
        <f t="array" ref="I619">_xlfn.XLOOKUP($B619, DB[samplingPoint], DB[location])</f>
        <v>MFG 2</v>
      </c>
      <c r="J619" s="39" t="str">
        <f t="array" ref="J619">_xlfn.XLOOKUP($B619, DB[samplingPoint], DB[waterType])</f>
        <v>PW</v>
      </c>
      <c r="K619" s="43">
        <f t="shared" si="34"/>
        <v>46273</v>
      </c>
      <c r="L619" s="26"/>
      <c r="M619" s="32"/>
      <c r="N619" s="32"/>
      <c r="O619" s="32" t="str">
        <f t="shared" si="20"/>
        <v/>
      </c>
      <c r="P619" s="49"/>
      <c r="Q619" s="49"/>
      <c r="R619" s="32">
        <f t="array" ref="R619">_xlfn.XLOOKUP($B619, DB[samplingPoint], DB[Criteria])</f>
        <v>100</v>
      </c>
      <c r="S619" s="50" t="str">
        <f t="shared" si="3"/>
        <v>NOT-PASSED</v>
      </c>
      <c r="T619" s="38" t="b">
        <v>0</v>
      </c>
      <c r="U619" s="39"/>
      <c r="V619" s="32"/>
    </row>
    <row r="620" ht="22.5" customHeight="1">
      <c r="A620" s="26">
        <v>46273.0</v>
      </c>
      <c r="B620" s="27" t="s">
        <v>557</v>
      </c>
      <c r="C620" s="207" t="s">
        <v>872</v>
      </c>
      <c r="D620" s="33" t="s">
        <v>500</v>
      </c>
      <c r="E620" s="35"/>
      <c r="F620" s="38" t="b">
        <v>0</v>
      </c>
      <c r="G620" s="39" t="str">
        <f t="array" ref="G620">_xlfn.XLOOKUP($B620, DB[samplingPoint], DB[noLocation])</f>
        <v>16-3-071</v>
      </c>
      <c r="H620" s="33" t="s">
        <v>327</v>
      </c>
      <c r="I620" s="40" t="str">
        <f t="array" ref="I620">_xlfn.XLOOKUP($B620, DB[samplingPoint], DB[location])</f>
        <v>MFG 3 (1200L)</v>
      </c>
      <c r="J620" s="39" t="str">
        <f t="array" ref="J620">_xlfn.XLOOKUP($B620, DB[samplingPoint], DB[waterType])</f>
        <v>PW</v>
      </c>
      <c r="K620" s="43">
        <f t="shared" si="34"/>
        <v>46273</v>
      </c>
      <c r="L620" s="26"/>
      <c r="M620" s="32"/>
      <c r="N620" s="32"/>
      <c r="O620" s="32" t="str">
        <f t="shared" si="20"/>
        <v/>
      </c>
      <c r="P620" s="49"/>
      <c r="Q620" s="49"/>
      <c r="R620" s="32">
        <f t="array" ref="R620">_xlfn.XLOOKUP($B620, DB[samplingPoint], DB[Criteria])</f>
        <v>100</v>
      </c>
      <c r="S620" s="50" t="str">
        <f t="shared" si="3"/>
        <v>NOT-PASSED</v>
      </c>
      <c r="T620" s="38" t="b">
        <v>0</v>
      </c>
      <c r="U620" s="39"/>
      <c r="V620" s="32"/>
    </row>
    <row r="621" ht="22.5" customHeight="1">
      <c r="A621" s="26">
        <v>46273.0</v>
      </c>
      <c r="B621" s="58" t="s">
        <v>561</v>
      </c>
      <c r="C621" s="208" t="s">
        <v>875</v>
      </c>
      <c r="D621" s="33" t="s">
        <v>500</v>
      </c>
      <c r="E621" s="35"/>
      <c r="F621" s="38" t="b">
        <v>0</v>
      </c>
      <c r="G621" s="39" t="str">
        <f t="array" ref="G621">_xlfn.XLOOKUP($B621, DB[samplingPoint], DB[noLocation])</f>
        <v>16-3-071</v>
      </c>
      <c r="H621" s="33" t="s">
        <v>327</v>
      </c>
      <c r="I621" s="40" t="str">
        <f t="array" ref="I621">_xlfn.XLOOKUP($B621, DB[samplingPoint], DB[location])</f>
        <v>MFG 3 (5000L)</v>
      </c>
      <c r="J621" s="39" t="str">
        <f t="array" ref="J621">_xlfn.XLOOKUP($B621, DB[samplingPoint], DB[waterType])</f>
        <v>PW</v>
      </c>
      <c r="K621" s="43">
        <f t="shared" si="34"/>
        <v>46273</v>
      </c>
      <c r="L621" s="26"/>
      <c r="M621" s="32"/>
      <c r="N621" s="32"/>
      <c r="O621" s="32" t="str">
        <f t="shared" si="20"/>
        <v/>
      </c>
      <c r="P621" s="49"/>
      <c r="Q621" s="49"/>
      <c r="R621" s="32">
        <f t="array" ref="R621">_xlfn.XLOOKUP($B621, DB[samplingPoint], DB[Criteria])</f>
        <v>100</v>
      </c>
      <c r="S621" s="50" t="str">
        <f t="shared" si="3"/>
        <v>NOT-PASSED</v>
      </c>
      <c r="T621" s="38" t="b">
        <v>0</v>
      </c>
      <c r="U621" s="39"/>
      <c r="V621" s="32"/>
    </row>
  </sheetData>
  <conditionalFormatting sqref="E1:E621">
    <cfRule type="containsBlanks" dxfId="11" priority="1">
      <formula>LEN(TRIM(E1))=0</formula>
    </cfRule>
  </conditionalFormatting>
  <conditionalFormatting sqref="E1:E621">
    <cfRule type="notContainsBlanks" dxfId="12" priority="2">
      <formula>LEN(TRIM(E1))&gt;0</formula>
    </cfRule>
  </conditionalFormatting>
  <conditionalFormatting sqref="M2:M423 N2:N621 M438:M621">
    <cfRule type="containsBlanks" dxfId="13" priority="3">
      <formula>LEN(TRIM(M2))=0</formula>
    </cfRule>
  </conditionalFormatting>
  <conditionalFormatting sqref="U2:U621">
    <cfRule type="containsText" dxfId="8" priority="4" operator="containsText" text="Complete">
      <formula>NOT(ISERROR(SEARCH(("Complete"),(U2))))</formula>
    </cfRule>
  </conditionalFormatting>
  <conditionalFormatting sqref="U2:U621">
    <cfRule type="containsText" dxfId="9" priority="5" operator="containsText" text="Pending">
      <formula>NOT(ISERROR(SEARCH(("Pending"),(U2))))</formula>
    </cfRule>
  </conditionalFormatting>
  <dataValidations>
    <dataValidation type="list" allowBlank="1" sqref="H2:H621">
      <formula1>"Building 12,Building 16,Building 19,Building 10,#N/A"</formula1>
    </dataValidation>
    <dataValidation type="custom" allowBlank="1" showDropDown="1" sqref="A2:A621 K2:L621">
      <formula1>OR(NOT(ISERROR(DATEVALUE(A2))), AND(ISNUMBER(A2), LEFT(CELL("format", A2))="D"))</formula1>
    </dataValidation>
    <dataValidation type="list" allowBlank="1" sqref="D2:D621">
      <formula1>"PQ3-Week1,PQ3-Week2,PQ3-Week3,PQ3-Week4,Speacial"</formula1>
    </dataValidation>
    <dataValidation allowBlank="1" showDropDown="1" sqref="B2:B621 G2:G621 I2:J621 U2:U621"/>
  </dataValidations>
  <drawing r:id="rId4"/>
  <legacy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4" max="4" width="15.5"/>
    <col customWidth="1" min="5" max="5" width="17.25"/>
    <col customWidth="1" min="6" max="6" width="10.88"/>
    <col customWidth="1" min="8" max="8" width="14.75"/>
    <col customWidth="1" min="9" max="9" width="27.13"/>
    <col customWidth="1" min="12" max="12" width="17.75"/>
    <col customWidth="1" min="14" max="14" width="14.38"/>
    <col customWidth="1" min="15" max="16" width="21.13"/>
    <col customWidth="1" min="19" max="19" width="14.63"/>
    <col customWidth="1" min="20" max="20" width="13.38"/>
  </cols>
  <sheetData>
    <row r="1" ht="22.5" customHeight="1">
      <c r="A1" s="11" t="s">
        <v>15</v>
      </c>
      <c r="B1" s="11" t="s">
        <v>17</v>
      </c>
      <c r="C1" s="11" t="s">
        <v>19</v>
      </c>
      <c r="D1" s="11" t="s">
        <v>21</v>
      </c>
      <c r="E1" s="23" t="s">
        <v>152</v>
      </c>
      <c r="F1" s="16" t="s">
        <v>32</v>
      </c>
      <c r="G1" s="11" t="s">
        <v>37</v>
      </c>
      <c r="H1" s="11" t="s">
        <v>41</v>
      </c>
      <c r="I1" s="11" t="s">
        <v>45</v>
      </c>
      <c r="J1" s="11" t="s">
        <v>47</v>
      </c>
      <c r="K1" s="11" t="s">
        <v>49</v>
      </c>
      <c r="L1" s="11" t="s">
        <v>52</v>
      </c>
      <c r="M1" s="11" t="s">
        <v>54</v>
      </c>
      <c r="N1" s="11" t="s">
        <v>61</v>
      </c>
      <c r="O1" s="42" t="s">
        <v>64</v>
      </c>
      <c r="P1" s="23" t="s">
        <v>69</v>
      </c>
      <c r="Q1" s="23" t="s">
        <v>74</v>
      </c>
      <c r="R1" s="23" t="s">
        <v>78</v>
      </c>
      <c r="S1" s="23" t="s">
        <v>84</v>
      </c>
      <c r="T1" s="24" t="s">
        <v>90</v>
      </c>
      <c r="U1" s="24" t="s">
        <v>98</v>
      </c>
      <c r="V1" s="25"/>
      <c r="W1" s="25"/>
      <c r="X1" s="25"/>
      <c r="Y1" s="25"/>
      <c r="Z1" s="25"/>
    </row>
    <row r="2" ht="22.5" customHeight="1">
      <c r="A2" s="26">
        <v>46170.0</v>
      </c>
      <c r="B2" s="48" t="s">
        <v>225</v>
      </c>
      <c r="C2" s="32" t="str">
        <f t="array" ref="C2">_xlfn.XLOOKUP(B2, DB[samplingPoint], DB[samplingTag])</f>
        <v>SV216.05</v>
      </c>
      <c r="D2" s="33" t="s">
        <v>292</v>
      </c>
      <c r="E2" s="32" t="s">
        <v>70</v>
      </c>
      <c r="F2" s="38" t="b">
        <v>1</v>
      </c>
      <c r="G2" s="39" t="str">
        <f t="array" ref="G2">_xlfn.XLOOKUP($B2, DB[samplingPoint], DB[noLocation])</f>
        <v>16-1-110</v>
      </c>
      <c r="H2" s="33" t="s">
        <v>327</v>
      </c>
      <c r="I2" s="40" t="str">
        <f t="array" ref="I2">_xlfn.XLOOKUP($B2, DB[samplingPoint], DB[location])</f>
        <v>DISINFECTANT PREPARATION</v>
      </c>
      <c r="J2" s="39" t="str">
        <f t="array" ref="J2">_xlfn.XLOOKUP($B2, DB[samplingPoint], DB[waterType])</f>
        <v>WFI</v>
      </c>
      <c r="K2" s="43">
        <f t="shared" ref="K2:K3" si="1">$A2+2</f>
        <v>46172</v>
      </c>
      <c r="L2" s="26">
        <v>46175.0</v>
      </c>
      <c r="M2" s="53">
        <v>0.0</v>
      </c>
      <c r="N2" s="32">
        <f t="shared" ref="N2:N15" si="2">iferror(ROUNDUP(AVERAGE($M2), 0),"")</f>
        <v>0</v>
      </c>
      <c r="O2" s="55"/>
      <c r="P2" s="55"/>
      <c r="Q2" s="32"/>
      <c r="R2" s="50" t="str">
        <f t="shared" ref="R2:R201" si="3">iferror(ifs($N2&gt;Q2, "NOT-PASSED", N2&lt;=Q2, "PASSED"), "NA")</f>
        <v>PASSED</v>
      </c>
      <c r="S2" s="38" t="b">
        <v>0</v>
      </c>
      <c r="T2" s="39"/>
      <c r="U2" s="32" t="s">
        <v>304</v>
      </c>
    </row>
    <row r="3" ht="22.5" customHeight="1">
      <c r="A3" s="26">
        <v>46170.0</v>
      </c>
      <c r="B3" s="48" t="s">
        <v>365</v>
      </c>
      <c r="C3" s="32" t="str">
        <f t="array" ref="C3">_xlfn.XLOOKUP(B3, DB[samplingPoint], DB[samplingTag])</f>
        <v>SV216.10</v>
      </c>
      <c r="D3" s="33" t="s">
        <v>292</v>
      </c>
      <c r="E3" s="32" t="s">
        <v>70</v>
      </c>
      <c r="F3" s="38" t="b">
        <v>1</v>
      </c>
      <c r="G3" s="39" t="str">
        <f t="array" ref="G3">_xlfn.XLOOKUP($B3, DB[samplingPoint], DB[noLocation])</f>
        <v>16-1-105</v>
      </c>
      <c r="H3" s="33" t="s">
        <v>327</v>
      </c>
      <c r="I3" s="40" t="str">
        <f t="array" ref="I3">_xlfn.XLOOKUP($B3, DB[samplingPoint], DB[location])</f>
        <v>WASHING/TUNNEL-01</v>
      </c>
      <c r="J3" s="39" t="str">
        <f t="array" ref="J3">_xlfn.XLOOKUP($B3, DB[samplingPoint], DB[waterType])</f>
        <v>WFI</v>
      </c>
      <c r="K3" s="43">
        <f t="shared" si="1"/>
        <v>46172</v>
      </c>
      <c r="L3" s="26">
        <v>46175.0</v>
      </c>
      <c r="M3" s="53">
        <v>0.0</v>
      </c>
      <c r="N3" s="32">
        <f t="shared" si="2"/>
        <v>0</v>
      </c>
      <c r="O3" s="55"/>
      <c r="P3" s="55"/>
      <c r="Q3" s="32"/>
      <c r="R3" s="50" t="str">
        <f t="shared" si="3"/>
        <v>PASSED</v>
      </c>
      <c r="S3" s="38" t="b">
        <v>0</v>
      </c>
      <c r="T3" s="39"/>
      <c r="U3" s="32" t="s">
        <v>304</v>
      </c>
    </row>
    <row r="4" ht="22.5" customHeight="1">
      <c r="A4" s="26">
        <v>46171.0</v>
      </c>
      <c r="B4" s="48" t="s">
        <v>367</v>
      </c>
      <c r="C4" s="32" t="str">
        <f t="array" ref="C4">_xlfn.XLOOKUP(B4, DB[samplingPoint], DB[samplingTag])</f>
        <v>POU HE216.04</v>
      </c>
      <c r="D4" s="33" t="s">
        <v>369</v>
      </c>
      <c r="E4" s="32" t="s">
        <v>77</v>
      </c>
      <c r="F4" s="38" t="b">
        <v>1</v>
      </c>
      <c r="G4" s="39" t="str">
        <f t="array" ref="G4">_xlfn.XLOOKUP($B4, DB[samplingPoint], DB[noLocation])</f>
        <v>16-1-114</v>
      </c>
      <c r="H4" s="33" t="s">
        <v>327</v>
      </c>
      <c r="I4" s="40" t="str">
        <f t="array" ref="I4">_xlfn.XLOOKUP($B4, DB[samplingPoint], DB[location])</f>
        <v>COMPOUNDING-02</v>
      </c>
      <c r="J4" s="39" t="str">
        <f t="array" ref="J4">_xlfn.XLOOKUP($B4, DB[samplingPoint], DB[waterType])</f>
        <v>WFI</v>
      </c>
      <c r="K4" s="43">
        <f t="shared" ref="K4:K14" si="4">$A4+1</f>
        <v>46172</v>
      </c>
      <c r="L4" s="26">
        <v>46175.0</v>
      </c>
      <c r="M4" s="53">
        <v>0.0</v>
      </c>
      <c r="N4" s="32">
        <f t="shared" si="2"/>
        <v>0</v>
      </c>
      <c r="O4" s="55"/>
      <c r="P4" s="55"/>
      <c r="Q4" s="32"/>
      <c r="R4" s="50" t="str">
        <f t="shared" si="3"/>
        <v>PASSED</v>
      </c>
      <c r="S4" s="38" t="b">
        <v>0</v>
      </c>
      <c r="T4" s="39"/>
      <c r="U4" s="32" t="s">
        <v>304</v>
      </c>
    </row>
    <row r="5" ht="22.5" customHeight="1">
      <c r="A5" s="26">
        <v>46171.0</v>
      </c>
      <c r="B5" s="48" t="s">
        <v>372</v>
      </c>
      <c r="C5" s="32" t="str">
        <f t="array" ref="C5">_xlfn.XLOOKUP(B5, DB[samplingPoint], DB[samplingTag])</f>
        <v>POU HE216.05</v>
      </c>
      <c r="D5" s="33" t="s">
        <v>369</v>
      </c>
      <c r="E5" s="32" t="s">
        <v>77</v>
      </c>
      <c r="F5" s="38" t="b">
        <v>1</v>
      </c>
      <c r="G5" s="39" t="str">
        <f t="array" ref="G5">_xlfn.XLOOKUP($B5, DB[samplingPoint], DB[noLocation])</f>
        <v>16-1-114</v>
      </c>
      <c r="H5" s="33" t="s">
        <v>327</v>
      </c>
      <c r="I5" s="40" t="str">
        <f t="array" ref="I5">_xlfn.XLOOKUP($B5, DB[samplingPoint], DB[location])</f>
        <v>COMPOUNDING-02</v>
      </c>
      <c r="J5" s="39" t="str">
        <f t="array" ref="J5">_xlfn.XLOOKUP($B5, DB[samplingPoint], DB[waterType])</f>
        <v>WFI</v>
      </c>
      <c r="K5" s="43">
        <f t="shared" si="4"/>
        <v>46172</v>
      </c>
      <c r="L5" s="26">
        <v>46175.0</v>
      </c>
      <c r="M5" s="53">
        <v>0.0</v>
      </c>
      <c r="N5" s="32">
        <f t="shared" si="2"/>
        <v>0</v>
      </c>
      <c r="O5" s="55"/>
      <c r="P5" s="55"/>
      <c r="Q5" s="32"/>
      <c r="R5" s="50" t="str">
        <f t="shared" si="3"/>
        <v>PASSED</v>
      </c>
      <c r="S5" s="38" t="b">
        <v>0</v>
      </c>
      <c r="T5" s="39"/>
      <c r="U5" s="32" t="s">
        <v>304</v>
      </c>
    </row>
    <row r="6" ht="22.5" customHeight="1">
      <c r="A6" s="26">
        <v>46175.0</v>
      </c>
      <c r="B6" s="48" t="s">
        <v>377</v>
      </c>
      <c r="C6" s="32" t="str">
        <f t="array" ref="C6">_xlfn.XLOOKUP(B6, DB[samplingPoint], DB[samplingTag])</f>
        <v>V12-4</v>
      </c>
      <c r="D6" s="33" t="s">
        <v>379</v>
      </c>
      <c r="E6" s="32" t="s">
        <v>81</v>
      </c>
      <c r="F6" s="38" t="b">
        <v>1</v>
      </c>
      <c r="G6" s="39" t="str">
        <f t="array" ref="G6">_xlfn.XLOOKUP($B6, DB[samplingPoint], DB[noLocation])</f>
        <v>16-2-010</v>
      </c>
      <c r="H6" s="33" t="s">
        <v>327</v>
      </c>
      <c r="I6" s="40" t="str">
        <f t="array" ref="I6">_xlfn.XLOOKUP($B6, DB[samplingPoint], DB[location])</f>
        <v>AFTER WFI GENERATOR</v>
      </c>
      <c r="J6" s="39" t="str">
        <f t="array" ref="J6">_xlfn.XLOOKUP($B6, DB[samplingPoint], DB[waterType])</f>
        <v>WFI</v>
      </c>
      <c r="K6" s="43">
        <f t="shared" si="4"/>
        <v>46176</v>
      </c>
      <c r="L6" s="26">
        <v>46179.0</v>
      </c>
      <c r="M6" s="53">
        <v>0.0</v>
      </c>
      <c r="N6" s="32">
        <f t="shared" si="2"/>
        <v>0</v>
      </c>
      <c r="O6" s="55"/>
      <c r="P6" s="55"/>
      <c r="Q6" s="32"/>
      <c r="R6" s="50" t="str">
        <f t="shared" si="3"/>
        <v>PASSED</v>
      </c>
      <c r="S6" s="38" t="b">
        <v>0</v>
      </c>
      <c r="T6" s="39"/>
      <c r="U6" s="32" t="s">
        <v>304</v>
      </c>
    </row>
    <row r="7" ht="22.5" customHeight="1">
      <c r="A7" s="26">
        <v>46175.0</v>
      </c>
      <c r="B7" s="48" t="s">
        <v>383</v>
      </c>
      <c r="C7" s="32" t="str">
        <f t="array" ref="C7">_xlfn.XLOOKUP(B7, DB[samplingPoint], DB[samplingTag])</f>
        <v>SV213.01</v>
      </c>
      <c r="D7" s="33" t="s">
        <v>379</v>
      </c>
      <c r="E7" s="32" t="s">
        <v>81</v>
      </c>
      <c r="F7" s="38" t="b">
        <v>1</v>
      </c>
      <c r="G7" s="39" t="str">
        <f t="array" ref="G7">_xlfn.XLOOKUP($B7, DB[samplingPoint], DB[noLocation])</f>
        <v>16-2-010</v>
      </c>
      <c r="H7" s="33" t="s">
        <v>327</v>
      </c>
      <c r="I7" s="40" t="str">
        <f t="array" ref="I7">_xlfn.XLOOKUP($B7, DB[samplingPoint], DB[location])</f>
        <v>AFTER STORAGE TANK</v>
      </c>
      <c r="J7" s="39" t="str">
        <f t="array" ref="J7">_xlfn.XLOOKUP($B7, DB[samplingPoint], DB[waterType])</f>
        <v>WFI</v>
      </c>
      <c r="K7" s="43">
        <f t="shared" si="4"/>
        <v>46176</v>
      </c>
      <c r="L7" s="26">
        <v>46179.0</v>
      </c>
      <c r="M7" s="53">
        <v>0.0</v>
      </c>
      <c r="N7" s="32">
        <f t="shared" si="2"/>
        <v>0</v>
      </c>
      <c r="O7" s="55"/>
      <c r="P7" s="55"/>
      <c r="Q7" s="32"/>
      <c r="R7" s="50" t="str">
        <f t="shared" si="3"/>
        <v>PASSED</v>
      </c>
      <c r="S7" s="38" t="b">
        <v>0</v>
      </c>
      <c r="T7" s="39"/>
      <c r="U7" s="32" t="s">
        <v>304</v>
      </c>
    </row>
    <row r="8" ht="22.5" customHeight="1">
      <c r="A8" s="26">
        <v>46175.0</v>
      </c>
      <c r="B8" s="48" t="s">
        <v>388</v>
      </c>
      <c r="C8" s="32" t="str">
        <f t="array" ref="C8">_xlfn.XLOOKUP(B8, DB[samplingPoint], DB[samplingTag])</f>
        <v>SV217.01</v>
      </c>
      <c r="D8" s="33" t="s">
        <v>379</v>
      </c>
      <c r="E8" s="32" t="s">
        <v>81</v>
      </c>
      <c r="F8" s="38" t="b">
        <v>1</v>
      </c>
      <c r="G8" s="39" t="str">
        <f t="array" ref="G8">_xlfn.XLOOKUP($B8, DB[samplingPoint], DB[noLocation])</f>
        <v>16-2-010</v>
      </c>
      <c r="H8" s="33" t="s">
        <v>327</v>
      </c>
      <c r="I8" s="40" t="str">
        <f t="array" ref="I8">_xlfn.XLOOKUP($B8, DB[samplingPoint], DB[location])</f>
        <v>RETURN LOOP</v>
      </c>
      <c r="J8" s="39" t="str">
        <f t="array" ref="J8">_xlfn.XLOOKUP($B8, DB[samplingPoint], DB[waterType])</f>
        <v>WFI</v>
      </c>
      <c r="K8" s="43">
        <f t="shared" si="4"/>
        <v>46176</v>
      </c>
      <c r="L8" s="26">
        <v>46179.0</v>
      </c>
      <c r="M8" s="53">
        <v>0.0</v>
      </c>
      <c r="N8" s="32">
        <f t="shared" si="2"/>
        <v>0</v>
      </c>
      <c r="O8" s="55"/>
      <c r="P8" s="55"/>
      <c r="Q8" s="32"/>
      <c r="R8" s="50" t="str">
        <f t="shared" si="3"/>
        <v>PASSED</v>
      </c>
      <c r="S8" s="38" t="b">
        <v>0</v>
      </c>
      <c r="T8" s="39"/>
      <c r="U8" s="32" t="s">
        <v>304</v>
      </c>
    </row>
    <row r="9" ht="22.5" customHeight="1">
      <c r="A9" s="26">
        <v>46175.0</v>
      </c>
      <c r="B9" s="48" t="s">
        <v>391</v>
      </c>
      <c r="C9" s="32" t="str">
        <f t="array" ref="C9">_xlfn.XLOOKUP(B9, DB[samplingPoint], DB[samplingTag])</f>
        <v>SV216.03</v>
      </c>
      <c r="D9" s="33" t="s">
        <v>379</v>
      </c>
      <c r="E9" s="32" t="s">
        <v>81</v>
      </c>
      <c r="F9" s="38" t="b">
        <v>1</v>
      </c>
      <c r="G9" s="39" t="str">
        <f t="array" ref="G9">_xlfn.XLOOKUP($B9, DB[samplingPoint], DB[noLocation])</f>
        <v>16-1-096</v>
      </c>
      <c r="H9" s="33" t="s">
        <v>327</v>
      </c>
      <c r="I9" s="40" t="str">
        <f t="array" ref="I9">_xlfn.XLOOKUP($B9, DB[samplingPoint], DB[location])</f>
        <v>WASHING/TUNNEL-02</v>
      </c>
      <c r="J9" s="39" t="str">
        <f t="array" ref="J9">_xlfn.XLOOKUP($B9, DB[samplingPoint], DB[waterType])</f>
        <v>WFI</v>
      </c>
      <c r="K9" s="43">
        <f t="shared" si="4"/>
        <v>46176</v>
      </c>
      <c r="L9" s="26">
        <v>46179.0</v>
      </c>
      <c r="M9" s="53">
        <v>0.0</v>
      </c>
      <c r="N9" s="32">
        <f t="shared" si="2"/>
        <v>0</v>
      </c>
      <c r="O9" s="55"/>
      <c r="P9" s="55"/>
      <c r="Q9" s="32"/>
      <c r="R9" s="50" t="str">
        <f t="shared" si="3"/>
        <v>PASSED</v>
      </c>
      <c r="S9" s="38" t="b">
        <v>0</v>
      </c>
      <c r="T9" s="39"/>
      <c r="U9" s="32" t="s">
        <v>304</v>
      </c>
    </row>
    <row r="10" ht="22.5" customHeight="1">
      <c r="A10" s="26">
        <v>46175.0</v>
      </c>
      <c r="B10" s="48" t="s">
        <v>395</v>
      </c>
      <c r="C10" s="32" t="str">
        <f t="array" ref="C10">_xlfn.XLOOKUP(B10, DB[samplingPoint], DB[samplingTag])</f>
        <v>POU HE216.03</v>
      </c>
      <c r="D10" s="33" t="s">
        <v>379</v>
      </c>
      <c r="E10" s="32" t="s">
        <v>81</v>
      </c>
      <c r="F10" s="38" t="b">
        <v>1</v>
      </c>
      <c r="G10" s="39" t="str">
        <f t="array" ref="G10">_xlfn.XLOOKUP($B10, DB[samplingPoint], DB[noLocation])</f>
        <v>16-1-082</v>
      </c>
      <c r="H10" s="33" t="s">
        <v>327</v>
      </c>
      <c r="I10" s="40" t="str">
        <f t="array" ref="I10">_xlfn.XLOOKUP($B10, DB[samplingPoint], DB[location])</f>
        <v>WASHING</v>
      </c>
      <c r="J10" s="39" t="str">
        <f t="array" ref="J10">_xlfn.XLOOKUP($B10, DB[samplingPoint], DB[waterType])</f>
        <v>WFI</v>
      </c>
      <c r="K10" s="43">
        <f t="shared" si="4"/>
        <v>46176</v>
      </c>
      <c r="L10" s="26">
        <v>46179.0</v>
      </c>
      <c r="M10" s="53">
        <v>0.0</v>
      </c>
      <c r="N10" s="32">
        <f t="shared" si="2"/>
        <v>0</v>
      </c>
      <c r="O10" s="55"/>
      <c r="P10" s="55"/>
      <c r="Q10" s="32"/>
      <c r="R10" s="50" t="str">
        <f t="shared" si="3"/>
        <v>PASSED</v>
      </c>
      <c r="S10" s="38" t="b">
        <v>0</v>
      </c>
      <c r="T10" s="39"/>
      <c r="U10" s="32" t="s">
        <v>304</v>
      </c>
    </row>
    <row r="11" ht="22.5" customHeight="1">
      <c r="A11" s="26">
        <v>46175.0</v>
      </c>
      <c r="B11" s="48" t="s">
        <v>397</v>
      </c>
      <c r="C11" s="32" t="str">
        <f t="array" ref="C11">_xlfn.XLOOKUP(B11, DB[samplingPoint], DB[samplingTag])</f>
        <v>SV216.06</v>
      </c>
      <c r="D11" s="33" t="s">
        <v>379</v>
      </c>
      <c r="E11" s="32" t="s">
        <v>81</v>
      </c>
      <c r="F11" s="38" t="b">
        <v>1</v>
      </c>
      <c r="G11" s="39" t="str">
        <f t="array" ref="G11">_xlfn.XLOOKUP($B11, DB[samplingPoint], DB[noLocation])</f>
        <v>16-1-082</v>
      </c>
      <c r="H11" s="33" t="s">
        <v>327</v>
      </c>
      <c r="I11" s="40" t="str">
        <f t="array" ref="I11">_xlfn.XLOOKUP($B11, DB[samplingPoint], DB[location])</f>
        <v>WASHING</v>
      </c>
      <c r="J11" s="39" t="str">
        <f t="array" ref="J11">_xlfn.XLOOKUP($B11, DB[samplingPoint], DB[waterType])</f>
        <v>WFI</v>
      </c>
      <c r="K11" s="43">
        <f t="shared" si="4"/>
        <v>46176</v>
      </c>
      <c r="L11" s="26">
        <v>46179.0</v>
      </c>
      <c r="M11" s="53">
        <v>0.0</v>
      </c>
      <c r="N11" s="32">
        <f t="shared" si="2"/>
        <v>0</v>
      </c>
      <c r="O11" s="55"/>
      <c r="P11" s="55"/>
      <c r="Q11" s="32"/>
      <c r="R11" s="50" t="str">
        <f t="shared" si="3"/>
        <v>PASSED</v>
      </c>
      <c r="S11" s="38" t="b">
        <v>0</v>
      </c>
      <c r="T11" s="39"/>
      <c r="U11" s="32" t="s">
        <v>304</v>
      </c>
    </row>
    <row r="12" ht="22.5" customHeight="1">
      <c r="A12" s="62">
        <v>46177.0</v>
      </c>
      <c r="B12" s="63" t="s">
        <v>403</v>
      </c>
      <c r="C12" s="64" t="str">
        <f t="array" ref="C12">_xlfn.XLOOKUP(B12, DB[samplingPoint], DB[samplingTag])</f>
        <v>POU HE216.01</v>
      </c>
      <c r="D12" s="65" t="s">
        <v>404</v>
      </c>
      <c r="E12" s="32" t="s">
        <v>85</v>
      </c>
      <c r="F12" s="38" t="b">
        <v>1</v>
      </c>
      <c r="G12" s="66" t="str">
        <f t="array" ref="G12">_xlfn.XLOOKUP($B12, DB[samplingPoint], DB[noLocation])</f>
        <v>16-1-107</v>
      </c>
      <c r="H12" s="65" t="s">
        <v>327</v>
      </c>
      <c r="I12" s="67" t="str">
        <f t="array" ref="I12">_xlfn.XLOOKUP($B12, DB[samplingPoint], DB[location])</f>
        <v>COMPOUNDING-01</v>
      </c>
      <c r="J12" s="66" t="str">
        <f t="array" ref="J12">_xlfn.XLOOKUP($B12, DB[samplingPoint], DB[waterType])</f>
        <v>WFI</v>
      </c>
      <c r="K12" s="68">
        <f t="shared" si="4"/>
        <v>46178</v>
      </c>
      <c r="L12" s="62">
        <v>46181.0</v>
      </c>
      <c r="M12" s="64">
        <v>0.0</v>
      </c>
      <c r="N12" s="64">
        <f t="shared" si="2"/>
        <v>0</v>
      </c>
      <c r="O12" s="69"/>
      <c r="P12" s="69"/>
      <c r="Q12" s="64"/>
      <c r="R12" s="70" t="str">
        <f t="shared" si="3"/>
        <v>PASSED</v>
      </c>
      <c r="S12" s="71" t="b">
        <v>0</v>
      </c>
      <c r="T12" s="66"/>
      <c r="U12" s="32" t="s">
        <v>304</v>
      </c>
      <c r="V12" s="72"/>
      <c r="W12" s="72"/>
      <c r="X12" s="72"/>
      <c r="Y12" s="72"/>
      <c r="Z12" s="72"/>
    </row>
    <row r="13" ht="22.5" customHeight="1">
      <c r="A13" s="26">
        <v>46177.0</v>
      </c>
      <c r="B13" s="48" t="s">
        <v>407</v>
      </c>
      <c r="C13" s="32" t="str">
        <f t="array" ref="C13">_xlfn.XLOOKUP(B13, DB[samplingPoint], DB[samplingTag])</f>
        <v>POU HE216.02</v>
      </c>
      <c r="D13" s="33" t="s">
        <v>404</v>
      </c>
      <c r="E13" s="32" t="s">
        <v>85</v>
      </c>
      <c r="F13" s="38" t="b">
        <v>1</v>
      </c>
      <c r="G13" s="39" t="str">
        <f t="array" ref="G13">_xlfn.XLOOKUP($B13, DB[samplingPoint], DB[noLocation])</f>
        <v>16-1-107</v>
      </c>
      <c r="H13" s="33" t="s">
        <v>327</v>
      </c>
      <c r="I13" s="40" t="str">
        <f t="array" ref="I13">_xlfn.XLOOKUP($B13, DB[samplingPoint], DB[location])</f>
        <v>COMPOUNDING-01</v>
      </c>
      <c r="J13" s="39" t="str">
        <f t="array" ref="J13">_xlfn.XLOOKUP($B13, DB[samplingPoint], DB[waterType])</f>
        <v>WFI</v>
      </c>
      <c r="K13" s="68">
        <f t="shared" si="4"/>
        <v>46178</v>
      </c>
      <c r="L13" s="62">
        <v>46181.0</v>
      </c>
      <c r="M13" s="53">
        <v>0.0</v>
      </c>
      <c r="N13" s="32">
        <f t="shared" si="2"/>
        <v>0</v>
      </c>
      <c r="O13" s="55"/>
      <c r="P13" s="55"/>
      <c r="Q13" s="32"/>
      <c r="R13" s="50" t="str">
        <f t="shared" si="3"/>
        <v>PASSED</v>
      </c>
      <c r="S13" s="38" t="b">
        <v>0</v>
      </c>
      <c r="T13" s="39"/>
      <c r="U13" s="32" t="s">
        <v>304</v>
      </c>
    </row>
    <row r="14" ht="22.5" customHeight="1">
      <c r="A14" s="26">
        <v>46177.0</v>
      </c>
      <c r="B14" s="48" t="s">
        <v>365</v>
      </c>
      <c r="C14" s="32" t="str">
        <f t="array" ref="C14">_xlfn.XLOOKUP(B14, DB[samplingPoint], DB[samplingTag])</f>
        <v>SV216.10</v>
      </c>
      <c r="D14" s="33" t="s">
        <v>404</v>
      </c>
      <c r="E14" s="32" t="s">
        <v>85</v>
      </c>
      <c r="F14" s="38" t="b">
        <v>1</v>
      </c>
      <c r="G14" s="39" t="str">
        <f t="array" ref="G14">_xlfn.XLOOKUP($B14, DB[samplingPoint], DB[noLocation])</f>
        <v>16-1-105</v>
      </c>
      <c r="H14" s="33" t="s">
        <v>327</v>
      </c>
      <c r="I14" s="40" t="str">
        <f t="array" ref="I14">_xlfn.XLOOKUP($B14, DB[samplingPoint], DB[location])</f>
        <v>WASHING/TUNNEL-01</v>
      </c>
      <c r="J14" s="39" t="str">
        <f t="array" ref="J14">_xlfn.XLOOKUP($B14, DB[samplingPoint], DB[waterType])</f>
        <v>WFI</v>
      </c>
      <c r="K14" s="68">
        <f t="shared" si="4"/>
        <v>46178</v>
      </c>
      <c r="L14" s="62">
        <v>46181.0</v>
      </c>
      <c r="M14" s="53">
        <v>0.0</v>
      </c>
      <c r="N14" s="32">
        <f t="shared" si="2"/>
        <v>0</v>
      </c>
      <c r="O14" s="55"/>
      <c r="P14" s="55"/>
      <c r="Q14" s="32"/>
      <c r="R14" s="50" t="str">
        <f t="shared" si="3"/>
        <v>PASSED</v>
      </c>
      <c r="S14" s="38" t="b">
        <v>0</v>
      </c>
      <c r="T14" s="39"/>
      <c r="U14" s="32" t="s">
        <v>304</v>
      </c>
    </row>
    <row r="15" ht="22.5" customHeight="1">
      <c r="A15" s="26">
        <v>46178.0</v>
      </c>
      <c r="B15" s="48" t="s">
        <v>225</v>
      </c>
      <c r="C15" s="32" t="str">
        <f t="array" ref="C15">_xlfn.XLOOKUP(B15, DB[samplingPoint], DB[samplingTag])</f>
        <v>SV216.05</v>
      </c>
      <c r="D15" s="33" t="s">
        <v>412</v>
      </c>
      <c r="E15" s="32" t="s">
        <v>88</v>
      </c>
      <c r="F15" s="38" t="b">
        <v>1</v>
      </c>
      <c r="G15" s="39" t="str">
        <f t="array" ref="G15">_xlfn.XLOOKUP($B15, DB[samplingPoint], DB[noLocation])</f>
        <v>16-1-110</v>
      </c>
      <c r="H15" s="33" t="s">
        <v>327</v>
      </c>
      <c r="I15" s="40" t="str">
        <f t="array" ref="I15">_xlfn.XLOOKUP($B15, DB[samplingPoint], DB[location])</f>
        <v>DISINFECTANT PREPARATION</v>
      </c>
      <c r="J15" s="39" t="str">
        <f t="array" ref="J15">_xlfn.XLOOKUP($B15, DB[samplingPoint], DB[waterType])</f>
        <v>WFI</v>
      </c>
      <c r="K15" s="43">
        <f t="shared" ref="K15:K19" si="5">$A15+0</f>
        <v>46178</v>
      </c>
      <c r="L15" s="62">
        <v>46181.0</v>
      </c>
      <c r="M15" s="53">
        <v>0.0</v>
      </c>
      <c r="N15" s="32">
        <f t="shared" si="2"/>
        <v>0</v>
      </c>
      <c r="O15" s="55"/>
      <c r="P15" s="55"/>
      <c r="Q15" s="32"/>
      <c r="R15" s="50" t="str">
        <f t="shared" si="3"/>
        <v>PASSED</v>
      </c>
      <c r="S15" s="38" t="b">
        <v>0</v>
      </c>
      <c r="T15" s="39"/>
      <c r="U15" s="32" t="s">
        <v>304</v>
      </c>
    </row>
    <row r="16" ht="22.5" customHeight="1">
      <c r="A16" s="26">
        <v>46178.0</v>
      </c>
      <c r="B16" s="48" t="s">
        <v>416</v>
      </c>
      <c r="C16" s="32" t="str">
        <f t="array" ref="C16">_xlfn.XLOOKUP(B16, DB[samplingPoint], DB[samplingTag])</f>
        <v>SV216.02</v>
      </c>
      <c r="D16" s="33" t="s">
        <v>412</v>
      </c>
      <c r="E16" s="32" t="s">
        <v>88</v>
      </c>
      <c r="F16" s="38" t="b">
        <v>1</v>
      </c>
      <c r="G16" s="39" t="str">
        <f t="array" ref="G16">_xlfn.XLOOKUP($B16, DB[samplingPoint], DB[noLocation])</f>
        <v>16-1-098</v>
      </c>
      <c r="H16" s="33" t="s">
        <v>327</v>
      </c>
      <c r="I16" s="40" t="str">
        <f t="array" ref="I16">_xlfn.XLOOKUP($B16, DB[samplingPoint], DB[location])</f>
        <v>CIP/SIP</v>
      </c>
      <c r="J16" s="39" t="str">
        <f t="array" ref="J16">_xlfn.XLOOKUP($B16, DB[samplingPoint], DB[waterType])</f>
        <v>WFI</v>
      </c>
      <c r="K16" s="43">
        <f t="shared" si="5"/>
        <v>46178</v>
      </c>
      <c r="L16" s="62">
        <v>46181.0</v>
      </c>
      <c r="M16" s="53">
        <v>0.0</v>
      </c>
      <c r="N16" s="32">
        <v>0.0</v>
      </c>
      <c r="O16" s="55"/>
      <c r="P16" s="55"/>
      <c r="Q16" s="32"/>
      <c r="R16" s="50" t="str">
        <f t="shared" si="3"/>
        <v>PASSED</v>
      </c>
      <c r="S16" s="38" t="b">
        <v>0</v>
      </c>
      <c r="T16" s="39"/>
      <c r="U16" s="32" t="s">
        <v>304</v>
      </c>
    </row>
    <row r="17" ht="22.5" customHeight="1">
      <c r="A17" s="26">
        <v>46178.0</v>
      </c>
      <c r="B17" s="48" t="s">
        <v>418</v>
      </c>
      <c r="C17" s="32" t="str">
        <f t="array" ref="C17">_xlfn.XLOOKUP(B17, DB[samplingPoint], DB[samplingTag])</f>
        <v>SV216.04</v>
      </c>
      <c r="D17" s="33" t="s">
        <v>412</v>
      </c>
      <c r="E17" s="32" t="s">
        <v>88</v>
      </c>
      <c r="F17" s="38" t="b">
        <v>1</v>
      </c>
      <c r="G17" s="39" t="str">
        <f t="array" ref="G17">_xlfn.XLOOKUP($B17, DB[samplingPoint], DB[noLocation])</f>
        <v>16-1-098</v>
      </c>
      <c r="H17" s="33" t="s">
        <v>327</v>
      </c>
      <c r="I17" s="40" t="str">
        <f t="array" ref="I17">_xlfn.XLOOKUP($B17, DB[samplingPoint], DB[location])</f>
        <v>CIP/SIP</v>
      </c>
      <c r="J17" s="39" t="str">
        <f t="array" ref="J17">_xlfn.XLOOKUP($B17, DB[samplingPoint], DB[waterType])</f>
        <v>WFI</v>
      </c>
      <c r="K17" s="43">
        <f t="shared" si="5"/>
        <v>46178</v>
      </c>
      <c r="L17" s="62">
        <v>46181.0</v>
      </c>
      <c r="M17" s="53">
        <v>0.0</v>
      </c>
      <c r="N17" s="32">
        <f t="shared" ref="N17:N87" si="6">iferror(ROUNDUP(AVERAGE($M17), 0),"")</f>
        <v>0</v>
      </c>
      <c r="O17" s="55"/>
      <c r="P17" s="55"/>
      <c r="Q17" s="32"/>
      <c r="R17" s="50" t="str">
        <f t="shared" si="3"/>
        <v>PASSED</v>
      </c>
      <c r="S17" s="38" t="b">
        <v>0</v>
      </c>
      <c r="T17" s="39"/>
      <c r="U17" s="32" t="s">
        <v>304</v>
      </c>
    </row>
    <row r="18" ht="22.5" customHeight="1">
      <c r="A18" s="26">
        <v>46178.0</v>
      </c>
      <c r="B18" s="48" t="s">
        <v>367</v>
      </c>
      <c r="C18" s="32" t="str">
        <f t="array" ref="C18">_xlfn.XLOOKUP(B18, DB[samplingPoint], DB[samplingTag])</f>
        <v>POU HE216.04</v>
      </c>
      <c r="D18" s="33" t="s">
        <v>412</v>
      </c>
      <c r="E18" s="32" t="s">
        <v>88</v>
      </c>
      <c r="F18" s="38" t="b">
        <v>1</v>
      </c>
      <c r="G18" s="39" t="str">
        <f t="array" ref="G18">_xlfn.XLOOKUP($B18, DB[samplingPoint], DB[noLocation])</f>
        <v>16-1-114</v>
      </c>
      <c r="H18" s="33" t="s">
        <v>327</v>
      </c>
      <c r="I18" s="40" t="str">
        <f t="array" ref="I18">_xlfn.XLOOKUP($B18, DB[samplingPoint], DB[location])</f>
        <v>COMPOUNDING-02</v>
      </c>
      <c r="J18" s="39" t="str">
        <f t="array" ref="J18">_xlfn.XLOOKUP($B18, DB[samplingPoint], DB[waterType])</f>
        <v>WFI</v>
      </c>
      <c r="K18" s="43">
        <f t="shared" si="5"/>
        <v>46178</v>
      </c>
      <c r="L18" s="62">
        <v>46181.0</v>
      </c>
      <c r="M18" s="53">
        <v>0.0</v>
      </c>
      <c r="N18" s="32">
        <f t="shared" si="6"/>
        <v>0</v>
      </c>
      <c r="O18" s="55"/>
      <c r="P18" s="55"/>
      <c r="Q18" s="32"/>
      <c r="R18" s="50" t="str">
        <f t="shared" si="3"/>
        <v>PASSED</v>
      </c>
      <c r="S18" s="38" t="b">
        <v>0</v>
      </c>
      <c r="T18" s="39"/>
      <c r="U18" s="32" t="s">
        <v>304</v>
      </c>
    </row>
    <row r="19" ht="22.5" customHeight="1">
      <c r="A19" s="26">
        <v>46178.0</v>
      </c>
      <c r="B19" s="48" t="s">
        <v>372</v>
      </c>
      <c r="C19" s="32" t="str">
        <f t="array" ref="C19">_xlfn.XLOOKUP(B19, DB[samplingPoint], DB[samplingTag])</f>
        <v>POU HE216.05</v>
      </c>
      <c r="D19" s="33" t="s">
        <v>412</v>
      </c>
      <c r="E19" s="32" t="s">
        <v>88</v>
      </c>
      <c r="F19" s="38" t="b">
        <v>1</v>
      </c>
      <c r="G19" s="39" t="str">
        <f t="array" ref="G19">_xlfn.XLOOKUP($B19, DB[samplingPoint], DB[noLocation])</f>
        <v>16-1-114</v>
      </c>
      <c r="H19" s="33" t="s">
        <v>327</v>
      </c>
      <c r="I19" s="40" t="str">
        <f t="array" ref="I19">_xlfn.XLOOKUP($B19, DB[samplingPoint], DB[location])</f>
        <v>COMPOUNDING-02</v>
      </c>
      <c r="J19" s="39" t="str">
        <f t="array" ref="J19">_xlfn.XLOOKUP($B19, DB[samplingPoint], DB[waterType])</f>
        <v>WFI</v>
      </c>
      <c r="K19" s="43">
        <f t="shared" si="5"/>
        <v>46178</v>
      </c>
      <c r="L19" s="62">
        <v>46181.0</v>
      </c>
      <c r="M19" s="53">
        <v>0.0</v>
      </c>
      <c r="N19" s="32">
        <f t="shared" si="6"/>
        <v>0</v>
      </c>
      <c r="O19" s="55"/>
      <c r="P19" s="55"/>
      <c r="Q19" s="32"/>
      <c r="R19" s="50" t="str">
        <f t="shared" si="3"/>
        <v>PASSED</v>
      </c>
      <c r="S19" s="38" t="b">
        <v>0</v>
      </c>
      <c r="T19" s="39"/>
      <c r="U19" s="32" t="s">
        <v>304</v>
      </c>
    </row>
    <row r="20" ht="22.5" customHeight="1">
      <c r="A20" s="26">
        <v>46181.0</v>
      </c>
      <c r="B20" s="48" t="s">
        <v>377</v>
      </c>
      <c r="C20" s="32" t="str">
        <f t="array" ref="C20">_xlfn.XLOOKUP(B20, DB[samplingPoint], DB[samplingTag])</f>
        <v>V12-4</v>
      </c>
      <c r="D20" s="33" t="s">
        <v>379</v>
      </c>
      <c r="E20" s="32" t="s">
        <v>92</v>
      </c>
      <c r="F20" s="38" t="b">
        <v>1</v>
      </c>
      <c r="G20" s="39" t="str">
        <f t="array" ref="G20">_xlfn.XLOOKUP($B20, DB[samplingPoint], DB[noLocation])</f>
        <v>16-2-010</v>
      </c>
      <c r="H20" s="33" t="s">
        <v>327</v>
      </c>
      <c r="I20" s="40" t="str">
        <f t="array" ref="I20">_xlfn.XLOOKUP($B20, DB[samplingPoint], DB[location])</f>
        <v>AFTER WFI GENERATOR</v>
      </c>
      <c r="J20" s="39" t="str">
        <f t="array" ref="J20">_xlfn.XLOOKUP($B20, DB[samplingPoint], DB[waterType])</f>
        <v>WFI</v>
      </c>
      <c r="K20" s="43">
        <f t="shared" ref="K20:K24" si="7">$A20+1</f>
        <v>46182</v>
      </c>
      <c r="L20" s="26">
        <v>46185.0</v>
      </c>
      <c r="M20" s="53">
        <v>0.0</v>
      </c>
      <c r="N20" s="32">
        <f t="shared" si="6"/>
        <v>0</v>
      </c>
      <c r="O20" s="55"/>
      <c r="P20" s="55"/>
      <c r="Q20" s="32"/>
      <c r="R20" s="50" t="str">
        <f t="shared" si="3"/>
        <v>PASSED</v>
      </c>
      <c r="S20" s="38" t="b">
        <v>0</v>
      </c>
      <c r="T20" s="39"/>
      <c r="U20" s="32" t="s">
        <v>304</v>
      </c>
    </row>
    <row r="21" ht="22.5" customHeight="1">
      <c r="A21" s="26">
        <v>46181.0</v>
      </c>
      <c r="B21" s="48" t="s">
        <v>383</v>
      </c>
      <c r="C21" s="32" t="str">
        <f t="array" ref="C21">_xlfn.XLOOKUP(B21, DB[samplingPoint], DB[samplingTag])</f>
        <v>SV213.01</v>
      </c>
      <c r="D21" s="33" t="s">
        <v>379</v>
      </c>
      <c r="E21" s="32" t="s">
        <v>92</v>
      </c>
      <c r="F21" s="38" t="b">
        <v>1</v>
      </c>
      <c r="G21" s="39" t="str">
        <f t="array" ref="G21">_xlfn.XLOOKUP($B21, DB[samplingPoint], DB[noLocation])</f>
        <v>16-2-010</v>
      </c>
      <c r="H21" s="33" t="s">
        <v>327</v>
      </c>
      <c r="I21" s="40" t="str">
        <f t="array" ref="I21">_xlfn.XLOOKUP($B21, DB[samplingPoint], DB[location])</f>
        <v>AFTER STORAGE TANK</v>
      </c>
      <c r="J21" s="39" t="str">
        <f t="array" ref="J21">_xlfn.XLOOKUP($B21, DB[samplingPoint], DB[waterType])</f>
        <v>WFI</v>
      </c>
      <c r="K21" s="43">
        <f t="shared" si="7"/>
        <v>46182</v>
      </c>
      <c r="L21" s="26">
        <v>46185.0</v>
      </c>
      <c r="M21" s="53">
        <v>0.0</v>
      </c>
      <c r="N21" s="32">
        <f t="shared" si="6"/>
        <v>0</v>
      </c>
      <c r="O21" s="55"/>
      <c r="P21" s="55"/>
      <c r="Q21" s="32"/>
      <c r="R21" s="50" t="str">
        <f t="shared" si="3"/>
        <v>PASSED</v>
      </c>
      <c r="S21" s="38" t="b">
        <v>0</v>
      </c>
      <c r="T21" s="39"/>
      <c r="U21" s="32" t="s">
        <v>304</v>
      </c>
    </row>
    <row r="22" ht="22.5" customHeight="1">
      <c r="A22" s="26">
        <v>46181.0</v>
      </c>
      <c r="B22" s="48" t="s">
        <v>388</v>
      </c>
      <c r="C22" s="32" t="str">
        <f t="array" ref="C22">_xlfn.XLOOKUP(B22, DB[samplingPoint], DB[samplingTag])</f>
        <v>SV217.01</v>
      </c>
      <c r="D22" s="33" t="s">
        <v>379</v>
      </c>
      <c r="E22" s="32" t="s">
        <v>92</v>
      </c>
      <c r="F22" s="38" t="b">
        <v>1</v>
      </c>
      <c r="G22" s="39" t="str">
        <f t="array" ref="G22">_xlfn.XLOOKUP($B22, DB[samplingPoint], DB[noLocation])</f>
        <v>16-2-010</v>
      </c>
      <c r="H22" s="33" t="s">
        <v>327</v>
      </c>
      <c r="I22" s="40" t="str">
        <f t="array" ref="I22">_xlfn.XLOOKUP($B22, DB[samplingPoint], DB[location])</f>
        <v>RETURN LOOP</v>
      </c>
      <c r="J22" s="39" t="str">
        <f t="array" ref="J22">_xlfn.XLOOKUP($B22, DB[samplingPoint], DB[waterType])</f>
        <v>WFI</v>
      </c>
      <c r="K22" s="43">
        <f t="shared" si="7"/>
        <v>46182</v>
      </c>
      <c r="L22" s="26">
        <v>46185.0</v>
      </c>
      <c r="M22" s="53">
        <v>0.0</v>
      </c>
      <c r="N22" s="32">
        <f t="shared" si="6"/>
        <v>0</v>
      </c>
      <c r="O22" s="55"/>
      <c r="P22" s="55"/>
      <c r="Q22" s="32"/>
      <c r="R22" s="50" t="str">
        <f t="shared" si="3"/>
        <v>PASSED</v>
      </c>
      <c r="S22" s="38" t="b">
        <v>0</v>
      </c>
      <c r="T22" s="39"/>
      <c r="U22" s="32" t="s">
        <v>304</v>
      </c>
    </row>
    <row r="23" ht="22.5" customHeight="1">
      <c r="A23" s="26">
        <v>46181.0</v>
      </c>
      <c r="B23" s="48" t="s">
        <v>416</v>
      </c>
      <c r="C23" s="32" t="str">
        <f t="array" ref="C23">_xlfn.XLOOKUP(B23, DB[samplingPoint], DB[samplingTag])</f>
        <v>SV216.02</v>
      </c>
      <c r="D23" s="33" t="s">
        <v>379</v>
      </c>
      <c r="E23" s="32" t="s">
        <v>92</v>
      </c>
      <c r="F23" s="38" t="b">
        <v>1</v>
      </c>
      <c r="G23" s="39" t="str">
        <f t="array" ref="G23">_xlfn.XLOOKUP($B23, DB[samplingPoint], DB[noLocation])</f>
        <v>16-1-098</v>
      </c>
      <c r="H23" s="33" t="s">
        <v>327</v>
      </c>
      <c r="I23" s="40" t="str">
        <f t="array" ref="I23">_xlfn.XLOOKUP($B23, DB[samplingPoint], DB[location])</f>
        <v>CIP/SIP</v>
      </c>
      <c r="J23" s="39" t="str">
        <f t="array" ref="J23">_xlfn.XLOOKUP($B23, DB[samplingPoint], DB[waterType])</f>
        <v>WFI</v>
      </c>
      <c r="K23" s="43">
        <f t="shared" si="7"/>
        <v>46182</v>
      </c>
      <c r="L23" s="26">
        <v>46185.0</v>
      </c>
      <c r="M23" s="53">
        <v>0.0</v>
      </c>
      <c r="N23" s="32">
        <f t="shared" si="6"/>
        <v>0</v>
      </c>
      <c r="O23" s="55"/>
      <c r="P23" s="55"/>
      <c r="Q23" s="32"/>
      <c r="R23" s="50" t="str">
        <f t="shared" si="3"/>
        <v>PASSED</v>
      </c>
      <c r="S23" s="38" t="b">
        <v>0</v>
      </c>
      <c r="T23" s="39"/>
      <c r="U23" s="32" t="s">
        <v>304</v>
      </c>
    </row>
    <row r="24" ht="22.5" customHeight="1">
      <c r="A24" s="26">
        <v>46181.0</v>
      </c>
      <c r="B24" s="48" t="s">
        <v>418</v>
      </c>
      <c r="C24" s="32" t="str">
        <f t="array" ref="C24">_xlfn.XLOOKUP(B24, DB[samplingPoint], DB[samplingTag])</f>
        <v>SV216.04</v>
      </c>
      <c r="D24" s="33" t="s">
        <v>379</v>
      </c>
      <c r="E24" s="32" t="s">
        <v>92</v>
      </c>
      <c r="F24" s="38" t="b">
        <v>1</v>
      </c>
      <c r="G24" s="39" t="str">
        <f t="array" ref="G24">_xlfn.XLOOKUP($B24, DB[samplingPoint], DB[noLocation])</f>
        <v>16-1-098</v>
      </c>
      <c r="H24" s="33" t="s">
        <v>327</v>
      </c>
      <c r="I24" s="40" t="str">
        <f t="array" ref="I24">_xlfn.XLOOKUP($B24, DB[samplingPoint], DB[location])</f>
        <v>CIP/SIP</v>
      </c>
      <c r="J24" s="39" t="str">
        <f t="array" ref="J24">_xlfn.XLOOKUP($B24, DB[samplingPoint], DB[waterType])</f>
        <v>WFI</v>
      </c>
      <c r="K24" s="43">
        <f t="shared" si="7"/>
        <v>46182</v>
      </c>
      <c r="L24" s="26">
        <v>46185.0</v>
      </c>
      <c r="M24" s="53">
        <v>0.0</v>
      </c>
      <c r="N24" s="32">
        <f t="shared" si="6"/>
        <v>0</v>
      </c>
      <c r="O24" s="55"/>
      <c r="P24" s="55"/>
      <c r="Q24" s="32"/>
      <c r="R24" s="50" t="str">
        <f t="shared" si="3"/>
        <v>PASSED</v>
      </c>
      <c r="S24" s="38" t="b">
        <v>0</v>
      </c>
      <c r="T24" s="39"/>
      <c r="U24" s="32" t="s">
        <v>304</v>
      </c>
    </row>
    <row r="25" ht="22.5" customHeight="1">
      <c r="A25" s="26">
        <v>46182.0</v>
      </c>
      <c r="B25" s="48" t="s">
        <v>391</v>
      </c>
      <c r="C25" s="32" t="str">
        <f t="array" ref="C25">_xlfn.XLOOKUP(B25, DB[samplingPoint], DB[samplingTag])</f>
        <v>SV216.03</v>
      </c>
      <c r="D25" s="33" t="s">
        <v>404</v>
      </c>
      <c r="E25" s="32" t="s">
        <v>95</v>
      </c>
      <c r="F25" s="38" t="b">
        <v>1</v>
      </c>
      <c r="G25" s="39" t="str">
        <f t="array" ref="G25">_xlfn.XLOOKUP($B25, DB[samplingPoint], DB[noLocation])</f>
        <v>16-1-096</v>
      </c>
      <c r="H25" s="33" t="s">
        <v>327</v>
      </c>
      <c r="I25" s="40" t="str">
        <f t="array" ref="I25">_xlfn.XLOOKUP($B25, DB[samplingPoint], DB[location])</f>
        <v>WASHING/TUNNEL-02</v>
      </c>
      <c r="J25" s="39" t="str">
        <f t="array" ref="J25">_xlfn.XLOOKUP($B25, DB[samplingPoint], DB[waterType])</f>
        <v>WFI</v>
      </c>
      <c r="K25" s="43">
        <f t="shared" ref="K25:K27" si="8">$A25+0</f>
        <v>46182</v>
      </c>
      <c r="L25" s="26">
        <v>46185.0</v>
      </c>
      <c r="M25" s="53">
        <v>0.0</v>
      </c>
      <c r="N25" s="32">
        <f t="shared" si="6"/>
        <v>0</v>
      </c>
      <c r="O25" s="55"/>
      <c r="P25" s="55"/>
      <c r="Q25" s="32"/>
      <c r="R25" s="50" t="str">
        <f t="shared" si="3"/>
        <v>PASSED</v>
      </c>
      <c r="S25" s="38" t="b">
        <v>0</v>
      </c>
      <c r="T25" s="39"/>
      <c r="U25" s="32" t="s">
        <v>304</v>
      </c>
    </row>
    <row r="26" ht="22.5" customHeight="1">
      <c r="A26" s="26">
        <v>46182.0</v>
      </c>
      <c r="B26" s="48" t="s">
        <v>395</v>
      </c>
      <c r="C26" s="32" t="str">
        <f t="array" ref="C26">_xlfn.XLOOKUP(B26, DB[samplingPoint], DB[samplingTag])</f>
        <v>POU HE216.03</v>
      </c>
      <c r="D26" s="33" t="s">
        <v>404</v>
      </c>
      <c r="E26" s="32" t="s">
        <v>95</v>
      </c>
      <c r="F26" s="38" t="b">
        <v>1</v>
      </c>
      <c r="G26" s="39" t="str">
        <f t="array" ref="G26">_xlfn.XLOOKUP($B26, DB[samplingPoint], DB[noLocation])</f>
        <v>16-1-082</v>
      </c>
      <c r="H26" s="33" t="s">
        <v>327</v>
      </c>
      <c r="I26" s="40" t="str">
        <f t="array" ref="I26">_xlfn.XLOOKUP($B26, DB[samplingPoint], DB[location])</f>
        <v>WASHING</v>
      </c>
      <c r="J26" s="39" t="str">
        <f t="array" ref="J26">_xlfn.XLOOKUP($B26, DB[samplingPoint], DB[waterType])</f>
        <v>WFI</v>
      </c>
      <c r="K26" s="43">
        <f t="shared" si="8"/>
        <v>46182</v>
      </c>
      <c r="L26" s="26">
        <v>46185.0</v>
      </c>
      <c r="M26" s="53">
        <v>0.0</v>
      </c>
      <c r="N26" s="32">
        <f t="shared" si="6"/>
        <v>0</v>
      </c>
      <c r="O26" s="55"/>
      <c r="P26" s="55"/>
      <c r="Q26" s="32"/>
      <c r="R26" s="50" t="str">
        <f t="shared" si="3"/>
        <v>PASSED</v>
      </c>
      <c r="S26" s="38" t="b">
        <v>0</v>
      </c>
      <c r="T26" s="39"/>
      <c r="U26" s="32" t="s">
        <v>304</v>
      </c>
    </row>
    <row r="27" ht="22.5" customHeight="1">
      <c r="A27" s="26">
        <v>46182.0</v>
      </c>
      <c r="B27" s="48" t="s">
        <v>397</v>
      </c>
      <c r="C27" s="32" t="str">
        <f t="array" ref="C27">_xlfn.XLOOKUP(B27, DB[samplingPoint], DB[samplingTag])</f>
        <v>SV216.06</v>
      </c>
      <c r="D27" s="33" t="s">
        <v>404</v>
      </c>
      <c r="E27" s="32" t="s">
        <v>95</v>
      </c>
      <c r="F27" s="38" t="b">
        <v>1</v>
      </c>
      <c r="G27" s="39" t="str">
        <f t="array" ref="G27">_xlfn.XLOOKUP($B27, DB[samplingPoint], DB[noLocation])</f>
        <v>16-1-082</v>
      </c>
      <c r="H27" s="33" t="s">
        <v>327</v>
      </c>
      <c r="I27" s="40" t="str">
        <f t="array" ref="I27">_xlfn.XLOOKUP($B27, DB[samplingPoint], DB[location])</f>
        <v>WASHING</v>
      </c>
      <c r="J27" s="39" t="str">
        <f t="array" ref="J27">_xlfn.XLOOKUP($B27, DB[samplingPoint], DB[waterType])</f>
        <v>WFI</v>
      </c>
      <c r="K27" s="43">
        <f t="shared" si="8"/>
        <v>46182</v>
      </c>
      <c r="L27" s="26">
        <v>46185.0</v>
      </c>
      <c r="M27" s="53">
        <v>0.0</v>
      </c>
      <c r="N27" s="32">
        <f t="shared" si="6"/>
        <v>0</v>
      </c>
      <c r="O27" s="55"/>
      <c r="P27" s="55"/>
      <c r="Q27" s="32"/>
      <c r="R27" s="50" t="str">
        <f t="shared" si="3"/>
        <v>PASSED</v>
      </c>
      <c r="S27" s="38" t="b">
        <v>0</v>
      </c>
      <c r="T27" s="39"/>
      <c r="U27" s="32" t="s">
        <v>304</v>
      </c>
    </row>
    <row r="28" ht="22.5" customHeight="1">
      <c r="A28" s="26">
        <v>46183.0</v>
      </c>
      <c r="B28" s="48" t="s">
        <v>403</v>
      </c>
      <c r="C28" s="32" t="str">
        <f t="array" ref="C28">_xlfn.XLOOKUP(B28, DB[samplingPoint], DB[samplingTag])</f>
        <v>POU HE216.01</v>
      </c>
      <c r="D28" s="33" t="s">
        <v>412</v>
      </c>
      <c r="E28" s="32" t="s">
        <v>99</v>
      </c>
      <c r="F28" s="38" t="b">
        <v>1</v>
      </c>
      <c r="G28" s="39" t="str">
        <f t="array" ref="G28">_xlfn.XLOOKUP($B28, DB[samplingPoint], DB[noLocation])</f>
        <v>16-1-107</v>
      </c>
      <c r="H28" s="33" t="s">
        <v>327</v>
      </c>
      <c r="I28" s="40" t="str">
        <f t="array" ref="I28">_xlfn.XLOOKUP($B28, DB[samplingPoint], DB[location])</f>
        <v>COMPOUNDING-01</v>
      </c>
      <c r="J28" s="39" t="str">
        <f t="array" ref="J28">_xlfn.XLOOKUP($B28, DB[samplingPoint], DB[waterType])</f>
        <v>WFI</v>
      </c>
      <c r="K28" s="43">
        <f t="shared" ref="K28:K29" si="9">$A28+1</f>
        <v>46184</v>
      </c>
      <c r="L28" s="26">
        <v>46188.0</v>
      </c>
      <c r="M28" s="53">
        <v>16.0</v>
      </c>
      <c r="N28" s="32">
        <f t="shared" si="6"/>
        <v>16</v>
      </c>
      <c r="O28" s="89" t="s">
        <v>448</v>
      </c>
      <c r="Q28" s="32"/>
      <c r="R28" s="50" t="str">
        <f t="shared" si="3"/>
        <v>NOT-PASSED</v>
      </c>
      <c r="S28" s="38" t="b">
        <v>0</v>
      </c>
      <c r="T28" s="39"/>
      <c r="U28" s="32" t="s">
        <v>304</v>
      </c>
    </row>
    <row r="29" ht="22.5" customHeight="1">
      <c r="A29" s="26">
        <v>46183.0</v>
      </c>
      <c r="B29" s="48" t="s">
        <v>407</v>
      </c>
      <c r="C29" s="32" t="str">
        <f t="array" ref="C29">_xlfn.XLOOKUP(B29, DB[samplingPoint], DB[samplingTag])</f>
        <v>POU HE216.02</v>
      </c>
      <c r="D29" s="33" t="s">
        <v>412</v>
      </c>
      <c r="E29" s="32" t="s">
        <v>99</v>
      </c>
      <c r="F29" s="38" t="b">
        <v>1</v>
      </c>
      <c r="G29" s="39" t="str">
        <f t="array" ref="G29">_xlfn.XLOOKUP($B29, DB[samplingPoint], DB[noLocation])</f>
        <v>16-1-107</v>
      </c>
      <c r="H29" s="33" t="s">
        <v>327</v>
      </c>
      <c r="I29" s="40" t="str">
        <f t="array" ref="I29">_xlfn.XLOOKUP($B29, DB[samplingPoint], DB[location])</f>
        <v>COMPOUNDING-01</v>
      </c>
      <c r="J29" s="39" t="str">
        <f t="array" ref="J29">_xlfn.XLOOKUP($B29, DB[samplingPoint], DB[waterType])</f>
        <v>WFI</v>
      </c>
      <c r="K29" s="43">
        <f t="shared" si="9"/>
        <v>46184</v>
      </c>
      <c r="L29" s="26">
        <v>46188.0</v>
      </c>
      <c r="M29" s="53">
        <v>0.0</v>
      </c>
      <c r="N29" s="32">
        <f t="shared" si="6"/>
        <v>0</v>
      </c>
      <c r="O29" s="55"/>
      <c r="P29" s="55"/>
      <c r="Q29" s="32"/>
      <c r="R29" s="50" t="str">
        <f t="shared" si="3"/>
        <v>PASSED</v>
      </c>
      <c r="S29" s="38" t="b">
        <v>0</v>
      </c>
      <c r="T29" s="39"/>
      <c r="U29" s="32" t="s">
        <v>304</v>
      </c>
    </row>
    <row r="30" ht="22.5" customHeight="1">
      <c r="A30" s="26">
        <v>46184.0</v>
      </c>
      <c r="B30" s="48" t="s">
        <v>225</v>
      </c>
      <c r="C30" s="32" t="str">
        <f t="array" ref="C30">_xlfn.XLOOKUP(B30, DB[samplingPoint], DB[samplingTag])</f>
        <v>SV216.05</v>
      </c>
      <c r="D30" s="33" t="s">
        <v>292</v>
      </c>
      <c r="E30" s="32" t="s">
        <v>102</v>
      </c>
      <c r="F30" s="38" t="b">
        <v>1</v>
      </c>
      <c r="G30" s="39" t="str">
        <f t="array" ref="G30">_xlfn.XLOOKUP($B30, DB[samplingPoint], DB[noLocation])</f>
        <v>16-1-110</v>
      </c>
      <c r="H30" s="33" t="s">
        <v>327</v>
      </c>
      <c r="I30" s="40" t="str">
        <f t="array" ref="I30">_xlfn.XLOOKUP($B30, DB[samplingPoint], DB[location])</f>
        <v>DISINFECTANT PREPARATION</v>
      </c>
      <c r="J30" s="39" t="str">
        <f t="array" ref="J30">_xlfn.XLOOKUP($B30, DB[samplingPoint], DB[waterType])</f>
        <v>WFI</v>
      </c>
      <c r="K30" s="43">
        <f t="shared" ref="K30:K33" si="10">$A30+0</f>
        <v>46184</v>
      </c>
      <c r="L30" s="26">
        <v>46188.0</v>
      </c>
      <c r="M30" s="53">
        <v>0.0</v>
      </c>
      <c r="N30" s="32">
        <f t="shared" si="6"/>
        <v>0</v>
      </c>
      <c r="O30" s="55"/>
      <c r="P30" s="55"/>
      <c r="Q30" s="32"/>
      <c r="R30" s="50" t="str">
        <f t="shared" si="3"/>
        <v>PASSED</v>
      </c>
      <c r="S30" s="38" t="b">
        <v>0</v>
      </c>
      <c r="T30" s="39"/>
      <c r="U30" s="32" t="s">
        <v>304</v>
      </c>
    </row>
    <row r="31" ht="22.5" customHeight="1">
      <c r="A31" s="26">
        <v>46184.0</v>
      </c>
      <c r="B31" s="48" t="s">
        <v>365</v>
      </c>
      <c r="C31" s="32" t="str">
        <f t="array" ref="C31">_xlfn.XLOOKUP(B31, DB[samplingPoint], DB[samplingTag])</f>
        <v>SV216.10</v>
      </c>
      <c r="D31" s="33" t="s">
        <v>292</v>
      </c>
      <c r="E31" s="32" t="s">
        <v>102</v>
      </c>
      <c r="F31" s="38" t="b">
        <v>1</v>
      </c>
      <c r="G31" s="39" t="str">
        <f t="array" ref="G31">_xlfn.XLOOKUP($B31, DB[samplingPoint], DB[noLocation])</f>
        <v>16-1-105</v>
      </c>
      <c r="H31" s="33" t="s">
        <v>327</v>
      </c>
      <c r="I31" s="40" t="str">
        <f t="array" ref="I31">_xlfn.XLOOKUP($B31, DB[samplingPoint], DB[location])</f>
        <v>WASHING/TUNNEL-01</v>
      </c>
      <c r="J31" s="39" t="str">
        <f t="array" ref="J31">_xlfn.XLOOKUP($B31, DB[samplingPoint], DB[waterType])</f>
        <v>WFI</v>
      </c>
      <c r="K31" s="43">
        <f t="shared" si="10"/>
        <v>46184</v>
      </c>
      <c r="L31" s="26">
        <v>46188.0</v>
      </c>
      <c r="M31" s="53">
        <v>0.0</v>
      </c>
      <c r="N31" s="32">
        <f t="shared" si="6"/>
        <v>0</v>
      </c>
      <c r="O31" s="55"/>
      <c r="P31" s="55"/>
      <c r="Q31" s="32"/>
      <c r="R31" s="50" t="str">
        <f t="shared" si="3"/>
        <v>PASSED</v>
      </c>
      <c r="S31" s="38" t="b">
        <v>0</v>
      </c>
      <c r="T31" s="39"/>
      <c r="U31" s="32" t="s">
        <v>304</v>
      </c>
    </row>
    <row r="32" ht="22.5" customHeight="1">
      <c r="A32" s="26">
        <v>46185.0</v>
      </c>
      <c r="B32" s="48" t="s">
        <v>367</v>
      </c>
      <c r="C32" s="32" t="str">
        <f t="array" ref="C32">_xlfn.XLOOKUP(B32, DB[samplingPoint], DB[samplingTag])</f>
        <v>POU HE216.04</v>
      </c>
      <c r="D32" s="33" t="s">
        <v>369</v>
      </c>
      <c r="E32" s="32" t="s">
        <v>105</v>
      </c>
      <c r="F32" s="38" t="b">
        <v>1</v>
      </c>
      <c r="G32" s="39" t="str">
        <f t="array" ref="G32">_xlfn.XLOOKUP($B32, DB[samplingPoint], DB[noLocation])</f>
        <v>16-1-114</v>
      </c>
      <c r="H32" s="33" t="s">
        <v>327</v>
      </c>
      <c r="I32" s="40" t="str">
        <f t="array" ref="I32">_xlfn.XLOOKUP($B32, DB[samplingPoint], DB[location])</f>
        <v>COMPOUNDING-02</v>
      </c>
      <c r="J32" s="39" t="str">
        <f t="array" ref="J32">_xlfn.XLOOKUP($B32, DB[samplingPoint], DB[waterType])</f>
        <v>WFI</v>
      </c>
      <c r="K32" s="43">
        <f t="shared" si="10"/>
        <v>46185</v>
      </c>
      <c r="L32" s="26">
        <v>46188.0</v>
      </c>
      <c r="M32" s="53">
        <v>0.0</v>
      </c>
      <c r="N32" s="32">
        <f t="shared" si="6"/>
        <v>0</v>
      </c>
      <c r="O32" s="55"/>
      <c r="P32" s="55"/>
      <c r="Q32" s="32"/>
      <c r="R32" s="50" t="str">
        <f t="shared" si="3"/>
        <v>PASSED</v>
      </c>
      <c r="S32" s="38" t="b">
        <v>0</v>
      </c>
      <c r="T32" s="39"/>
      <c r="U32" s="32" t="s">
        <v>304</v>
      </c>
    </row>
    <row r="33" ht="22.5" customHeight="1">
      <c r="A33" s="26">
        <v>46185.0</v>
      </c>
      <c r="B33" s="48" t="s">
        <v>372</v>
      </c>
      <c r="C33" s="32" t="str">
        <f t="array" ref="C33">_xlfn.XLOOKUP(B33, DB[samplingPoint], DB[samplingTag])</f>
        <v>POU HE216.05</v>
      </c>
      <c r="D33" s="33" t="s">
        <v>369</v>
      </c>
      <c r="E33" s="32" t="s">
        <v>105</v>
      </c>
      <c r="F33" s="38" t="b">
        <v>1</v>
      </c>
      <c r="G33" s="39" t="str">
        <f t="array" ref="G33">_xlfn.XLOOKUP($B33, DB[samplingPoint], DB[noLocation])</f>
        <v>16-1-114</v>
      </c>
      <c r="H33" s="33" t="s">
        <v>327</v>
      </c>
      <c r="I33" s="40" t="str">
        <f t="array" ref="I33">_xlfn.XLOOKUP($B33, DB[samplingPoint], DB[location])</f>
        <v>COMPOUNDING-02</v>
      </c>
      <c r="J33" s="39" t="str">
        <f t="array" ref="J33">_xlfn.XLOOKUP($B33, DB[samplingPoint], DB[waterType])</f>
        <v>WFI</v>
      </c>
      <c r="K33" s="43">
        <f t="shared" si="10"/>
        <v>46185</v>
      </c>
      <c r="L33" s="26">
        <v>46188.0</v>
      </c>
      <c r="M33" s="53">
        <v>0.0</v>
      </c>
      <c r="N33" s="32">
        <f t="shared" si="6"/>
        <v>0</v>
      </c>
      <c r="O33" s="55"/>
      <c r="P33" s="55"/>
      <c r="Q33" s="32"/>
      <c r="R33" s="50" t="str">
        <f t="shared" si="3"/>
        <v>PASSED</v>
      </c>
      <c r="S33" s="38" t="b">
        <v>0</v>
      </c>
      <c r="T33" s="39"/>
      <c r="U33" s="32" t="s">
        <v>304</v>
      </c>
    </row>
    <row r="34" ht="22.5" customHeight="1">
      <c r="A34" s="26">
        <v>46188.0</v>
      </c>
      <c r="B34" s="48" t="s">
        <v>377</v>
      </c>
      <c r="C34" s="32" t="str">
        <f t="array" ref="C34">_xlfn.XLOOKUP(B34, DB[samplingPoint], DB[samplingTag])</f>
        <v>V12-4</v>
      </c>
      <c r="D34" s="33" t="s">
        <v>379</v>
      </c>
      <c r="E34" s="32" t="s">
        <v>111</v>
      </c>
      <c r="F34" s="38" t="b">
        <v>1</v>
      </c>
      <c r="G34" s="39" t="str">
        <f t="array" ref="G34">_xlfn.XLOOKUP($B34, DB[samplingPoint], DB[noLocation])</f>
        <v>16-2-010</v>
      </c>
      <c r="H34" s="33" t="s">
        <v>327</v>
      </c>
      <c r="I34" s="40" t="str">
        <f t="array" ref="I34">_xlfn.XLOOKUP($B34, DB[samplingPoint], DB[location])</f>
        <v>AFTER WFI GENERATOR</v>
      </c>
      <c r="J34" s="39" t="str">
        <f t="array" ref="J34">_xlfn.XLOOKUP($B34, DB[samplingPoint], DB[waterType])</f>
        <v>WFI</v>
      </c>
      <c r="K34" s="43">
        <f t="shared" ref="K34:K38" si="11">$A34+1</f>
        <v>46189</v>
      </c>
      <c r="L34" s="26">
        <v>46192.0</v>
      </c>
      <c r="M34" s="53">
        <v>0.0</v>
      </c>
      <c r="N34" s="32">
        <f t="shared" si="6"/>
        <v>0</v>
      </c>
      <c r="O34" s="55"/>
      <c r="P34" s="55"/>
      <c r="Q34" s="32"/>
      <c r="R34" s="50" t="str">
        <f t="shared" si="3"/>
        <v>PASSED</v>
      </c>
      <c r="S34" s="38" t="b">
        <v>0</v>
      </c>
      <c r="T34" s="39"/>
      <c r="U34" s="32" t="s">
        <v>304</v>
      </c>
    </row>
    <row r="35" ht="22.5" customHeight="1">
      <c r="A35" s="26">
        <v>46188.0</v>
      </c>
      <c r="B35" s="48" t="s">
        <v>383</v>
      </c>
      <c r="C35" s="32" t="str">
        <f t="array" ref="C35">_xlfn.XLOOKUP(B35, DB[samplingPoint], DB[samplingTag])</f>
        <v>SV213.01</v>
      </c>
      <c r="D35" s="33" t="s">
        <v>379</v>
      </c>
      <c r="E35" s="32" t="s">
        <v>111</v>
      </c>
      <c r="F35" s="38" t="b">
        <v>1</v>
      </c>
      <c r="G35" s="39" t="str">
        <f t="array" ref="G35">_xlfn.XLOOKUP($B35, DB[samplingPoint], DB[noLocation])</f>
        <v>16-2-010</v>
      </c>
      <c r="H35" s="33" t="s">
        <v>327</v>
      </c>
      <c r="I35" s="40" t="str">
        <f t="array" ref="I35">_xlfn.XLOOKUP($B35, DB[samplingPoint], DB[location])</f>
        <v>AFTER STORAGE TANK</v>
      </c>
      <c r="J35" s="39" t="str">
        <f t="array" ref="J35">_xlfn.XLOOKUP($B35, DB[samplingPoint], DB[waterType])</f>
        <v>WFI</v>
      </c>
      <c r="K35" s="43">
        <f t="shared" si="11"/>
        <v>46189</v>
      </c>
      <c r="L35" s="26">
        <v>46192.0</v>
      </c>
      <c r="M35" s="53">
        <v>0.0</v>
      </c>
      <c r="N35" s="32">
        <f t="shared" si="6"/>
        <v>0</v>
      </c>
      <c r="O35" s="55"/>
      <c r="P35" s="55"/>
      <c r="Q35" s="32"/>
      <c r="R35" s="50" t="str">
        <f t="shared" si="3"/>
        <v>PASSED</v>
      </c>
      <c r="S35" s="38" t="b">
        <v>0</v>
      </c>
      <c r="T35" s="39"/>
      <c r="U35" s="32" t="s">
        <v>304</v>
      </c>
    </row>
    <row r="36" ht="22.5" customHeight="1">
      <c r="A36" s="26">
        <v>46188.0</v>
      </c>
      <c r="B36" s="48" t="s">
        <v>388</v>
      </c>
      <c r="C36" s="32" t="str">
        <f t="array" ref="C36">_xlfn.XLOOKUP(B36, DB[samplingPoint], DB[samplingTag])</f>
        <v>SV217.01</v>
      </c>
      <c r="D36" s="33" t="s">
        <v>379</v>
      </c>
      <c r="E36" s="32" t="s">
        <v>111</v>
      </c>
      <c r="F36" s="38" t="b">
        <v>1</v>
      </c>
      <c r="G36" s="39" t="str">
        <f t="array" ref="G36">_xlfn.XLOOKUP($B36, DB[samplingPoint], DB[noLocation])</f>
        <v>16-2-010</v>
      </c>
      <c r="H36" s="33" t="s">
        <v>327</v>
      </c>
      <c r="I36" s="40" t="str">
        <f t="array" ref="I36">_xlfn.XLOOKUP($B36, DB[samplingPoint], DB[location])</f>
        <v>RETURN LOOP</v>
      </c>
      <c r="J36" s="39" t="str">
        <f t="array" ref="J36">_xlfn.XLOOKUP($B36, DB[samplingPoint], DB[waterType])</f>
        <v>WFI</v>
      </c>
      <c r="K36" s="43">
        <f t="shared" si="11"/>
        <v>46189</v>
      </c>
      <c r="L36" s="26">
        <v>46192.0</v>
      </c>
      <c r="M36" s="53">
        <v>0.0</v>
      </c>
      <c r="N36" s="32">
        <f t="shared" si="6"/>
        <v>0</v>
      </c>
      <c r="O36" s="55"/>
      <c r="P36" s="55"/>
      <c r="Q36" s="32"/>
      <c r="R36" s="50" t="str">
        <f t="shared" si="3"/>
        <v>PASSED</v>
      </c>
      <c r="S36" s="38" t="b">
        <v>0</v>
      </c>
      <c r="T36" s="39"/>
      <c r="U36" s="32" t="s">
        <v>304</v>
      </c>
    </row>
    <row r="37" ht="22.5" customHeight="1">
      <c r="A37" s="26">
        <v>46188.0</v>
      </c>
      <c r="B37" s="48" t="s">
        <v>416</v>
      </c>
      <c r="C37" s="32" t="str">
        <f t="array" ref="C37">_xlfn.XLOOKUP(B37, DB[samplingPoint], DB[samplingTag])</f>
        <v>SV216.02</v>
      </c>
      <c r="D37" s="33" t="s">
        <v>379</v>
      </c>
      <c r="E37" s="32" t="s">
        <v>111</v>
      </c>
      <c r="F37" s="38" t="b">
        <v>1</v>
      </c>
      <c r="G37" s="39" t="str">
        <f t="array" ref="G37">_xlfn.XLOOKUP($B37, DB[samplingPoint], DB[noLocation])</f>
        <v>16-1-098</v>
      </c>
      <c r="H37" s="33" t="s">
        <v>327</v>
      </c>
      <c r="I37" s="40" t="str">
        <f t="array" ref="I37">_xlfn.XLOOKUP($B37, DB[samplingPoint], DB[location])</f>
        <v>CIP/SIP</v>
      </c>
      <c r="J37" s="39" t="str">
        <f t="array" ref="J37">_xlfn.XLOOKUP($B37, DB[samplingPoint], DB[waterType])</f>
        <v>WFI</v>
      </c>
      <c r="K37" s="43">
        <f t="shared" si="11"/>
        <v>46189</v>
      </c>
      <c r="L37" s="26">
        <v>46192.0</v>
      </c>
      <c r="M37" s="53">
        <v>0.0</v>
      </c>
      <c r="N37" s="32">
        <f t="shared" si="6"/>
        <v>0</v>
      </c>
      <c r="O37" s="55"/>
      <c r="P37" s="55"/>
      <c r="Q37" s="32"/>
      <c r="R37" s="50" t="str">
        <f t="shared" si="3"/>
        <v>PASSED</v>
      </c>
      <c r="S37" s="38" t="b">
        <v>0</v>
      </c>
      <c r="T37" s="39"/>
      <c r="U37" s="32" t="s">
        <v>304</v>
      </c>
    </row>
    <row r="38" ht="22.5" customHeight="1">
      <c r="A38" s="26">
        <v>46188.0</v>
      </c>
      <c r="B38" s="48" t="s">
        <v>418</v>
      </c>
      <c r="C38" s="32" t="str">
        <f t="array" ref="C38">_xlfn.XLOOKUP(B38, DB[samplingPoint], DB[samplingTag])</f>
        <v>SV216.04</v>
      </c>
      <c r="D38" s="33" t="s">
        <v>379</v>
      </c>
      <c r="E38" s="32" t="s">
        <v>111</v>
      </c>
      <c r="F38" s="38" t="b">
        <v>1</v>
      </c>
      <c r="G38" s="39" t="str">
        <f t="array" ref="G38">_xlfn.XLOOKUP($B38, DB[samplingPoint], DB[noLocation])</f>
        <v>16-1-098</v>
      </c>
      <c r="H38" s="33" t="s">
        <v>327</v>
      </c>
      <c r="I38" s="40" t="str">
        <f t="array" ref="I38">_xlfn.XLOOKUP($B38, DB[samplingPoint], DB[location])</f>
        <v>CIP/SIP</v>
      </c>
      <c r="J38" s="39" t="str">
        <f t="array" ref="J38">_xlfn.XLOOKUP($B38, DB[samplingPoint], DB[waterType])</f>
        <v>WFI</v>
      </c>
      <c r="K38" s="43">
        <f t="shared" si="11"/>
        <v>46189</v>
      </c>
      <c r="L38" s="26">
        <v>46192.0</v>
      </c>
      <c r="M38" s="53">
        <v>0.0</v>
      </c>
      <c r="N38" s="32">
        <f t="shared" si="6"/>
        <v>0</v>
      </c>
      <c r="O38" s="55"/>
      <c r="P38" s="55"/>
      <c r="Q38" s="32"/>
      <c r="R38" s="50" t="str">
        <f t="shared" si="3"/>
        <v>PASSED</v>
      </c>
      <c r="S38" s="38" t="b">
        <v>0</v>
      </c>
      <c r="T38" s="39"/>
      <c r="U38" s="32" t="s">
        <v>304</v>
      </c>
    </row>
    <row r="39" ht="22.5" customHeight="1">
      <c r="A39" s="26">
        <v>46189.0</v>
      </c>
      <c r="B39" s="48" t="s">
        <v>391</v>
      </c>
      <c r="C39" s="32" t="str">
        <f t="array" ref="C39">_xlfn.XLOOKUP(B39, DB[samplingPoint], DB[samplingTag])</f>
        <v>SV216.03</v>
      </c>
      <c r="D39" s="33" t="s">
        <v>404</v>
      </c>
      <c r="E39" s="32" t="s">
        <v>121</v>
      </c>
      <c r="F39" s="38" t="b">
        <v>1</v>
      </c>
      <c r="G39" s="39" t="str">
        <f t="array" ref="G39">_xlfn.XLOOKUP($B39, DB[samplingPoint], DB[noLocation])</f>
        <v>16-1-096</v>
      </c>
      <c r="H39" s="33" t="s">
        <v>327</v>
      </c>
      <c r="I39" s="40" t="str">
        <f t="array" ref="I39">_xlfn.XLOOKUP($B39, DB[samplingPoint], DB[location])</f>
        <v>WASHING/TUNNEL-02</v>
      </c>
      <c r="J39" s="39" t="str">
        <f t="array" ref="J39">_xlfn.XLOOKUP($B39, DB[samplingPoint], DB[waterType])</f>
        <v>WFI</v>
      </c>
      <c r="K39" s="43">
        <f t="shared" ref="K39:K41" si="12">$A39+2</f>
        <v>46191</v>
      </c>
      <c r="L39" s="26">
        <v>46195.0</v>
      </c>
      <c r="M39" s="53">
        <v>0.0</v>
      </c>
      <c r="N39" s="32">
        <f t="shared" si="6"/>
        <v>0</v>
      </c>
      <c r="O39" s="55"/>
      <c r="P39" s="55"/>
      <c r="Q39" s="32"/>
      <c r="R39" s="50" t="str">
        <f t="shared" si="3"/>
        <v>PASSED</v>
      </c>
      <c r="S39" s="38" t="b">
        <v>0</v>
      </c>
      <c r="T39" s="39"/>
      <c r="U39" s="32" t="s">
        <v>304</v>
      </c>
    </row>
    <row r="40" ht="22.5" customHeight="1">
      <c r="A40" s="26">
        <v>46189.0</v>
      </c>
      <c r="B40" s="48" t="s">
        <v>395</v>
      </c>
      <c r="C40" s="32" t="str">
        <f t="array" ref="C40">_xlfn.XLOOKUP(B40, DB[samplingPoint], DB[samplingTag])</f>
        <v>POU HE216.03</v>
      </c>
      <c r="D40" s="33" t="s">
        <v>404</v>
      </c>
      <c r="E40" s="32" t="s">
        <v>121</v>
      </c>
      <c r="F40" s="38" t="b">
        <v>1</v>
      </c>
      <c r="G40" s="39" t="str">
        <f t="array" ref="G40">_xlfn.XLOOKUP($B40, DB[samplingPoint], DB[noLocation])</f>
        <v>16-1-082</v>
      </c>
      <c r="H40" s="33" t="s">
        <v>327</v>
      </c>
      <c r="I40" s="40" t="str">
        <f t="array" ref="I40">_xlfn.XLOOKUP($B40, DB[samplingPoint], DB[location])</f>
        <v>WASHING</v>
      </c>
      <c r="J40" s="39" t="str">
        <f t="array" ref="J40">_xlfn.XLOOKUP($B40, DB[samplingPoint], DB[waterType])</f>
        <v>WFI</v>
      </c>
      <c r="K40" s="43">
        <f t="shared" si="12"/>
        <v>46191</v>
      </c>
      <c r="L40" s="26">
        <v>46195.0</v>
      </c>
      <c r="M40" s="53">
        <v>0.0</v>
      </c>
      <c r="N40" s="32">
        <f t="shared" si="6"/>
        <v>0</v>
      </c>
      <c r="O40" s="55"/>
      <c r="P40" s="55"/>
      <c r="Q40" s="32"/>
      <c r="R40" s="50" t="str">
        <f t="shared" si="3"/>
        <v>PASSED</v>
      </c>
      <c r="S40" s="38" t="b">
        <v>0</v>
      </c>
      <c r="T40" s="39"/>
      <c r="U40" s="32" t="s">
        <v>304</v>
      </c>
    </row>
    <row r="41" ht="22.5" customHeight="1">
      <c r="A41" s="26">
        <v>46189.0</v>
      </c>
      <c r="B41" s="48" t="s">
        <v>397</v>
      </c>
      <c r="C41" s="32" t="str">
        <f t="array" ref="C41">_xlfn.XLOOKUP(B41, DB[samplingPoint], DB[samplingTag])</f>
        <v>SV216.06</v>
      </c>
      <c r="D41" s="33" t="s">
        <v>404</v>
      </c>
      <c r="E41" s="32" t="s">
        <v>121</v>
      </c>
      <c r="F41" s="38" t="b">
        <v>1</v>
      </c>
      <c r="G41" s="39" t="str">
        <f t="array" ref="G41">_xlfn.XLOOKUP($B41, DB[samplingPoint], DB[noLocation])</f>
        <v>16-1-082</v>
      </c>
      <c r="H41" s="33" t="s">
        <v>327</v>
      </c>
      <c r="I41" s="40" t="str">
        <f t="array" ref="I41">_xlfn.XLOOKUP($B41, DB[samplingPoint], DB[location])</f>
        <v>WASHING</v>
      </c>
      <c r="J41" s="39" t="str">
        <f t="array" ref="J41">_xlfn.XLOOKUP($B41, DB[samplingPoint], DB[waterType])</f>
        <v>WFI</v>
      </c>
      <c r="K41" s="43">
        <f t="shared" si="12"/>
        <v>46191</v>
      </c>
      <c r="L41" s="26">
        <v>46195.0</v>
      </c>
      <c r="M41" s="53">
        <v>0.0</v>
      </c>
      <c r="N41" s="32">
        <f t="shared" si="6"/>
        <v>0</v>
      </c>
      <c r="O41" s="55"/>
      <c r="P41" s="55"/>
      <c r="Q41" s="32"/>
      <c r="R41" s="50" t="str">
        <f t="shared" si="3"/>
        <v>PASSED</v>
      </c>
      <c r="S41" s="38" t="b">
        <v>0</v>
      </c>
      <c r="T41" s="39"/>
      <c r="U41" s="32" t="s">
        <v>304</v>
      </c>
    </row>
    <row r="42" ht="22.5" customHeight="1">
      <c r="A42" s="26">
        <v>46190.0</v>
      </c>
      <c r="B42" s="48" t="s">
        <v>403</v>
      </c>
      <c r="C42" s="32" t="str">
        <f t="array" ref="C42">_xlfn.XLOOKUP(B42, DB[samplingPoint], DB[samplingTag])</f>
        <v>POU HE216.01</v>
      </c>
      <c r="D42" s="33" t="s">
        <v>412</v>
      </c>
      <c r="E42" s="32" t="s">
        <v>124</v>
      </c>
      <c r="F42" s="38" t="b">
        <v>1</v>
      </c>
      <c r="G42" s="39" t="str">
        <f t="array" ref="G42">_xlfn.XLOOKUP($B42, DB[samplingPoint], DB[noLocation])</f>
        <v>16-1-107</v>
      </c>
      <c r="H42" s="33" t="s">
        <v>327</v>
      </c>
      <c r="I42" s="40" t="str">
        <f t="array" ref="I42">_xlfn.XLOOKUP($B42, DB[samplingPoint], DB[location])</f>
        <v>COMPOUNDING-01</v>
      </c>
      <c r="J42" s="39" t="str">
        <f t="array" ref="J42">_xlfn.XLOOKUP($B42, DB[samplingPoint], DB[waterType])</f>
        <v>WFI</v>
      </c>
      <c r="K42" s="43">
        <f t="shared" ref="K42:K43" si="13">$A42+1</f>
        <v>46191</v>
      </c>
      <c r="L42" s="26">
        <v>46195.0</v>
      </c>
      <c r="M42" s="53">
        <v>9.0</v>
      </c>
      <c r="N42" s="32">
        <f t="shared" si="6"/>
        <v>9</v>
      </c>
      <c r="O42" s="55" t="s">
        <v>480</v>
      </c>
      <c r="Q42" s="32"/>
      <c r="R42" s="50" t="str">
        <f t="shared" si="3"/>
        <v>NOT-PASSED</v>
      </c>
      <c r="S42" s="38" t="b">
        <v>0</v>
      </c>
      <c r="T42" s="39"/>
      <c r="U42" s="32" t="s">
        <v>304</v>
      </c>
    </row>
    <row r="43" ht="22.5" customHeight="1">
      <c r="A43" s="26">
        <v>46190.0</v>
      </c>
      <c r="B43" s="48" t="s">
        <v>407</v>
      </c>
      <c r="C43" s="32" t="str">
        <f t="array" ref="C43">_xlfn.XLOOKUP(B43, DB[samplingPoint], DB[samplingTag])</f>
        <v>POU HE216.02</v>
      </c>
      <c r="D43" s="33" t="s">
        <v>412</v>
      </c>
      <c r="E43" s="32" t="s">
        <v>124</v>
      </c>
      <c r="F43" s="38" t="b">
        <v>1</v>
      </c>
      <c r="G43" s="39" t="str">
        <f t="array" ref="G43">_xlfn.XLOOKUP($B43, DB[samplingPoint], DB[noLocation])</f>
        <v>16-1-107</v>
      </c>
      <c r="H43" s="33" t="s">
        <v>327</v>
      </c>
      <c r="I43" s="40" t="str">
        <f t="array" ref="I43">_xlfn.XLOOKUP($B43, DB[samplingPoint], DB[location])</f>
        <v>COMPOUNDING-01</v>
      </c>
      <c r="J43" s="39" t="str">
        <f t="array" ref="J43">_xlfn.XLOOKUP($B43, DB[samplingPoint], DB[waterType])</f>
        <v>WFI</v>
      </c>
      <c r="K43" s="43">
        <f t="shared" si="13"/>
        <v>46191</v>
      </c>
      <c r="L43" s="26">
        <v>46195.0</v>
      </c>
      <c r="M43" s="53">
        <v>0.0</v>
      </c>
      <c r="N43" s="32">
        <f t="shared" si="6"/>
        <v>0</v>
      </c>
      <c r="O43" s="55"/>
      <c r="P43" s="55"/>
      <c r="Q43" s="32"/>
      <c r="R43" s="50" t="str">
        <f t="shared" si="3"/>
        <v>PASSED</v>
      </c>
      <c r="S43" s="38" t="b">
        <v>0</v>
      </c>
      <c r="T43" s="39"/>
      <c r="U43" s="32" t="s">
        <v>304</v>
      </c>
    </row>
    <row r="44" ht="22.5" customHeight="1">
      <c r="A44" s="26">
        <v>46191.0</v>
      </c>
      <c r="B44" s="48" t="s">
        <v>225</v>
      </c>
      <c r="C44" s="32" t="str">
        <f t="array" ref="C44">_xlfn.XLOOKUP(B44, DB[samplingPoint], DB[samplingTag])</f>
        <v>SV216.05</v>
      </c>
      <c r="D44" s="33" t="s">
        <v>292</v>
      </c>
      <c r="E44" s="32" t="s">
        <v>130</v>
      </c>
      <c r="F44" s="38" t="b">
        <v>1</v>
      </c>
      <c r="G44" s="39" t="str">
        <f t="array" ref="G44">_xlfn.XLOOKUP($B44, DB[samplingPoint], DB[noLocation])</f>
        <v>16-1-110</v>
      </c>
      <c r="H44" s="33" t="s">
        <v>327</v>
      </c>
      <c r="I44" s="40" t="str">
        <f t="array" ref="I44">_xlfn.XLOOKUP($B44, DB[samplingPoint], DB[location])</f>
        <v>DISINFECTANT PREPARATION</v>
      </c>
      <c r="J44" s="39" t="str">
        <f t="array" ref="J44">_xlfn.XLOOKUP($B44, DB[samplingPoint], DB[waterType])</f>
        <v>WFI</v>
      </c>
      <c r="K44" s="43">
        <f t="shared" ref="K44:K45" si="14">$A44+2</f>
        <v>46193</v>
      </c>
      <c r="L44" s="26">
        <v>46196.0</v>
      </c>
      <c r="M44" s="53">
        <v>0.0</v>
      </c>
      <c r="N44" s="32">
        <f t="shared" si="6"/>
        <v>0</v>
      </c>
      <c r="O44" s="55"/>
      <c r="P44" s="55"/>
      <c r="Q44" s="32"/>
      <c r="R44" s="50" t="str">
        <f t="shared" si="3"/>
        <v>PASSED</v>
      </c>
      <c r="S44" s="38" t="b">
        <v>0</v>
      </c>
      <c r="T44" s="39"/>
      <c r="U44" s="32" t="s">
        <v>304</v>
      </c>
    </row>
    <row r="45" ht="22.5" customHeight="1">
      <c r="A45" s="26">
        <v>46191.0</v>
      </c>
      <c r="B45" s="48" t="s">
        <v>365</v>
      </c>
      <c r="C45" s="32" t="str">
        <f t="array" ref="C45">_xlfn.XLOOKUP(B45, DB[samplingPoint], DB[samplingTag])</f>
        <v>SV216.10</v>
      </c>
      <c r="D45" s="33" t="s">
        <v>292</v>
      </c>
      <c r="E45" s="32" t="s">
        <v>130</v>
      </c>
      <c r="F45" s="38" t="b">
        <v>1</v>
      </c>
      <c r="G45" s="39" t="str">
        <f t="array" ref="G45">_xlfn.XLOOKUP($B45, DB[samplingPoint], DB[noLocation])</f>
        <v>16-1-105</v>
      </c>
      <c r="H45" s="33" t="s">
        <v>327</v>
      </c>
      <c r="I45" s="40" t="str">
        <f t="array" ref="I45">_xlfn.XLOOKUP($B45, DB[samplingPoint], DB[location])</f>
        <v>WASHING/TUNNEL-01</v>
      </c>
      <c r="J45" s="39" t="str">
        <f t="array" ref="J45">_xlfn.XLOOKUP($B45, DB[samplingPoint], DB[waterType])</f>
        <v>WFI</v>
      </c>
      <c r="K45" s="43">
        <f t="shared" si="14"/>
        <v>46193</v>
      </c>
      <c r="L45" s="26">
        <v>46196.0</v>
      </c>
      <c r="M45" s="53">
        <v>0.0</v>
      </c>
      <c r="N45" s="32">
        <f t="shared" si="6"/>
        <v>0</v>
      </c>
      <c r="O45" s="55"/>
      <c r="P45" s="55"/>
      <c r="Q45" s="32"/>
      <c r="R45" s="50" t="str">
        <f t="shared" si="3"/>
        <v>PASSED</v>
      </c>
      <c r="S45" s="38" t="b">
        <v>0</v>
      </c>
      <c r="T45" s="39"/>
      <c r="U45" s="32" t="s">
        <v>304</v>
      </c>
    </row>
    <row r="46" ht="22.5" customHeight="1">
      <c r="A46" s="26">
        <v>46192.0</v>
      </c>
      <c r="B46" s="48" t="s">
        <v>367</v>
      </c>
      <c r="C46" s="32" t="str">
        <f t="array" ref="C46">_xlfn.XLOOKUP(B46, DB[samplingPoint], DB[samplingTag])</f>
        <v>POU HE216.04</v>
      </c>
      <c r="D46" s="33" t="s">
        <v>369</v>
      </c>
      <c r="E46" s="32" t="s">
        <v>132</v>
      </c>
      <c r="F46" s="38" t="b">
        <v>1</v>
      </c>
      <c r="G46" s="39" t="str">
        <f t="array" ref="G46">_xlfn.XLOOKUP($B46, DB[samplingPoint], DB[noLocation])</f>
        <v>16-1-114</v>
      </c>
      <c r="H46" s="33" t="s">
        <v>327</v>
      </c>
      <c r="I46" s="40" t="str">
        <f t="array" ref="I46">_xlfn.XLOOKUP($B46, DB[samplingPoint], DB[location])</f>
        <v>COMPOUNDING-02</v>
      </c>
      <c r="J46" s="39" t="str">
        <f t="array" ref="J46">_xlfn.XLOOKUP($B46, DB[samplingPoint], DB[waterType])</f>
        <v>WFI</v>
      </c>
      <c r="K46" s="43">
        <f t="shared" ref="K46:K52" si="15">$A46+1</f>
        <v>46193</v>
      </c>
      <c r="L46" s="26">
        <v>46196.0</v>
      </c>
      <c r="M46" s="53">
        <v>0.0</v>
      </c>
      <c r="N46" s="32">
        <f t="shared" si="6"/>
        <v>0</v>
      </c>
      <c r="O46" s="55"/>
      <c r="P46" s="55"/>
      <c r="Q46" s="32"/>
      <c r="R46" s="50" t="str">
        <f t="shared" si="3"/>
        <v>PASSED</v>
      </c>
      <c r="S46" s="38" t="b">
        <v>0</v>
      </c>
      <c r="T46" s="39"/>
      <c r="U46" s="32" t="s">
        <v>304</v>
      </c>
    </row>
    <row r="47" ht="22.5" customHeight="1">
      <c r="A47" s="26">
        <v>46192.0</v>
      </c>
      <c r="B47" s="48" t="s">
        <v>372</v>
      </c>
      <c r="C47" s="32" t="str">
        <f t="array" ref="C47">_xlfn.XLOOKUP(B47, DB[samplingPoint], DB[samplingTag])</f>
        <v>POU HE216.05</v>
      </c>
      <c r="D47" s="33" t="s">
        <v>369</v>
      </c>
      <c r="E47" s="32" t="s">
        <v>132</v>
      </c>
      <c r="F47" s="38" t="b">
        <v>1</v>
      </c>
      <c r="G47" s="39" t="str">
        <f t="array" ref="G47">_xlfn.XLOOKUP($B47, DB[samplingPoint], DB[noLocation])</f>
        <v>16-1-114</v>
      </c>
      <c r="H47" s="33" t="s">
        <v>327</v>
      </c>
      <c r="I47" s="40" t="str">
        <f t="array" ref="I47">_xlfn.XLOOKUP($B47, DB[samplingPoint], DB[location])</f>
        <v>COMPOUNDING-02</v>
      </c>
      <c r="J47" s="39" t="str">
        <f t="array" ref="J47">_xlfn.XLOOKUP($B47, DB[samplingPoint], DB[waterType])</f>
        <v>WFI</v>
      </c>
      <c r="K47" s="43">
        <f t="shared" si="15"/>
        <v>46193</v>
      </c>
      <c r="L47" s="26">
        <v>46196.0</v>
      </c>
      <c r="M47" s="53">
        <v>0.0</v>
      </c>
      <c r="N47" s="32">
        <f t="shared" si="6"/>
        <v>0</v>
      </c>
      <c r="O47" s="55"/>
      <c r="P47" s="55"/>
      <c r="Q47" s="32"/>
      <c r="R47" s="50" t="str">
        <f t="shared" si="3"/>
        <v>PASSED</v>
      </c>
      <c r="S47" s="38" t="b">
        <v>0</v>
      </c>
      <c r="T47" s="39"/>
      <c r="U47" s="32" t="s">
        <v>304</v>
      </c>
    </row>
    <row r="48" ht="22.5" customHeight="1">
      <c r="A48" s="26">
        <v>46195.0</v>
      </c>
      <c r="B48" s="48" t="s">
        <v>377</v>
      </c>
      <c r="C48" s="32" t="str">
        <f t="array" ref="C48">_xlfn.XLOOKUP(B48, DB[samplingPoint], DB[samplingTag])</f>
        <v>V12-4</v>
      </c>
      <c r="D48" s="33" t="s">
        <v>379</v>
      </c>
      <c r="E48" s="32" t="s">
        <v>134</v>
      </c>
      <c r="F48" s="38" t="b">
        <v>1</v>
      </c>
      <c r="G48" s="39" t="str">
        <f t="array" ref="G48">_xlfn.XLOOKUP($B48, DB[samplingPoint], DB[noLocation])</f>
        <v>16-2-010</v>
      </c>
      <c r="H48" s="33" t="s">
        <v>327</v>
      </c>
      <c r="I48" s="40" t="str">
        <f t="array" ref="I48">_xlfn.XLOOKUP($B48, DB[samplingPoint], DB[location])</f>
        <v>AFTER WFI GENERATOR</v>
      </c>
      <c r="J48" s="39" t="str">
        <f t="array" ref="J48">_xlfn.XLOOKUP($B48, DB[samplingPoint], DB[waterType])</f>
        <v>WFI</v>
      </c>
      <c r="K48" s="43">
        <f t="shared" si="15"/>
        <v>46196</v>
      </c>
      <c r="L48" s="26">
        <v>46199.0</v>
      </c>
      <c r="M48" s="53">
        <v>0.0</v>
      </c>
      <c r="N48" s="32">
        <f t="shared" si="6"/>
        <v>0</v>
      </c>
      <c r="O48" s="55"/>
      <c r="P48" s="55"/>
      <c r="Q48" s="32"/>
      <c r="R48" s="50" t="str">
        <f t="shared" si="3"/>
        <v>PASSED</v>
      </c>
      <c r="S48" s="38" t="b">
        <v>0</v>
      </c>
      <c r="T48" s="39"/>
      <c r="U48" s="32" t="s">
        <v>304</v>
      </c>
    </row>
    <row r="49" ht="22.5" customHeight="1">
      <c r="A49" s="26">
        <v>46195.0</v>
      </c>
      <c r="B49" s="48" t="s">
        <v>383</v>
      </c>
      <c r="C49" s="32" t="str">
        <f t="array" ref="C49">_xlfn.XLOOKUP(B49, DB[samplingPoint], DB[samplingTag])</f>
        <v>SV213.01</v>
      </c>
      <c r="D49" s="33" t="s">
        <v>379</v>
      </c>
      <c r="E49" s="32" t="s">
        <v>134</v>
      </c>
      <c r="F49" s="38" t="b">
        <v>1</v>
      </c>
      <c r="G49" s="39" t="str">
        <f t="array" ref="G49">_xlfn.XLOOKUP($B49, DB[samplingPoint], DB[noLocation])</f>
        <v>16-2-010</v>
      </c>
      <c r="H49" s="33" t="s">
        <v>327</v>
      </c>
      <c r="I49" s="40" t="str">
        <f t="array" ref="I49">_xlfn.XLOOKUP($B49, DB[samplingPoint], DB[location])</f>
        <v>AFTER STORAGE TANK</v>
      </c>
      <c r="J49" s="39" t="str">
        <f t="array" ref="J49">_xlfn.XLOOKUP($B49, DB[samplingPoint], DB[waterType])</f>
        <v>WFI</v>
      </c>
      <c r="K49" s="43">
        <f t="shared" si="15"/>
        <v>46196</v>
      </c>
      <c r="L49" s="26">
        <v>46199.0</v>
      </c>
      <c r="M49" s="53">
        <v>0.0</v>
      </c>
      <c r="N49" s="32">
        <f t="shared" si="6"/>
        <v>0</v>
      </c>
      <c r="O49" s="55"/>
      <c r="P49" s="55"/>
      <c r="Q49" s="32"/>
      <c r="R49" s="50" t="str">
        <f t="shared" si="3"/>
        <v>PASSED</v>
      </c>
      <c r="S49" s="38" t="b">
        <v>0</v>
      </c>
      <c r="T49" s="39"/>
      <c r="U49" s="32" t="s">
        <v>304</v>
      </c>
    </row>
    <row r="50" ht="22.5" customHeight="1">
      <c r="A50" s="26">
        <v>46195.0</v>
      </c>
      <c r="B50" s="48" t="s">
        <v>388</v>
      </c>
      <c r="C50" s="32" t="str">
        <f t="array" ref="C50">_xlfn.XLOOKUP(B50, DB[samplingPoint], DB[samplingTag])</f>
        <v>SV217.01</v>
      </c>
      <c r="D50" s="33" t="s">
        <v>379</v>
      </c>
      <c r="E50" s="32" t="s">
        <v>134</v>
      </c>
      <c r="F50" s="38" t="b">
        <v>1</v>
      </c>
      <c r="G50" s="39" t="str">
        <f t="array" ref="G50">_xlfn.XLOOKUP($B50, DB[samplingPoint], DB[noLocation])</f>
        <v>16-2-010</v>
      </c>
      <c r="H50" s="33" t="s">
        <v>327</v>
      </c>
      <c r="I50" s="40" t="str">
        <f t="array" ref="I50">_xlfn.XLOOKUP($B50, DB[samplingPoint], DB[location])</f>
        <v>RETURN LOOP</v>
      </c>
      <c r="J50" s="39" t="str">
        <f t="array" ref="J50">_xlfn.XLOOKUP($B50, DB[samplingPoint], DB[waterType])</f>
        <v>WFI</v>
      </c>
      <c r="K50" s="43">
        <f t="shared" si="15"/>
        <v>46196</v>
      </c>
      <c r="L50" s="26">
        <v>46199.0</v>
      </c>
      <c r="M50" s="53">
        <v>0.0</v>
      </c>
      <c r="N50" s="32">
        <f t="shared" si="6"/>
        <v>0</v>
      </c>
      <c r="O50" s="55"/>
      <c r="P50" s="55"/>
      <c r="Q50" s="32"/>
      <c r="R50" s="50" t="str">
        <f t="shared" si="3"/>
        <v>PASSED</v>
      </c>
      <c r="S50" s="38" t="b">
        <v>0</v>
      </c>
      <c r="T50" s="39"/>
      <c r="U50" s="32" t="s">
        <v>304</v>
      </c>
    </row>
    <row r="51" ht="22.5" customHeight="1">
      <c r="A51" s="26">
        <v>46195.0</v>
      </c>
      <c r="B51" s="48" t="s">
        <v>416</v>
      </c>
      <c r="C51" s="32" t="str">
        <f t="array" ref="C51">_xlfn.XLOOKUP(B51, DB[samplingPoint], DB[samplingTag])</f>
        <v>SV216.02</v>
      </c>
      <c r="D51" s="33" t="s">
        <v>379</v>
      </c>
      <c r="E51" s="32" t="s">
        <v>134</v>
      </c>
      <c r="F51" s="38" t="b">
        <v>1</v>
      </c>
      <c r="G51" s="39" t="str">
        <f t="array" ref="G51">_xlfn.XLOOKUP($B51, DB[samplingPoint], DB[noLocation])</f>
        <v>16-1-098</v>
      </c>
      <c r="H51" s="33" t="s">
        <v>327</v>
      </c>
      <c r="I51" s="40" t="str">
        <f t="array" ref="I51">_xlfn.XLOOKUP($B51, DB[samplingPoint], DB[location])</f>
        <v>CIP/SIP</v>
      </c>
      <c r="J51" s="39" t="str">
        <f t="array" ref="J51">_xlfn.XLOOKUP($B51, DB[samplingPoint], DB[waterType])</f>
        <v>WFI</v>
      </c>
      <c r="K51" s="43">
        <f t="shared" si="15"/>
        <v>46196</v>
      </c>
      <c r="L51" s="26">
        <v>46199.0</v>
      </c>
      <c r="M51" s="53">
        <v>0.0</v>
      </c>
      <c r="N51" s="32">
        <f t="shared" si="6"/>
        <v>0</v>
      </c>
      <c r="O51" s="55"/>
      <c r="P51" s="55"/>
      <c r="Q51" s="32"/>
      <c r="R51" s="50" t="str">
        <f t="shared" si="3"/>
        <v>PASSED</v>
      </c>
      <c r="S51" s="38" t="b">
        <v>0</v>
      </c>
      <c r="T51" s="39"/>
      <c r="U51" s="32" t="s">
        <v>304</v>
      </c>
    </row>
    <row r="52" ht="22.5" customHeight="1">
      <c r="A52" s="26">
        <v>46195.0</v>
      </c>
      <c r="B52" s="48" t="s">
        <v>418</v>
      </c>
      <c r="C52" s="32" t="str">
        <f t="array" ref="C52">_xlfn.XLOOKUP(B52, DB[samplingPoint], DB[samplingTag])</f>
        <v>SV216.04</v>
      </c>
      <c r="D52" s="33" t="s">
        <v>379</v>
      </c>
      <c r="E52" s="32" t="s">
        <v>134</v>
      </c>
      <c r="F52" s="38" t="b">
        <v>1</v>
      </c>
      <c r="G52" s="39" t="str">
        <f t="array" ref="G52">_xlfn.XLOOKUP($B52, DB[samplingPoint], DB[noLocation])</f>
        <v>16-1-098</v>
      </c>
      <c r="H52" s="33" t="s">
        <v>327</v>
      </c>
      <c r="I52" s="40" t="str">
        <f t="array" ref="I52">_xlfn.XLOOKUP($B52, DB[samplingPoint], DB[location])</f>
        <v>CIP/SIP</v>
      </c>
      <c r="J52" s="39" t="str">
        <f t="array" ref="J52">_xlfn.XLOOKUP($B52, DB[samplingPoint], DB[waterType])</f>
        <v>WFI</v>
      </c>
      <c r="K52" s="43">
        <f t="shared" si="15"/>
        <v>46196</v>
      </c>
      <c r="L52" s="26">
        <v>46199.0</v>
      </c>
      <c r="M52" s="53">
        <v>0.0</v>
      </c>
      <c r="N52" s="32">
        <f t="shared" si="6"/>
        <v>0</v>
      </c>
      <c r="O52" s="55"/>
      <c r="P52" s="55"/>
      <c r="Q52" s="32"/>
      <c r="R52" s="50" t="str">
        <f t="shared" si="3"/>
        <v>PASSED</v>
      </c>
      <c r="S52" s="38" t="b">
        <v>0</v>
      </c>
      <c r="T52" s="39"/>
      <c r="U52" s="32" t="s">
        <v>304</v>
      </c>
    </row>
    <row r="53" ht="22.5" customHeight="1">
      <c r="A53" s="26">
        <v>46196.0</v>
      </c>
      <c r="B53" s="48" t="s">
        <v>391</v>
      </c>
      <c r="C53" s="32" t="str">
        <f t="array" ref="C53">_xlfn.XLOOKUP(B53, DB[samplingPoint], DB[samplingTag])</f>
        <v>SV216.03</v>
      </c>
      <c r="D53" s="33" t="s">
        <v>404</v>
      </c>
      <c r="E53" s="32" t="s">
        <v>146</v>
      </c>
      <c r="F53" s="38" t="b">
        <v>1</v>
      </c>
      <c r="G53" s="39" t="str">
        <f t="array" ref="G53">_xlfn.XLOOKUP($B53, DB[samplingPoint], DB[noLocation])</f>
        <v>16-1-096</v>
      </c>
      <c r="H53" s="33" t="s">
        <v>327</v>
      </c>
      <c r="I53" s="40" t="str">
        <f t="array" ref="I53">_xlfn.XLOOKUP($B53, DB[samplingPoint], DB[location])</f>
        <v>WASHING/TUNNEL-02</v>
      </c>
      <c r="J53" s="39" t="str">
        <f t="array" ref="J53">_xlfn.XLOOKUP($B53, DB[samplingPoint], DB[waterType])</f>
        <v>WFI</v>
      </c>
      <c r="K53" s="43">
        <f t="shared" ref="K53:K55" si="16">$A53+2</f>
        <v>46198</v>
      </c>
      <c r="L53" s="26">
        <v>46202.0</v>
      </c>
      <c r="M53" s="53">
        <v>0.0</v>
      </c>
      <c r="N53" s="32">
        <f t="shared" si="6"/>
        <v>0</v>
      </c>
      <c r="O53" s="55"/>
      <c r="P53" s="55"/>
      <c r="Q53" s="32"/>
      <c r="R53" s="50" t="str">
        <f t="shared" si="3"/>
        <v>PASSED</v>
      </c>
      <c r="S53" s="38" t="b">
        <v>0</v>
      </c>
      <c r="T53" s="39"/>
      <c r="U53" s="32" t="s">
        <v>304</v>
      </c>
    </row>
    <row r="54" ht="22.5" customHeight="1">
      <c r="A54" s="26">
        <v>46196.0</v>
      </c>
      <c r="B54" s="48" t="s">
        <v>395</v>
      </c>
      <c r="C54" s="32" t="str">
        <f t="array" ref="C54">_xlfn.XLOOKUP(B54, DB[samplingPoint], DB[samplingTag])</f>
        <v>POU HE216.03</v>
      </c>
      <c r="D54" s="33" t="s">
        <v>404</v>
      </c>
      <c r="E54" s="32" t="s">
        <v>146</v>
      </c>
      <c r="F54" s="38" t="b">
        <v>1</v>
      </c>
      <c r="G54" s="39" t="str">
        <f t="array" ref="G54">_xlfn.XLOOKUP($B54, DB[samplingPoint], DB[noLocation])</f>
        <v>16-1-082</v>
      </c>
      <c r="H54" s="33" t="s">
        <v>327</v>
      </c>
      <c r="I54" s="40" t="str">
        <f t="array" ref="I54">_xlfn.XLOOKUP($B54, DB[samplingPoint], DB[location])</f>
        <v>WASHING</v>
      </c>
      <c r="J54" s="39" t="str">
        <f t="array" ref="J54">_xlfn.XLOOKUP($B54, DB[samplingPoint], DB[waterType])</f>
        <v>WFI</v>
      </c>
      <c r="K54" s="43">
        <f t="shared" si="16"/>
        <v>46198</v>
      </c>
      <c r="L54" s="26">
        <v>46202.0</v>
      </c>
      <c r="M54" s="53">
        <v>0.0</v>
      </c>
      <c r="N54" s="32">
        <f t="shared" si="6"/>
        <v>0</v>
      </c>
      <c r="O54" s="55"/>
      <c r="P54" s="55"/>
      <c r="Q54" s="32"/>
      <c r="R54" s="50" t="str">
        <f t="shared" si="3"/>
        <v>PASSED</v>
      </c>
      <c r="S54" s="38" t="b">
        <v>0</v>
      </c>
      <c r="T54" s="39"/>
      <c r="U54" s="32" t="s">
        <v>304</v>
      </c>
    </row>
    <row r="55" ht="22.5" customHeight="1">
      <c r="A55" s="26">
        <v>46196.0</v>
      </c>
      <c r="B55" s="48" t="s">
        <v>397</v>
      </c>
      <c r="C55" s="32" t="str">
        <f t="array" ref="C55">_xlfn.XLOOKUP(B55, DB[samplingPoint], DB[samplingTag])</f>
        <v>SV216.06</v>
      </c>
      <c r="D55" s="33" t="s">
        <v>404</v>
      </c>
      <c r="E55" s="32" t="s">
        <v>146</v>
      </c>
      <c r="F55" s="38" t="b">
        <v>1</v>
      </c>
      <c r="G55" s="39" t="str">
        <f t="array" ref="G55">_xlfn.XLOOKUP($B55, DB[samplingPoint], DB[noLocation])</f>
        <v>16-1-082</v>
      </c>
      <c r="H55" s="33" t="s">
        <v>327</v>
      </c>
      <c r="I55" s="40" t="str">
        <f t="array" ref="I55">_xlfn.XLOOKUP($B55, DB[samplingPoint], DB[location])</f>
        <v>WASHING</v>
      </c>
      <c r="J55" s="39" t="str">
        <f t="array" ref="J55">_xlfn.XLOOKUP($B55, DB[samplingPoint], DB[waterType])</f>
        <v>WFI</v>
      </c>
      <c r="K55" s="43">
        <f t="shared" si="16"/>
        <v>46198</v>
      </c>
      <c r="L55" s="26">
        <v>46202.0</v>
      </c>
      <c r="M55" s="53">
        <v>0.0</v>
      </c>
      <c r="N55" s="32">
        <f t="shared" si="6"/>
        <v>0</v>
      </c>
      <c r="O55" s="55"/>
      <c r="P55" s="55"/>
      <c r="Q55" s="32"/>
      <c r="R55" s="50" t="str">
        <f t="shared" si="3"/>
        <v>PASSED</v>
      </c>
      <c r="S55" s="38" t="b">
        <v>0</v>
      </c>
      <c r="T55" s="39"/>
      <c r="U55" s="32" t="s">
        <v>304</v>
      </c>
    </row>
    <row r="56" ht="22.5" customHeight="1">
      <c r="A56" s="26">
        <v>46197.0</v>
      </c>
      <c r="B56" s="48" t="s">
        <v>403</v>
      </c>
      <c r="C56" s="32" t="str">
        <f t="array" ref="C56">_xlfn.XLOOKUP(B56, DB[samplingPoint], DB[samplingTag])</f>
        <v>POU HE216.01</v>
      </c>
      <c r="D56" s="33" t="s">
        <v>412</v>
      </c>
      <c r="E56" s="32" t="s">
        <v>148</v>
      </c>
      <c r="F56" s="38" t="b">
        <v>1</v>
      </c>
      <c r="G56" s="39" t="str">
        <f t="array" ref="G56">_xlfn.XLOOKUP($B56, DB[samplingPoint], DB[noLocation])</f>
        <v>16-1-107</v>
      </c>
      <c r="H56" s="33" t="s">
        <v>327</v>
      </c>
      <c r="I56" s="40" t="str">
        <f t="array" ref="I56">_xlfn.XLOOKUP($B56, DB[samplingPoint], DB[location])</f>
        <v>COMPOUNDING-01</v>
      </c>
      <c r="J56" s="39" t="str">
        <f t="array" ref="J56">_xlfn.XLOOKUP($B56, DB[samplingPoint], DB[waterType])</f>
        <v>WFI</v>
      </c>
      <c r="K56" s="43">
        <f t="shared" ref="K56:K57" si="17">$A56+1</f>
        <v>46198</v>
      </c>
      <c r="L56" s="26">
        <v>46202.0</v>
      </c>
      <c r="M56" s="53">
        <v>2.0</v>
      </c>
      <c r="N56" s="32">
        <f t="shared" si="6"/>
        <v>2</v>
      </c>
      <c r="O56" s="55"/>
      <c r="P56" s="55"/>
      <c r="Q56" s="32"/>
      <c r="R56" s="50" t="str">
        <f t="shared" si="3"/>
        <v>NOT-PASSED</v>
      </c>
      <c r="S56" s="38" t="b">
        <v>0</v>
      </c>
      <c r="T56" s="39"/>
      <c r="U56" s="32" t="s">
        <v>304</v>
      </c>
    </row>
    <row r="57" ht="22.5" customHeight="1">
      <c r="A57" s="26">
        <v>46197.0</v>
      </c>
      <c r="B57" s="48" t="s">
        <v>407</v>
      </c>
      <c r="C57" s="32" t="str">
        <f t="array" ref="C57">_xlfn.XLOOKUP(B57, DB[samplingPoint], DB[samplingTag])</f>
        <v>POU HE216.02</v>
      </c>
      <c r="D57" s="33" t="s">
        <v>412</v>
      </c>
      <c r="E57" s="32" t="s">
        <v>148</v>
      </c>
      <c r="F57" s="38" t="b">
        <v>1</v>
      </c>
      <c r="G57" s="39" t="str">
        <f t="array" ref="G57">_xlfn.XLOOKUP($B57, DB[samplingPoint], DB[noLocation])</f>
        <v>16-1-107</v>
      </c>
      <c r="H57" s="33" t="s">
        <v>327</v>
      </c>
      <c r="I57" s="40" t="str">
        <f t="array" ref="I57">_xlfn.XLOOKUP($B57, DB[samplingPoint], DB[location])</f>
        <v>COMPOUNDING-01</v>
      </c>
      <c r="J57" s="39" t="str">
        <f t="array" ref="J57">_xlfn.XLOOKUP($B57, DB[samplingPoint], DB[waterType])</f>
        <v>WFI</v>
      </c>
      <c r="K57" s="43">
        <f t="shared" si="17"/>
        <v>46198</v>
      </c>
      <c r="L57" s="26">
        <v>46202.0</v>
      </c>
      <c r="M57" s="53">
        <v>83.0</v>
      </c>
      <c r="N57" s="96">
        <f t="shared" si="6"/>
        <v>83</v>
      </c>
      <c r="O57" s="55" t="s">
        <v>504</v>
      </c>
      <c r="Q57" s="32"/>
      <c r="R57" s="50" t="str">
        <f t="shared" si="3"/>
        <v>NOT-PASSED</v>
      </c>
      <c r="S57" s="38" t="b">
        <v>0</v>
      </c>
      <c r="T57" s="39"/>
      <c r="U57" s="32" t="s">
        <v>304</v>
      </c>
    </row>
    <row r="58" ht="22.5" customHeight="1">
      <c r="A58" s="26">
        <v>46198.0</v>
      </c>
      <c r="B58" s="48" t="s">
        <v>225</v>
      </c>
      <c r="C58" s="32" t="str">
        <f t="array" ref="C58">_xlfn.XLOOKUP(B58, DB[samplingPoint], DB[samplingTag])</f>
        <v>SV216.05</v>
      </c>
      <c r="D58" s="33" t="s">
        <v>292</v>
      </c>
      <c r="E58" s="32" t="s">
        <v>151</v>
      </c>
      <c r="F58" s="38" t="b">
        <v>1</v>
      </c>
      <c r="G58" s="39" t="str">
        <f t="array" ref="G58">_xlfn.XLOOKUP($B58, DB[samplingPoint], DB[noLocation])</f>
        <v>16-1-110</v>
      </c>
      <c r="H58" s="33" t="s">
        <v>327</v>
      </c>
      <c r="I58" s="40" t="str">
        <f t="array" ref="I58">_xlfn.XLOOKUP($B58, DB[samplingPoint], DB[location])</f>
        <v>DISINFECTANT PREPARATION</v>
      </c>
      <c r="J58" s="39" t="str">
        <f t="array" ref="J58">_xlfn.XLOOKUP($B58, DB[samplingPoint], DB[waterType])</f>
        <v>WFI</v>
      </c>
      <c r="K58" s="43">
        <f t="shared" ref="K58:K59" si="18">$A58+2</f>
        <v>46200</v>
      </c>
      <c r="L58" s="26">
        <f t="shared" ref="L58:L59" si="19">$A58+5</f>
        <v>46203</v>
      </c>
      <c r="M58" s="53">
        <v>0.0</v>
      </c>
      <c r="N58" s="32">
        <f t="shared" si="6"/>
        <v>0</v>
      </c>
      <c r="O58" s="55"/>
      <c r="P58" s="55"/>
      <c r="Q58" s="32"/>
      <c r="R58" s="50" t="str">
        <f t="shared" si="3"/>
        <v>PASSED</v>
      </c>
      <c r="S58" s="38" t="b">
        <v>0</v>
      </c>
      <c r="T58" s="39"/>
      <c r="U58" s="32" t="s">
        <v>304</v>
      </c>
    </row>
    <row r="59" ht="22.5" customHeight="1">
      <c r="A59" s="26">
        <v>46198.0</v>
      </c>
      <c r="B59" s="48" t="s">
        <v>365</v>
      </c>
      <c r="C59" s="32" t="str">
        <f t="array" ref="C59">_xlfn.XLOOKUP(B59, DB[samplingPoint], DB[samplingTag])</f>
        <v>SV216.10</v>
      </c>
      <c r="D59" s="33" t="s">
        <v>292</v>
      </c>
      <c r="E59" s="32" t="s">
        <v>151</v>
      </c>
      <c r="F59" s="38" t="b">
        <v>1</v>
      </c>
      <c r="G59" s="39" t="str">
        <f t="array" ref="G59">_xlfn.XLOOKUP($B59, DB[samplingPoint], DB[noLocation])</f>
        <v>16-1-105</v>
      </c>
      <c r="H59" s="33" t="s">
        <v>327</v>
      </c>
      <c r="I59" s="40" t="str">
        <f t="array" ref="I59">_xlfn.XLOOKUP($B59, DB[samplingPoint], DB[location])</f>
        <v>WASHING/TUNNEL-01</v>
      </c>
      <c r="J59" s="39" t="str">
        <f t="array" ref="J59">_xlfn.XLOOKUP($B59, DB[samplingPoint], DB[waterType])</f>
        <v>WFI</v>
      </c>
      <c r="K59" s="43">
        <f t="shared" si="18"/>
        <v>46200</v>
      </c>
      <c r="L59" s="26">
        <f t="shared" si="19"/>
        <v>46203</v>
      </c>
      <c r="M59" s="53">
        <v>0.0</v>
      </c>
      <c r="N59" s="32">
        <f t="shared" si="6"/>
        <v>0</v>
      </c>
      <c r="O59" s="55"/>
      <c r="P59" s="55"/>
      <c r="Q59" s="32"/>
      <c r="R59" s="50" t="str">
        <f t="shared" si="3"/>
        <v>PASSED</v>
      </c>
      <c r="S59" s="38" t="b">
        <v>0</v>
      </c>
      <c r="T59" s="39"/>
      <c r="U59" s="32" t="s">
        <v>304</v>
      </c>
    </row>
    <row r="60" ht="22.5" customHeight="1">
      <c r="A60" s="26">
        <v>46199.0</v>
      </c>
      <c r="B60" s="48" t="s">
        <v>367</v>
      </c>
      <c r="C60" s="32" t="str">
        <f t="array" ref="C60">_xlfn.XLOOKUP(B60, DB[samplingPoint], DB[samplingTag])</f>
        <v>POU HE216.04</v>
      </c>
      <c r="D60" s="33" t="s">
        <v>369</v>
      </c>
      <c r="E60" s="32" t="s">
        <v>154</v>
      </c>
      <c r="F60" s="38" t="b">
        <v>1</v>
      </c>
      <c r="G60" s="39" t="str">
        <f t="array" ref="G60">_xlfn.XLOOKUP($B60, DB[samplingPoint], DB[noLocation])</f>
        <v>16-1-114</v>
      </c>
      <c r="H60" s="33" t="s">
        <v>327</v>
      </c>
      <c r="I60" s="40" t="str">
        <f t="array" ref="I60">_xlfn.XLOOKUP($B60, DB[samplingPoint], DB[location])</f>
        <v>COMPOUNDING-02</v>
      </c>
      <c r="J60" s="39" t="str">
        <f t="array" ref="J60">_xlfn.XLOOKUP($B60, DB[samplingPoint], DB[waterType])</f>
        <v>WFI</v>
      </c>
      <c r="K60" s="43">
        <f t="shared" ref="K60:K66" si="20">$A60+1</f>
        <v>46200</v>
      </c>
      <c r="L60" s="26">
        <f t="shared" ref="L60:L61" si="21">$A60+4</f>
        <v>46203</v>
      </c>
      <c r="M60" s="53">
        <v>0.0</v>
      </c>
      <c r="N60" s="32">
        <f t="shared" si="6"/>
        <v>0</v>
      </c>
      <c r="O60" s="55"/>
      <c r="P60" s="55"/>
      <c r="Q60" s="32"/>
      <c r="R60" s="50" t="str">
        <f t="shared" si="3"/>
        <v>PASSED</v>
      </c>
      <c r="S60" s="38" t="b">
        <v>0</v>
      </c>
      <c r="T60" s="39"/>
      <c r="U60" s="32" t="s">
        <v>304</v>
      </c>
    </row>
    <row r="61" ht="22.5" customHeight="1">
      <c r="A61" s="26">
        <v>46199.0</v>
      </c>
      <c r="B61" s="48" t="s">
        <v>372</v>
      </c>
      <c r="C61" s="32" t="str">
        <f t="array" ref="C61">_xlfn.XLOOKUP(B61, DB[samplingPoint], DB[samplingTag])</f>
        <v>POU HE216.05</v>
      </c>
      <c r="D61" s="33" t="s">
        <v>369</v>
      </c>
      <c r="E61" s="32" t="s">
        <v>154</v>
      </c>
      <c r="F61" s="38" t="b">
        <v>1</v>
      </c>
      <c r="G61" s="39" t="str">
        <f t="array" ref="G61">_xlfn.XLOOKUP($B61, DB[samplingPoint], DB[noLocation])</f>
        <v>16-1-114</v>
      </c>
      <c r="H61" s="33" t="s">
        <v>327</v>
      </c>
      <c r="I61" s="40" t="str">
        <f t="array" ref="I61">_xlfn.XLOOKUP($B61, DB[samplingPoint], DB[location])</f>
        <v>COMPOUNDING-02</v>
      </c>
      <c r="J61" s="39" t="str">
        <f t="array" ref="J61">_xlfn.XLOOKUP($B61, DB[samplingPoint], DB[waterType])</f>
        <v>WFI</v>
      </c>
      <c r="K61" s="43">
        <f t="shared" si="20"/>
        <v>46200</v>
      </c>
      <c r="L61" s="26">
        <f t="shared" si="21"/>
        <v>46203</v>
      </c>
      <c r="M61" s="53">
        <v>0.0</v>
      </c>
      <c r="N61" s="32">
        <f t="shared" si="6"/>
        <v>0</v>
      </c>
      <c r="O61" s="55"/>
      <c r="P61" s="55"/>
      <c r="Q61" s="32"/>
      <c r="R61" s="50" t="str">
        <f t="shared" si="3"/>
        <v>PASSED</v>
      </c>
      <c r="S61" s="38" t="b">
        <v>0</v>
      </c>
      <c r="T61" s="39"/>
      <c r="U61" s="32" t="s">
        <v>304</v>
      </c>
    </row>
    <row r="62" ht="22.5" customHeight="1">
      <c r="A62" s="26">
        <v>46202.0</v>
      </c>
      <c r="B62" s="48" t="s">
        <v>377</v>
      </c>
      <c r="C62" s="32" t="str">
        <f t="array" ref="C62">_xlfn.XLOOKUP(B62, DB[samplingPoint], DB[samplingTag])</f>
        <v>V12-4</v>
      </c>
      <c r="D62" s="33" t="s">
        <v>379</v>
      </c>
      <c r="E62" s="32" t="s">
        <v>157</v>
      </c>
      <c r="F62" s="38" t="b">
        <v>1</v>
      </c>
      <c r="G62" s="39" t="str">
        <f t="array" ref="G62">_xlfn.XLOOKUP($B62, DB[samplingPoint], DB[noLocation])</f>
        <v>16-2-010</v>
      </c>
      <c r="H62" s="33" t="s">
        <v>327</v>
      </c>
      <c r="I62" s="40" t="str">
        <f t="array" ref="I62">_xlfn.XLOOKUP($B62, DB[samplingPoint], DB[location])</f>
        <v>AFTER WFI GENERATOR</v>
      </c>
      <c r="J62" s="39" t="str">
        <f t="array" ref="J62">_xlfn.XLOOKUP($B62, DB[samplingPoint], DB[waterType])</f>
        <v>WFI</v>
      </c>
      <c r="K62" s="43">
        <f t="shared" si="20"/>
        <v>46203</v>
      </c>
      <c r="L62" s="26">
        <v>46206.0</v>
      </c>
      <c r="M62" s="53">
        <v>0.0</v>
      </c>
      <c r="N62" s="32">
        <f t="shared" si="6"/>
        <v>0</v>
      </c>
      <c r="O62" s="55"/>
      <c r="P62" s="55"/>
      <c r="Q62" s="32"/>
      <c r="R62" s="50" t="str">
        <f t="shared" si="3"/>
        <v>PASSED</v>
      </c>
      <c r="S62" s="38" t="b">
        <v>0</v>
      </c>
      <c r="T62" s="39"/>
      <c r="U62" s="32" t="s">
        <v>304</v>
      </c>
    </row>
    <row r="63" ht="22.5" customHeight="1">
      <c r="A63" s="26">
        <v>46202.0</v>
      </c>
      <c r="B63" s="48" t="s">
        <v>383</v>
      </c>
      <c r="C63" s="32" t="str">
        <f t="array" ref="C63">_xlfn.XLOOKUP(B63, DB[samplingPoint], DB[samplingTag])</f>
        <v>SV213.01</v>
      </c>
      <c r="D63" s="33" t="s">
        <v>379</v>
      </c>
      <c r="E63" s="32" t="s">
        <v>157</v>
      </c>
      <c r="F63" s="38" t="b">
        <v>1</v>
      </c>
      <c r="G63" s="39" t="str">
        <f t="array" ref="G63">_xlfn.XLOOKUP($B63, DB[samplingPoint], DB[noLocation])</f>
        <v>16-2-010</v>
      </c>
      <c r="H63" s="33" t="s">
        <v>327</v>
      </c>
      <c r="I63" s="40" t="str">
        <f t="array" ref="I63">_xlfn.XLOOKUP($B63, DB[samplingPoint], DB[location])</f>
        <v>AFTER STORAGE TANK</v>
      </c>
      <c r="J63" s="39" t="str">
        <f t="array" ref="J63">_xlfn.XLOOKUP($B63, DB[samplingPoint], DB[waterType])</f>
        <v>WFI</v>
      </c>
      <c r="K63" s="43">
        <f t="shared" si="20"/>
        <v>46203</v>
      </c>
      <c r="L63" s="26">
        <v>46206.0</v>
      </c>
      <c r="M63" s="53">
        <v>0.0</v>
      </c>
      <c r="N63" s="32">
        <f t="shared" si="6"/>
        <v>0</v>
      </c>
      <c r="O63" s="55"/>
      <c r="P63" s="55"/>
      <c r="Q63" s="32"/>
      <c r="R63" s="50" t="str">
        <f t="shared" si="3"/>
        <v>PASSED</v>
      </c>
      <c r="S63" s="38" t="b">
        <v>0</v>
      </c>
      <c r="T63" s="39"/>
      <c r="U63" s="32" t="s">
        <v>304</v>
      </c>
    </row>
    <row r="64" ht="22.5" customHeight="1">
      <c r="A64" s="26">
        <v>46202.0</v>
      </c>
      <c r="B64" s="48" t="s">
        <v>388</v>
      </c>
      <c r="C64" s="32" t="str">
        <f t="array" ref="C64">_xlfn.XLOOKUP(B64, DB[samplingPoint], DB[samplingTag])</f>
        <v>SV217.01</v>
      </c>
      <c r="D64" s="33" t="s">
        <v>379</v>
      </c>
      <c r="E64" s="32" t="s">
        <v>157</v>
      </c>
      <c r="F64" s="38" t="b">
        <v>1</v>
      </c>
      <c r="G64" s="39" t="str">
        <f t="array" ref="G64">_xlfn.XLOOKUP($B64, DB[samplingPoint], DB[noLocation])</f>
        <v>16-2-010</v>
      </c>
      <c r="H64" s="33" t="s">
        <v>327</v>
      </c>
      <c r="I64" s="40" t="str">
        <f t="array" ref="I64">_xlfn.XLOOKUP($B64, DB[samplingPoint], DB[location])</f>
        <v>RETURN LOOP</v>
      </c>
      <c r="J64" s="39" t="str">
        <f t="array" ref="J64">_xlfn.XLOOKUP($B64, DB[samplingPoint], DB[waterType])</f>
        <v>WFI</v>
      </c>
      <c r="K64" s="43">
        <f t="shared" si="20"/>
        <v>46203</v>
      </c>
      <c r="L64" s="26">
        <v>46206.0</v>
      </c>
      <c r="M64" s="53">
        <v>0.0</v>
      </c>
      <c r="N64" s="32">
        <f t="shared" si="6"/>
        <v>0</v>
      </c>
      <c r="O64" s="55"/>
      <c r="P64" s="55"/>
      <c r="Q64" s="32"/>
      <c r="R64" s="50" t="str">
        <f t="shared" si="3"/>
        <v>PASSED</v>
      </c>
      <c r="S64" s="38" t="b">
        <v>0</v>
      </c>
      <c r="T64" s="39"/>
      <c r="U64" s="32" t="s">
        <v>304</v>
      </c>
    </row>
    <row r="65" ht="22.5" customHeight="1">
      <c r="A65" s="26">
        <v>46202.0</v>
      </c>
      <c r="B65" s="48" t="s">
        <v>416</v>
      </c>
      <c r="C65" s="32" t="str">
        <f t="array" ref="C65">_xlfn.XLOOKUP(B65, DB[samplingPoint], DB[samplingTag])</f>
        <v>SV216.02</v>
      </c>
      <c r="D65" s="33" t="s">
        <v>379</v>
      </c>
      <c r="E65" s="32" t="s">
        <v>157</v>
      </c>
      <c r="F65" s="38" t="b">
        <v>1</v>
      </c>
      <c r="G65" s="39" t="str">
        <f t="array" ref="G65">_xlfn.XLOOKUP($B65, DB[samplingPoint], DB[noLocation])</f>
        <v>16-1-098</v>
      </c>
      <c r="H65" s="33" t="s">
        <v>327</v>
      </c>
      <c r="I65" s="40" t="str">
        <f t="array" ref="I65">_xlfn.XLOOKUP($B65, DB[samplingPoint], DB[location])</f>
        <v>CIP/SIP</v>
      </c>
      <c r="J65" s="39" t="str">
        <f t="array" ref="J65">_xlfn.XLOOKUP($B65, DB[samplingPoint], DB[waterType])</f>
        <v>WFI</v>
      </c>
      <c r="K65" s="43">
        <f t="shared" si="20"/>
        <v>46203</v>
      </c>
      <c r="L65" s="26">
        <v>46206.0</v>
      </c>
      <c r="M65" s="53">
        <v>0.0</v>
      </c>
      <c r="N65" s="32">
        <f t="shared" si="6"/>
        <v>0</v>
      </c>
      <c r="O65" s="55"/>
      <c r="P65" s="55"/>
      <c r="Q65" s="32"/>
      <c r="R65" s="50" t="str">
        <f t="shared" si="3"/>
        <v>PASSED</v>
      </c>
      <c r="S65" s="38" t="b">
        <v>0</v>
      </c>
      <c r="T65" s="39"/>
      <c r="U65" s="32" t="s">
        <v>304</v>
      </c>
    </row>
    <row r="66" ht="22.5" customHeight="1">
      <c r="A66" s="26">
        <v>46202.0</v>
      </c>
      <c r="B66" s="48" t="s">
        <v>418</v>
      </c>
      <c r="C66" s="32" t="str">
        <f t="array" ref="C66">_xlfn.XLOOKUP(B66, DB[samplingPoint], DB[samplingTag])</f>
        <v>SV216.04</v>
      </c>
      <c r="D66" s="33" t="s">
        <v>379</v>
      </c>
      <c r="E66" s="32" t="s">
        <v>157</v>
      </c>
      <c r="F66" s="38" t="b">
        <v>1</v>
      </c>
      <c r="G66" s="39" t="str">
        <f t="array" ref="G66">_xlfn.XLOOKUP($B66, DB[samplingPoint], DB[noLocation])</f>
        <v>16-1-098</v>
      </c>
      <c r="H66" s="33" t="s">
        <v>327</v>
      </c>
      <c r="I66" s="40" t="str">
        <f t="array" ref="I66">_xlfn.XLOOKUP($B66, DB[samplingPoint], DB[location])</f>
        <v>CIP/SIP</v>
      </c>
      <c r="J66" s="39" t="str">
        <f t="array" ref="J66">_xlfn.XLOOKUP($B66, DB[samplingPoint], DB[waterType])</f>
        <v>WFI</v>
      </c>
      <c r="K66" s="43">
        <f t="shared" si="20"/>
        <v>46203</v>
      </c>
      <c r="L66" s="26">
        <v>46206.0</v>
      </c>
      <c r="M66" s="53">
        <v>0.0</v>
      </c>
      <c r="N66" s="32">
        <f t="shared" si="6"/>
        <v>0</v>
      </c>
      <c r="O66" s="55"/>
      <c r="P66" s="55"/>
      <c r="Q66" s="32"/>
      <c r="R66" s="50" t="str">
        <f t="shared" si="3"/>
        <v>PASSED</v>
      </c>
      <c r="S66" s="38" t="b">
        <v>0</v>
      </c>
      <c r="T66" s="39"/>
      <c r="U66" s="32" t="s">
        <v>304</v>
      </c>
    </row>
    <row r="67" ht="22.5" customHeight="1">
      <c r="A67" s="26">
        <v>46203.0</v>
      </c>
      <c r="B67" s="48" t="s">
        <v>391</v>
      </c>
      <c r="C67" s="32" t="str">
        <f t="array" ref="C67">_xlfn.XLOOKUP(B67, DB[samplingPoint], DB[samplingTag])</f>
        <v>SV216.03</v>
      </c>
      <c r="D67" s="33" t="s">
        <v>404</v>
      </c>
      <c r="E67" s="32" t="s">
        <v>165</v>
      </c>
      <c r="F67" s="38" t="b">
        <v>1</v>
      </c>
      <c r="G67" s="39" t="str">
        <f t="array" ref="G67">_xlfn.XLOOKUP($B67, DB[samplingPoint], DB[noLocation])</f>
        <v>16-1-096</v>
      </c>
      <c r="H67" s="33" t="s">
        <v>327</v>
      </c>
      <c r="I67" s="40" t="str">
        <f t="array" ref="I67">_xlfn.XLOOKUP($B67, DB[samplingPoint], DB[location])</f>
        <v>WASHING/TUNNEL-02</v>
      </c>
      <c r="J67" s="39" t="str">
        <f t="array" ref="J67">_xlfn.XLOOKUP($B67, DB[samplingPoint], DB[waterType])</f>
        <v>WFI</v>
      </c>
      <c r="K67" s="43">
        <f t="shared" ref="K67:K69" si="22">$A67+2</f>
        <v>46205</v>
      </c>
      <c r="L67" s="26">
        <v>46179.0</v>
      </c>
      <c r="M67" s="53">
        <v>0.0</v>
      </c>
      <c r="N67" s="32">
        <f t="shared" si="6"/>
        <v>0</v>
      </c>
      <c r="O67" s="55"/>
      <c r="P67" s="55"/>
      <c r="Q67" s="32"/>
      <c r="R67" s="50" t="str">
        <f t="shared" si="3"/>
        <v>PASSED</v>
      </c>
      <c r="S67" s="38" t="b">
        <v>0</v>
      </c>
      <c r="T67" s="39"/>
      <c r="U67" s="32" t="s">
        <v>304</v>
      </c>
    </row>
    <row r="68" ht="22.5" customHeight="1">
      <c r="A68" s="26">
        <v>46203.0</v>
      </c>
      <c r="B68" s="48" t="s">
        <v>395</v>
      </c>
      <c r="C68" s="32" t="str">
        <f t="array" ref="C68">_xlfn.XLOOKUP(B68, DB[samplingPoint], DB[samplingTag])</f>
        <v>POU HE216.03</v>
      </c>
      <c r="D68" s="33" t="s">
        <v>404</v>
      </c>
      <c r="E68" s="32" t="s">
        <v>165</v>
      </c>
      <c r="F68" s="38" t="b">
        <v>1</v>
      </c>
      <c r="G68" s="39" t="str">
        <f t="array" ref="G68">_xlfn.XLOOKUP($B68, DB[samplingPoint], DB[noLocation])</f>
        <v>16-1-082</v>
      </c>
      <c r="H68" s="33" t="s">
        <v>327</v>
      </c>
      <c r="I68" s="40" t="str">
        <f t="array" ref="I68">_xlfn.XLOOKUP($B68, DB[samplingPoint], DB[location])</f>
        <v>WASHING</v>
      </c>
      <c r="J68" s="39" t="str">
        <f t="array" ref="J68">_xlfn.XLOOKUP($B68, DB[samplingPoint], DB[waterType])</f>
        <v>WFI</v>
      </c>
      <c r="K68" s="43">
        <f t="shared" si="22"/>
        <v>46205</v>
      </c>
      <c r="L68" s="26">
        <v>46179.0</v>
      </c>
      <c r="M68" s="53">
        <v>0.0</v>
      </c>
      <c r="N68" s="32">
        <f t="shared" si="6"/>
        <v>0</v>
      </c>
      <c r="O68" s="55"/>
      <c r="P68" s="55"/>
      <c r="Q68" s="32"/>
      <c r="R68" s="50" t="str">
        <f t="shared" si="3"/>
        <v>PASSED</v>
      </c>
      <c r="S68" s="38" t="b">
        <v>0</v>
      </c>
      <c r="T68" s="39"/>
      <c r="U68" s="32" t="s">
        <v>304</v>
      </c>
    </row>
    <row r="69" ht="22.5" customHeight="1">
      <c r="A69" s="26">
        <v>46203.0</v>
      </c>
      <c r="B69" s="48" t="s">
        <v>397</v>
      </c>
      <c r="C69" s="32" t="str">
        <f t="array" ref="C69">_xlfn.XLOOKUP(B69, DB[samplingPoint], DB[samplingTag])</f>
        <v>SV216.06</v>
      </c>
      <c r="D69" s="33" t="s">
        <v>404</v>
      </c>
      <c r="E69" s="32" t="s">
        <v>165</v>
      </c>
      <c r="F69" s="38" t="b">
        <v>1</v>
      </c>
      <c r="G69" s="39" t="str">
        <f t="array" ref="G69">_xlfn.XLOOKUP($B69, DB[samplingPoint], DB[noLocation])</f>
        <v>16-1-082</v>
      </c>
      <c r="H69" s="33" t="s">
        <v>327</v>
      </c>
      <c r="I69" s="40" t="str">
        <f t="array" ref="I69">_xlfn.XLOOKUP($B69, DB[samplingPoint], DB[location])</f>
        <v>WASHING</v>
      </c>
      <c r="J69" s="39" t="str">
        <f t="array" ref="J69">_xlfn.XLOOKUP($B69, DB[samplingPoint], DB[waterType])</f>
        <v>WFI</v>
      </c>
      <c r="K69" s="43">
        <f t="shared" si="22"/>
        <v>46205</v>
      </c>
      <c r="L69" s="26">
        <v>46179.0</v>
      </c>
      <c r="M69" s="53">
        <v>0.0</v>
      </c>
      <c r="N69" s="32">
        <f t="shared" si="6"/>
        <v>0</v>
      </c>
      <c r="O69" s="55"/>
      <c r="P69" s="55"/>
      <c r="Q69" s="32"/>
      <c r="R69" s="50" t="str">
        <f t="shared" si="3"/>
        <v>PASSED</v>
      </c>
      <c r="S69" s="38" t="b">
        <v>0</v>
      </c>
      <c r="T69" s="39"/>
      <c r="U69" s="32" t="s">
        <v>304</v>
      </c>
    </row>
    <row r="70" ht="22.5" customHeight="1">
      <c r="A70" s="26">
        <v>46204.0</v>
      </c>
      <c r="B70" s="48" t="s">
        <v>403</v>
      </c>
      <c r="C70" s="32" t="str">
        <f t="array" ref="C70">_xlfn.XLOOKUP(B70, DB[samplingPoint], DB[samplingTag])</f>
        <v>POU HE216.01</v>
      </c>
      <c r="D70" s="33" t="s">
        <v>412</v>
      </c>
      <c r="E70" s="32" t="s">
        <v>167</v>
      </c>
      <c r="F70" s="38" t="b">
        <v>1</v>
      </c>
      <c r="G70" s="39" t="str">
        <f t="array" ref="G70">_xlfn.XLOOKUP($B70, DB[samplingPoint], DB[noLocation])</f>
        <v>16-1-107</v>
      </c>
      <c r="H70" s="33" t="s">
        <v>327</v>
      </c>
      <c r="I70" s="40" t="str">
        <f t="array" ref="I70">_xlfn.XLOOKUP($B70, DB[samplingPoint], DB[location])</f>
        <v>COMPOUNDING-01</v>
      </c>
      <c r="J70" s="39" t="str">
        <f t="array" ref="J70">_xlfn.XLOOKUP($B70, DB[samplingPoint], DB[waterType])</f>
        <v>WFI</v>
      </c>
      <c r="K70" s="43">
        <f t="shared" ref="K70:K71" si="23">$A70+1</f>
        <v>46205</v>
      </c>
      <c r="L70" s="26">
        <v>46179.0</v>
      </c>
      <c r="M70" s="53">
        <v>17.0</v>
      </c>
      <c r="N70" s="97">
        <f t="shared" si="6"/>
        <v>17</v>
      </c>
      <c r="O70" s="55" t="s">
        <v>511</v>
      </c>
      <c r="Q70" s="32"/>
      <c r="R70" s="50" t="str">
        <f t="shared" si="3"/>
        <v>NOT-PASSED</v>
      </c>
      <c r="S70" s="38" t="b">
        <v>0</v>
      </c>
      <c r="T70" s="39"/>
      <c r="U70" s="32" t="s">
        <v>304</v>
      </c>
    </row>
    <row r="71" ht="22.5" customHeight="1">
      <c r="A71" s="26">
        <v>46204.0</v>
      </c>
      <c r="B71" s="48" t="s">
        <v>407</v>
      </c>
      <c r="C71" s="32" t="str">
        <f t="array" ref="C71">_xlfn.XLOOKUP(B71, DB[samplingPoint], DB[samplingTag])</f>
        <v>POU HE216.02</v>
      </c>
      <c r="D71" s="33" t="s">
        <v>412</v>
      </c>
      <c r="E71" s="32" t="s">
        <v>167</v>
      </c>
      <c r="F71" s="38" t="b">
        <v>1</v>
      </c>
      <c r="G71" s="39" t="str">
        <f t="array" ref="G71">_xlfn.XLOOKUP($B71, DB[samplingPoint], DB[noLocation])</f>
        <v>16-1-107</v>
      </c>
      <c r="H71" s="33" t="s">
        <v>327</v>
      </c>
      <c r="I71" s="40" t="str">
        <f t="array" ref="I71">_xlfn.XLOOKUP($B71, DB[samplingPoint], DB[location])</f>
        <v>COMPOUNDING-01</v>
      </c>
      <c r="J71" s="39" t="str">
        <f t="array" ref="J71">_xlfn.XLOOKUP($B71, DB[samplingPoint], DB[waterType])</f>
        <v>WFI</v>
      </c>
      <c r="K71" s="43">
        <f t="shared" si="23"/>
        <v>46205</v>
      </c>
      <c r="L71" s="26">
        <v>46179.0</v>
      </c>
      <c r="M71" s="53">
        <v>0.0</v>
      </c>
      <c r="N71" s="32">
        <f t="shared" si="6"/>
        <v>0</v>
      </c>
      <c r="O71" s="55"/>
      <c r="P71" s="55"/>
      <c r="Q71" s="32"/>
      <c r="R71" s="50" t="str">
        <f t="shared" si="3"/>
        <v>PASSED</v>
      </c>
      <c r="S71" s="38" t="b">
        <v>0</v>
      </c>
      <c r="T71" s="39"/>
      <c r="U71" s="32" t="s">
        <v>304</v>
      </c>
    </row>
    <row r="72" ht="22.5" customHeight="1">
      <c r="A72" s="26">
        <v>46205.0</v>
      </c>
      <c r="B72" s="48" t="s">
        <v>225</v>
      </c>
      <c r="C72" s="32" t="str">
        <f t="array" ref="C72">_xlfn.XLOOKUP(B72, DB[samplingPoint], DB[samplingTag])</f>
        <v>SV216.05</v>
      </c>
      <c r="D72" s="33" t="s">
        <v>292</v>
      </c>
      <c r="E72" s="32" t="s">
        <v>169</v>
      </c>
      <c r="F72" s="38" t="b">
        <v>1</v>
      </c>
      <c r="G72" s="39" t="str">
        <f t="array" ref="G72">_xlfn.XLOOKUP($B72, DB[samplingPoint], DB[noLocation])</f>
        <v>16-1-110</v>
      </c>
      <c r="H72" s="33" t="s">
        <v>327</v>
      </c>
      <c r="I72" s="40" t="str">
        <f t="array" ref="I72">_xlfn.XLOOKUP($B72, DB[samplingPoint], DB[location])</f>
        <v>DISINFECTANT PREPARATION</v>
      </c>
      <c r="J72" s="39" t="str">
        <f t="array" ref="J72">_xlfn.XLOOKUP($B72, DB[samplingPoint], DB[waterType])</f>
        <v>WFI</v>
      </c>
      <c r="K72" s="43">
        <f t="shared" ref="K72:K73" si="24">$A72</f>
        <v>46205</v>
      </c>
      <c r="L72" s="26">
        <v>46179.0</v>
      </c>
      <c r="M72" s="53">
        <v>0.0</v>
      </c>
      <c r="N72" s="32">
        <f t="shared" si="6"/>
        <v>0</v>
      </c>
      <c r="O72" s="55"/>
      <c r="P72" s="55"/>
      <c r="Q72" s="32"/>
      <c r="R72" s="50" t="str">
        <f t="shared" si="3"/>
        <v>PASSED</v>
      </c>
      <c r="S72" s="38" t="b">
        <v>0</v>
      </c>
      <c r="T72" s="39"/>
      <c r="U72" s="32" t="s">
        <v>304</v>
      </c>
    </row>
    <row r="73" ht="22.5" customHeight="1">
      <c r="A73" s="26">
        <v>46205.0</v>
      </c>
      <c r="B73" s="48" t="s">
        <v>365</v>
      </c>
      <c r="C73" s="32" t="str">
        <f t="array" ref="C73">_xlfn.XLOOKUP(B73, DB[samplingPoint], DB[samplingTag])</f>
        <v>SV216.10</v>
      </c>
      <c r="D73" s="33" t="s">
        <v>292</v>
      </c>
      <c r="E73" s="32" t="s">
        <v>169</v>
      </c>
      <c r="F73" s="38" t="b">
        <v>1</v>
      </c>
      <c r="G73" s="39" t="str">
        <f t="array" ref="G73">_xlfn.XLOOKUP($B73, DB[samplingPoint], DB[noLocation])</f>
        <v>16-1-105</v>
      </c>
      <c r="H73" s="33" t="s">
        <v>327</v>
      </c>
      <c r="I73" s="40" t="str">
        <f t="array" ref="I73">_xlfn.XLOOKUP($B73, DB[samplingPoint], DB[location])</f>
        <v>WASHING/TUNNEL-01</v>
      </c>
      <c r="J73" s="39" t="str">
        <f t="array" ref="J73">_xlfn.XLOOKUP($B73, DB[samplingPoint], DB[waterType])</f>
        <v>WFI</v>
      </c>
      <c r="K73" s="43">
        <f t="shared" si="24"/>
        <v>46205</v>
      </c>
      <c r="L73" s="26">
        <v>46179.0</v>
      </c>
      <c r="M73" s="53">
        <v>0.0</v>
      </c>
      <c r="N73" s="32">
        <f t="shared" si="6"/>
        <v>0</v>
      </c>
      <c r="O73" s="55"/>
      <c r="P73" s="55"/>
      <c r="Q73" s="32"/>
      <c r="R73" s="50" t="str">
        <f t="shared" si="3"/>
        <v>PASSED</v>
      </c>
      <c r="S73" s="38" t="b">
        <v>0</v>
      </c>
      <c r="T73" s="39"/>
      <c r="U73" s="32" t="s">
        <v>304</v>
      </c>
    </row>
    <row r="74" ht="22.5" customHeight="1">
      <c r="A74" s="26">
        <v>46206.0</v>
      </c>
      <c r="B74" s="48" t="s">
        <v>367</v>
      </c>
      <c r="C74" s="32" t="str">
        <f t="array" ref="C74">_xlfn.XLOOKUP(B74, DB[samplingPoint], DB[samplingTag])</f>
        <v>POU HE216.04</v>
      </c>
      <c r="D74" s="33" t="s">
        <v>369</v>
      </c>
      <c r="E74" s="32" t="s">
        <v>175</v>
      </c>
      <c r="F74" s="38" t="b">
        <v>1</v>
      </c>
      <c r="G74" s="39" t="str">
        <f t="array" ref="G74">_xlfn.XLOOKUP($B74, DB[samplingPoint], DB[noLocation])</f>
        <v>16-1-114</v>
      </c>
      <c r="H74" s="33" t="s">
        <v>327</v>
      </c>
      <c r="I74" s="40" t="str">
        <f t="array" ref="I74">_xlfn.XLOOKUP($B74, DB[samplingPoint], DB[location])</f>
        <v>COMPOUNDING-02</v>
      </c>
      <c r="J74" s="39" t="str">
        <f t="array" ref="J74">_xlfn.XLOOKUP($B74, DB[samplingPoint], DB[waterType])</f>
        <v>WFI</v>
      </c>
      <c r="K74" s="43">
        <f t="shared" ref="K74:K75" si="25">$A74+0</f>
        <v>46206</v>
      </c>
      <c r="L74" s="26">
        <v>46179.0</v>
      </c>
      <c r="M74" s="53">
        <v>0.0</v>
      </c>
      <c r="N74" s="32">
        <f t="shared" si="6"/>
        <v>0</v>
      </c>
      <c r="O74" s="55"/>
      <c r="P74" s="55"/>
      <c r="Q74" s="32"/>
      <c r="R74" s="50" t="str">
        <f t="shared" si="3"/>
        <v>PASSED</v>
      </c>
      <c r="S74" s="38" t="b">
        <v>0</v>
      </c>
      <c r="T74" s="39"/>
      <c r="U74" s="32" t="s">
        <v>304</v>
      </c>
    </row>
    <row r="75" ht="22.5" customHeight="1">
      <c r="A75" s="26">
        <v>46206.0</v>
      </c>
      <c r="B75" s="48" t="s">
        <v>372</v>
      </c>
      <c r="C75" s="32" t="str">
        <f t="array" ref="C75">_xlfn.XLOOKUP(B75, DB[samplingPoint], DB[samplingTag])</f>
        <v>POU HE216.05</v>
      </c>
      <c r="D75" s="33" t="s">
        <v>369</v>
      </c>
      <c r="E75" s="32" t="s">
        <v>175</v>
      </c>
      <c r="F75" s="38" t="b">
        <v>1</v>
      </c>
      <c r="G75" s="39" t="str">
        <f t="array" ref="G75">_xlfn.XLOOKUP($B75, DB[samplingPoint], DB[noLocation])</f>
        <v>16-1-114</v>
      </c>
      <c r="H75" s="33" t="s">
        <v>327</v>
      </c>
      <c r="I75" s="40" t="str">
        <f t="array" ref="I75">_xlfn.XLOOKUP($B75, DB[samplingPoint], DB[location])</f>
        <v>COMPOUNDING-02</v>
      </c>
      <c r="J75" s="39" t="str">
        <f t="array" ref="J75">_xlfn.XLOOKUP($B75, DB[samplingPoint], DB[waterType])</f>
        <v>WFI</v>
      </c>
      <c r="K75" s="43">
        <f t="shared" si="25"/>
        <v>46206</v>
      </c>
      <c r="L75" s="26">
        <v>46179.0</v>
      </c>
      <c r="M75" s="53">
        <v>0.0</v>
      </c>
      <c r="N75" s="32">
        <f t="shared" si="6"/>
        <v>0</v>
      </c>
      <c r="O75" s="55"/>
      <c r="P75" s="55"/>
      <c r="Q75" s="32"/>
      <c r="R75" s="50" t="str">
        <f t="shared" si="3"/>
        <v>PASSED</v>
      </c>
      <c r="S75" s="38" t="b">
        <v>0</v>
      </c>
      <c r="T75" s="39"/>
      <c r="U75" s="32" t="s">
        <v>304</v>
      </c>
    </row>
    <row r="76" ht="22.5" customHeight="1">
      <c r="A76" s="26">
        <v>46209.0</v>
      </c>
      <c r="B76" s="48" t="s">
        <v>377</v>
      </c>
      <c r="C76" s="32" t="str">
        <f t="array" ref="C76">_xlfn.XLOOKUP(B76, DB[samplingPoint], DB[samplingTag])</f>
        <v>V12-4</v>
      </c>
      <c r="D76" s="33" t="s">
        <v>379</v>
      </c>
      <c r="E76" s="32" t="s">
        <v>185</v>
      </c>
      <c r="F76" s="38" t="b">
        <v>1</v>
      </c>
      <c r="G76" s="39" t="str">
        <f t="array" ref="G76">_xlfn.XLOOKUP($B76, DB[samplingPoint], DB[noLocation])</f>
        <v>16-2-010</v>
      </c>
      <c r="H76" s="33" t="s">
        <v>327</v>
      </c>
      <c r="I76" s="40" t="str">
        <f t="array" ref="I76">_xlfn.XLOOKUP($B76, DB[samplingPoint], DB[location])</f>
        <v>AFTER WFI GENERATOR</v>
      </c>
      <c r="J76" s="39" t="str">
        <f t="array" ref="J76">_xlfn.XLOOKUP($B76, DB[samplingPoint], DB[waterType])</f>
        <v>WFI</v>
      </c>
      <c r="K76" s="43">
        <f t="shared" ref="K76:K80" si="26">$A76+1</f>
        <v>46210</v>
      </c>
      <c r="L76" s="26">
        <v>46213.0</v>
      </c>
      <c r="M76" s="53">
        <v>0.0</v>
      </c>
      <c r="N76" s="32">
        <f t="shared" si="6"/>
        <v>0</v>
      </c>
      <c r="O76" s="55"/>
      <c r="P76" s="55"/>
      <c r="Q76" s="32"/>
      <c r="R76" s="50" t="str">
        <f t="shared" si="3"/>
        <v>PASSED</v>
      </c>
      <c r="S76" s="38" t="b">
        <v>0</v>
      </c>
      <c r="T76" s="39"/>
      <c r="U76" s="32" t="s">
        <v>304</v>
      </c>
    </row>
    <row r="77" ht="22.5" customHeight="1">
      <c r="A77" s="26">
        <v>46209.0</v>
      </c>
      <c r="B77" s="48" t="s">
        <v>383</v>
      </c>
      <c r="C77" s="32" t="str">
        <f t="array" ref="C77">_xlfn.XLOOKUP(B77, DB[samplingPoint], DB[samplingTag])</f>
        <v>SV213.01</v>
      </c>
      <c r="D77" s="33" t="s">
        <v>379</v>
      </c>
      <c r="E77" s="32" t="s">
        <v>185</v>
      </c>
      <c r="F77" s="38" t="b">
        <v>1</v>
      </c>
      <c r="G77" s="39" t="str">
        <f t="array" ref="G77">_xlfn.XLOOKUP($B77, DB[samplingPoint], DB[noLocation])</f>
        <v>16-2-010</v>
      </c>
      <c r="H77" s="33" t="s">
        <v>327</v>
      </c>
      <c r="I77" s="40" t="str">
        <f t="array" ref="I77">_xlfn.XLOOKUP($B77, DB[samplingPoint], DB[location])</f>
        <v>AFTER STORAGE TANK</v>
      </c>
      <c r="J77" s="39" t="str">
        <f t="array" ref="J77">_xlfn.XLOOKUP($B77, DB[samplingPoint], DB[waterType])</f>
        <v>WFI</v>
      </c>
      <c r="K77" s="43">
        <f t="shared" si="26"/>
        <v>46210</v>
      </c>
      <c r="L77" s="26">
        <v>46213.0</v>
      </c>
      <c r="M77" s="53">
        <v>0.0</v>
      </c>
      <c r="N77" s="32">
        <f t="shared" si="6"/>
        <v>0</v>
      </c>
      <c r="O77" s="55"/>
      <c r="P77" s="55"/>
      <c r="Q77" s="32"/>
      <c r="R77" s="50" t="str">
        <f t="shared" si="3"/>
        <v>PASSED</v>
      </c>
      <c r="S77" s="38" t="b">
        <v>0</v>
      </c>
      <c r="T77" s="39"/>
      <c r="U77" s="32" t="s">
        <v>304</v>
      </c>
    </row>
    <row r="78" ht="22.5" customHeight="1">
      <c r="A78" s="26">
        <v>46209.0</v>
      </c>
      <c r="B78" s="48" t="s">
        <v>388</v>
      </c>
      <c r="C78" s="32" t="str">
        <f t="array" ref="C78">_xlfn.XLOOKUP(B78, DB[samplingPoint], DB[samplingTag])</f>
        <v>SV217.01</v>
      </c>
      <c r="D78" s="33" t="s">
        <v>379</v>
      </c>
      <c r="E78" s="32" t="s">
        <v>185</v>
      </c>
      <c r="F78" s="38" t="b">
        <v>1</v>
      </c>
      <c r="G78" s="39" t="str">
        <f t="array" ref="G78">_xlfn.XLOOKUP($B78, DB[samplingPoint], DB[noLocation])</f>
        <v>16-2-010</v>
      </c>
      <c r="H78" s="33" t="s">
        <v>327</v>
      </c>
      <c r="I78" s="40" t="str">
        <f t="array" ref="I78">_xlfn.XLOOKUP($B78, DB[samplingPoint], DB[location])</f>
        <v>RETURN LOOP</v>
      </c>
      <c r="J78" s="39" t="str">
        <f t="array" ref="J78">_xlfn.XLOOKUP($B78, DB[samplingPoint], DB[waterType])</f>
        <v>WFI</v>
      </c>
      <c r="K78" s="43">
        <f t="shared" si="26"/>
        <v>46210</v>
      </c>
      <c r="L78" s="26">
        <v>46213.0</v>
      </c>
      <c r="M78" s="53">
        <v>0.0</v>
      </c>
      <c r="N78" s="32">
        <f t="shared" si="6"/>
        <v>0</v>
      </c>
      <c r="O78" s="55"/>
      <c r="P78" s="55"/>
      <c r="Q78" s="32"/>
      <c r="R78" s="50" t="str">
        <f t="shared" si="3"/>
        <v>PASSED</v>
      </c>
      <c r="S78" s="38" t="b">
        <v>0</v>
      </c>
      <c r="T78" s="39"/>
      <c r="U78" s="32" t="s">
        <v>304</v>
      </c>
    </row>
    <row r="79" ht="22.5" customHeight="1">
      <c r="A79" s="26">
        <v>46209.0</v>
      </c>
      <c r="B79" s="48" t="s">
        <v>416</v>
      </c>
      <c r="C79" s="32" t="str">
        <f t="array" ref="C79">_xlfn.XLOOKUP(B79, DB[samplingPoint], DB[samplingTag])</f>
        <v>SV216.02</v>
      </c>
      <c r="D79" s="33" t="s">
        <v>379</v>
      </c>
      <c r="E79" s="32" t="s">
        <v>185</v>
      </c>
      <c r="F79" s="38" t="b">
        <v>1</v>
      </c>
      <c r="G79" s="39" t="str">
        <f t="array" ref="G79">_xlfn.XLOOKUP($B79, DB[samplingPoint], DB[noLocation])</f>
        <v>16-1-098</v>
      </c>
      <c r="H79" s="33" t="s">
        <v>327</v>
      </c>
      <c r="I79" s="40" t="str">
        <f t="array" ref="I79">_xlfn.XLOOKUP($B79, DB[samplingPoint], DB[location])</f>
        <v>CIP/SIP</v>
      </c>
      <c r="J79" s="39" t="str">
        <f t="array" ref="J79">_xlfn.XLOOKUP($B79, DB[samplingPoint], DB[waterType])</f>
        <v>WFI</v>
      </c>
      <c r="K79" s="43">
        <f t="shared" si="26"/>
        <v>46210</v>
      </c>
      <c r="L79" s="26">
        <v>46213.0</v>
      </c>
      <c r="M79" s="53">
        <v>0.0</v>
      </c>
      <c r="N79" s="32">
        <f t="shared" si="6"/>
        <v>0</v>
      </c>
      <c r="O79" s="55"/>
      <c r="P79" s="55"/>
      <c r="Q79" s="32"/>
      <c r="R79" s="50" t="str">
        <f t="shared" si="3"/>
        <v>PASSED</v>
      </c>
      <c r="S79" s="38" t="b">
        <v>0</v>
      </c>
      <c r="T79" s="39"/>
      <c r="U79" s="32" t="s">
        <v>304</v>
      </c>
    </row>
    <row r="80" ht="22.5" customHeight="1">
      <c r="A80" s="26">
        <v>46209.0</v>
      </c>
      <c r="B80" s="48" t="s">
        <v>418</v>
      </c>
      <c r="C80" s="32" t="str">
        <f t="array" ref="C80">_xlfn.XLOOKUP(B80, DB[samplingPoint], DB[samplingTag])</f>
        <v>SV216.04</v>
      </c>
      <c r="D80" s="33" t="s">
        <v>379</v>
      </c>
      <c r="E80" s="32" t="s">
        <v>185</v>
      </c>
      <c r="F80" s="38" t="b">
        <v>1</v>
      </c>
      <c r="G80" s="39" t="str">
        <f t="array" ref="G80">_xlfn.XLOOKUP($B80, DB[samplingPoint], DB[noLocation])</f>
        <v>16-1-098</v>
      </c>
      <c r="H80" s="33" t="s">
        <v>327</v>
      </c>
      <c r="I80" s="40" t="str">
        <f t="array" ref="I80">_xlfn.XLOOKUP($B80, DB[samplingPoint], DB[location])</f>
        <v>CIP/SIP</v>
      </c>
      <c r="J80" s="39" t="str">
        <f t="array" ref="J80">_xlfn.XLOOKUP($B80, DB[samplingPoint], DB[waterType])</f>
        <v>WFI</v>
      </c>
      <c r="K80" s="43">
        <f t="shared" si="26"/>
        <v>46210</v>
      </c>
      <c r="L80" s="26">
        <v>46213.0</v>
      </c>
      <c r="M80" s="53">
        <v>0.0</v>
      </c>
      <c r="N80" s="32">
        <f t="shared" si="6"/>
        <v>0</v>
      </c>
      <c r="O80" s="55"/>
      <c r="P80" s="55"/>
      <c r="Q80" s="32"/>
      <c r="R80" s="50" t="str">
        <f t="shared" si="3"/>
        <v>PASSED</v>
      </c>
      <c r="S80" s="38" t="b">
        <v>0</v>
      </c>
      <c r="T80" s="39"/>
      <c r="U80" s="32" t="s">
        <v>304</v>
      </c>
    </row>
    <row r="81" ht="22.5" customHeight="1">
      <c r="A81" s="26">
        <v>46210.0</v>
      </c>
      <c r="B81" s="48" t="s">
        <v>391</v>
      </c>
      <c r="C81" s="32" t="str">
        <f t="array" ref="C81">_xlfn.XLOOKUP(B81, DB[samplingPoint], DB[samplingTag])</f>
        <v>SV216.03</v>
      </c>
      <c r="D81" s="33" t="s">
        <v>404</v>
      </c>
      <c r="E81" s="32" t="s">
        <v>187</v>
      </c>
      <c r="F81" s="38" t="b">
        <v>1</v>
      </c>
      <c r="G81" s="39" t="str">
        <f t="array" ref="G81">_xlfn.XLOOKUP($B81, DB[samplingPoint], DB[noLocation])</f>
        <v>16-1-096</v>
      </c>
      <c r="H81" s="33" t="s">
        <v>327</v>
      </c>
      <c r="I81" s="40" t="str">
        <f t="array" ref="I81">_xlfn.XLOOKUP($B81, DB[samplingPoint], DB[location])</f>
        <v>WASHING/TUNNEL-02</v>
      </c>
      <c r="J81" s="39" t="str">
        <f t="array" ref="J81">_xlfn.XLOOKUP($B81, DB[samplingPoint], DB[waterType])</f>
        <v>WFI</v>
      </c>
      <c r="K81" s="43">
        <f t="shared" ref="K81:K83" si="27">$A81+0</f>
        <v>46210</v>
      </c>
      <c r="L81" s="26">
        <v>46213.0</v>
      </c>
      <c r="M81" s="53">
        <v>0.0</v>
      </c>
      <c r="N81" s="32">
        <f t="shared" si="6"/>
        <v>0</v>
      </c>
      <c r="O81" s="55"/>
      <c r="P81" s="55"/>
      <c r="Q81" s="32"/>
      <c r="R81" s="50" t="str">
        <f t="shared" si="3"/>
        <v>PASSED</v>
      </c>
      <c r="S81" s="38" t="b">
        <v>0</v>
      </c>
      <c r="T81" s="39"/>
      <c r="U81" s="32" t="s">
        <v>304</v>
      </c>
    </row>
    <row r="82" ht="22.5" customHeight="1">
      <c r="A82" s="26">
        <v>46210.0</v>
      </c>
      <c r="B82" s="48" t="s">
        <v>395</v>
      </c>
      <c r="C82" s="32" t="str">
        <f t="array" ref="C82">_xlfn.XLOOKUP(B82, DB[samplingPoint], DB[samplingTag])</f>
        <v>POU HE216.03</v>
      </c>
      <c r="D82" s="33" t="s">
        <v>404</v>
      </c>
      <c r="E82" s="32" t="s">
        <v>187</v>
      </c>
      <c r="F82" s="38" t="b">
        <v>1</v>
      </c>
      <c r="G82" s="39" t="str">
        <f t="array" ref="G82">_xlfn.XLOOKUP($B82, DB[samplingPoint], DB[noLocation])</f>
        <v>16-1-082</v>
      </c>
      <c r="H82" s="33" t="s">
        <v>327</v>
      </c>
      <c r="I82" s="40" t="str">
        <f t="array" ref="I82">_xlfn.XLOOKUP($B82, DB[samplingPoint], DB[location])</f>
        <v>WASHING</v>
      </c>
      <c r="J82" s="39" t="str">
        <f t="array" ref="J82">_xlfn.XLOOKUP($B82, DB[samplingPoint], DB[waterType])</f>
        <v>WFI</v>
      </c>
      <c r="K82" s="43">
        <f t="shared" si="27"/>
        <v>46210</v>
      </c>
      <c r="L82" s="26">
        <v>46213.0</v>
      </c>
      <c r="M82" s="53">
        <v>0.0</v>
      </c>
      <c r="N82" s="32">
        <f t="shared" si="6"/>
        <v>0</v>
      </c>
      <c r="O82" s="55"/>
      <c r="P82" s="55"/>
      <c r="Q82" s="32"/>
      <c r="R82" s="50" t="str">
        <f t="shared" si="3"/>
        <v>PASSED</v>
      </c>
      <c r="S82" s="38" t="b">
        <v>0</v>
      </c>
      <c r="T82" s="39"/>
      <c r="U82" s="32" t="s">
        <v>304</v>
      </c>
    </row>
    <row r="83" ht="22.5" customHeight="1">
      <c r="A83" s="26">
        <v>46210.0</v>
      </c>
      <c r="B83" s="48" t="s">
        <v>397</v>
      </c>
      <c r="C83" s="32" t="str">
        <f t="array" ref="C83">_xlfn.XLOOKUP(B83, DB[samplingPoint], DB[samplingTag])</f>
        <v>SV216.06</v>
      </c>
      <c r="D83" s="33" t="s">
        <v>404</v>
      </c>
      <c r="E83" s="32" t="s">
        <v>187</v>
      </c>
      <c r="F83" s="38" t="b">
        <v>1</v>
      </c>
      <c r="G83" s="39" t="str">
        <f t="array" ref="G83">_xlfn.XLOOKUP($B83, DB[samplingPoint], DB[noLocation])</f>
        <v>16-1-082</v>
      </c>
      <c r="H83" s="33" t="s">
        <v>327</v>
      </c>
      <c r="I83" s="40" t="str">
        <f t="array" ref="I83">_xlfn.XLOOKUP($B83, DB[samplingPoint], DB[location])</f>
        <v>WASHING</v>
      </c>
      <c r="J83" s="39" t="str">
        <f t="array" ref="J83">_xlfn.XLOOKUP($B83, DB[samplingPoint], DB[waterType])</f>
        <v>WFI</v>
      </c>
      <c r="K83" s="43">
        <f t="shared" si="27"/>
        <v>46210</v>
      </c>
      <c r="L83" s="26">
        <v>46213.0</v>
      </c>
      <c r="M83" s="53">
        <v>0.0</v>
      </c>
      <c r="N83" s="32">
        <f t="shared" si="6"/>
        <v>0</v>
      </c>
      <c r="O83" s="55"/>
      <c r="P83" s="55"/>
      <c r="Q83" s="32"/>
      <c r="R83" s="50" t="str">
        <f t="shared" si="3"/>
        <v>PASSED</v>
      </c>
      <c r="S83" s="38" t="b">
        <v>0</v>
      </c>
      <c r="T83" s="39"/>
      <c r="U83" s="32" t="s">
        <v>304</v>
      </c>
    </row>
    <row r="84" ht="22.5" customHeight="1">
      <c r="A84" s="26">
        <v>46211.0</v>
      </c>
      <c r="B84" s="48" t="s">
        <v>403</v>
      </c>
      <c r="C84" s="32" t="str">
        <f t="array" ref="C84">_xlfn.XLOOKUP(B84, DB[samplingPoint], DB[samplingTag])</f>
        <v>POU HE216.01</v>
      </c>
      <c r="D84" s="33" t="s">
        <v>412</v>
      </c>
      <c r="E84" s="32" t="s">
        <v>189</v>
      </c>
      <c r="F84" s="38" t="b">
        <v>1</v>
      </c>
      <c r="G84" s="39" t="str">
        <f t="array" ref="G84">_xlfn.XLOOKUP($B84, DB[samplingPoint], DB[noLocation])</f>
        <v>16-1-107</v>
      </c>
      <c r="H84" s="33" t="s">
        <v>327</v>
      </c>
      <c r="I84" s="40" t="str">
        <f t="array" ref="I84">_xlfn.XLOOKUP($B84, DB[samplingPoint], DB[location])</f>
        <v>COMPOUNDING-01</v>
      </c>
      <c r="J84" s="39" t="str">
        <f t="array" ref="J84">_xlfn.XLOOKUP($B84, DB[samplingPoint], DB[waterType])</f>
        <v>WFI</v>
      </c>
      <c r="K84" s="43">
        <f t="shared" ref="K84:K85" si="28">$A84+1</f>
        <v>46212</v>
      </c>
      <c r="L84" s="26">
        <v>46215.0</v>
      </c>
      <c r="M84" s="53">
        <v>0.0</v>
      </c>
      <c r="N84" s="32">
        <f t="shared" si="6"/>
        <v>0</v>
      </c>
      <c r="O84" s="55"/>
      <c r="P84" s="55"/>
      <c r="Q84" s="32"/>
      <c r="R84" s="50" t="str">
        <f t="shared" si="3"/>
        <v>PASSED</v>
      </c>
      <c r="S84" s="38" t="b">
        <v>0</v>
      </c>
      <c r="T84" s="39"/>
      <c r="U84" s="32" t="s">
        <v>304</v>
      </c>
    </row>
    <row r="85" ht="22.5" customHeight="1">
      <c r="A85" s="26">
        <v>46211.0</v>
      </c>
      <c r="B85" s="48" t="s">
        <v>407</v>
      </c>
      <c r="C85" s="32" t="str">
        <f t="array" ref="C85">_xlfn.XLOOKUP(B85, DB[samplingPoint], DB[samplingTag])</f>
        <v>POU HE216.02</v>
      </c>
      <c r="D85" s="33" t="s">
        <v>412</v>
      </c>
      <c r="E85" s="32" t="s">
        <v>189</v>
      </c>
      <c r="F85" s="38" t="b">
        <v>1</v>
      </c>
      <c r="G85" s="39" t="str">
        <f t="array" ref="G85">_xlfn.XLOOKUP($B85, DB[samplingPoint], DB[noLocation])</f>
        <v>16-1-107</v>
      </c>
      <c r="H85" s="33" t="s">
        <v>327</v>
      </c>
      <c r="I85" s="40" t="str">
        <f t="array" ref="I85">_xlfn.XLOOKUP($B85, DB[samplingPoint], DB[location])</f>
        <v>COMPOUNDING-01</v>
      </c>
      <c r="J85" s="39" t="str">
        <f t="array" ref="J85">_xlfn.XLOOKUP($B85, DB[samplingPoint], DB[waterType])</f>
        <v>WFI</v>
      </c>
      <c r="K85" s="43">
        <f t="shared" si="28"/>
        <v>46212</v>
      </c>
      <c r="L85" s="26">
        <v>46215.0</v>
      </c>
      <c r="M85" s="53">
        <v>0.0</v>
      </c>
      <c r="N85" s="32">
        <f t="shared" si="6"/>
        <v>0</v>
      </c>
      <c r="O85" s="55"/>
      <c r="P85" s="55"/>
      <c r="Q85" s="32"/>
      <c r="R85" s="50" t="str">
        <f t="shared" si="3"/>
        <v>PASSED</v>
      </c>
      <c r="S85" s="38" t="b">
        <v>0</v>
      </c>
      <c r="T85" s="39"/>
      <c r="U85" s="32" t="s">
        <v>304</v>
      </c>
    </row>
    <row r="86" ht="22.5" customHeight="1">
      <c r="A86" s="26">
        <v>46212.0</v>
      </c>
      <c r="B86" s="48" t="s">
        <v>225</v>
      </c>
      <c r="C86" s="32" t="str">
        <f t="array" ref="C86">_xlfn.XLOOKUP(B86, DB[samplingPoint], DB[samplingTag])</f>
        <v>SV216.05</v>
      </c>
      <c r="D86" s="33" t="s">
        <v>292</v>
      </c>
      <c r="E86" s="32" t="s">
        <v>191</v>
      </c>
      <c r="F86" s="38" t="b">
        <v>1</v>
      </c>
      <c r="G86" s="39" t="str">
        <f t="array" ref="G86">_xlfn.XLOOKUP($B86, DB[samplingPoint], DB[noLocation])</f>
        <v>16-1-110</v>
      </c>
      <c r="H86" s="33" t="s">
        <v>327</v>
      </c>
      <c r="I86" s="40" t="str">
        <f t="array" ref="I86">_xlfn.XLOOKUP($B86, DB[samplingPoint], DB[location])</f>
        <v>DISINFECTANT PREPARATION</v>
      </c>
      <c r="J86" s="39" t="str">
        <f t="array" ref="J86">_xlfn.XLOOKUP($B86, DB[samplingPoint], DB[waterType])</f>
        <v>WFI</v>
      </c>
      <c r="K86" s="43">
        <f t="shared" ref="K86:K87" si="29">$A86+0</f>
        <v>46212</v>
      </c>
      <c r="L86" s="26">
        <v>46215.0</v>
      </c>
      <c r="M86" s="53">
        <v>0.0</v>
      </c>
      <c r="N86" s="32">
        <f t="shared" si="6"/>
        <v>0</v>
      </c>
      <c r="O86" s="55"/>
      <c r="P86" s="55"/>
      <c r="Q86" s="32"/>
      <c r="R86" s="50" t="str">
        <f t="shared" si="3"/>
        <v>PASSED</v>
      </c>
      <c r="S86" s="38" t="b">
        <v>0</v>
      </c>
      <c r="T86" s="39"/>
      <c r="U86" s="32" t="s">
        <v>304</v>
      </c>
    </row>
    <row r="87" ht="22.5" customHeight="1">
      <c r="A87" s="26">
        <v>46212.0</v>
      </c>
      <c r="B87" s="48" t="s">
        <v>365</v>
      </c>
      <c r="C87" s="32" t="str">
        <f t="array" ref="C87">_xlfn.XLOOKUP(B87, DB[samplingPoint], DB[samplingTag])</f>
        <v>SV216.10</v>
      </c>
      <c r="D87" s="33" t="s">
        <v>292</v>
      </c>
      <c r="E87" s="32" t="s">
        <v>191</v>
      </c>
      <c r="F87" s="38" t="b">
        <v>1</v>
      </c>
      <c r="G87" s="39" t="str">
        <f t="array" ref="G87">_xlfn.XLOOKUP($B87, DB[samplingPoint], DB[noLocation])</f>
        <v>16-1-105</v>
      </c>
      <c r="H87" s="33" t="s">
        <v>327</v>
      </c>
      <c r="I87" s="40" t="str">
        <f t="array" ref="I87">_xlfn.XLOOKUP($B87, DB[samplingPoint], DB[location])</f>
        <v>WASHING/TUNNEL-01</v>
      </c>
      <c r="J87" s="39" t="str">
        <f t="array" ref="J87">_xlfn.XLOOKUP($B87, DB[samplingPoint], DB[waterType])</f>
        <v>WFI</v>
      </c>
      <c r="K87" s="43">
        <f t="shared" si="29"/>
        <v>46212</v>
      </c>
      <c r="L87" s="26">
        <v>46215.0</v>
      </c>
      <c r="M87" s="53">
        <v>0.0</v>
      </c>
      <c r="N87" s="32">
        <f t="shared" si="6"/>
        <v>0</v>
      </c>
      <c r="O87" s="55"/>
      <c r="P87" s="55"/>
      <c r="Q87" s="32"/>
      <c r="R87" s="50" t="str">
        <f t="shared" si="3"/>
        <v>PASSED</v>
      </c>
      <c r="S87" s="38" t="b">
        <v>0</v>
      </c>
      <c r="T87" s="39"/>
      <c r="U87" s="32" t="s">
        <v>304</v>
      </c>
    </row>
    <row r="88" ht="22.5" customHeight="1">
      <c r="A88" s="26">
        <v>46213.0</v>
      </c>
      <c r="B88" s="48" t="s">
        <v>367</v>
      </c>
      <c r="C88" s="32" t="str">
        <f t="array" ref="C88">_xlfn.XLOOKUP(B88, DB[samplingPoint], DB[samplingTag])</f>
        <v>POU HE216.04</v>
      </c>
      <c r="D88" s="33" t="s">
        <v>369</v>
      </c>
      <c r="E88" s="32" t="s">
        <v>195</v>
      </c>
      <c r="F88" s="38" t="b">
        <v>1</v>
      </c>
      <c r="G88" s="39" t="str">
        <f t="array" ref="G88">_xlfn.XLOOKUP($B88, DB[samplingPoint], DB[noLocation])</f>
        <v>16-1-114</v>
      </c>
      <c r="H88" s="33" t="s">
        <v>327</v>
      </c>
      <c r="I88" s="40" t="str">
        <f t="array" ref="I88">_xlfn.XLOOKUP($B88, DB[samplingPoint], DB[location])</f>
        <v>COMPOUNDING-02</v>
      </c>
      <c r="J88" s="39" t="str">
        <f t="array" ref="J88">_xlfn.XLOOKUP($B88, DB[samplingPoint], DB[waterType])</f>
        <v>WFI</v>
      </c>
      <c r="K88" s="43">
        <f t="shared" ref="K88:K94" si="30">$A88+1</f>
        <v>46214</v>
      </c>
      <c r="L88" s="26">
        <v>46217.0</v>
      </c>
      <c r="M88" s="53">
        <v>0.0</v>
      </c>
      <c r="N88" s="32">
        <v>0.0</v>
      </c>
      <c r="O88" s="55"/>
      <c r="P88" s="55"/>
      <c r="Q88" s="32"/>
      <c r="R88" s="50" t="str">
        <f t="shared" si="3"/>
        <v>PASSED</v>
      </c>
      <c r="S88" s="38" t="b">
        <v>0</v>
      </c>
      <c r="T88" s="39"/>
      <c r="U88" s="32" t="s">
        <v>304</v>
      </c>
    </row>
    <row r="89" ht="22.5" customHeight="1">
      <c r="A89" s="26">
        <v>46213.0</v>
      </c>
      <c r="B89" s="48" t="s">
        <v>372</v>
      </c>
      <c r="C89" s="32" t="str">
        <f t="array" ref="C89">_xlfn.XLOOKUP(B89, DB[samplingPoint], DB[samplingTag])</f>
        <v>POU HE216.05</v>
      </c>
      <c r="D89" s="33" t="s">
        <v>369</v>
      </c>
      <c r="E89" s="32" t="s">
        <v>195</v>
      </c>
      <c r="F89" s="38" t="b">
        <v>1</v>
      </c>
      <c r="G89" s="39" t="str">
        <f t="array" ref="G89">_xlfn.XLOOKUP($B89, DB[samplingPoint], DB[noLocation])</f>
        <v>16-1-114</v>
      </c>
      <c r="H89" s="33" t="s">
        <v>327</v>
      </c>
      <c r="I89" s="40" t="str">
        <f t="array" ref="I89">_xlfn.XLOOKUP($B89, DB[samplingPoint], DB[location])</f>
        <v>COMPOUNDING-02</v>
      </c>
      <c r="J89" s="39" t="str">
        <f t="array" ref="J89">_xlfn.XLOOKUP($B89, DB[samplingPoint], DB[waterType])</f>
        <v>WFI</v>
      </c>
      <c r="K89" s="43">
        <f t="shared" si="30"/>
        <v>46214</v>
      </c>
      <c r="L89" s="26">
        <v>46217.0</v>
      </c>
      <c r="M89" s="53">
        <v>0.0</v>
      </c>
      <c r="N89" s="32">
        <f t="shared" ref="N89:N159" si="31">iferror(ROUNDUP(AVERAGE($M89), 0),"")</f>
        <v>0</v>
      </c>
      <c r="O89" s="55"/>
      <c r="P89" s="55"/>
      <c r="Q89" s="32"/>
      <c r="R89" s="50" t="str">
        <f t="shared" si="3"/>
        <v>PASSED</v>
      </c>
      <c r="S89" s="38" t="b">
        <v>0</v>
      </c>
      <c r="T89" s="39"/>
      <c r="U89" s="32" t="s">
        <v>304</v>
      </c>
    </row>
    <row r="90" ht="22.5" customHeight="1">
      <c r="A90" s="26">
        <v>46216.0</v>
      </c>
      <c r="B90" s="99" t="s">
        <v>377</v>
      </c>
      <c r="C90" s="100" t="str">
        <f t="array" ref="C90">_xlfn.XLOOKUP(B90, database!$A$2:$A$150, database!$B$2:$B$150)</f>
        <v>V12-4</v>
      </c>
      <c r="D90" s="101" t="s">
        <v>379</v>
      </c>
      <c r="E90" s="32" t="s">
        <v>202</v>
      </c>
      <c r="F90" s="38" t="b">
        <v>1</v>
      </c>
      <c r="G90" s="39" t="str">
        <f t="array" ref="G90">_xlfn.XLOOKUP($B90, DB[samplingPoint], DB[noLocation])</f>
        <v>16-2-010</v>
      </c>
      <c r="H90" s="33" t="s">
        <v>327</v>
      </c>
      <c r="I90" s="40" t="str">
        <f t="array" ref="I90">_xlfn.XLOOKUP($B90, DB[samplingPoint], DB[location])</f>
        <v>AFTER WFI GENERATOR</v>
      </c>
      <c r="J90" s="39" t="str">
        <f t="array" ref="J90">_xlfn.XLOOKUP($B90, DB[samplingPoint], DB[waterType])</f>
        <v>WFI</v>
      </c>
      <c r="K90" s="43">
        <f t="shared" si="30"/>
        <v>46217</v>
      </c>
      <c r="L90" s="26">
        <v>46220.0</v>
      </c>
      <c r="M90" s="53">
        <v>0.0</v>
      </c>
      <c r="N90" s="32">
        <f t="shared" si="31"/>
        <v>0</v>
      </c>
      <c r="O90" s="55"/>
      <c r="P90" s="55"/>
      <c r="Q90" s="32"/>
      <c r="R90" s="50" t="str">
        <f t="shared" si="3"/>
        <v>PASSED</v>
      </c>
      <c r="S90" s="38" t="b">
        <v>0</v>
      </c>
      <c r="T90" s="39"/>
      <c r="U90" s="32" t="s">
        <v>304</v>
      </c>
    </row>
    <row r="91" ht="22.5" customHeight="1">
      <c r="A91" s="26">
        <v>46216.0</v>
      </c>
      <c r="B91" s="102" t="s">
        <v>383</v>
      </c>
      <c r="C91" s="103" t="str">
        <f t="array" ref="C91">_xlfn.XLOOKUP(B91, database!$A$2:$A$150, database!$B$2:$B$150)</f>
        <v>SV213.01</v>
      </c>
      <c r="D91" s="104" t="s">
        <v>379</v>
      </c>
      <c r="E91" s="32" t="s">
        <v>202</v>
      </c>
      <c r="F91" s="38" t="b">
        <v>1</v>
      </c>
      <c r="G91" s="39" t="str">
        <f t="array" ref="G91">_xlfn.XLOOKUP($B91, DB[samplingPoint], DB[noLocation])</f>
        <v>16-2-010</v>
      </c>
      <c r="H91" s="33" t="s">
        <v>327</v>
      </c>
      <c r="I91" s="40" t="str">
        <f t="array" ref="I91">_xlfn.XLOOKUP($B91, DB[samplingPoint], DB[location])</f>
        <v>AFTER STORAGE TANK</v>
      </c>
      <c r="J91" s="39" t="str">
        <f t="array" ref="J91">_xlfn.XLOOKUP($B91, DB[samplingPoint], DB[waterType])</f>
        <v>WFI</v>
      </c>
      <c r="K91" s="43">
        <f t="shared" si="30"/>
        <v>46217</v>
      </c>
      <c r="L91" s="26">
        <v>46220.0</v>
      </c>
      <c r="M91" s="53">
        <v>0.0</v>
      </c>
      <c r="N91" s="32">
        <f t="shared" si="31"/>
        <v>0</v>
      </c>
      <c r="O91" s="55"/>
      <c r="P91" s="55"/>
      <c r="Q91" s="32"/>
      <c r="R91" s="50" t="str">
        <f t="shared" si="3"/>
        <v>PASSED</v>
      </c>
      <c r="S91" s="38" t="b">
        <v>0</v>
      </c>
      <c r="T91" s="39"/>
      <c r="U91" s="32" t="s">
        <v>304</v>
      </c>
    </row>
    <row r="92" ht="22.5" customHeight="1">
      <c r="A92" s="26">
        <v>46216.0</v>
      </c>
      <c r="B92" s="99" t="s">
        <v>388</v>
      </c>
      <c r="C92" s="100" t="str">
        <f t="array" ref="C92">_xlfn.XLOOKUP(B92, database!$A$2:$A$150, database!$B$2:$B$150)</f>
        <v>SV217.01</v>
      </c>
      <c r="D92" s="101" t="s">
        <v>379</v>
      </c>
      <c r="E92" s="32" t="s">
        <v>202</v>
      </c>
      <c r="F92" s="38" t="b">
        <v>1</v>
      </c>
      <c r="G92" s="39" t="str">
        <f t="array" ref="G92">_xlfn.XLOOKUP($B92, DB[samplingPoint], DB[noLocation])</f>
        <v>16-2-010</v>
      </c>
      <c r="H92" s="33" t="s">
        <v>327</v>
      </c>
      <c r="I92" s="40" t="str">
        <f t="array" ref="I92">_xlfn.XLOOKUP($B92, DB[samplingPoint], DB[location])</f>
        <v>RETURN LOOP</v>
      </c>
      <c r="J92" s="39" t="str">
        <f t="array" ref="J92">_xlfn.XLOOKUP($B92, DB[samplingPoint], DB[waterType])</f>
        <v>WFI</v>
      </c>
      <c r="K92" s="43">
        <f t="shared" si="30"/>
        <v>46217</v>
      </c>
      <c r="L92" s="26">
        <v>46220.0</v>
      </c>
      <c r="M92" s="53">
        <v>0.0</v>
      </c>
      <c r="N92" s="32">
        <f t="shared" si="31"/>
        <v>0</v>
      </c>
      <c r="O92" s="55"/>
      <c r="P92" s="55"/>
      <c r="Q92" s="32"/>
      <c r="R92" s="50" t="str">
        <f t="shared" si="3"/>
        <v>PASSED</v>
      </c>
      <c r="S92" s="38" t="b">
        <v>0</v>
      </c>
      <c r="T92" s="39"/>
      <c r="U92" s="32" t="s">
        <v>304</v>
      </c>
    </row>
    <row r="93" ht="22.5" customHeight="1">
      <c r="A93" s="26">
        <v>46216.0</v>
      </c>
      <c r="B93" s="102" t="s">
        <v>416</v>
      </c>
      <c r="C93" s="103" t="str">
        <f t="array" ref="C93">_xlfn.XLOOKUP(B93, database!$A$2:$A$150, database!$B$2:$B$150)</f>
        <v>SV216.02</v>
      </c>
      <c r="D93" s="104" t="s">
        <v>379</v>
      </c>
      <c r="E93" s="32" t="s">
        <v>202</v>
      </c>
      <c r="F93" s="38" t="b">
        <v>1</v>
      </c>
      <c r="G93" s="39" t="str">
        <f t="array" ref="G93">_xlfn.XLOOKUP($B93, DB[samplingPoint], DB[noLocation])</f>
        <v>16-1-098</v>
      </c>
      <c r="H93" s="33" t="s">
        <v>327</v>
      </c>
      <c r="I93" s="40" t="str">
        <f t="array" ref="I93">_xlfn.XLOOKUP($B93, DB[samplingPoint], DB[location])</f>
        <v>CIP/SIP</v>
      </c>
      <c r="J93" s="39" t="str">
        <f t="array" ref="J93">_xlfn.XLOOKUP($B93, DB[samplingPoint], DB[waterType])</f>
        <v>WFI</v>
      </c>
      <c r="K93" s="43">
        <f t="shared" si="30"/>
        <v>46217</v>
      </c>
      <c r="L93" s="26">
        <v>46220.0</v>
      </c>
      <c r="M93" s="53">
        <v>0.0</v>
      </c>
      <c r="N93" s="32">
        <f t="shared" si="31"/>
        <v>0</v>
      </c>
      <c r="O93" s="55"/>
      <c r="P93" s="55"/>
      <c r="Q93" s="32"/>
      <c r="R93" s="50" t="str">
        <f t="shared" si="3"/>
        <v>PASSED</v>
      </c>
      <c r="S93" s="38" t="b">
        <v>0</v>
      </c>
      <c r="T93" s="39"/>
      <c r="U93" s="32" t="s">
        <v>304</v>
      </c>
    </row>
    <row r="94" ht="22.5" customHeight="1">
      <c r="A94" s="26">
        <v>46216.0</v>
      </c>
      <c r="B94" s="99" t="s">
        <v>418</v>
      </c>
      <c r="C94" s="100" t="str">
        <f t="array" ref="C94">_xlfn.XLOOKUP(B94, database!$A$2:$A$150, database!$B$2:$B$150)</f>
        <v>SV216.04</v>
      </c>
      <c r="D94" s="101" t="s">
        <v>379</v>
      </c>
      <c r="E94" s="32" t="s">
        <v>202</v>
      </c>
      <c r="F94" s="38" t="b">
        <v>1</v>
      </c>
      <c r="G94" s="39" t="str">
        <f t="array" ref="G94">_xlfn.XLOOKUP($B94, DB[samplingPoint], DB[noLocation])</f>
        <v>16-1-098</v>
      </c>
      <c r="H94" s="33" t="s">
        <v>327</v>
      </c>
      <c r="I94" s="40" t="str">
        <f t="array" ref="I94">_xlfn.XLOOKUP($B94, DB[samplingPoint], DB[location])</f>
        <v>CIP/SIP</v>
      </c>
      <c r="J94" s="39" t="str">
        <f t="array" ref="J94">_xlfn.XLOOKUP($B94, DB[samplingPoint], DB[waterType])</f>
        <v>WFI</v>
      </c>
      <c r="K94" s="43">
        <f t="shared" si="30"/>
        <v>46217</v>
      </c>
      <c r="L94" s="26">
        <v>46220.0</v>
      </c>
      <c r="M94" s="53">
        <v>0.0</v>
      </c>
      <c r="N94" s="32">
        <f t="shared" si="31"/>
        <v>0</v>
      </c>
      <c r="O94" s="55"/>
      <c r="P94" s="55"/>
      <c r="Q94" s="32"/>
      <c r="R94" s="50" t="str">
        <f t="shared" si="3"/>
        <v>PASSED</v>
      </c>
      <c r="S94" s="38" t="b">
        <v>0</v>
      </c>
      <c r="T94" s="39"/>
      <c r="U94" s="32" t="s">
        <v>304</v>
      </c>
    </row>
    <row r="95" ht="22.5" customHeight="1">
      <c r="A95" s="26">
        <v>46217.0</v>
      </c>
      <c r="B95" s="102" t="s">
        <v>391</v>
      </c>
      <c r="C95" s="103" t="str">
        <f t="array" ref="C95">_xlfn.XLOOKUP(B95, database!$A$2:$A$150, database!$B$2:$B$150)</f>
        <v>SV216.03</v>
      </c>
      <c r="D95" s="104" t="s">
        <v>404</v>
      </c>
      <c r="E95" s="32" t="s">
        <v>205</v>
      </c>
      <c r="F95" s="38" t="b">
        <v>1</v>
      </c>
      <c r="G95" s="39" t="str">
        <f t="array" ref="G95">_xlfn.XLOOKUP($B95, DB[samplingPoint], DB[noLocation])</f>
        <v>16-1-096</v>
      </c>
      <c r="H95" s="33" t="s">
        <v>327</v>
      </c>
      <c r="I95" s="40" t="str">
        <f t="array" ref="I95">_xlfn.XLOOKUP($B95, DB[samplingPoint], DB[location])</f>
        <v>WASHING/TUNNEL-02</v>
      </c>
      <c r="J95" s="39" t="str">
        <f t="array" ref="J95">_xlfn.XLOOKUP($B95, DB[samplingPoint], DB[waterType])</f>
        <v>WFI</v>
      </c>
      <c r="K95" s="43">
        <f t="shared" ref="K95:K97" si="32">$A95+2</f>
        <v>46219</v>
      </c>
      <c r="L95" s="26">
        <v>46222.0</v>
      </c>
      <c r="M95" s="53">
        <v>0.0</v>
      </c>
      <c r="N95" s="32">
        <f t="shared" si="31"/>
        <v>0</v>
      </c>
      <c r="O95" s="55"/>
      <c r="P95" s="55"/>
      <c r="Q95" s="32"/>
      <c r="R95" s="50" t="str">
        <f t="shared" si="3"/>
        <v>PASSED</v>
      </c>
      <c r="S95" s="38" t="b">
        <v>0</v>
      </c>
      <c r="T95" s="39"/>
      <c r="U95" s="32" t="s">
        <v>304</v>
      </c>
    </row>
    <row r="96" ht="22.5" customHeight="1">
      <c r="A96" s="26">
        <v>46217.0</v>
      </c>
      <c r="B96" s="99" t="s">
        <v>395</v>
      </c>
      <c r="C96" s="100" t="str">
        <f t="array" ref="C96">_xlfn.XLOOKUP(B96, database!$A$2:$A$150, database!$B$2:$B$150)</f>
        <v>POU HE216.03</v>
      </c>
      <c r="D96" s="101" t="s">
        <v>404</v>
      </c>
      <c r="E96" s="32" t="s">
        <v>205</v>
      </c>
      <c r="F96" s="38" t="b">
        <v>1</v>
      </c>
      <c r="G96" s="39" t="str">
        <f t="array" ref="G96">_xlfn.XLOOKUP($B96, DB[samplingPoint], DB[noLocation])</f>
        <v>16-1-082</v>
      </c>
      <c r="H96" s="33" t="s">
        <v>327</v>
      </c>
      <c r="I96" s="40" t="str">
        <f t="array" ref="I96">_xlfn.XLOOKUP($B96, DB[samplingPoint], DB[location])</f>
        <v>WASHING</v>
      </c>
      <c r="J96" s="39" t="str">
        <f t="array" ref="J96">_xlfn.XLOOKUP($B96, DB[samplingPoint], DB[waterType])</f>
        <v>WFI</v>
      </c>
      <c r="K96" s="43">
        <f t="shared" si="32"/>
        <v>46219</v>
      </c>
      <c r="L96" s="26">
        <v>46222.0</v>
      </c>
      <c r="M96" s="53">
        <v>0.0</v>
      </c>
      <c r="N96" s="32">
        <f t="shared" si="31"/>
        <v>0</v>
      </c>
      <c r="O96" s="55"/>
      <c r="P96" s="55"/>
      <c r="Q96" s="32"/>
      <c r="R96" s="50" t="str">
        <f t="shared" si="3"/>
        <v>PASSED</v>
      </c>
      <c r="S96" s="38" t="b">
        <v>0</v>
      </c>
      <c r="T96" s="39"/>
      <c r="U96" s="32" t="s">
        <v>304</v>
      </c>
    </row>
    <row r="97" ht="22.5" customHeight="1">
      <c r="A97" s="26">
        <v>46217.0</v>
      </c>
      <c r="B97" s="102" t="s">
        <v>397</v>
      </c>
      <c r="C97" s="103" t="str">
        <f t="array" ref="C97">_xlfn.XLOOKUP(B97, database!$A$2:$A$150, database!$B$2:$B$150)</f>
        <v>SV216.06</v>
      </c>
      <c r="D97" s="104" t="s">
        <v>404</v>
      </c>
      <c r="E97" s="32" t="s">
        <v>205</v>
      </c>
      <c r="F97" s="38" t="b">
        <v>1</v>
      </c>
      <c r="G97" s="39" t="str">
        <f t="array" ref="G97">_xlfn.XLOOKUP($B97, DB[samplingPoint], DB[noLocation])</f>
        <v>16-1-082</v>
      </c>
      <c r="H97" s="33" t="s">
        <v>327</v>
      </c>
      <c r="I97" s="40" t="str">
        <f t="array" ref="I97">_xlfn.XLOOKUP($B97, DB[samplingPoint], DB[location])</f>
        <v>WASHING</v>
      </c>
      <c r="J97" s="39" t="str">
        <f t="array" ref="J97">_xlfn.XLOOKUP($B97, DB[samplingPoint], DB[waterType])</f>
        <v>WFI</v>
      </c>
      <c r="K97" s="43">
        <f t="shared" si="32"/>
        <v>46219</v>
      </c>
      <c r="L97" s="26">
        <v>46222.0</v>
      </c>
      <c r="M97" s="53">
        <v>0.0</v>
      </c>
      <c r="N97" s="32">
        <f t="shared" si="31"/>
        <v>0</v>
      </c>
      <c r="O97" s="55"/>
      <c r="P97" s="55"/>
      <c r="Q97" s="32"/>
      <c r="R97" s="50" t="str">
        <f t="shared" si="3"/>
        <v>PASSED</v>
      </c>
      <c r="S97" s="38" t="b">
        <v>0</v>
      </c>
      <c r="T97" s="39"/>
      <c r="U97" s="32" t="s">
        <v>304</v>
      </c>
    </row>
    <row r="98" ht="22.5" customHeight="1">
      <c r="A98" s="26">
        <v>46218.0</v>
      </c>
      <c r="B98" s="99" t="s">
        <v>403</v>
      </c>
      <c r="C98" s="100" t="str">
        <f t="array" ref="C98">_xlfn.XLOOKUP(B98, database!$A$2:$A$150, database!$B$2:$B$150)</f>
        <v>POU HE216.01</v>
      </c>
      <c r="D98" s="101" t="s">
        <v>412</v>
      </c>
      <c r="E98" s="32" t="s">
        <v>208</v>
      </c>
      <c r="F98" s="38" t="b">
        <v>1</v>
      </c>
      <c r="G98" s="39" t="str">
        <f t="array" ref="G98">_xlfn.XLOOKUP($B98, DB[samplingPoint], DB[noLocation])</f>
        <v>16-1-107</v>
      </c>
      <c r="H98" s="33" t="s">
        <v>327</v>
      </c>
      <c r="I98" s="40" t="str">
        <f t="array" ref="I98">_xlfn.XLOOKUP($B98, DB[samplingPoint], DB[location])</f>
        <v>COMPOUNDING-01</v>
      </c>
      <c r="J98" s="39" t="str">
        <f t="array" ref="J98">_xlfn.XLOOKUP($B98, DB[samplingPoint], DB[waterType])</f>
        <v>WFI</v>
      </c>
      <c r="K98" s="43">
        <f t="shared" ref="K98:K99" si="33">$A98+1</f>
        <v>46219</v>
      </c>
      <c r="L98" s="26">
        <v>46222.0</v>
      </c>
      <c r="M98" s="53">
        <v>0.0</v>
      </c>
      <c r="N98" s="32">
        <f t="shared" si="31"/>
        <v>0</v>
      </c>
      <c r="O98" s="55"/>
      <c r="P98" s="55"/>
      <c r="Q98" s="32"/>
      <c r="R98" s="50" t="str">
        <f t="shared" si="3"/>
        <v>PASSED</v>
      </c>
      <c r="S98" s="38" t="b">
        <v>0</v>
      </c>
      <c r="T98" s="39"/>
      <c r="U98" s="32" t="s">
        <v>304</v>
      </c>
    </row>
    <row r="99" ht="22.5" customHeight="1">
      <c r="A99" s="26">
        <v>46218.0</v>
      </c>
      <c r="B99" s="102" t="s">
        <v>407</v>
      </c>
      <c r="C99" s="103" t="str">
        <f t="array" ref="C99">_xlfn.XLOOKUP(B99, database!$A$2:$A$150, database!$B$2:$B$150)</f>
        <v>POU HE216.02</v>
      </c>
      <c r="D99" s="104" t="s">
        <v>412</v>
      </c>
      <c r="E99" s="32" t="s">
        <v>208</v>
      </c>
      <c r="F99" s="38" t="b">
        <v>1</v>
      </c>
      <c r="G99" s="39" t="str">
        <f t="array" ref="G99">_xlfn.XLOOKUP($B99, DB[samplingPoint], DB[noLocation])</f>
        <v>16-1-107</v>
      </c>
      <c r="H99" s="33" t="s">
        <v>327</v>
      </c>
      <c r="I99" s="40" t="str">
        <f t="array" ref="I99">_xlfn.XLOOKUP($B99, DB[samplingPoint], DB[location])</f>
        <v>COMPOUNDING-01</v>
      </c>
      <c r="J99" s="39" t="str">
        <f t="array" ref="J99">_xlfn.XLOOKUP($B99, DB[samplingPoint], DB[waterType])</f>
        <v>WFI</v>
      </c>
      <c r="K99" s="43">
        <f t="shared" si="33"/>
        <v>46219</v>
      </c>
      <c r="L99" s="26">
        <v>46222.0</v>
      </c>
      <c r="M99" s="53">
        <v>0.0</v>
      </c>
      <c r="N99" s="32">
        <f t="shared" si="31"/>
        <v>0</v>
      </c>
      <c r="O99" s="55"/>
      <c r="P99" s="55"/>
      <c r="Q99" s="32"/>
      <c r="R99" s="50" t="str">
        <f t="shared" si="3"/>
        <v>PASSED</v>
      </c>
      <c r="S99" s="38" t="b">
        <v>0</v>
      </c>
      <c r="T99" s="39"/>
      <c r="U99" s="32" t="s">
        <v>304</v>
      </c>
    </row>
    <row r="100" ht="22.5" customHeight="1">
      <c r="A100" s="26">
        <v>46219.0</v>
      </c>
      <c r="B100" s="99" t="s">
        <v>225</v>
      </c>
      <c r="C100" s="100" t="str">
        <f t="array" ref="C100">_xlfn.XLOOKUP(B100, database!$A$2:$A$150, database!$B$2:$B$150)</f>
        <v>SV216.05</v>
      </c>
      <c r="D100" s="101" t="s">
        <v>292</v>
      </c>
      <c r="E100" s="32" t="s">
        <v>216</v>
      </c>
      <c r="F100" s="38" t="b">
        <v>1</v>
      </c>
      <c r="G100" s="39" t="str">
        <f t="array" ref="G100">_xlfn.XLOOKUP($B100, DB[samplingPoint], DB[noLocation])</f>
        <v>16-1-110</v>
      </c>
      <c r="H100" s="33" t="s">
        <v>327</v>
      </c>
      <c r="I100" s="40" t="str">
        <f t="array" ref="I100">_xlfn.XLOOKUP($B100, DB[samplingPoint], DB[location])</f>
        <v>DISINFECTANT PREPARATION</v>
      </c>
      <c r="J100" s="39" t="str">
        <f t="array" ref="J100">_xlfn.XLOOKUP($B100, DB[samplingPoint], DB[waterType])</f>
        <v>WFI</v>
      </c>
      <c r="K100" s="43">
        <f t="shared" ref="K100:K101" si="34">$A100+2</f>
        <v>46221</v>
      </c>
      <c r="L100" s="26">
        <v>46224.0</v>
      </c>
      <c r="M100" s="53">
        <v>0.0</v>
      </c>
      <c r="N100" s="32">
        <f t="shared" si="31"/>
        <v>0</v>
      </c>
      <c r="O100" s="55"/>
      <c r="P100" s="55"/>
      <c r="Q100" s="32"/>
      <c r="R100" s="50" t="str">
        <f t="shared" si="3"/>
        <v>PASSED</v>
      </c>
      <c r="S100" s="38" t="b">
        <v>0</v>
      </c>
      <c r="T100" s="39"/>
      <c r="U100" s="32" t="s">
        <v>304</v>
      </c>
    </row>
    <row r="101" ht="22.5" customHeight="1">
      <c r="A101" s="26">
        <v>46219.0</v>
      </c>
      <c r="B101" s="102" t="s">
        <v>365</v>
      </c>
      <c r="C101" s="103" t="str">
        <f t="array" ref="C101">_xlfn.XLOOKUP(B101, database!$A$2:$A$150, database!$B$2:$B$150)</f>
        <v>SV216.10</v>
      </c>
      <c r="D101" s="104" t="s">
        <v>292</v>
      </c>
      <c r="E101" s="32" t="s">
        <v>216</v>
      </c>
      <c r="F101" s="38" t="b">
        <v>1</v>
      </c>
      <c r="G101" s="39" t="str">
        <f t="array" ref="G101">_xlfn.XLOOKUP($B101, DB[samplingPoint], DB[noLocation])</f>
        <v>16-1-105</v>
      </c>
      <c r="H101" s="33" t="s">
        <v>327</v>
      </c>
      <c r="I101" s="40" t="str">
        <f t="array" ref="I101">_xlfn.XLOOKUP($B101, DB[samplingPoint], DB[location])</f>
        <v>WASHING/TUNNEL-01</v>
      </c>
      <c r="J101" s="39" t="str">
        <f t="array" ref="J101">_xlfn.XLOOKUP($B101, DB[samplingPoint], DB[waterType])</f>
        <v>WFI</v>
      </c>
      <c r="K101" s="43">
        <f t="shared" si="34"/>
        <v>46221</v>
      </c>
      <c r="L101" s="26">
        <v>46224.0</v>
      </c>
      <c r="M101" s="53">
        <v>0.0</v>
      </c>
      <c r="N101" s="32">
        <f t="shared" si="31"/>
        <v>0</v>
      </c>
      <c r="O101" s="55"/>
      <c r="P101" s="55"/>
      <c r="Q101" s="32"/>
      <c r="R101" s="50" t="str">
        <f t="shared" si="3"/>
        <v>PASSED</v>
      </c>
      <c r="S101" s="38" t="b">
        <v>0</v>
      </c>
      <c r="T101" s="39"/>
      <c r="U101" s="32" t="s">
        <v>304</v>
      </c>
    </row>
    <row r="102" ht="22.5" customHeight="1">
      <c r="A102" s="26">
        <v>46220.0</v>
      </c>
      <c r="B102" s="99" t="s">
        <v>367</v>
      </c>
      <c r="C102" s="100" t="str">
        <f t="array" ref="C102">_xlfn.XLOOKUP(B102, database!$A$2:$A$150, database!$B$2:$B$150)</f>
        <v>POU HE216.04</v>
      </c>
      <c r="D102" s="105" t="s">
        <v>369</v>
      </c>
      <c r="E102" s="32" t="s">
        <v>218</v>
      </c>
      <c r="F102" s="38" t="b">
        <v>1</v>
      </c>
      <c r="G102" s="39" t="str">
        <f t="array" ref="G102">_xlfn.XLOOKUP($B102, DB[samplingPoint], DB[noLocation])</f>
        <v>16-1-114</v>
      </c>
      <c r="H102" s="33" t="s">
        <v>327</v>
      </c>
      <c r="I102" s="40" t="str">
        <f t="array" ref="I102">_xlfn.XLOOKUP($B102, DB[samplingPoint], DB[location])</f>
        <v>COMPOUNDING-02</v>
      </c>
      <c r="J102" s="39" t="str">
        <f t="array" ref="J102">_xlfn.XLOOKUP($B102, DB[samplingPoint], DB[waterType])</f>
        <v>WFI</v>
      </c>
      <c r="K102" s="43">
        <f t="shared" ref="K102:K108" si="35">$A102+1</f>
        <v>46221</v>
      </c>
      <c r="L102" s="26">
        <v>46224.0</v>
      </c>
      <c r="M102" s="53">
        <v>0.0</v>
      </c>
      <c r="N102" s="32">
        <f t="shared" si="31"/>
        <v>0</v>
      </c>
      <c r="O102" s="55"/>
      <c r="P102" s="55"/>
      <c r="Q102" s="32"/>
      <c r="R102" s="50" t="str">
        <f t="shared" si="3"/>
        <v>PASSED</v>
      </c>
      <c r="S102" s="38" t="b">
        <v>0</v>
      </c>
      <c r="T102" s="39"/>
      <c r="U102" s="32" t="s">
        <v>304</v>
      </c>
    </row>
    <row r="103" ht="22.5" customHeight="1">
      <c r="A103" s="26">
        <v>46220.0</v>
      </c>
      <c r="B103" s="102" t="s">
        <v>372</v>
      </c>
      <c r="C103" s="103" t="str">
        <f t="array" ref="C103">_xlfn.XLOOKUP(B103, database!$A$2:$A$150, database!$B$2:$B$150)</f>
        <v>POU HE216.05</v>
      </c>
      <c r="D103" s="106" t="s">
        <v>369</v>
      </c>
      <c r="E103" s="32" t="s">
        <v>218</v>
      </c>
      <c r="F103" s="38" t="b">
        <v>1</v>
      </c>
      <c r="G103" s="39" t="str">
        <f t="array" ref="G103">_xlfn.XLOOKUP($B103, DB[samplingPoint], DB[noLocation])</f>
        <v>16-1-114</v>
      </c>
      <c r="H103" s="33" t="s">
        <v>327</v>
      </c>
      <c r="I103" s="40" t="str">
        <f t="array" ref="I103">_xlfn.XLOOKUP($B103, DB[samplingPoint], DB[location])</f>
        <v>COMPOUNDING-02</v>
      </c>
      <c r="J103" s="39" t="str">
        <f t="array" ref="J103">_xlfn.XLOOKUP($B103, DB[samplingPoint], DB[waterType])</f>
        <v>WFI</v>
      </c>
      <c r="K103" s="43">
        <f t="shared" si="35"/>
        <v>46221</v>
      </c>
      <c r="L103" s="26">
        <v>46224.0</v>
      </c>
      <c r="M103" s="53">
        <v>0.0</v>
      </c>
      <c r="N103" s="32">
        <f t="shared" si="31"/>
        <v>0</v>
      </c>
      <c r="O103" s="55"/>
      <c r="P103" s="55"/>
      <c r="Q103" s="32"/>
      <c r="R103" s="50" t="str">
        <f t="shared" si="3"/>
        <v>PASSED</v>
      </c>
      <c r="S103" s="38" t="b">
        <v>0</v>
      </c>
      <c r="T103" s="39"/>
      <c r="U103" s="32" t="s">
        <v>304</v>
      </c>
    </row>
    <row r="104" ht="22.5" customHeight="1">
      <c r="A104" s="26">
        <v>46223.0</v>
      </c>
      <c r="B104" s="99" t="s">
        <v>377</v>
      </c>
      <c r="C104" s="100" t="str">
        <f t="array" ref="C104">_xlfn.XLOOKUP(B104, database!$A$2:$A$150, database!$B$2:$B$150)</f>
        <v>V12-4</v>
      </c>
      <c r="D104" s="101" t="s">
        <v>379</v>
      </c>
      <c r="E104" s="32" t="s">
        <v>228</v>
      </c>
      <c r="F104" s="38" t="b">
        <v>1</v>
      </c>
      <c r="G104" s="39" t="str">
        <f t="array" ref="G104">_xlfn.XLOOKUP($B104, DB[samplingPoint], DB[noLocation])</f>
        <v>16-2-010</v>
      </c>
      <c r="H104" s="33" t="s">
        <v>327</v>
      </c>
      <c r="I104" s="40" t="str">
        <f t="array" ref="I104">_xlfn.XLOOKUP($B104, DB[samplingPoint], DB[location])</f>
        <v>AFTER WFI GENERATOR</v>
      </c>
      <c r="J104" s="39" t="str">
        <f t="array" ref="J104">_xlfn.XLOOKUP($B104, DB[samplingPoint], DB[waterType])</f>
        <v>WFI</v>
      </c>
      <c r="K104" s="43">
        <f t="shared" si="35"/>
        <v>46224</v>
      </c>
      <c r="L104" s="26">
        <v>46227.0</v>
      </c>
      <c r="M104" s="53">
        <v>0.0</v>
      </c>
      <c r="N104" s="32">
        <f t="shared" si="31"/>
        <v>0</v>
      </c>
      <c r="O104" s="55"/>
      <c r="P104" s="55"/>
      <c r="Q104" s="32"/>
      <c r="R104" s="50" t="str">
        <f t="shared" si="3"/>
        <v>PASSED</v>
      </c>
      <c r="S104" s="38" t="b">
        <v>0</v>
      </c>
      <c r="T104" s="39"/>
      <c r="U104" s="32" t="s">
        <v>304</v>
      </c>
    </row>
    <row r="105" ht="22.5" customHeight="1">
      <c r="A105" s="26">
        <v>46223.0</v>
      </c>
      <c r="B105" s="102" t="s">
        <v>383</v>
      </c>
      <c r="C105" s="103" t="str">
        <f t="array" ref="C105">_xlfn.XLOOKUP(B105, database!$A$2:$A$150, database!$B$2:$B$150)</f>
        <v>SV213.01</v>
      </c>
      <c r="D105" s="104" t="s">
        <v>379</v>
      </c>
      <c r="E105" s="32" t="s">
        <v>228</v>
      </c>
      <c r="F105" s="38" t="b">
        <v>1</v>
      </c>
      <c r="G105" s="39" t="str">
        <f t="array" ref="G105">_xlfn.XLOOKUP($B105, DB[samplingPoint], DB[noLocation])</f>
        <v>16-2-010</v>
      </c>
      <c r="H105" s="33" t="s">
        <v>327</v>
      </c>
      <c r="I105" s="40" t="str">
        <f t="array" ref="I105">_xlfn.XLOOKUP($B105, DB[samplingPoint], DB[location])</f>
        <v>AFTER STORAGE TANK</v>
      </c>
      <c r="J105" s="39" t="str">
        <f t="array" ref="J105">_xlfn.XLOOKUP($B105, DB[samplingPoint], DB[waterType])</f>
        <v>WFI</v>
      </c>
      <c r="K105" s="43">
        <f t="shared" si="35"/>
        <v>46224</v>
      </c>
      <c r="L105" s="26">
        <v>46227.0</v>
      </c>
      <c r="M105" s="53">
        <v>0.0</v>
      </c>
      <c r="N105" s="32">
        <f t="shared" si="31"/>
        <v>0</v>
      </c>
      <c r="O105" s="55"/>
      <c r="P105" s="55"/>
      <c r="Q105" s="32"/>
      <c r="R105" s="50" t="str">
        <f t="shared" si="3"/>
        <v>PASSED</v>
      </c>
      <c r="S105" s="38" t="b">
        <v>0</v>
      </c>
      <c r="T105" s="39"/>
      <c r="U105" s="32" t="s">
        <v>304</v>
      </c>
    </row>
    <row r="106" ht="22.5" customHeight="1">
      <c r="A106" s="26">
        <v>46223.0</v>
      </c>
      <c r="B106" s="99" t="s">
        <v>388</v>
      </c>
      <c r="C106" s="100" t="str">
        <f t="array" ref="C106">_xlfn.XLOOKUP(B106, database!$A$2:$A$150, database!$B$2:$B$150)</f>
        <v>SV217.01</v>
      </c>
      <c r="D106" s="101" t="s">
        <v>379</v>
      </c>
      <c r="E106" s="32" t="s">
        <v>228</v>
      </c>
      <c r="F106" s="38" t="b">
        <v>1</v>
      </c>
      <c r="G106" s="39" t="str">
        <f t="array" ref="G106">_xlfn.XLOOKUP($B106, DB[samplingPoint], DB[noLocation])</f>
        <v>16-2-010</v>
      </c>
      <c r="H106" s="33" t="s">
        <v>327</v>
      </c>
      <c r="I106" s="40" t="str">
        <f t="array" ref="I106">_xlfn.XLOOKUP($B106, DB[samplingPoint], DB[location])</f>
        <v>RETURN LOOP</v>
      </c>
      <c r="J106" s="39" t="str">
        <f t="array" ref="J106">_xlfn.XLOOKUP($B106, DB[samplingPoint], DB[waterType])</f>
        <v>WFI</v>
      </c>
      <c r="K106" s="43">
        <f t="shared" si="35"/>
        <v>46224</v>
      </c>
      <c r="L106" s="26">
        <v>46227.0</v>
      </c>
      <c r="M106" s="53">
        <v>0.0</v>
      </c>
      <c r="N106" s="32">
        <f t="shared" si="31"/>
        <v>0</v>
      </c>
      <c r="O106" s="55"/>
      <c r="P106" s="55"/>
      <c r="Q106" s="32"/>
      <c r="R106" s="50" t="str">
        <f t="shared" si="3"/>
        <v>PASSED</v>
      </c>
      <c r="S106" s="38" t="b">
        <v>0</v>
      </c>
      <c r="T106" s="39"/>
      <c r="U106" s="32" t="s">
        <v>304</v>
      </c>
    </row>
    <row r="107" ht="22.5" customHeight="1">
      <c r="A107" s="26">
        <v>46223.0</v>
      </c>
      <c r="B107" s="102" t="s">
        <v>416</v>
      </c>
      <c r="C107" s="103" t="str">
        <f t="array" ref="C107">_xlfn.XLOOKUP(B107, database!$A$2:$A$150, database!$B$2:$B$150)</f>
        <v>SV216.02</v>
      </c>
      <c r="D107" s="104" t="s">
        <v>379</v>
      </c>
      <c r="E107" s="32" t="s">
        <v>228</v>
      </c>
      <c r="F107" s="38" t="b">
        <v>1</v>
      </c>
      <c r="G107" s="39" t="str">
        <f t="array" ref="G107">_xlfn.XLOOKUP($B107, DB[samplingPoint], DB[noLocation])</f>
        <v>16-1-098</v>
      </c>
      <c r="H107" s="33" t="s">
        <v>327</v>
      </c>
      <c r="I107" s="40" t="str">
        <f t="array" ref="I107">_xlfn.XLOOKUP($B107, DB[samplingPoint], DB[location])</f>
        <v>CIP/SIP</v>
      </c>
      <c r="J107" s="39" t="str">
        <f t="array" ref="J107">_xlfn.XLOOKUP($B107, DB[samplingPoint], DB[waterType])</f>
        <v>WFI</v>
      </c>
      <c r="K107" s="43">
        <f t="shared" si="35"/>
        <v>46224</v>
      </c>
      <c r="L107" s="26">
        <v>46227.0</v>
      </c>
      <c r="M107" s="53">
        <v>0.0</v>
      </c>
      <c r="N107" s="32">
        <f t="shared" si="31"/>
        <v>0</v>
      </c>
      <c r="O107" s="55"/>
      <c r="P107" s="55"/>
      <c r="Q107" s="32"/>
      <c r="R107" s="50" t="str">
        <f t="shared" si="3"/>
        <v>PASSED</v>
      </c>
      <c r="S107" s="38" t="b">
        <v>0</v>
      </c>
      <c r="T107" s="39"/>
      <c r="U107" s="32" t="s">
        <v>304</v>
      </c>
    </row>
    <row r="108" ht="22.5" customHeight="1">
      <c r="A108" s="26">
        <v>46223.0</v>
      </c>
      <c r="B108" s="99" t="s">
        <v>418</v>
      </c>
      <c r="C108" s="100" t="str">
        <f t="array" ref="C108">_xlfn.XLOOKUP(B108, database!$A$2:$A$150, database!$B$2:$B$150)</f>
        <v>SV216.04</v>
      </c>
      <c r="D108" s="101" t="s">
        <v>379</v>
      </c>
      <c r="E108" s="32" t="s">
        <v>228</v>
      </c>
      <c r="F108" s="38" t="b">
        <v>1</v>
      </c>
      <c r="G108" s="39" t="str">
        <f t="array" ref="G108">_xlfn.XLOOKUP($B108, DB[samplingPoint], DB[noLocation])</f>
        <v>16-1-098</v>
      </c>
      <c r="H108" s="33" t="s">
        <v>327</v>
      </c>
      <c r="I108" s="40" t="str">
        <f t="array" ref="I108">_xlfn.XLOOKUP($B108, DB[samplingPoint], DB[location])</f>
        <v>CIP/SIP</v>
      </c>
      <c r="J108" s="39" t="str">
        <f t="array" ref="J108">_xlfn.XLOOKUP($B108, DB[samplingPoint], DB[waterType])</f>
        <v>WFI</v>
      </c>
      <c r="K108" s="43">
        <f t="shared" si="35"/>
        <v>46224</v>
      </c>
      <c r="L108" s="26">
        <v>46227.0</v>
      </c>
      <c r="M108" s="53">
        <v>0.0</v>
      </c>
      <c r="N108" s="32">
        <f t="shared" si="31"/>
        <v>0</v>
      </c>
      <c r="O108" s="55"/>
      <c r="P108" s="55"/>
      <c r="Q108" s="32"/>
      <c r="R108" s="50" t="str">
        <f t="shared" si="3"/>
        <v>PASSED</v>
      </c>
      <c r="S108" s="38" t="b">
        <v>0</v>
      </c>
      <c r="T108" s="39"/>
      <c r="U108" s="32" t="s">
        <v>304</v>
      </c>
    </row>
    <row r="109" ht="22.5" customHeight="1">
      <c r="A109" s="26">
        <v>46224.0</v>
      </c>
      <c r="B109" s="102" t="s">
        <v>391</v>
      </c>
      <c r="C109" s="103" t="str">
        <f t="array" ref="C109">_xlfn.XLOOKUP(B109, database!$A$2:$A$150, database!$B$2:$B$150)</f>
        <v>SV216.03</v>
      </c>
      <c r="D109" s="104" t="s">
        <v>404</v>
      </c>
      <c r="E109" s="32" t="s">
        <v>230</v>
      </c>
      <c r="F109" s="38" t="b">
        <v>1</v>
      </c>
      <c r="G109" s="39" t="str">
        <f t="array" ref="G109">_xlfn.XLOOKUP($B109, DB[samplingPoint], DB[noLocation])</f>
        <v>16-1-096</v>
      </c>
      <c r="H109" s="33" t="s">
        <v>327</v>
      </c>
      <c r="I109" s="40" t="str">
        <f t="array" ref="I109">_xlfn.XLOOKUP($B109, DB[samplingPoint], DB[location])</f>
        <v>WASHING/TUNNEL-02</v>
      </c>
      <c r="J109" s="39" t="str">
        <f t="array" ref="J109">_xlfn.XLOOKUP($B109, DB[samplingPoint], DB[waterType])</f>
        <v>WFI</v>
      </c>
      <c r="K109" s="43">
        <f t="shared" ref="K109:K111" si="36">$A109+0</f>
        <v>46224</v>
      </c>
      <c r="L109" s="26">
        <v>46227.0</v>
      </c>
      <c r="M109" s="53">
        <v>0.0</v>
      </c>
      <c r="N109" s="32">
        <f t="shared" si="31"/>
        <v>0</v>
      </c>
      <c r="O109" s="55"/>
      <c r="P109" s="55"/>
      <c r="Q109" s="32"/>
      <c r="R109" s="50" t="str">
        <f t="shared" si="3"/>
        <v>PASSED</v>
      </c>
      <c r="S109" s="38" t="b">
        <v>0</v>
      </c>
      <c r="T109" s="39"/>
      <c r="U109" s="32" t="s">
        <v>304</v>
      </c>
    </row>
    <row r="110" ht="22.5" customHeight="1">
      <c r="A110" s="26">
        <v>46224.0</v>
      </c>
      <c r="B110" s="99" t="s">
        <v>395</v>
      </c>
      <c r="C110" s="100" t="str">
        <f t="array" ref="C110">_xlfn.XLOOKUP(B110, database!$A$2:$A$150, database!$B$2:$B$150)</f>
        <v>POU HE216.03</v>
      </c>
      <c r="D110" s="101" t="s">
        <v>404</v>
      </c>
      <c r="E110" s="32" t="s">
        <v>230</v>
      </c>
      <c r="F110" s="38" t="b">
        <v>1</v>
      </c>
      <c r="G110" s="39" t="str">
        <f t="array" ref="G110">_xlfn.XLOOKUP($B110, DB[samplingPoint], DB[noLocation])</f>
        <v>16-1-082</v>
      </c>
      <c r="H110" s="33" t="s">
        <v>327</v>
      </c>
      <c r="I110" s="40" t="str">
        <f t="array" ref="I110">_xlfn.XLOOKUP($B110, DB[samplingPoint], DB[location])</f>
        <v>WASHING</v>
      </c>
      <c r="J110" s="39" t="str">
        <f t="array" ref="J110">_xlfn.XLOOKUP($B110, DB[samplingPoint], DB[waterType])</f>
        <v>WFI</v>
      </c>
      <c r="K110" s="43">
        <f t="shared" si="36"/>
        <v>46224</v>
      </c>
      <c r="L110" s="26">
        <v>46227.0</v>
      </c>
      <c r="M110" s="53">
        <v>0.0</v>
      </c>
      <c r="N110" s="32">
        <f t="shared" si="31"/>
        <v>0</v>
      </c>
      <c r="O110" s="55"/>
      <c r="P110" s="55"/>
      <c r="Q110" s="32"/>
      <c r="R110" s="50" t="str">
        <f t="shared" si="3"/>
        <v>PASSED</v>
      </c>
      <c r="S110" s="38" t="b">
        <v>0</v>
      </c>
      <c r="T110" s="39"/>
      <c r="U110" s="32" t="s">
        <v>304</v>
      </c>
    </row>
    <row r="111" ht="22.5" customHeight="1">
      <c r="A111" s="26">
        <v>46224.0</v>
      </c>
      <c r="B111" s="102" t="s">
        <v>397</v>
      </c>
      <c r="C111" s="103" t="str">
        <f t="array" ref="C111">_xlfn.XLOOKUP(B111, database!$A$2:$A$150, database!$B$2:$B$150)</f>
        <v>SV216.06</v>
      </c>
      <c r="D111" s="104" t="s">
        <v>404</v>
      </c>
      <c r="E111" s="32" t="s">
        <v>230</v>
      </c>
      <c r="F111" s="38" t="b">
        <v>1</v>
      </c>
      <c r="G111" s="39" t="str">
        <f t="array" ref="G111">_xlfn.XLOOKUP($B111, DB[samplingPoint], DB[noLocation])</f>
        <v>16-1-082</v>
      </c>
      <c r="H111" s="33" t="s">
        <v>327</v>
      </c>
      <c r="I111" s="40" t="str">
        <f t="array" ref="I111">_xlfn.XLOOKUP($B111, DB[samplingPoint], DB[location])</f>
        <v>WASHING</v>
      </c>
      <c r="J111" s="39" t="str">
        <f t="array" ref="J111">_xlfn.XLOOKUP($B111, DB[samplingPoint], DB[waterType])</f>
        <v>WFI</v>
      </c>
      <c r="K111" s="43">
        <f t="shared" si="36"/>
        <v>46224</v>
      </c>
      <c r="L111" s="26">
        <v>46227.0</v>
      </c>
      <c r="M111" s="53">
        <v>0.0</v>
      </c>
      <c r="N111" s="32">
        <f t="shared" si="31"/>
        <v>0</v>
      </c>
      <c r="O111" s="55"/>
      <c r="P111" s="55"/>
      <c r="Q111" s="32"/>
      <c r="R111" s="50" t="str">
        <f t="shared" si="3"/>
        <v>PASSED</v>
      </c>
      <c r="S111" s="38" t="b">
        <v>0</v>
      </c>
      <c r="T111" s="39"/>
      <c r="U111" s="32" t="s">
        <v>304</v>
      </c>
    </row>
    <row r="112" ht="22.5" customHeight="1">
      <c r="A112" s="26">
        <v>46225.0</v>
      </c>
      <c r="B112" s="99" t="s">
        <v>403</v>
      </c>
      <c r="C112" s="100" t="str">
        <f t="array" ref="C112">_xlfn.XLOOKUP(B112, database!$A$2:$A$150, database!$B$2:$B$150)</f>
        <v>POU HE216.01</v>
      </c>
      <c r="D112" s="101" t="s">
        <v>412</v>
      </c>
      <c r="E112" s="32" t="s">
        <v>240</v>
      </c>
      <c r="F112" s="38" t="b">
        <v>1</v>
      </c>
      <c r="G112" s="39" t="str">
        <f t="array" ref="G112">_xlfn.XLOOKUP($B112, DB[samplingPoint], DB[noLocation])</f>
        <v>16-1-107</v>
      </c>
      <c r="H112" s="33" t="s">
        <v>327</v>
      </c>
      <c r="I112" s="40" t="str">
        <f t="array" ref="I112">_xlfn.XLOOKUP($B112, DB[samplingPoint], DB[location])</f>
        <v>COMPOUNDING-01</v>
      </c>
      <c r="J112" s="39" t="str">
        <f t="array" ref="J112">_xlfn.XLOOKUP($B112, DB[samplingPoint], DB[waterType])</f>
        <v>WFI</v>
      </c>
      <c r="K112" s="43">
        <f t="shared" ref="K112:K113" si="37">$A112+1</f>
        <v>46226</v>
      </c>
      <c r="L112" s="26">
        <v>46230.0</v>
      </c>
      <c r="M112" s="53">
        <v>0.0</v>
      </c>
      <c r="N112" s="32">
        <f t="shared" si="31"/>
        <v>0</v>
      </c>
      <c r="O112" s="55"/>
      <c r="P112" s="55"/>
      <c r="Q112" s="32"/>
      <c r="R112" s="50" t="str">
        <f t="shared" si="3"/>
        <v>PASSED</v>
      </c>
      <c r="S112" s="38" t="b">
        <v>0</v>
      </c>
      <c r="T112" s="39"/>
      <c r="U112" s="32" t="s">
        <v>304</v>
      </c>
    </row>
    <row r="113" ht="22.5" customHeight="1">
      <c r="A113" s="26">
        <v>46225.0</v>
      </c>
      <c r="B113" s="102" t="s">
        <v>407</v>
      </c>
      <c r="C113" s="103" t="str">
        <f t="array" ref="C113">_xlfn.XLOOKUP(B113, database!$A$2:$A$150, database!$B$2:$B$150)</f>
        <v>POU HE216.02</v>
      </c>
      <c r="D113" s="104" t="s">
        <v>412</v>
      </c>
      <c r="E113" s="32" t="s">
        <v>240</v>
      </c>
      <c r="F113" s="38" t="b">
        <v>1</v>
      </c>
      <c r="G113" s="39" t="str">
        <f t="array" ref="G113">_xlfn.XLOOKUP($B113, DB[samplingPoint], DB[noLocation])</f>
        <v>16-1-107</v>
      </c>
      <c r="H113" s="33" t="s">
        <v>327</v>
      </c>
      <c r="I113" s="40" t="str">
        <f t="array" ref="I113">_xlfn.XLOOKUP($B113, DB[samplingPoint], DB[location])</f>
        <v>COMPOUNDING-01</v>
      </c>
      <c r="J113" s="39" t="str">
        <f t="array" ref="J113">_xlfn.XLOOKUP($B113, DB[samplingPoint], DB[waterType])</f>
        <v>WFI</v>
      </c>
      <c r="K113" s="43">
        <f t="shared" si="37"/>
        <v>46226</v>
      </c>
      <c r="L113" s="26">
        <v>46230.0</v>
      </c>
      <c r="M113" s="53">
        <v>0.0</v>
      </c>
      <c r="N113" s="32">
        <f t="shared" si="31"/>
        <v>0</v>
      </c>
      <c r="O113" s="55"/>
      <c r="P113" s="55"/>
      <c r="Q113" s="32"/>
      <c r="R113" s="50" t="str">
        <f t="shared" si="3"/>
        <v>PASSED</v>
      </c>
      <c r="S113" s="38" t="b">
        <v>0</v>
      </c>
      <c r="T113" s="39"/>
      <c r="U113" s="32" t="s">
        <v>304</v>
      </c>
    </row>
    <row r="114" ht="22.5" customHeight="1">
      <c r="A114" s="26">
        <v>46226.0</v>
      </c>
      <c r="B114" s="99" t="s">
        <v>225</v>
      </c>
      <c r="C114" s="100" t="str">
        <f t="array" ref="C114">_xlfn.XLOOKUP(B114, database!$A$2:$A$150, database!$B$2:$B$150)</f>
        <v>SV216.05</v>
      </c>
      <c r="D114" s="101" t="s">
        <v>292</v>
      </c>
      <c r="E114" s="32" t="s">
        <v>242</v>
      </c>
      <c r="F114" s="38" t="b">
        <v>1</v>
      </c>
      <c r="G114" s="39" t="str">
        <f t="array" ref="G114">_xlfn.XLOOKUP($B114, DB[samplingPoint], DB[noLocation])</f>
        <v>16-1-110</v>
      </c>
      <c r="H114" s="33" t="s">
        <v>327</v>
      </c>
      <c r="I114" s="40" t="str">
        <f t="array" ref="I114">_xlfn.XLOOKUP($B114, DB[samplingPoint], DB[location])</f>
        <v>DISINFECTANT PREPARATION</v>
      </c>
      <c r="J114" s="39" t="str">
        <f t="array" ref="J114">_xlfn.XLOOKUP($B114, DB[samplingPoint], DB[waterType])</f>
        <v>WFI</v>
      </c>
      <c r="K114" s="43">
        <f t="shared" ref="K114:K115" si="38">$A114</f>
        <v>46226</v>
      </c>
      <c r="L114" s="26">
        <v>46230.0</v>
      </c>
      <c r="M114" s="53">
        <v>0.0</v>
      </c>
      <c r="N114" s="32">
        <f t="shared" si="31"/>
        <v>0</v>
      </c>
      <c r="O114" s="55"/>
      <c r="P114" s="55"/>
      <c r="Q114" s="32"/>
      <c r="R114" s="50" t="str">
        <f t="shared" si="3"/>
        <v>PASSED</v>
      </c>
      <c r="S114" s="38" t="b">
        <v>0</v>
      </c>
      <c r="T114" s="39"/>
      <c r="U114" s="32" t="s">
        <v>304</v>
      </c>
    </row>
    <row r="115" ht="22.5" customHeight="1">
      <c r="A115" s="26">
        <v>46226.0</v>
      </c>
      <c r="B115" s="102" t="s">
        <v>365</v>
      </c>
      <c r="C115" s="103" t="str">
        <f t="array" ref="C115">_xlfn.XLOOKUP(B115, database!$A$2:$A$150, database!$B$2:$B$150)</f>
        <v>SV216.10</v>
      </c>
      <c r="D115" s="104" t="s">
        <v>292</v>
      </c>
      <c r="E115" s="32" t="s">
        <v>242</v>
      </c>
      <c r="F115" s="38" t="b">
        <v>1</v>
      </c>
      <c r="G115" s="39" t="str">
        <f t="array" ref="G115">_xlfn.XLOOKUP($B115, DB[samplingPoint], DB[noLocation])</f>
        <v>16-1-105</v>
      </c>
      <c r="H115" s="33" t="s">
        <v>327</v>
      </c>
      <c r="I115" s="40" t="str">
        <f t="array" ref="I115">_xlfn.XLOOKUP($B115, DB[samplingPoint], DB[location])</f>
        <v>WASHING/TUNNEL-01</v>
      </c>
      <c r="J115" s="39" t="str">
        <f t="array" ref="J115">_xlfn.XLOOKUP($B115, DB[samplingPoint], DB[waterType])</f>
        <v>WFI</v>
      </c>
      <c r="K115" s="43">
        <f t="shared" si="38"/>
        <v>46226</v>
      </c>
      <c r="L115" s="26">
        <v>46230.0</v>
      </c>
      <c r="M115" s="53">
        <v>0.0</v>
      </c>
      <c r="N115" s="32">
        <f t="shared" si="31"/>
        <v>0</v>
      </c>
      <c r="O115" s="55"/>
      <c r="P115" s="55"/>
      <c r="Q115" s="32"/>
      <c r="R115" s="50" t="str">
        <f t="shared" si="3"/>
        <v>PASSED</v>
      </c>
      <c r="S115" s="38" t="b">
        <v>0</v>
      </c>
      <c r="T115" s="39"/>
      <c r="U115" s="32" t="s">
        <v>304</v>
      </c>
    </row>
    <row r="116" ht="22.5" customHeight="1">
      <c r="A116" s="26">
        <v>46227.0</v>
      </c>
      <c r="B116" s="99" t="s">
        <v>367</v>
      </c>
      <c r="C116" s="100" t="str">
        <f t="array" ref="C116">_xlfn.XLOOKUP(B116, database!$A$2:$A$150, database!$B$2:$B$150)</f>
        <v>POU HE216.04</v>
      </c>
      <c r="D116" s="105" t="s">
        <v>369</v>
      </c>
      <c r="E116" s="32" t="s">
        <v>252</v>
      </c>
      <c r="F116" s="38" t="b">
        <v>1</v>
      </c>
      <c r="G116" s="39" t="str">
        <f t="array" ref="G116">_xlfn.XLOOKUP($B116, DB[samplingPoint], DB[noLocation])</f>
        <v>16-1-114</v>
      </c>
      <c r="H116" s="33" t="s">
        <v>327</v>
      </c>
      <c r="I116" s="40" t="str">
        <f t="array" ref="I116">_xlfn.XLOOKUP($B116, DB[samplingPoint], DB[location])</f>
        <v>COMPOUNDING-02</v>
      </c>
      <c r="J116" s="39" t="str">
        <f t="array" ref="J116">_xlfn.XLOOKUP($B116, DB[samplingPoint], DB[waterType])</f>
        <v>WFI</v>
      </c>
      <c r="K116" s="43">
        <f t="shared" ref="K116:K122" si="39">$A116+1</f>
        <v>46228</v>
      </c>
      <c r="L116" s="26">
        <v>46231.0</v>
      </c>
      <c r="M116" s="53">
        <v>0.0</v>
      </c>
      <c r="N116" s="32">
        <f t="shared" si="31"/>
        <v>0</v>
      </c>
      <c r="O116" s="55"/>
      <c r="P116" s="55"/>
      <c r="Q116" s="32"/>
      <c r="R116" s="50" t="str">
        <f t="shared" si="3"/>
        <v>PASSED</v>
      </c>
      <c r="S116" s="38" t="b">
        <v>0</v>
      </c>
      <c r="T116" s="39"/>
      <c r="U116" s="32" t="s">
        <v>304</v>
      </c>
    </row>
    <row r="117" ht="22.5" customHeight="1">
      <c r="A117" s="26">
        <v>46227.0</v>
      </c>
      <c r="B117" s="102" t="s">
        <v>372</v>
      </c>
      <c r="C117" s="103" t="str">
        <f t="array" ref="C117">_xlfn.XLOOKUP(B117, database!$A$2:$A$150, database!$B$2:$B$150)</f>
        <v>POU HE216.05</v>
      </c>
      <c r="D117" s="106" t="s">
        <v>369</v>
      </c>
      <c r="E117" s="32" t="s">
        <v>252</v>
      </c>
      <c r="F117" s="38" t="b">
        <v>1</v>
      </c>
      <c r="G117" s="39" t="str">
        <f t="array" ref="G117">_xlfn.XLOOKUP($B117, DB[samplingPoint], DB[noLocation])</f>
        <v>16-1-114</v>
      </c>
      <c r="H117" s="33" t="s">
        <v>327</v>
      </c>
      <c r="I117" s="40" t="str">
        <f t="array" ref="I117">_xlfn.XLOOKUP($B117, DB[samplingPoint], DB[location])</f>
        <v>COMPOUNDING-02</v>
      </c>
      <c r="J117" s="39" t="str">
        <f t="array" ref="J117">_xlfn.XLOOKUP($B117, DB[samplingPoint], DB[waterType])</f>
        <v>WFI</v>
      </c>
      <c r="K117" s="43">
        <f t="shared" si="39"/>
        <v>46228</v>
      </c>
      <c r="L117" s="26">
        <v>46231.0</v>
      </c>
      <c r="M117" s="53">
        <v>0.0</v>
      </c>
      <c r="N117" s="32">
        <f t="shared" si="31"/>
        <v>0</v>
      </c>
      <c r="O117" s="55"/>
      <c r="P117" s="55"/>
      <c r="Q117" s="32"/>
      <c r="R117" s="50" t="str">
        <f t="shared" si="3"/>
        <v>PASSED</v>
      </c>
      <c r="S117" s="38" t="b">
        <v>0</v>
      </c>
      <c r="T117" s="39"/>
      <c r="U117" s="32" t="s">
        <v>304</v>
      </c>
    </row>
    <row r="118" ht="22.5" customHeight="1">
      <c r="A118" s="26">
        <v>46237.0</v>
      </c>
      <c r="B118" s="99" t="s">
        <v>377</v>
      </c>
      <c r="C118" s="107" t="str">
        <f t="array" ref="C118">_xlfn.XLOOKUP(B118, database!$A$2:$A$150, database!$B$2:$B$150)</f>
        <v>V12-4</v>
      </c>
      <c r="D118" s="101" t="s">
        <v>379</v>
      </c>
      <c r="E118" s="32" t="s">
        <v>282</v>
      </c>
      <c r="F118" s="38" t="b">
        <v>1</v>
      </c>
      <c r="G118" s="39" t="str">
        <f t="array" ref="G118">_xlfn.XLOOKUP($B118, DB[samplingPoint], DB[noLocation])</f>
        <v>16-2-010</v>
      </c>
      <c r="H118" s="33" t="s">
        <v>327</v>
      </c>
      <c r="I118" s="40" t="str">
        <f t="array" ref="I118">_xlfn.XLOOKUP($B118, DB[samplingPoint], DB[location])</f>
        <v>AFTER WFI GENERATOR</v>
      </c>
      <c r="J118" s="39" t="str">
        <f t="array" ref="J118">_xlfn.XLOOKUP($B118, DB[samplingPoint], DB[waterType])</f>
        <v>WFI</v>
      </c>
      <c r="K118" s="43">
        <f t="shared" si="39"/>
        <v>46238</v>
      </c>
      <c r="L118" s="26">
        <v>46242.0</v>
      </c>
      <c r="M118" s="53">
        <v>0.0</v>
      </c>
      <c r="N118" s="32">
        <f t="shared" si="31"/>
        <v>0</v>
      </c>
      <c r="O118" s="55"/>
      <c r="P118" s="55"/>
      <c r="Q118" s="32"/>
      <c r="R118" s="50" t="str">
        <f t="shared" si="3"/>
        <v>PASSED</v>
      </c>
      <c r="S118" s="38" t="b">
        <v>0</v>
      </c>
      <c r="T118" s="39"/>
      <c r="U118" s="32" t="s">
        <v>304</v>
      </c>
    </row>
    <row r="119" ht="22.5" customHeight="1">
      <c r="A119" s="26">
        <v>46237.0</v>
      </c>
      <c r="B119" s="102" t="s">
        <v>383</v>
      </c>
      <c r="C119" s="107" t="str">
        <f t="array" ref="C119">_xlfn.XLOOKUP(B119, database!$A$2:$A$150, database!$B$2:$B$150)</f>
        <v>SV213.01</v>
      </c>
      <c r="D119" s="104" t="s">
        <v>379</v>
      </c>
      <c r="E119" s="32" t="s">
        <v>282</v>
      </c>
      <c r="F119" s="38" t="b">
        <v>1</v>
      </c>
      <c r="G119" s="39" t="str">
        <f t="array" ref="G119">_xlfn.XLOOKUP($B119, DB[samplingPoint], DB[noLocation])</f>
        <v>16-2-010</v>
      </c>
      <c r="H119" s="33" t="s">
        <v>327</v>
      </c>
      <c r="I119" s="40" t="str">
        <f t="array" ref="I119">_xlfn.XLOOKUP($B119, DB[samplingPoint], DB[location])</f>
        <v>AFTER STORAGE TANK</v>
      </c>
      <c r="J119" s="39" t="str">
        <f t="array" ref="J119">_xlfn.XLOOKUP($B119, DB[samplingPoint], DB[waterType])</f>
        <v>WFI</v>
      </c>
      <c r="K119" s="43">
        <f t="shared" si="39"/>
        <v>46238</v>
      </c>
      <c r="L119" s="26">
        <v>46242.0</v>
      </c>
      <c r="M119" s="53">
        <v>0.0</v>
      </c>
      <c r="N119" s="32">
        <f t="shared" si="31"/>
        <v>0</v>
      </c>
      <c r="O119" s="55"/>
      <c r="P119" s="55"/>
      <c r="Q119" s="32"/>
      <c r="R119" s="50" t="str">
        <f t="shared" si="3"/>
        <v>PASSED</v>
      </c>
      <c r="S119" s="38" t="b">
        <v>0</v>
      </c>
      <c r="T119" s="39"/>
      <c r="U119" s="32" t="s">
        <v>304</v>
      </c>
    </row>
    <row r="120" ht="22.5" customHeight="1">
      <c r="A120" s="26">
        <v>46237.0</v>
      </c>
      <c r="B120" s="99" t="s">
        <v>388</v>
      </c>
      <c r="C120" s="107" t="str">
        <f t="array" ref="C120">_xlfn.XLOOKUP(B120, database!$A$2:$A$150, database!$B$2:$B$150)</f>
        <v>SV217.01</v>
      </c>
      <c r="D120" s="101" t="s">
        <v>379</v>
      </c>
      <c r="E120" s="32" t="s">
        <v>282</v>
      </c>
      <c r="F120" s="38" t="b">
        <v>1</v>
      </c>
      <c r="G120" s="39" t="str">
        <f t="array" ref="G120">_xlfn.XLOOKUP($B120, DB[samplingPoint], DB[noLocation])</f>
        <v>16-2-010</v>
      </c>
      <c r="H120" s="33" t="s">
        <v>327</v>
      </c>
      <c r="I120" s="40" t="str">
        <f t="array" ref="I120">_xlfn.XLOOKUP($B120, DB[samplingPoint], DB[location])</f>
        <v>RETURN LOOP</v>
      </c>
      <c r="J120" s="39" t="str">
        <f t="array" ref="J120">_xlfn.XLOOKUP($B120, DB[samplingPoint], DB[waterType])</f>
        <v>WFI</v>
      </c>
      <c r="K120" s="43">
        <f t="shared" si="39"/>
        <v>46238</v>
      </c>
      <c r="L120" s="26">
        <v>46242.0</v>
      </c>
      <c r="M120" s="53">
        <v>0.0</v>
      </c>
      <c r="N120" s="32">
        <f t="shared" si="31"/>
        <v>0</v>
      </c>
      <c r="O120" s="55"/>
      <c r="P120" s="55"/>
      <c r="Q120" s="32"/>
      <c r="R120" s="50" t="str">
        <f t="shared" si="3"/>
        <v>PASSED</v>
      </c>
      <c r="S120" s="38" t="b">
        <v>0</v>
      </c>
      <c r="T120" s="39"/>
      <c r="U120" s="32" t="s">
        <v>304</v>
      </c>
    </row>
    <row r="121" ht="22.5" customHeight="1">
      <c r="A121" s="26">
        <v>46237.0</v>
      </c>
      <c r="B121" s="102" t="s">
        <v>416</v>
      </c>
      <c r="C121" s="107" t="str">
        <f t="array" ref="C121">_xlfn.XLOOKUP(B121, database!$A$2:$A$150, database!$B$2:$B$150)</f>
        <v>SV216.02</v>
      </c>
      <c r="D121" s="104" t="s">
        <v>379</v>
      </c>
      <c r="E121" s="32" t="s">
        <v>282</v>
      </c>
      <c r="F121" s="38" t="b">
        <v>1</v>
      </c>
      <c r="G121" s="39" t="str">
        <f t="array" ref="G121">_xlfn.XLOOKUP($B121, DB[samplingPoint], DB[noLocation])</f>
        <v>16-1-098</v>
      </c>
      <c r="H121" s="33" t="s">
        <v>327</v>
      </c>
      <c r="I121" s="40" t="str">
        <f t="array" ref="I121">_xlfn.XLOOKUP($B121, DB[samplingPoint], DB[location])</f>
        <v>CIP/SIP</v>
      </c>
      <c r="J121" s="39" t="str">
        <f t="array" ref="J121">_xlfn.XLOOKUP($B121, DB[samplingPoint], DB[waterType])</f>
        <v>WFI</v>
      </c>
      <c r="K121" s="43">
        <f t="shared" si="39"/>
        <v>46238</v>
      </c>
      <c r="L121" s="26">
        <v>46242.0</v>
      </c>
      <c r="M121" s="53">
        <v>0.0</v>
      </c>
      <c r="N121" s="32">
        <f t="shared" si="31"/>
        <v>0</v>
      </c>
      <c r="O121" s="55"/>
      <c r="P121" s="55"/>
      <c r="Q121" s="32"/>
      <c r="R121" s="50" t="str">
        <f t="shared" si="3"/>
        <v>PASSED</v>
      </c>
      <c r="S121" s="38" t="b">
        <v>0</v>
      </c>
      <c r="T121" s="39"/>
      <c r="U121" s="32" t="s">
        <v>304</v>
      </c>
    </row>
    <row r="122" ht="22.5" customHeight="1">
      <c r="A122" s="26">
        <v>46237.0</v>
      </c>
      <c r="B122" s="99" t="s">
        <v>418</v>
      </c>
      <c r="C122" s="107" t="str">
        <f t="array" ref="C122">_xlfn.XLOOKUP(B122, database!$A$2:$A$150, database!$B$2:$B$150)</f>
        <v>SV216.04</v>
      </c>
      <c r="D122" s="101" t="s">
        <v>379</v>
      </c>
      <c r="E122" s="32" t="s">
        <v>282</v>
      </c>
      <c r="F122" s="38" t="b">
        <v>1</v>
      </c>
      <c r="G122" s="39" t="str">
        <f t="array" ref="G122">_xlfn.XLOOKUP($B122, DB[samplingPoint], DB[noLocation])</f>
        <v>16-1-098</v>
      </c>
      <c r="H122" s="33" t="s">
        <v>327</v>
      </c>
      <c r="I122" s="40" t="str">
        <f t="array" ref="I122">_xlfn.XLOOKUP($B122, DB[samplingPoint], DB[location])</f>
        <v>CIP/SIP</v>
      </c>
      <c r="J122" s="39" t="str">
        <f t="array" ref="J122">_xlfn.XLOOKUP($B122, DB[samplingPoint], DB[waterType])</f>
        <v>WFI</v>
      </c>
      <c r="K122" s="43">
        <f t="shared" si="39"/>
        <v>46238</v>
      </c>
      <c r="L122" s="26">
        <v>46242.0</v>
      </c>
      <c r="M122" s="53">
        <v>0.0</v>
      </c>
      <c r="N122" s="32">
        <f t="shared" si="31"/>
        <v>0</v>
      </c>
      <c r="O122" s="55"/>
      <c r="P122" s="55"/>
      <c r="Q122" s="32"/>
      <c r="R122" s="50" t="str">
        <f t="shared" si="3"/>
        <v>PASSED</v>
      </c>
      <c r="S122" s="38" t="b">
        <v>0</v>
      </c>
      <c r="T122" s="39"/>
      <c r="U122" s="32" t="s">
        <v>304</v>
      </c>
    </row>
    <row r="123" ht="22.5" customHeight="1">
      <c r="A123" s="26">
        <v>46238.0</v>
      </c>
      <c r="B123" s="102" t="s">
        <v>391</v>
      </c>
      <c r="C123" s="107" t="str">
        <f t="array" ref="C123">_xlfn.XLOOKUP(B123, database!$A$2:$A$150, database!$B$2:$B$150)</f>
        <v>SV216.03</v>
      </c>
      <c r="D123" s="104" t="s">
        <v>404</v>
      </c>
      <c r="E123" s="32" t="s">
        <v>284</v>
      </c>
      <c r="F123" s="38" t="b">
        <v>1</v>
      </c>
      <c r="G123" s="39" t="str">
        <f t="array" ref="G123">_xlfn.XLOOKUP($B123, DB[samplingPoint], DB[noLocation])</f>
        <v>16-1-096</v>
      </c>
      <c r="H123" s="33" t="s">
        <v>327</v>
      </c>
      <c r="I123" s="40" t="str">
        <f t="array" ref="I123">_xlfn.XLOOKUP($B123, DB[samplingPoint], DB[location])</f>
        <v>WASHING/TUNNEL-02</v>
      </c>
      <c r="J123" s="39" t="str">
        <f t="array" ref="J123">_xlfn.XLOOKUP($B123, DB[samplingPoint], DB[waterType])</f>
        <v>WFI</v>
      </c>
      <c r="K123" s="43">
        <f t="shared" ref="K123:K125" si="40">$A123+0</f>
        <v>46238</v>
      </c>
      <c r="L123" s="26">
        <v>46242.0</v>
      </c>
      <c r="M123" s="53">
        <v>0.0</v>
      </c>
      <c r="N123" s="32">
        <f t="shared" si="31"/>
        <v>0</v>
      </c>
      <c r="O123" s="55"/>
      <c r="P123" s="55"/>
      <c r="Q123" s="32"/>
      <c r="R123" s="50" t="str">
        <f t="shared" si="3"/>
        <v>PASSED</v>
      </c>
      <c r="S123" s="38" t="b">
        <v>0</v>
      </c>
      <c r="T123" s="39"/>
      <c r="U123" s="32" t="s">
        <v>304</v>
      </c>
    </row>
    <row r="124" ht="22.5" customHeight="1">
      <c r="A124" s="26">
        <v>46238.0</v>
      </c>
      <c r="B124" s="99" t="s">
        <v>395</v>
      </c>
      <c r="C124" s="107" t="str">
        <f t="array" ref="C124">_xlfn.XLOOKUP(B124, database!$A$2:$A$150, database!$B$2:$B$150)</f>
        <v>POU HE216.03</v>
      </c>
      <c r="D124" s="101" t="s">
        <v>404</v>
      </c>
      <c r="E124" s="32" t="s">
        <v>284</v>
      </c>
      <c r="F124" s="38" t="b">
        <v>1</v>
      </c>
      <c r="G124" s="39" t="str">
        <f t="array" ref="G124">_xlfn.XLOOKUP($B124, DB[samplingPoint], DB[noLocation])</f>
        <v>16-1-082</v>
      </c>
      <c r="H124" s="33" t="s">
        <v>327</v>
      </c>
      <c r="I124" s="40" t="str">
        <f t="array" ref="I124">_xlfn.XLOOKUP($B124, DB[samplingPoint], DB[location])</f>
        <v>WASHING</v>
      </c>
      <c r="J124" s="39" t="str">
        <f t="array" ref="J124">_xlfn.XLOOKUP($B124, DB[samplingPoint], DB[waterType])</f>
        <v>WFI</v>
      </c>
      <c r="K124" s="43">
        <f t="shared" si="40"/>
        <v>46238</v>
      </c>
      <c r="L124" s="26">
        <v>46242.0</v>
      </c>
      <c r="M124" s="53">
        <v>0.0</v>
      </c>
      <c r="N124" s="32">
        <f t="shared" si="31"/>
        <v>0</v>
      </c>
      <c r="O124" s="55"/>
      <c r="P124" s="55"/>
      <c r="Q124" s="32"/>
      <c r="R124" s="50" t="str">
        <f t="shared" si="3"/>
        <v>PASSED</v>
      </c>
      <c r="S124" s="38" t="b">
        <v>0</v>
      </c>
      <c r="T124" s="39"/>
      <c r="U124" s="32" t="s">
        <v>304</v>
      </c>
    </row>
    <row r="125" ht="22.5" customHeight="1">
      <c r="A125" s="26">
        <v>46238.0</v>
      </c>
      <c r="B125" s="102" t="s">
        <v>397</v>
      </c>
      <c r="C125" s="107" t="str">
        <f t="array" ref="C125">_xlfn.XLOOKUP(B125, database!$A$2:$A$150, database!$B$2:$B$150)</f>
        <v>SV216.06</v>
      </c>
      <c r="D125" s="104" t="s">
        <v>404</v>
      </c>
      <c r="E125" s="32" t="s">
        <v>284</v>
      </c>
      <c r="F125" s="38" t="b">
        <v>1</v>
      </c>
      <c r="G125" s="39" t="str">
        <f t="array" ref="G125">_xlfn.XLOOKUP($B125, DB[samplingPoint], DB[noLocation])</f>
        <v>16-1-082</v>
      </c>
      <c r="H125" s="33" t="s">
        <v>327</v>
      </c>
      <c r="I125" s="40" t="str">
        <f t="array" ref="I125">_xlfn.XLOOKUP($B125, DB[samplingPoint], DB[location])</f>
        <v>WASHING</v>
      </c>
      <c r="J125" s="39" t="str">
        <f t="array" ref="J125">_xlfn.XLOOKUP($B125, DB[samplingPoint], DB[waterType])</f>
        <v>WFI</v>
      </c>
      <c r="K125" s="43">
        <f t="shared" si="40"/>
        <v>46238</v>
      </c>
      <c r="L125" s="26">
        <v>46242.0</v>
      </c>
      <c r="M125" s="53">
        <v>0.0</v>
      </c>
      <c r="N125" s="32">
        <f t="shared" si="31"/>
        <v>0</v>
      </c>
      <c r="O125" s="55"/>
      <c r="P125" s="55"/>
      <c r="Q125" s="32"/>
      <c r="R125" s="50" t="str">
        <f t="shared" si="3"/>
        <v>PASSED</v>
      </c>
      <c r="S125" s="38" t="b">
        <v>0</v>
      </c>
      <c r="T125" s="39"/>
      <c r="U125" s="32" t="s">
        <v>304</v>
      </c>
    </row>
    <row r="126" ht="22.5" customHeight="1">
      <c r="A126" s="26">
        <v>46239.0</v>
      </c>
      <c r="B126" s="99" t="s">
        <v>403</v>
      </c>
      <c r="C126" s="107" t="str">
        <f t="array" ref="C126">_xlfn.XLOOKUP(B126, database!$A$2:$A$150, database!$B$2:$B$150)</f>
        <v>POU HE216.01</v>
      </c>
      <c r="D126" s="101" t="s">
        <v>412</v>
      </c>
      <c r="E126" s="32" t="s">
        <v>286</v>
      </c>
      <c r="F126" s="38" t="b">
        <v>1</v>
      </c>
      <c r="G126" s="39" t="str">
        <f t="array" ref="G126">_xlfn.XLOOKUP($B126, DB[samplingPoint], DB[noLocation])</f>
        <v>16-1-107</v>
      </c>
      <c r="H126" s="33" t="s">
        <v>327</v>
      </c>
      <c r="I126" s="40" t="str">
        <f t="array" ref="I126">_xlfn.XLOOKUP($B126, DB[samplingPoint], DB[location])</f>
        <v>COMPOUNDING-01</v>
      </c>
      <c r="J126" s="39" t="str">
        <f t="array" ref="J126">_xlfn.XLOOKUP($B126, DB[samplingPoint], DB[waterType])</f>
        <v>WFI</v>
      </c>
      <c r="K126" s="43">
        <f t="shared" ref="K126:K127" si="41">$A126+2</f>
        <v>46241</v>
      </c>
      <c r="L126" s="26">
        <v>46244.0</v>
      </c>
      <c r="M126" s="53">
        <v>0.0</v>
      </c>
      <c r="N126" s="32">
        <f t="shared" si="31"/>
        <v>0</v>
      </c>
      <c r="O126" s="55"/>
      <c r="P126" s="55"/>
      <c r="Q126" s="32"/>
      <c r="R126" s="50" t="str">
        <f t="shared" si="3"/>
        <v>PASSED</v>
      </c>
      <c r="S126" s="38" t="b">
        <v>0</v>
      </c>
      <c r="T126" s="39"/>
      <c r="U126" s="32" t="s">
        <v>304</v>
      </c>
    </row>
    <row r="127" ht="22.5" customHeight="1">
      <c r="A127" s="26">
        <v>46239.0</v>
      </c>
      <c r="B127" s="102" t="s">
        <v>407</v>
      </c>
      <c r="C127" s="107" t="str">
        <f t="array" ref="C127">_xlfn.XLOOKUP(B127, database!$A$2:$A$150, database!$B$2:$B$150)</f>
        <v>POU HE216.02</v>
      </c>
      <c r="D127" s="104" t="s">
        <v>412</v>
      </c>
      <c r="E127" s="32" t="s">
        <v>286</v>
      </c>
      <c r="F127" s="38" t="b">
        <v>1</v>
      </c>
      <c r="G127" s="39" t="str">
        <f t="array" ref="G127">_xlfn.XLOOKUP($B127, DB[samplingPoint], DB[noLocation])</f>
        <v>16-1-107</v>
      </c>
      <c r="H127" s="33" t="s">
        <v>327</v>
      </c>
      <c r="I127" s="40" t="str">
        <f t="array" ref="I127">_xlfn.XLOOKUP($B127, DB[samplingPoint], DB[location])</f>
        <v>COMPOUNDING-01</v>
      </c>
      <c r="J127" s="39" t="str">
        <f t="array" ref="J127">_xlfn.XLOOKUP($B127, DB[samplingPoint], DB[waterType])</f>
        <v>WFI</v>
      </c>
      <c r="K127" s="43">
        <f t="shared" si="41"/>
        <v>46241</v>
      </c>
      <c r="L127" s="26">
        <v>46244.0</v>
      </c>
      <c r="M127" s="53">
        <v>0.0</v>
      </c>
      <c r="N127" s="32">
        <f t="shared" si="31"/>
        <v>0</v>
      </c>
      <c r="O127" s="55"/>
      <c r="P127" s="55"/>
      <c r="Q127" s="32"/>
      <c r="R127" s="50" t="str">
        <f t="shared" si="3"/>
        <v>PASSED</v>
      </c>
      <c r="S127" s="38" t="b">
        <v>0</v>
      </c>
      <c r="T127" s="39"/>
      <c r="U127" s="32" t="s">
        <v>304</v>
      </c>
    </row>
    <row r="128" ht="22.5" customHeight="1">
      <c r="A128" s="26">
        <v>46240.0</v>
      </c>
      <c r="B128" s="99" t="s">
        <v>225</v>
      </c>
      <c r="C128" s="107" t="str">
        <f t="array" ref="C128">_xlfn.XLOOKUP(B128, database!$A$2:$A$150, database!$B$2:$B$150)</f>
        <v>SV216.05</v>
      </c>
      <c r="D128" s="101" t="s">
        <v>292</v>
      </c>
      <c r="E128" s="32" t="s">
        <v>288</v>
      </c>
      <c r="F128" s="38" t="b">
        <v>1</v>
      </c>
      <c r="G128" s="39" t="str">
        <f t="array" ref="G128">_xlfn.XLOOKUP($B128, DB[samplingPoint], DB[noLocation])</f>
        <v>16-1-110</v>
      </c>
      <c r="H128" s="33" t="s">
        <v>327</v>
      </c>
      <c r="I128" s="40" t="str">
        <f t="array" ref="I128">_xlfn.XLOOKUP($B128, DB[samplingPoint], DB[location])</f>
        <v>DISINFECTANT PREPARATION</v>
      </c>
      <c r="J128" s="39" t="str">
        <f t="array" ref="J128">_xlfn.XLOOKUP($B128, DB[samplingPoint], DB[waterType])</f>
        <v>WFI</v>
      </c>
      <c r="K128" s="43">
        <f t="shared" ref="K128:K129" si="42">$A128+1</f>
        <v>46241</v>
      </c>
      <c r="L128" s="26">
        <v>46244.0</v>
      </c>
      <c r="M128" s="53">
        <v>0.0</v>
      </c>
      <c r="N128" s="32">
        <f t="shared" si="31"/>
        <v>0</v>
      </c>
      <c r="O128" s="55"/>
      <c r="P128" s="55"/>
      <c r="Q128" s="32"/>
      <c r="R128" s="50" t="str">
        <f t="shared" si="3"/>
        <v>PASSED</v>
      </c>
      <c r="S128" s="38" t="b">
        <v>0</v>
      </c>
      <c r="T128" s="39"/>
      <c r="U128" s="32" t="s">
        <v>304</v>
      </c>
    </row>
    <row r="129" ht="22.5" customHeight="1">
      <c r="A129" s="26">
        <v>46240.0</v>
      </c>
      <c r="B129" s="102" t="s">
        <v>365</v>
      </c>
      <c r="C129" s="107" t="str">
        <f t="array" ref="C129">_xlfn.XLOOKUP(B129, database!$A$2:$A$150, database!$B$2:$B$150)</f>
        <v>SV216.10</v>
      </c>
      <c r="D129" s="104" t="s">
        <v>292</v>
      </c>
      <c r="E129" s="32" t="s">
        <v>288</v>
      </c>
      <c r="F129" s="38" t="b">
        <v>1</v>
      </c>
      <c r="G129" s="39" t="str">
        <f t="array" ref="G129">_xlfn.XLOOKUP($B129, DB[samplingPoint], DB[noLocation])</f>
        <v>16-1-105</v>
      </c>
      <c r="H129" s="33" t="s">
        <v>327</v>
      </c>
      <c r="I129" s="40" t="str">
        <f t="array" ref="I129">_xlfn.XLOOKUP($B129, DB[samplingPoint], DB[location])</f>
        <v>WASHING/TUNNEL-01</v>
      </c>
      <c r="J129" s="39" t="str">
        <f t="array" ref="J129">_xlfn.XLOOKUP($B129, DB[samplingPoint], DB[waterType])</f>
        <v>WFI</v>
      </c>
      <c r="K129" s="43">
        <f t="shared" si="42"/>
        <v>46241</v>
      </c>
      <c r="L129" s="26">
        <v>46244.0</v>
      </c>
      <c r="M129" s="53">
        <v>0.0</v>
      </c>
      <c r="N129" s="32">
        <f t="shared" si="31"/>
        <v>0</v>
      </c>
      <c r="O129" s="55"/>
      <c r="P129" s="55"/>
      <c r="Q129" s="32"/>
      <c r="R129" s="50" t="str">
        <f t="shared" si="3"/>
        <v>PASSED</v>
      </c>
      <c r="S129" s="38" t="b">
        <v>0</v>
      </c>
      <c r="T129" s="39"/>
      <c r="U129" s="32" t="s">
        <v>304</v>
      </c>
    </row>
    <row r="130" ht="22.5" customHeight="1">
      <c r="A130" s="26">
        <v>46241.0</v>
      </c>
      <c r="B130" s="99" t="s">
        <v>367</v>
      </c>
      <c r="C130" s="107" t="str">
        <f t="array" ref="C130">_xlfn.XLOOKUP(B130, database!$A$2:$A$150, database!$B$2:$B$150)</f>
        <v>POU HE216.04</v>
      </c>
      <c r="D130" s="105" t="s">
        <v>369</v>
      </c>
      <c r="E130" s="32" t="s">
        <v>290</v>
      </c>
      <c r="F130" s="38" t="b">
        <v>1</v>
      </c>
      <c r="G130" s="39" t="str">
        <f t="array" ref="G130">_xlfn.XLOOKUP($B130, DB[samplingPoint], DB[noLocation])</f>
        <v>16-1-114</v>
      </c>
      <c r="H130" s="33" t="s">
        <v>327</v>
      </c>
      <c r="I130" s="40" t="str">
        <f t="array" ref="I130">_xlfn.XLOOKUP($B130, DB[samplingPoint], DB[location])</f>
        <v>COMPOUNDING-02</v>
      </c>
      <c r="J130" s="39" t="str">
        <f t="array" ref="J130">_xlfn.XLOOKUP($B130, DB[samplingPoint], DB[waterType])</f>
        <v>WFI</v>
      </c>
      <c r="K130" s="43">
        <f t="shared" ref="K130:K131" si="43">$A130+0</f>
        <v>46241</v>
      </c>
      <c r="L130" s="26">
        <v>46244.0</v>
      </c>
      <c r="M130" s="53">
        <v>0.0</v>
      </c>
      <c r="N130" s="32">
        <f t="shared" si="31"/>
        <v>0</v>
      </c>
      <c r="O130" s="55"/>
      <c r="P130" s="55"/>
      <c r="Q130" s="32"/>
      <c r="R130" s="50" t="str">
        <f t="shared" si="3"/>
        <v>PASSED</v>
      </c>
      <c r="S130" s="38" t="b">
        <v>0</v>
      </c>
      <c r="T130" s="39"/>
      <c r="U130" s="32" t="s">
        <v>304</v>
      </c>
    </row>
    <row r="131" ht="22.5" customHeight="1">
      <c r="A131" s="26">
        <v>46241.0</v>
      </c>
      <c r="B131" s="102" t="s">
        <v>372</v>
      </c>
      <c r="C131" s="107" t="str">
        <f t="array" ref="C131">_xlfn.XLOOKUP(B131, database!$A$2:$A$150, database!$B$2:$B$150)</f>
        <v>POU HE216.05</v>
      </c>
      <c r="D131" s="106" t="s">
        <v>369</v>
      </c>
      <c r="E131" s="32" t="s">
        <v>290</v>
      </c>
      <c r="F131" s="38" t="b">
        <v>1</v>
      </c>
      <c r="G131" s="39" t="str">
        <f t="array" ref="G131">_xlfn.XLOOKUP($B131, DB[samplingPoint], DB[noLocation])</f>
        <v>16-1-114</v>
      </c>
      <c r="H131" s="33" t="s">
        <v>327</v>
      </c>
      <c r="I131" s="40" t="str">
        <f t="array" ref="I131">_xlfn.XLOOKUP($B131, DB[samplingPoint], DB[location])</f>
        <v>COMPOUNDING-02</v>
      </c>
      <c r="J131" s="39" t="str">
        <f t="array" ref="J131">_xlfn.XLOOKUP($B131, DB[samplingPoint], DB[waterType])</f>
        <v>WFI</v>
      </c>
      <c r="K131" s="43">
        <f t="shared" si="43"/>
        <v>46241</v>
      </c>
      <c r="L131" s="26">
        <v>46244.0</v>
      </c>
      <c r="M131" s="53">
        <v>0.0</v>
      </c>
      <c r="N131" s="32">
        <f t="shared" si="31"/>
        <v>0</v>
      </c>
      <c r="O131" s="55"/>
      <c r="P131" s="55"/>
      <c r="Q131" s="32"/>
      <c r="R131" s="50" t="str">
        <f t="shared" si="3"/>
        <v>PASSED</v>
      </c>
      <c r="S131" s="38" t="b">
        <v>0</v>
      </c>
      <c r="T131" s="39"/>
      <c r="U131" s="32" t="s">
        <v>304</v>
      </c>
    </row>
    <row r="132" ht="22.5" customHeight="1">
      <c r="A132" s="26">
        <v>46244.0</v>
      </c>
      <c r="B132" s="99" t="s">
        <v>377</v>
      </c>
      <c r="C132" s="107" t="str">
        <f t="array" ref="C132">_xlfn.XLOOKUP(B132, database!$A$2:$A$150, database!$B$2:$B$150)</f>
        <v>V12-4</v>
      </c>
      <c r="D132" s="111" t="s">
        <v>379</v>
      </c>
      <c r="E132" s="32" t="s">
        <v>295</v>
      </c>
      <c r="F132" s="38" t="b">
        <v>1</v>
      </c>
      <c r="G132" s="39" t="str">
        <f t="array" ref="G132">_xlfn.XLOOKUP($B132, DB[samplingPoint], DB[noLocation])</f>
        <v>16-2-010</v>
      </c>
      <c r="H132" s="33" t="s">
        <v>327</v>
      </c>
      <c r="I132" s="40" t="str">
        <f t="array" ref="I132">_xlfn.XLOOKUP($B132, DB[samplingPoint], DB[location])</f>
        <v>AFTER WFI GENERATOR</v>
      </c>
      <c r="J132" s="39" t="str">
        <f t="array" ref="J132">_xlfn.XLOOKUP($B132, DB[samplingPoint], DB[waterType])</f>
        <v>WFI</v>
      </c>
      <c r="K132" s="43">
        <f t="shared" ref="K132:K136" si="44">$A132+2</f>
        <v>46246</v>
      </c>
      <c r="L132" s="26">
        <v>46249.0</v>
      </c>
      <c r="M132" s="53">
        <v>0.0</v>
      </c>
      <c r="N132" s="32">
        <f t="shared" si="31"/>
        <v>0</v>
      </c>
      <c r="O132" s="55"/>
      <c r="P132" s="55"/>
      <c r="Q132" s="32"/>
      <c r="R132" s="50" t="str">
        <f t="shared" si="3"/>
        <v>PASSED</v>
      </c>
      <c r="S132" s="38" t="b">
        <v>0</v>
      </c>
      <c r="T132" s="39"/>
      <c r="U132" s="32" t="s">
        <v>304</v>
      </c>
    </row>
    <row r="133" ht="22.5" customHeight="1">
      <c r="A133" s="26">
        <v>46244.0</v>
      </c>
      <c r="B133" s="102" t="s">
        <v>383</v>
      </c>
      <c r="C133" s="107" t="str">
        <f t="array" ref="C133">_xlfn.XLOOKUP(B133, database!$A$2:$A$150, database!$B$2:$B$150)</f>
        <v>SV213.01</v>
      </c>
      <c r="D133" s="111" t="s">
        <v>379</v>
      </c>
      <c r="E133" s="32" t="s">
        <v>295</v>
      </c>
      <c r="F133" s="38" t="b">
        <v>1</v>
      </c>
      <c r="G133" s="39" t="str">
        <f t="array" ref="G133">_xlfn.XLOOKUP($B133, DB[samplingPoint], DB[noLocation])</f>
        <v>16-2-010</v>
      </c>
      <c r="H133" s="33" t="s">
        <v>327</v>
      </c>
      <c r="I133" s="40" t="str">
        <f t="array" ref="I133">_xlfn.XLOOKUP($B133, DB[samplingPoint], DB[location])</f>
        <v>AFTER STORAGE TANK</v>
      </c>
      <c r="J133" s="39" t="str">
        <f t="array" ref="J133">_xlfn.XLOOKUP($B133, DB[samplingPoint], DB[waterType])</f>
        <v>WFI</v>
      </c>
      <c r="K133" s="43">
        <f t="shared" si="44"/>
        <v>46246</v>
      </c>
      <c r="L133" s="26">
        <v>46249.0</v>
      </c>
      <c r="M133" s="53">
        <v>0.0</v>
      </c>
      <c r="N133" s="32">
        <f t="shared" si="31"/>
        <v>0</v>
      </c>
      <c r="O133" s="55"/>
      <c r="P133" s="55"/>
      <c r="Q133" s="32"/>
      <c r="R133" s="50" t="str">
        <f t="shared" si="3"/>
        <v>PASSED</v>
      </c>
      <c r="S133" s="38" t="b">
        <v>0</v>
      </c>
      <c r="T133" s="39"/>
      <c r="U133" s="32" t="s">
        <v>304</v>
      </c>
    </row>
    <row r="134" ht="22.5" customHeight="1">
      <c r="A134" s="26">
        <v>46244.0</v>
      </c>
      <c r="B134" s="99" t="s">
        <v>388</v>
      </c>
      <c r="C134" s="107" t="str">
        <f t="array" ref="C134">_xlfn.XLOOKUP(B134, database!$A$2:$A$150, database!$B$2:$B$150)</f>
        <v>SV217.01</v>
      </c>
      <c r="D134" s="111" t="s">
        <v>379</v>
      </c>
      <c r="E134" s="32" t="s">
        <v>295</v>
      </c>
      <c r="F134" s="38" t="b">
        <v>1</v>
      </c>
      <c r="G134" s="39" t="str">
        <f t="array" ref="G134">_xlfn.XLOOKUP($B134, DB[samplingPoint], DB[noLocation])</f>
        <v>16-2-010</v>
      </c>
      <c r="H134" s="33" t="s">
        <v>327</v>
      </c>
      <c r="I134" s="40" t="str">
        <f t="array" ref="I134">_xlfn.XLOOKUP($B134, DB[samplingPoint], DB[location])</f>
        <v>RETURN LOOP</v>
      </c>
      <c r="J134" s="39" t="str">
        <f t="array" ref="J134">_xlfn.XLOOKUP($B134, DB[samplingPoint], DB[waterType])</f>
        <v>WFI</v>
      </c>
      <c r="K134" s="43">
        <f t="shared" si="44"/>
        <v>46246</v>
      </c>
      <c r="L134" s="26">
        <v>46249.0</v>
      </c>
      <c r="M134" s="53">
        <v>0.0</v>
      </c>
      <c r="N134" s="32">
        <f t="shared" si="31"/>
        <v>0</v>
      </c>
      <c r="O134" s="55"/>
      <c r="P134" s="55"/>
      <c r="Q134" s="32"/>
      <c r="R134" s="50" t="str">
        <f t="shared" si="3"/>
        <v>PASSED</v>
      </c>
      <c r="S134" s="38" t="b">
        <v>0</v>
      </c>
      <c r="T134" s="39"/>
      <c r="U134" s="32" t="s">
        <v>304</v>
      </c>
    </row>
    <row r="135" ht="22.5" customHeight="1">
      <c r="A135" s="26">
        <v>46244.0</v>
      </c>
      <c r="B135" s="102" t="s">
        <v>416</v>
      </c>
      <c r="C135" s="107" t="str">
        <f t="array" ref="C135">_xlfn.XLOOKUP(B135, database!$A$2:$A$150, database!$B$2:$B$150)</f>
        <v>SV216.02</v>
      </c>
      <c r="D135" s="111" t="s">
        <v>379</v>
      </c>
      <c r="E135" s="32" t="s">
        <v>295</v>
      </c>
      <c r="F135" s="38" t="b">
        <v>1</v>
      </c>
      <c r="G135" s="39" t="str">
        <f t="array" ref="G135">_xlfn.XLOOKUP($B135, DB[samplingPoint], DB[noLocation])</f>
        <v>16-1-098</v>
      </c>
      <c r="H135" s="33" t="s">
        <v>327</v>
      </c>
      <c r="I135" s="40" t="str">
        <f t="array" ref="I135">_xlfn.XLOOKUP($B135, DB[samplingPoint], DB[location])</f>
        <v>CIP/SIP</v>
      </c>
      <c r="J135" s="39" t="str">
        <f t="array" ref="J135">_xlfn.XLOOKUP($B135, DB[samplingPoint], DB[waterType])</f>
        <v>WFI</v>
      </c>
      <c r="K135" s="43">
        <f t="shared" si="44"/>
        <v>46246</v>
      </c>
      <c r="L135" s="26">
        <v>46249.0</v>
      </c>
      <c r="M135" s="53">
        <v>0.0</v>
      </c>
      <c r="N135" s="32">
        <f t="shared" si="31"/>
        <v>0</v>
      </c>
      <c r="O135" s="55"/>
      <c r="P135" s="55"/>
      <c r="Q135" s="32"/>
      <c r="R135" s="50" t="str">
        <f t="shared" si="3"/>
        <v>PASSED</v>
      </c>
      <c r="S135" s="38" t="b">
        <v>0</v>
      </c>
      <c r="T135" s="39"/>
      <c r="U135" s="32" t="s">
        <v>304</v>
      </c>
    </row>
    <row r="136" ht="22.5" customHeight="1">
      <c r="A136" s="26">
        <v>46244.0</v>
      </c>
      <c r="B136" s="99" t="s">
        <v>418</v>
      </c>
      <c r="C136" s="107" t="str">
        <f t="array" ref="C136">_xlfn.XLOOKUP(B136, database!$A$2:$A$150, database!$B$2:$B$150)</f>
        <v>SV216.04</v>
      </c>
      <c r="D136" s="111" t="s">
        <v>379</v>
      </c>
      <c r="E136" s="32" t="s">
        <v>295</v>
      </c>
      <c r="F136" s="38" t="b">
        <v>1</v>
      </c>
      <c r="G136" s="39" t="str">
        <f t="array" ref="G136">_xlfn.XLOOKUP($B136, DB[samplingPoint], DB[noLocation])</f>
        <v>16-1-098</v>
      </c>
      <c r="H136" s="33" t="s">
        <v>327</v>
      </c>
      <c r="I136" s="40" t="str">
        <f t="array" ref="I136">_xlfn.XLOOKUP($B136, DB[samplingPoint], DB[location])</f>
        <v>CIP/SIP</v>
      </c>
      <c r="J136" s="39" t="str">
        <f t="array" ref="J136">_xlfn.XLOOKUP($B136, DB[samplingPoint], DB[waterType])</f>
        <v>WFI</v>
      </c>
      <c r="K136" s="43">
        <f t="shared" si="44"/>
        <v>46246</v>
      </c>
      <c r="L136" s="26">
        <v>46249.0</v>
      </c>
      <c r="M136" s="53">
        <v>0.0</v>
      </c>
      <c r="N136" s="32">
        <f t="shared" si="31"/>
        <v>0</v>
      </c>
      <c r="O136" s="55"/>
      <c r="P136" s="55"/>
      <c r="Q136" s="32"/>
      <c r="R136" s="50" t="str">
        <f t="shared" si="3"/>
        <v>PASSED</v>
      </c>
      <c r="S136" s="38" t="b">
        <v>0</v>
      </c>
      <c r="T136" s="39"/>
      <c r="U136" s="32" t="s">
        <v>304</v>
      </c>
    </row>
    <row r="137" ht="22.5" customHeight="1">
      <c r="A137" s="26">
        <v>46245.0</v>
      </c>
      <c r="B137" s="102" t="s">
        <v>391</v>
      </c>
      <c r="C137" s="107" t="str">
        <f t="array" ref="C137">_xlfn.XLOOKUP(B137, database!$A$2:$A$150, database!$B$2:$B$150)</f>
        <v>SV216.03</v>
      </c>
      <c r="D137" s="111" t="s">
        <v>404</v>
      </c>
      <c r="E137" s="32" t="s">
        <v>297</v>
      </c>
      <c r="F137" s="38" t="b">
        <v>1</v>
      </c>
      <c r="G137" s="39" t="str">
        <f t="array" ref="G137">_xlfn.XLOOKUP($B137, DB[samplingPoint], DB[noLocation])</f>
        <v>16-1-096</v>
      </c>
      <c r="H137" s="33" t="s">
        <v>327</v>
      </c>
      <c r="I137" s="40" t="str">
        <f t="array" ref="I137">_xlfn.XLOOKUP($B137, DB[samplingPoint], DB[location])</f>
        <v>WASHING/TUNNEL-02</v>
      </c>
      <c r="J137" s="39" t="str">
        <f t="array" ref="J137">_xlfn.XLOOKUP($B137, DB[samplingPoint], DB[waterType])</f>
        <v>WFI</v>
      </c>
      <c r="K137" s="43">
        <f t="shared" ref="K137:K139" si="45">$A137+1</f>
        <v>46246</v>
      </c>
      <c r="L137" s="26">
        <v>46249.0</v>
      </c>
      <c r="M137" s="53">
        <v>0.0</v>
      </c>
      <c r="N137" s="32">
        <f t="shared" si="31"/>
        <v>0</v>
      </c>
      <c r="O137" s="55"/>
      <c r="P137" s="55"/>
      <c r="Q137" s="32"/>
      <c r="R137" s="50" t="str">
        <f t="shared" si="3"/>
        <v>PASSED</v>
      </c>
      <c r="S137" s="38" t="b">
        <v>0</v>
      </c>
      <c r="T137" s="39"/>
      <c r="U137" s="32" t="s">
        <v>304</v>
      </c>
    </row>
    <row r="138" ht="22.5" customHeight="1">
      <c r="A138" s="26">
        <v>46245.0</v>
      </c>
      <c r="B138" s="99" t="s">
        <v>395</v>
      </c>
      <c r="C138" s="107" t="str">
        <f t="array" ref="C138">_xlfn.XLOOKUP(B138, database!$A$2:$A$150, database!$B$2:$B$150)</f>
        <v>POU HE216.03</v>
      </c>
      <c r="D138" s="111" t="s">
        <v>404</v>
      </c>
      <c r="E138" s="32" t="s">
        <v>297</v>
      </c>
      <c r="F138" s="38" t="b">
        <v>1</v>
      </c>
      <c r="G138" s="39" t="str">
        <f t="array" ref="G138">_xlfn.XLOOKUP($B138, DB[samplingPoint], DB[noLocation])</f>
        <v>16-1-082</v>
      </c>
      <c r="H138" s="33" t="s">
        <v>327</v>
      </c>
      <c r="I138" s="40" t="str">
        <f t="array" ref="I138">_xlfn.XLOOKUP($B138, DB[samplingPoint], DB[location])</f>
        <v>WASHING</v>
      </c>
      <c r="J138" s="39" t="str">
        <f t="array" ref="J138">_xlfn.XLOOKUP($B138, DB[samplingPoint], DB[waterType])</f>
        <v>WFI</v>
      </c>
      <c r="K138" s="43">
        <f t="shared" si="45"/>
        <v>46246</v>
      </c>
      <c r="L138" s="26">
        <v>46249.0</v>
      </c>
      <c r="M138" s="53">
        <v>0.0</v>
      </c>
      <c r="N138" s="32">
        <f t="shared" si="31"/>
        <v>0</v>
      </c>
      <c r="O138" s="55"/>
      <c r="P138" s="55"/>
      <c r="Q138" s="32"/>
      <c r="R138" s="50" t="str">
        <f t="shared" si="3"/>
        <v>PASSED</v>
      </c>
      <c r="S138" s="38" t="b">
        <v>0</v>
      </c>
      <c r="T138" s="39"/>
      <c r="U138" s="32" t="s">
        <v>304</v>
      </c>
    </row>
    <row r="139" ht="22.5" customHeight="1">
      <c r="A139" s="26">
        <v>46245.0</v>
      </c>
      <c r="B139" s="102" t="s">
        <v>397</v>
      </c>
      <c r="C139" s="107" t="str">
        <f t="array" ref="C139">_xlfn.XLOOKUP(B139, database!$A$2:$A$150, database!$B$2:$B$150)</f>
        <v>SV216.06</v>
      </c>
      <c r="D139" s="111" t="s">
        <v>404</v>
      </c>
      <c r="E139" s="32" t="s">
        <v>297</v>
      </c>
      <c r="F139" s="38" t="b">
        <v>1</v>
      </c>
      <c r="G139" s="39" t="str">
        <f t="array" ref="G139">_xlfn.XLOOKUP($B139, DB[samplingPoint], DB[noLocation])</f>
        <v>16-1-082</v>
      </c>
      <c r="H139" s="33" t="s">
        <v>327</v>
      </c>
      <c r="I139" s="40" t="str">
        <f t="array" ref="I139">_xlfn.XLOOKUP($B139, DB[samplingPoint], DB[location])</f>
        <v>WASHING</v>
      </c>
      <c r="J139" s="39" t="str">
        <f t="array" ref="J139">_xlfn.XLOOKUP($B139, DB[samplingPoint], DB[waterType])</f>
        <v>WFI</v>
      </c>
      <c r="K139" s="43">
        <f t="shared" si="45"/>
        <v>46246</v>
      </c>
      <c r="L139" s="26">
        <v>46249.0</v>
      </c>
      <c r="M139" s="53">
        <v>0.0</v>
      </c>
      <c r="N139" s="32">
        <f t="shared" si="31"/>
        <v>0</v>
      </c>
      <c r="O139" s="55"/>
      <c r="P139" s="55"/>
      <c r="Q139" s="32"/>
      <c r="R139" s="50" t="str">
        <f t="shared" si="3"/>
        <v>PASSED</v>
      </c>
      <c r="S139" s="38" t="b">
        <v>0</v>
      </c>
      <c r="T139" s="39"/>
      <c r="U139" s="32" t="s">
        <v>304</v>
      </c>
    </row>
    <row r="140" ht="22.5" customHeight="1">
      <c r="A140" s="26">
        <v>46247.0</v>
      </c>
      <c r="B140" s="99" t="s">
        <v>403</v>
      </c>
      <c r="C140" s="107" t="str">
        <f t="array" ref="C140">_xlfn.XLOOKUP(B140, database!$A$2:$A$150, database!$B$2:$B$150)</f>
        <v>POU HE216.01</v>
      </c>
      <c r="D140" s="111" t="s">
        <v>292</v>
      </c>
      <c r="E140" s="32" t="s">
        <v>312</v>
      </c>
      <c r="F140" s="38" t="b">
        <v>1</v>
      </c>
      <c r="G140" s="39" t="str">
        <f t="array" ref="G140">_xlfn.XLOOKUP($B140, DB[samplingPoint], DB[noLocation])</f>
        <v>16-1-107</v>
      </c>
      <c r="H140" s="33" t="s">
        <v>327</v>
      </c>
      <c r="I140" s="40" t="str">
        <f t="array" ref="I140">_xlfn.XLOOKUP($B140, DB[samplingPoint], DB[location])</f>
        <v>COMPOUNDING-01</v>
      </c>
      <c r="J140" s="39" t="str">
        <f t="array" ref="J140">_xlfn.XLOOKUP($B140, DB[samplingPoint], DB[waterType])</f>
        <v>WFI</v>
      </c>
      <c r="K140" s="43">
        <f t="shared" ref="K140:K143" si="46">$A140+2</f>
        <v>46249</v>
      </c>
      <c r="L140" s="26">
        <v>46252.0</v>
      </c>
      <c r="M140" s="53">
        <v>0.0</v>
      </c>
      <c r="N140" s="32">
        <f t="shared" si="31"/>
        <v>0</v>
      </c>
      <c r="O140" s="55"/>
      <c r="P140" s="55"/>
      <c r="Q140" s="32"/>
      <c r="R140" s="50" t="str">
        <f t="shared" si="3"/>
        <v>PASSED</v>
      </c>
      <c r="S140" s="38" t="b">
        <v>0</v>
      </c>
      <c r="T140" s="39"/>
      <c r="U140" s="32" t="s">
        <v>304</v>
      </c>
    </row>
    <row r="141" ht="22.5" customHeight="1">
      <c r="A141" s="26">
        <v>46247.0</v>
      </c>
      <c r="B141" s="102" t="s">
        <v>407</v>
      </c>
      <c r="C141" s="107" t="str">
        <f t="array" ref="C141">_xlfn.XLOOKUP(B141, database!$A$2:$A$150, database!$B$2:$B$150)</f>
        <v>POU HE216.02</v>
      </c>
      <c r="D141" s="111" t="s">
        <v>292</v>
      </c>
      <c r="E141" s="32" t="s">
        <v>312</v>
      </c>
      <c r="F141" s="38" t="b">
        <v>1</v>
      </c>
      <c r="G141" s="39" t="str">
        <f t="array" ref="G141">_xlfn.XLOOKUP($B141, DB[samplingPoint], DB[noLocation])</f>
        <v>16-1-107</v>
      </c>
      <c r="H141" s="33" t="s">
        <v>327</v>
      </c>
      <c r="I141" s="40" t="str">
        <f t="array" ref="I141">_xlfn.XLOOKUP($B141, DB[samplingPoint], DB[location])</f>
        <v>COMPOUNDING-01</v>
      </c>
      <c r="J141" s="39" t="str">
        <f t="array" ref="J141">_xlfn.XLOOKUP($B141, DB[samplingPoint], DB[waterType])</f>
        <v>WFI</v>
      </c>
      <c r="K141" s="43">
        <f t="shared" si="46"/>
        <v>46249</v>
      </c>
      <c r="L141" s="26">
        <v>46252.0</v>
      </c>
      <c r="M141" s="53">
        <v>0.0</v>
      </c>
      <c r="N141" s="32">
        <f t="shared" si="31"/>
        <v>0</v>
      </c>
      <c r="O141" s="55"/>
      <c r="P141" s="55"/>
      <c r="Q141" s="32"/>
      <c r="R141" s="50" t="str">
        <f t="shared" si="3"/>
        <v>PASSED</v>
      </c>
      <c r="S141" s="38" t="b">
        <v>0</v>
      </c>
      <c r="T141" s="39"/>
      <c r="U141" s="32" t="s">
        <v>304</v>
      </c>
    </row>
    <row r="142" ht="22.5" customHeight="1">
      <c r="A142" s="26">
        <v>46247.0</v>
      </c>
      <c r="B142" s="99" t="s">
        <v>225</v>
      </c>
      <c r="C142" s="107" t="str">
        <f t="array" ref="C142">_xlfn.XLOOKUP(B142, database!$A$2:$A$150, database!$B$2:$B$150)</f>
        <v>SV216.05</v>
      </c>
      <c r="D142" s="111" t="s">
        <v>292</v>
      </c>
      <c r="E142" s="32" t="s">
        <v>312</v>
      </c>
      <c r="F142" s="38" t="b">
        <v>1</v>
      </c>
      <c r="G142" s="39" t="str">
        <f t="array" ref="G142">_xlfn.XLOOKUP($B142, DB[samplingPoint], DB[noLocation])</f>
        <v>16-1-110</v>
      </c>
      <c r="H142" s="33" t="s">
        <v>327</v>
      </c>
      <c r="I142" s="40" t="str">
        <f t="array" ref="I142">_xlfn.XLOOKUP($B142, DB[samplingPoint], DB[location])</f>
        <v>DISINFECTANT PREPARATION</v>
      </c>
      <c r="J142" s="39" t="str">
        <f t="array" ref="J142">_xlfn.XLOOKUP($B142, DB[samplingPoint], DB[waterType])</f>
        <v>WFI</v>
      </c>
      <c r="K142" s="43">
        <f t="shared" si="46"/>
        <v>46249</v>
      </c>
      <c r="L142" s="26">
        <v>46252.0</v>
      </c>
      <c r="M142" s="53">
        <v>0.0</v>
      </c>
      <c r="N142" s="32">
        <f t="shared" si="31"/>
        <v>0</v>
      </c>
      <c r="O142" s="55"/>
      <c r="P142" s="55"/>
      <c r="Q142" s="32"/>
      <c r="R142" s="50" t="str">
        <f t="shared" si="3"/>
        <v>PASSED</v>
      </c>
      <c r="S142" s="38" t="b">
        <v>0</v>
      </c>
      <c r="T142" s="39"/>
      <c r="U142" s="32" t="s">
        <v>304</v>
      </c>
    </row>
    <row r="143" ht="22.5" customHeight="1">
      <c r="A143" s="26">
        <v>46247.0</v>
      </c>
      <c r="B143" s="102" t="s">
        <v>365</v>
      </c>
      <c r="C143" s="107" t="str">
        <f t="array" ref="C143">_xlfn.XLOOKUP(B143, database!$A$2:$A$150, database!$B$2:$B$150)</f>
        <v>SV216.10</v>
      </c>
      <c r="D143" s="111" t="s">
        <v>292</v>
      </c>
      <c r="E143" s="32" t="s">
        <v>312</v>
      </c>
      <c r="F143" s="38" t="b">
        <v>1</v>
      </c>
      <c r="G143" s="39" t="str">
        <f t="array" ref="G143">_xlfn.XLOOKUP($B143, DB[samplingPoint], DB[noLocation])</f>
        <v>16-1-105</v>
      </c>
      <c r="H143" s="33" t="s">
        <v>327</v>
      </c>
      <c r="I143" s="40" t="str">
        <f t="array" ref="I143">_xlfn.XLOOKUP($B143, DB[samplingPoint], DB[location])</f>
        <v>WASHING/TUNNEL-01</v>
      </c>
      <c r="J143" s="39" t="str">
        <f t="array" ref="J143">_xlfn.XLOOKUP($B143, DB[samplingPoint], DB[waterType])</f>
        <v>WFI</v>
      </c>
      <c r="K143" s="43">
        <f t="shared" si="46"/>
        <v>46249</v>
      </c>
      <c r="L143" s="26">
        <v>46252.0</v>
      </c>
      <c r="M143" s="53">
        <v>0.0</v>
      </c>
      <c r="N143" s="32">
        <f t="shared" si="31"/>
        <v>0</v>
      </c>
      <c r="O143" s="55"/>
      <c r="P143" s="55"/>
      <c r="Q143" s="32"/>
      <c r="R143" s="50" t="str">
        <f t="shared" si="3"/>
        <v>PASSED</v>
      </c>
      <c r="S143" s="38" t="b">
        <v>0</v>
      </c>
      <c r="T143" s="39"/>
      <c r="U143" s="32" t="s">
        <v>304</v>
      </c>
    </row>
    <row r="144" ht="22.5" customHeight="1">
      <c r="A144" s="26">
        <v>46248.0</v>
      </c>
      <c r="B144" s="99" t="s">
        <v>367</v>
      </c>
      <c r="C144" s="107" t="str">
        <f t="array" ref="C144">_xlfn.XLOOKUP(B144, database!$A$2:$A$150, database!$B$2:$B$150)</f>
        <v>POU HE216.04</v>
      </c>
      <c r="D144" s="111" t="s">
        <v>369</v>
      </c>
      <c r="E144" s="32" t="s">
        <v>314</v>
      </c>
      <c r="F144" s="38" t="b">
        <v>1</v>
      </c>
      <c r="G144" s="39" t="str">
        <f t="array" ref="G144">_xlfn.XLOOKUP($B144, DB[samplingPoint], DB[noLocation])</f>
        <v>16-1-114</v>
      </c>
      <c r="H144" s="33" t="s">
        <v>327</v>
      </c>
      <c r="I144" s="40" t="str">
        <f t="array" ref="I144">_xlfn.XLOOKUP($B144, DB[samplingPoint], DB[location])</f>
        <v>COMPOUNDING-02</v>
      </c>
      <c r="J144" s="39" t="str">
        <f t="array" ref="J144">_xlfn.XLOOKUP($B144, DB[samplingPoint], DB[waterType])</f>
        <v>WFI</v>
      </c>
      <c r="K144" s="43">
        <f t="shared" ref="K144:K145" si="47">$A144+1</f>
        <v>46249</v>
      </c>
      <c r="L144" s="26">
        <v>46252.0</v>
      </c>
      <c r="M144" s="53">
        <v>0.0</v>
      </c>
      <c r="N144" s="32">
        <f t="shared" si="31"/>
        <v>0</v>
      </c>
      <c r="O144" s="55"/>
      <c r="P144" s="55"/>
      <c r="Q144" s="32"/>
      <c r="R144" s="50" t="str">
        <f t="shared" si="3"/>
        <v>PASSED</v>
      </c>
      <c r="S144" s="38" t="b">
        <v>0</v>
      </c>
      <c r="T144" s="39"/>
      <c r="U144" s="32" t="s">
        <v>304</v>
      </c>
    </row>
    <row r="145" ht="22.5" customHeight="1">
      <c r="A145" s="26">
        <v>46248.0</v>
      </c>
      <c r="B145" s="102" t="s">
        <v>372</v>
      </c>
      <c r="C145" s="107" t="str">
        <f t="array" ref="C145">_xlfn.XLOOKUP(B145, database!$A$2:$A$150, database!$B$2:$B$150)</f>
        <v>POU HE216.05</v>
      </c>
      <c r="D145" s="111" t="s">
        <v>369</v>
      </c>
      <c r="E145" s="32" t="s">
        <v>314</v>
      </c>
      <c r="F145" s="38" t="b">
        <v>1</v>
      </c>
      <c r="G145" s="39" t="str">
        <f t="array" ref="G145">_xlfn.XLOOKUP($B145, DB[samplingPoint], DB[noLocation])</f>
        <v>16-1-114</v>
      </c>
      <c r="H145" s="33" t="s">
        <v>327</v>
      </c>
      <c r="I145" s="40" t="str">
        <f t="array" ref="I145">_xlfn.XLOOKUP($B145, DB[samplingPoint], DB[location])</f>
        <v>COMPOUNDING-02</v>
      </c>
      <c r="J145" s="39" t="str">
        <f t="array" ref="J145">_xlfn.XLOOKUP($B145, DB[samplingPoint], DB[waterType])</f>
        <v>WFI</v>
      </c>
      <c r="K145" s="43">
        <f t="shared" si="47"/>
        <v>46249</v>
      </c>
      <c r="L145" s="26">
        <v>46252.0</v>
      </c>
      <c r="M145" s="53">
        <v>0.0</v>
      </c>
      <c r="N145" s="32">
        <f t="shared" si="31"/>
        <v>0</v>
      </c>
      <c r="O145" s="55"/>
      <c r="P145" s="55"/>
      <c r="Q145" s="32"/>
      <c r="R145" s="50" t="str">
        <f t="shared" si="3"/>
        <v>PASSED</v>
      </c>
      <c r="S145" s="38" t="b">
        <v>0</v>
      </c>
      <c r="T145" s="39"/>
      <c r="U145" s="32" t="s">
        <v>304</v>
      </c>
    </row>
    <row r="146" ht="22.5" customHeight="1">
      <c r="A146" s="26">
        <v>46251.0</v>
      </c>
      <c r="B146" s="99" t="s">
        <v>377</v>
      </c>
      <c r="C146" s="107" t="str">
        <f t="array" ref="C146">_xlfn.XLOOKUP(B146, database!$A$2:$A$150, database!$B$2:$B$150)</f>
        <v>V12-4</v>
      </c>
      <c r="D146" s="111" t="s">
        <v>379</v>
      </c>
      <c r="E146" s="32" t="s">
        <v>318</v>
      </c>
      <c r="F146" s="38" t="b">
        <v>1</v>
      </c>
      <c r="G146" s="39" t="str">
        <f t="array" ref="G146">_xlfn.XLOOKUP($B146, DB[samplingPoint], DB[noLocation])</f>
        <v>16-2-010</v>
      </c>
      <c r="H146" s="33" t="s">
        <v>327</v>
      </c>
      <c r="I146" s="40" t="str">
        <f t="array" ref="I146">_xlfn.XLOOKUP($B146, DB[samplingPoint], DB[location])</f>
        <v>AFTER WFI GENERATOR</v>
      </c>
      <c r="J146" s="39" t="str">
        <f t="array" ref="J146">_xlfn.XLOOKUP($B146, DB[samplingPoint], DB[waterType])</f>
        <v>WFI</v>
      </c>
      <c r="K146" s="43">
        <f t="shared" ref="K146:K150" si="48">$A146+2</f>
        <v>46253</v>
      </c>
      <c r="L146" s="26">
        <v>46256.0</v>
      </c>
      <c r="M146" s="53">
        <v>0.0</v>
      </c>
      <c r="N146" s="32">
        <f t="shared" si="31"/>
        <v>0</v>
      </c>
      <c r="O146" s="55"/>
      <c r="P146" s="55"/>
      <c r="Q146" s="32"/>
      <c r="R146" s="50" t="str">
        <f t="shared" si="3"/>
        <v>PASSED</v>
      </c>
      <c r="S146" s="38" t="b">
        <v>0</v>
      </c>
      <c r="T146" s="39"/>
      <c r="U146" s="32" t="s">
        <v>304</v>
      </c>
    </row>
    <row r="147" ht="22.5" customHeight="1">
      <c r="A147" s="26">
        <v>46251.0</v>
      </c>
      <c r="B147" s="102" t="s">
        <v>383</v>
      </c>
      <c r="C147" s="107" t="str">
        <f t="array" ref="C147">_xlfn.XLOOKUP(B147, database!$A$2:$A$150, database!$B$2:$B$150)</f>
        <v>SV213.01</v>
      </c>
      <c r="D147" s="111" t="s">
        <v>379</v>
      </c>
      <c r="E147" s="32" t="s">
        <v>318</v>
      </c>
      <c r="F147" s="38" t="b">
        <v>1</v>
      </c>
      <c r="G147" s="39" t="str">
        <f t="array" ref="G147">_xlfn.XLOOKUP($B147, DB[samplingPoint], DB[noLocation])</f>
        <v>16-2-010</v>
      </c>
      <c r="H147" s="33" t="s">
        <v>327</v>
      </c>
      <c r="I147" s="40" t="str">
        <f t="array" ref="I147">_xlfn.XLOOKUP($B147, DB[samplingPoint], DB[location])</f>
        <v>AFTER STORAGE TANK</v>
      </c>
      <c r="J147" s="39" t="str">
        <f t="array" ref="J147">_xlfn.XLOOKUP($B147, DB[samplingPoint], DB[waterType])</f>
        <v>WFI</v>
      </c>
      <c r="K147" s="43">
        <f t="shared" si="48"/>
        <v>46253</v>
      </c>
      <c r="L147" s="26">
        <v>46256.0</v>
      </c>
      <c r="M147" s="53">
        <v>0.0</v>
      </c>
      <c r="N147" s="32">
        <f t="shared" si="31"/>
        <v>0</v>
      </c>
      <c r="O147" s="55"/>
      <c r="P147" s="55"/>
      <c r="Q147" s="32"/>
      <c r="R147" s="50" t="str">
        <f t="shared" si="3"/>
        <v>PASSED</v>
      </c>
      <c r="S147" s="38" t="b">
        <v>0</v>
      </c>
      <c r="T147" s="39"/>
      <c r="U147" s="32" t="s">
        <v>304</v>
      </c>
    </row>
    <row r="148" ht="22.5" customHeight="1">
      <c r="A148" s="26">
        <v>46251.0</v>
      </c>
      <c r="B148" s="99" t="s">
        <v>388</v>
      </c>
      <c r="C148" s="107" t="str">
        <f t="array" ref="C148">_xlfn.XLOOKUP(B148, database!$A$2:$A$150, database!$B$2:$B$150)</f>
        <v>SV217.01</v>
      </c>
      <c r="D148" s="111" t="s">
        <v>379</v>
      </c>
      <c r="E148" s="32" t="s">
        <v>318</v>
      </c>
      <c r="F148" s="38" t="b">
        <v>1</v>
      </c>
      <c r="G148" s="39" t="str">
        <f t="array" ref="G148">_xlfn.XLOOKUP($B148, DB[samplingPoint], DB[noLocation])</f>
        <v>16-2-010</v>
      </c>
      <c r="H148" s="33" t="s">
        <v>327</v>
      </c>
      <c r="I148" s="40" t="str">
        <f t="array" ref="I148">_xlfn.XLOOKUP($B148, DB[samplingPoint], DB[location])</f>
        <v>RETURN LOOP</v>
      </c>
      <c r="J148" s="39" t="str">
        <f t="array" ref="J148">_xlfn.XLOOKUP($B148, DB[samplingPoint], DB[waterType])</f>
        <v>WFI</v>
      </c>
      <c r="K148" s="43">
        <f t="shared" si="48"/>
        <v>46253</v>
      </c>
      <c r="L148" s="26">
        <v>46256.0</v>
      </c>
      <c r="M148" s="53">
        <v>0.0</v>
      </c>
      <c r="N148" s="32">
        <f t="shared" si="31"/>
        <v>0</v>
      </c>
      <c r="O148" s="55"/>
      <c r="P148" s="55"/>
      <c r="Q148" s="32"/>
      <c r="R148" s="50" t="str">
        <f t="shared" si="3"/>
        <v>PASSED</v>
      </c>
      <c r="S148" s="38" t="b">
        <v>0</v>
      </c>
      <c r="T148" s="39"/>
      <c r="U148" s="32" t="s">
        <v>304</v>
      </c>
    </row>
    <row r="149" ht="22.5" customHeight="1">
      <c r="A149" s="26">
        <v>46251.0</v>
      </c>
      <c r="B149" s="102" t="s">
        <v>416</v>
      </c>
      <c r="C149" s="107" t="str">
        <f t="array" ref="C149">_xlfn.XLOOKUP(B149, database!$A$2:$A$150, database!$B$2:$B$150)</f>
        <v>SV216.02</v>
      </c>
      <c r="D149" s="111" t="s">
        <v>379</v>
      </c>
      <c r="E149" s="32" t="s">
        <v>318</v>
      </c>
      <c r="F149" s="38" t="b">
        <v>1</v>
      </c>
      <c r="G149" s="39" t="str">
        <f t="array" ref="G149">_xlfn.XLOOKUP($B149, DB[samplingPoint], DB[noLocation])</f>
        <v>16-1-098</v>
      </c>
      <c r="H149" s="33" t="s">
        <v>327</v>
      </c>
      <c r="I149" s="40" t="str">
        <f t="array" ref="I149">_xlfn.XLOOKUP($B149, DB[samplingPoint], DB[location])</f>
        <v>CIP/SIP</v>
      </c>
      <c r="J149" s="39" t="str">
        <f t="array" ref="J149">_xlfn.XLOOKUP($B149, DB[samplingPoint], DB[waterType])</f>
        <v>WFI</v>
      </c>
      <c r="K149" s="43">
        <f t="shared" si="48"/>
        <v>46253</v>
      </c>
      <c r="L149" s="26">
        <v>46256.0</v>
      </c>
      <c r="M149" s="53">
        <v>0.0</v>
      </c>
      <c r="N149" s="32">
        <f t="shared" si="31"/>
        <v>0</v>
      </c>
      <c r="O149" s="55"/>
      <c r="P149" s="55"/>
      <c r="Q149" s="32"/>
      <c r="R149" s="50" t="str">
        <f t="shared" si="3"/>
        <v>PASSED</v>
      </c>
      <c r="S149" s="38" t="b">
        <v>0</v>
      </c>
      <c r="T149" s="39"/>
      <c r="U149" s="32" t="s">
        <v>304</v>
      </c>
    </row>
    <row r="150" ht="22.5" customHeight="1">
      <c r="A150" s="26">
        <v>46251.0</v>
      </c>
      <c r="B150" s="99" t="s">
        <v>418</v>
      </c>
      <c r="C150" s="107" t="str">
        <f t="array" ref="C150">_xlfn.XLOOKUP(B150, database!$A$2:$A$150, database!$B$2:$B$150)</f>
        <v>SV216.04</v>
      </c>
      <c r="D150" s="111" t="s">
        <v>379</v>
      </c>
      <c r="E150" s="32" t="s">
        <v>318</v>
      </c>
      <c r="F150" s="38" t="b">
        <v>1</v>
      </c>
      <c r="G150" s="39" t="str">
        <f t="array" ref="G150">_xlfn.XLOOKUP($B150, DB[samplingPoint], DB[noLocation])</f>
        <v>16-1-098</v>
      </c>
      <c r="H150" s="33" t="s">
        <v>327</v>
      </c>
      <c r="I150" s="40" t="str">
        <f t="array" ref="I150">_xlfn.XLOOKUP($B150, DB[samplingPoint], DB[location])</f>
        <v>CIP/SIP</v>
      </c>
      <c r="J150" s="39" t="str">
        <f t="array" ref="J150">_xlfn.XLOOKUP($B150, DB[samplingPoint], DB[waterType])</f>
        <v>WFI</v>
      </c>
      <c r="K150" s="43">
        <f t="shared" si="48"/>
        <v>46253</v>
      </c>
      <c r="L150" s="26">
        <v>46256.0</v>
      </c>
      <c r="M150" s="53">
        <v>0.0</v>
      </c>
      <c r="N150" s="32">
        <f t="shared" si="31"/>
        <v>0</v>
      </c>
      <c r="O150" s="55"/>
      <c r="P150" s="55"/>
      <c r="Q150" s="32"/>
      <c r="R150" s="50" t="str">
        <f t="shared" si="3"/>
        <v>PASSED</v>
      </c>
      <c r="S150" s="38" t="b">
        <v>0</v>
      </c>
      <c r="T150" s="39"/>
      <c r="U150" s="32" t="s">
        <v>304</v>
      </c>
    </row>
    <row r="151" ht="22.5" customHeight="1">
      <c r="A151" s="26">
        <v>46252.0</v>
      </c>
      <c r="B151" s="102" t="s">
        <v>391</v>
      </c>
      <c r="C151" s="107" t="str">
        <f t="array" ref="C151">_xlfn.XLOOKUP(B151, database!$A$2:$A$150, database!$B$2:$B$150)</f>
        <v>SV216.03</v>
      </c>
      <c r="D151" s="111" t="s">
        <v>404</v>
      </c>
      <c r="E151" s="32" t="s">
        <v>320</v>
      </c>
      <c r="F151" s="38" t="b">
        <v>1</v>
      </c>
      <c r="G151" s="39" t="str">
        <f t="array" ref="G151">_xlfn.XLOOKUP($B151, DB[samplingPoint], DB[noLocation])</f>
        <v>16-1-096</v>
      </c>
      <c r="H151" s="33" t="s">
        <v>327</v>
      </c>
      <c r="I151" s="40" t="str">
        <f t="array" ref="I151">_xlfn.XLOOKUP($B151, DB[samplingPoint], DB[location])</f>
        <v>WASHING/TUNNEL-02</v>
      </c>
      <c r="J151" s="39" t="str">
        <f t="array" ref="J151">_xlfn.XLOOKUP($B151, DB[samplingPoint], DB[waterType])</f>
        <v>WFI</v>
      </c>
      <c r="K151" s="43">
        <f t="shared" ref="K151:K153" si="49">$A151+1</f>
        <v>46253</v>
      </c>
      <c r="L151" s="26">
        <v>46256.0</v>
      </c>
      <c r="M151" s="53">
        <v>0.0</v>
      </c>
      <c r="N151" s="32">
        <f t="shared" si="31"/>
        <v>0</v>
      </c>
      <c r="O151" s="55"/>
      <c r="P151" s="55"/>
      <c r="Q151" s="32"/>
      <c r="R151" s="50" t="str">
        <f t="shared" si="3"/>
        <v>PASSED</v>
      </c>
      <c r="S151" s="38" t="b">
        <v>0</v>
      </c>
      <c r="T151" s="39"/>
      <c r="U151" s="32" t="s">
        <v>304</v>
      </c>
    </row>
    <row r="152" ht="22.5" customHeight="1">
      <c r="A152" s="26">
        <v>46252.0</v>
      </c>
      <c r="B152" s="99" t="s">
        <v>395</v>
      </c>
      <c r="C152" s="107" t="str">
        <f t="array" ref="C152">_xlfn.XLOOKUP(B152, database!$A$2:$A$150, database!$B$2:$B$150)</f>
        <v>POU HE216.03</v>
      </c>
      <c r="D152" s="111" t="s">
        <v>404</v>
      </c>
      <c r="E152" s="32" t="s">
        <v>320</v>
      </c>
      <c r="F152" s="38" t="b">
        <v>1</v>
      </c>
      <c r="G152" s="39" t="str">
        <f t="array" ref="G152">_xlfn.XLOOKUP($B152, DB[samplingPoint], DB[noLocation])</f>
        <v>16-1-082</v>
      </c>
      <c r="H152" s="33" t="s">
        <v>327</v>
      </c>
      <c r="I152" s="40" t="str">
        <f t="array" ref="I152">_xlfn.XLOOKUP($B152, DB[samplingPoint], DB[location])</f>
        <v>WASHING</v>
      </c>
      <c r="J152" s="39" t="str">
        <f t="array" ref="J152">_xlfn.XLOOKUP($B152, DB[samplingPoint], DB[waterType])</f>
        <v>WFI</v>
      </c>
      <c r="K152" s="43">
        <f t="shared" si="49"/>
        <v>46253</v>
      </c>
      <c r="L152" s="26">
        <v>46256.0</v>
      </c>
      <c r="M152" s="53">
        <v>0.0</v>
      </c>
      <c r="N152" s="32">
        <f t="shared" si="31"/>
        <v>0</v>
      </c>
      <c r="O152" s="55"/>
      <c r="P152" s="55"/>
      <c r="Q152" s="32"/>
      <c r="R152" s="50" t="str">
        <f t="shared" si="3"/>
        <v>PASSED</v>
      </c>
      <c r="S152" s="38" t="b">
        <v>0</v>
      </c>
      <c r="T152" s="39"/>
      <c r="U152" s="32" t="s">
        <v>304</v>
      </c>
    </row>
    <row r="153" ht="22.5" customHeight="1">
      <c r="A153" s="26">
        <v>46252.0</v>
      </c>
      <c r="B153" s="102" t="s">
        <v>397</v>
      </c>
      <c r="C153" s="107" t="str">
        <f t="array" ref="C153">_xlfn.XLOOKUP(B153, database!$A$2:$A$150, database!$B$2:$B$150)</f>
        <v>SV216.06</v>
      </c>
      <c r="D153" s="111" t="s">
        <v>404</v>
      </c>
      <c r="E153" s="32" t="s">
        <v>320</v>
      </c>
      <c r="F153" s="38" t="b">
        <v>1</v>
      </c>
      <c r="G153" s="39" t="str">
        <f t="array" ref="G153">_xlfn.XLOOKUP($B153, DB[samplingPoint], DB[noLocation])</f>
        <v>16-1-082</v>
      </c>
      <c r="H153" s="33" t="s">
        <v>327</v>
      </c>
      <c r="I153" s="40" t="str">
        <f t="array" ref="I153">_xlfn.XLOOKUP($B153, DB[samplingPoint], DB[location])</f>
        <v>WASHING</v>
      </c>
      <c r="J153" s="39" t="str">
        <f t="array" ref="J153">_xlfn.XLOOKUP($B153, DB[samplingPoint], DB[waterType])</f>
        <v>WFI</v>
      </c>
      <c r="K153" s="43">
        <f t="shared" si="49"/>
        <v>46253</v>
      </c>
      <c r="L153" s="26">
        <v>46256.0</v>
      </c>
      <c r="M153" s="53">
        <v>0.0</v>
      </c>
      <c r="N153" s="32">
        <f t="shared" si="31"/>
        <v>0</v>
      </c>
      <c r="O153" s="55"/>
      <c r="P153" s="55"/>
      <c r="Q153" s="32"/>
      <c r="R153" s="50" t="str">
        <f t="shared" si="3"/>
        <v>PASSED</v>
      </c>
      <c r="S153" s="38" t="b">
        <v>0</v>
      </c>
      <c r="T153" s="39"/>
      <c r="U153" s="32" t="s">
        <v>304</v>
      </c>
    </row>
    <row r="154" ht="22.5" customHeight="1">
      <c r="A154" s="26">
        <v>46253.0</v>
      </c>
      <c r="B154" s="99" t="s">
        <v>403</v>
      </c>
      <c r="C154" s="107" t="str">
        <f t="array" ref="C154">_xlfn.XLOOKUP(B154, database!$A$2:$A$150, database!$B$2:$B$150)</f>
        <v>POU HE216.01</v>
      </c>
      <c r="D154" s="111" t="s">
        <v>292</v>
      </c>
      <c r="E154" s="32" t="s">
        <v>322</v>
      </c>
      <c r="F154" s="38" t="b">
        <v>1</v>
      </c>
      <c r="G154" s="39" t="str">
        <f t="array" ref="G154">_xlfn.XLOOKUP($B154, DB[samplingPoint], DB[noLocation])</f>
        <v>16-1-107</v>
      </c>
      <c r="H154" s="33" t="s">
        <v>327</v>
      </c>
      <c r="I154" s="40" t="str">
        <f t="array" ref="I154">_xlfn.XLOOKUP($B154, DB[samplingPoint], DB[location])</f>
        <v>COMPOUNDING-01</v>
      </c>
      <c r="J154" s="39" t="str">
        <f t="array" ref="J154">_xlfn.XLOOKUP($B154, DB[samplingPoint], DB[waterType])</f>
        <v>WFI</v>
      </c>
      <c r="K154" s="43">
        <f t="shared" ref="K154:K155" si="50">$A154+0</f>
        <v>46253</v>
      </c>
      <c r="L154" s="26">
        <v>46256.0</v>
      </c>
      <c r="M154" s="53">
        <v>0.0</v>
      </c>
      <c r="N154" s="32">
        <f t="shared" si="31"/>
        <v>0</v>
      </c>
      <c r="O154" s="55"/>
      <c r="P154" s="55"/>
      <c r="Q154" s="32"/>
      <c r="R154" s="50" t="str">
        <f t="shared" si="3"/>
        <v>PASSED</v>
      </c>
      <c r="S154" s="38" t="b">
        <v>0</v>
      </c>
      <c r="T154" s="39"/>
      <c r="U154" s="32" t="s">
        <v>304</v>
      </c>
    </row>
    <row r="155" ht="22.5" customHeight="1">
      <c r="A155" s="26">
        <v>46253.0</v>
      </c>
      <c r="B155" s="102" t="s">
        <v>407</v>
      </c>
      <c r="C155" s="107" t="str">
        <f t="array" ref="C155">_xlfn.XLOOKUP(B155, database!$A$2:$A$150, database!$B$2:$B$150)</f>
        <v>POU HE216.02</v>
      </c>
      <c r="D155" s="111" t="s">
        <v>292</v>
      </c>
      <c r="E155" s="32" t="s">
        <v>322</v>
      </c>
      <c r="F155" s="38" t="b">
        <v>1</v>
      </c>
      <c r="G155" s="39" t="str">
        <f t="array" ref="G155">_xlfn.XLOOKUP($B155, DB[samplingPoint], DB[noLocation])</f>
        <v>16-1-107</v>
      </c>
      <c r="H155" s="33" t="s">
        <v>327</v>
      </c>
      <c r="I155" s="40" t="str">
        <f t="array" ref="I155">_xlfn.XLOOKUP($B155, DB[samplingPoint], DB[location])</f>
        <v>COMPOUNDING-01</v>
      </c>
      <c r="J155" s="39" t="str">
        <f t="array" ref="J155">_xlfn.XLOOKUP($B155, DB[samplingPoint], DB[waterType])</f>
        <v>WFI</v>
      </c>
      <c r="K155" s="43">
        <f t="shared" si="50"/>
        <v>46253</v>
      </c>
      <c r="L155" s="26">
        <v>46256.0</v>
      </c>
      <c r="M155" s="53">
        <v>0.0</v>
      </c>
      <c r="N155" s="32">
        <f t="shared" si="31"/>
        <v>0</v>
      </c>
      <c r="O155" s="55"/>
      <c r="P155" s="55"/>
      <c r="Q155" s="32"/>
      <c r="R155" s="50" t="str">
        <f t="shared" si="3"/>
        <v>PASSED</v>
      </c>
      <c r="S155" s="38" t="b">
        <v>0</v>
      </c>
      <c r="T155" s="39"/>
      <c r="U155" s="32" t="s">
        <v>304</v>
      </c>
    </row>
    <row r="156" ht="22.5" customHeight="1">
      <c r="A156" s="26">
        <v>46254.0</v>
      </c>
      <c r="B156" s="99" t="s">
        <v>225</v>
      </c>
      <c r="C156" s="107" t="str">
        <f t="array" ref="C156">_xlfn.XLOOKUP(B156, database!$A$2:$A$150, database!$B$2:$B$150)</f>
        <v>SV216.05</v>
      </c>
      <c r="D156" s="111" t="s">
        <v>292</v>
      </c>
      <c r="E156" s="32" t="s">
        <v>324</v>
      </c>
      <c r="F156" s="38" t="b">
        <v>1</v>
      </c>
      <c r="G156" s="39" t="str">
        <f t="array" ref="G156">_xlfn.XLOOKUP($B156, DB[samplingPoint], DB[noLocation])</f>
        <v>16-1-110</v>
      </c>
      <c r="H156" s="33" t="s">
        <v>327</v>
      </c>
      <c r="I156" s="40" t="str">
        <f t="array" ref="I156">_xlfn.XLOOKUP($B156, DB[samplingPoint], DB[location])</f>
        <v>DISINFECTANT PREPARATION</v>
      </c>
      <c r="J156" s="39" t="str">
        <f t="array" ref="J156">_xlfn.XLOOKUP($B156, DB[samplingPoint], DB[waterType])</f>
        <v>WFI</v>
      </c>
      <c r="K156" s="43">
        <f t="shared" ref="K156:K157" si="51">$A156+2</f>
        <v>46256</v>
      </c>
      <c r="L156" s="26">
        <v>46259.0</v>
      </c>
      <c r="M156" s="53">
        <v>0.0</v>
      </c>
      <c r="N156" s="32">
        <f t="shared" si="31"/>
        <v>0</v>
      </c>
      <c r="O156" s="55"/>
      <c r="P156" s="55"/>
      <c r="Q156" s="32"/>
      <c r="R156" s="50" t="str">
        <f t="shared" si="3"/>
        <v>PASSED</v>
      </c>
      <c r="S156" s="38" t="b">
        <v>0</v>
      </c>
      <c r="T156" s="39"/>
      <c r="U156" s="32" t="s">
        <v>304</v>
      </c>
    </row>
    <row r="157" ht="22.5" customHeight="1">
      <c r="A157" s="26">
        <v>46254.0</v>
      </c>
      <c r="B157" s="102" t="s">
        <v>365</v>
      </c>
      <c r="C157" s="107" t="str">
        <f t="array" ref="C157">_xlfn.XLOOKUP(B157, database!$A$2:$A$150, database!$B$2:$B$150)</f>
        <v>SV216.10</v>
      </c>
      <c r="D157" s="111" t="s">
        <v>292</v>
      </c>
      <c r="E157" s="32" t="s">
        <v>324</v>
      </c>
      <c r="F157" s="38" t="b">
        <v>1</v>
      </c>
      <c r="G157" s="39" t="str">
        <f t="array" ref="G157">_xlfn.XLOOKUP($B157, DB[samplingPoint], DB[noLocation])</f>
        <v>16-1-105</v>
      </c>
      <c r="H157" s="33" t="s">
        <v>327</v>
      </c>
      <c r="I157" s="40" t="str">
        <f t="array" ref="I157">_xlfn.XLOOKUP($B157, DB[samplingPoint], DB[location])</f>
        <v>WASHING/TUNNEL-01</v>
      </c>
      <c r="J157" s="39" t="str">
        <f t="array" ref="J157">_xlfn.XLOOKUP($B157, DB[samplingPoint], DB[waterType])</f>
        <v>WFI</v>
      </c>
      <c r="K157" s="43">
        <f t="shared" si="51"/>
        <v>46256</v>
      </c>
      <c r="L157" s="26">
        <v>46259.0</v>
      </c>
      <c r="M157" s="53">
        <v>0.0</v>
      </c>
      <c r="N157" s="32">
        <f t="shared" si="31"/>
        <v>0</v>
      </c>
      <c r="O157" s="55"/>
      <c r="P157" s="55"/>
      <c r="Q157" s="32"/>
      <c r="R157" s="50" t="str">
        <f t="shared" si="3"/>
        <v>PASSED</v>
      </c>
      <c r="S157" s="38" t="b">
        <v>0</v>
      </c>
      <c r="T157" s="39"/>
      <c r="U157" s="32" t="s">
        <v>304</v>
      </c>
    </row>
    <row r="158" ht="22.5" customHeight="1">
      <c r="A158" s="26">
        <v>46255.0</v>
      </c>
      <c r="B158" s="99" t="s">
        <v>367</v>
      </c>
      <c r="C158" s="107" t="str">
        <f t="array" ref="C158">_xlfn.XLOOKUP(B158, database!$A$2:$A$150, database!$B$2:$B$150)</f>
        <v>POU HE216.04</v>
      </c>
      <c r="D158" s="111" t="s">
        <v>369</v>
      </c>
      <c r="E158" s="32" t="s">
        <v>326</v>
      </c>
      <c r="F158" s="38" t="b">
        <v>1</v>
      </c>
      <c r="G158" s="39" t="str">
        <f t="array" ref="G158">_xlfn.XLOOKUP($B158, DB[samplingPoint], DB[noLocation])</f>
        <v>16-1-114</v>
      </c>
      <c r="H158" s="33" t="s">
        <v>327</v>
      </c>
      <c r="I158" s="40" t="str">
        <f t="array" ref="I158">_xlfn.XLOOKUP($B158, DB[samplingPoint], DB[location])</f>
        <v>COMPOUNDING-02</v>
      </c>
      <c r="J158" s="39" t="str">
        <f t="array" ref="J158">_xlfn.XLOOKUP($B158, DB[samplingPoint], DB[waterType])</f>
        <v>WFI</v>
      </c>
      <c r="K158" s="43">
        <f t="shared" ref="K158:K159" si="52">$A158+1</f>
        <v>46256</v>
      </c>
      <c r="L158" s="26">
        <v>46259.0</v>
      </c>
      <c r="M158" s="53">
        <v>0.0</v>
      </c>
      <c r="N158" s="32">
        <f t="shared" si="31"/>
        <v>0</v>
      </c>
      <c r="O158" s="55"/>
      <c r="P158" s="55"/>
      <c r="Q158" s="32"/>
      <c r="R158" s="50" t="str">
        <f t="shared" si="3"/>
        <v>PASSED</v>
      </c>
      <c r="S158" s="38" t="b">
        <v>0</v>
      </c>
      <c r="T158" s="39"/>
      <c r="U158" s="32" t="s">
        <v>304</v>
      </c>
    </row>
    <row r="159" ht="22.5" customHeight="1">
      <c r="A159" s="26">
        <v>46255.0</v>
      </c>
      <c r="B159" s="102" t="s">
        <v>372</v>
      </c>
      <c r="C159" s="107" t="str">
        <f t="array" ref="C159">_xlfn.XLOOKUP(B159, database!$A$2:$A$150, database!$B$2:$B$150)</f>
        <v>POU HE216.05</v>
      </c>
      <c r="D159" s="111" t="s">
        <v>369</v>
      </c>
      <c r="E159" s="32" t="s">
        <v>326</v>
      </c>
      <c r="F159" s="38" t="b">
        <v>1</v>
      </c>
      <c r="G159" s="39" t="str">
        <f t="array" ref="G159">_xlfn.XLOOKUP($B159, DB[samplingPoint], DB[noLocation])</f>
        <v>16-1-114</v>
      </c>
      <c r="H159" s="33" t="s">
        <v>327</v>
      </c>
      <c r="I159" s="40" t="str">
        <f t="array" ref="I159">_xlfn.XLOOKUP($B159, DB[samplingPoint], DB[location])</f>
        <v>COMPOUNDING-02</v>
      </c>
      <c r="J159" s="39" t="str">
        <f t="array" ref="J159">_xlfn.XLOOKUP($B159, DB[samplingPoint], DB[waterType])</f>
        <v>WFI</v>
      </c>
      <c r="K159" s="43">
        <f t="shared" si="52"/>
        <v>46256</v>
      </c>
      <c r="L159" s="26">
        <v>46259.0</v>
      </c>
      <c r="M159" s="53">
        <v>0.0</v>
      </c>
      <c r="N159" s="32">
        <f t="shared" si="31"/>
        <v>0</v>
      </c>
      <c r="O159" s="55"/>
      <c r="P159" s="55"/>
      <c r="Q159" s="32"/>
      <c r="R159" s="50" t="str">
        <f t="shared" si="3"/>
        <v>PASSED</v>
      </c>
      <c r="S159" s="38" t="b">
        <v>0</v>
      </c>
      <c r="T159" s="39"/>
      <c r="U159" s="32" t="s">
        <v>304</v>
      </c>
    </row>
    <row r="160" ht="22.5" customHeight="1">
      <c r="A160" s="26">
        <v>46258.0</v>
      </c>
      <c r="B160" s="99" t="s">
        <v>377</v>
      </c>
      <c r="C160" s="107" t="str">
        <f t="array" ref="C160">_xlfn.XLOOKUP(B160, database!$A$2:$A$150, database!$B$2:$B$150)</f>
        <v>V12-4</v>
      </c>
      <c r="D160" s="111" t="s">
        <v>379</v>
      </c>
      <c r="E160" s="32" t="s">
        <v>341</v>
      </c>
      <c r="F160" s="38" t="b">
        <v>1</v>
      </c>
      <c r="G160" s="39" t="str">
        <f t="array" ref="G160">_xlfn.XLOOKUP($B160, DB[samplingPoint], DB[noLocation])</f>
        <v>16-2-010</v>
      </c>
      <c r="H160" s="33" t="s">
        <v>327</v>
      </c>
      <c r="I160" s="40" t="str">
        <f t="array" ref="I160">_xlfn.XLOOKUP($B160, DB[samplingPoint], DB[location])</f>
        <v>AFTER WFI GENERATOR</v>
      </c>
      <c r="J160" s="39" t="str">
        <f t="array" ref="J160">_xlfn.XLOOKUP($B160, DB[samplingPoint], DB[waterType])</f>
        <v>WFI</v>
      </c>
      <c r="K160" s="43">
        <f t="shared" ref="K160:K164" si="53">$A160+2</f>
        <v>46260</v>
      </c>
      <c r="L160" s="112">
        <v>46263.0</v>
      </c>
      <c r="M160" s="53">
        <v>0.0</v>
      </c>
      <c r="N160" s="53">
        <v>0.0</v>
      </c>
      <c r="O160" s="55"/>
      <c r="P160" s="55"/>
      <c r="Q160" s="32"/>
      <c r="R160" s="50" t="str">
        <f t="shared" si="3"/>
        <v>PASSED</v>
      </c>
      <c r="S160" s="38" t="b">
        <v>0</v>
      </c>
      <c r="T160" s="39"/>
      <c r="U160" s="32" t="s">
        <v>304</v>
      </c>
    </row>
    <row r="161" ht="22.5" customHeight="1">
      <c r="A161" s="26">
        <v>46258.0</v>
      </c>
      <c r="B161" s="102" t="s">
        <v>383</v>
      </c>
      <c r="C161" s="107" t="str">
        <f t="array" ref="C161">_xlfn.XLOOKUP(B161, database!$A$2:$A$150, database!$B$2:$B$150)</f>
        <v>SV213.01</v>
      </c>
      <c r="D161" s="111" t="s">
        <v>379</v>
      </c>
      <c r="E161" s="32" t="s">
        <v>341</v>
      </c>
      <c r="F161" s="38" t="b">
        <v>1</v>
      </c>
      <c r="G161" s="39" t="str">
        <f t="array" ref="G161">_xlfn.XLOOKUP($B161, DB[samplingPoint], DB[noLocation])</f>
        <v>16-2-010</v>
      </c>
      <c r="H161" s="33" t="s">
        <v>327</v>
      </c>
      <c r="I161" s="40" t="str">
        <f t="array" ref="I161">_xlfn.XLOOKUP($B161, DB[samplingPoint], DB[location])</f>
        <v>AFTER STORAGE TANK</v>
      </c>
      <c r="J161" s="39" t="str">
        <f t="array" ref="J161">_xlfn.XLOOKUP($B161, DB[samplingPoint], DB[waterType])</f>
        <v>WFI</v>
      </c>
      <c r="K161" s="43">
        <f t="shared" si="53"/>
        <v>46260</v>
      </c>
      <c r="L161" s="112">
        <v>46263.0</v>
      </c>
      <c r="M161" s="53">
        <v>0.0</v>
      </c>
      <c r="N161" s="53">
        <v>0.0</v>
      </c>
      <c r="O161" s="55"/>
      <c r="P161" s="55"/>
      <c r="Q161" s="32"/>
      <c r="R161" s="50" t="str">
        <f t="shared" si="3"/>
        <v>PASSED</v>
      </c>
      <c r="S161" s="38" t="b">
        <v>0</v>
      </c>
      <c r="T161" s="39"/>
      <c r="U161" s="32" t="s">
        <v>304</v>
      </c>
    </row>
    <row r="162" ht="22.5" customHeight="1">
      <c r="A162" s="26">
        <v>46258.0</v>
      </c>
      <c r="B162" s="99" t="s">
        <v>388</v>
      </c>
      <c r="C162" s="107" t="str">
        <f t="array" ref="C162">_xlfn.XLOOKUP(B162, database!$A$2:$A$150, database!$B$2:$B$150)</f>
        <v>SV217.01</v>
      </c>
      <c r="D162" s="111" t="s">
        <v>379</v>
      </c>
      <c r="E162" s="32" t="s">
        <v>341</v>
      </c>
      <c r="F162" s="38" t="b">
        <v>1</v>
      </c>
      <c r="G162" s="39" t="str">
        <f t="array" ref="G162">_xlfn.XLOOKUP($B162, DB[samplingPoint], DB[noLocation])</f>
        <v>16-2-010</v>
      </c>
      <c r="H162" s="33" t="s">
        <v>327</v>
      </c>
      <c r="I162" s="40" t="str">
        <f t="array" ref="I162">_xlfn.XLOOKUP($B162, DB[samplingPoint], DB[location])</f>
        <v>RETURN LOOP</v>
      </c>
      <c r="J162" s="39" t="str">
        <f t="array" ref="J162">_xlfn.XLOOKUP($B162, DB[samplingPoint], DB[waterType])</f>
        <v>WFI</v>
      </c>
      <c r="K162" s="43">
        <f t="shared" si="53"/>
        <v>46260</v>
      </c>
      <c r="L162" s="112">
        <v>46263.0</v>
      </c>
      <c r="M162" s="53">
        <v>0.0</v>
      </c>
      <c r="N162" s="53">
        <v>0.0</v>
      </c>
      <c r="O162" s="55"/>
      <c r="P162" s="55"/>
      <c r="Q162" s="32"/>
      <c r="R162" s="50" t="str">
        <f t="shared" si="3"/>
        <v>PASSED</v>
      </c>
      <c r="S162" s="38" t="b">
        <v>0</v>
      </c>
      <c r="T162" s="39"/>
      <c r="U162" s="32" t="s">
        <v>304</v>
      </c>
    </row>
    <row r="163" ht="22.5" customHeight="1">
      <c r="A163" s="26">
        <v>46258.0</v>
      </c>
      <c r="B163" s="102" t="s">
        <v>416</v>
      </c>
      <c r="C163" s="107" t="str">
        <f t="array" ref="C163">_xlfn.XLOOKUP(B163, database!$A$2:$A$150, database!$B$2:$B$150)</f>
        <v>SV216.02</v>
      </c>
      <c r="D163" s="111" t="s">
        <v>379</v>
      </c>
      <c r="E163" s="32" t="s">
        <v>341</v>
      </c>
      <c r="F163" s="38" t="b">
        <v>1</v>
      </c>
      <c r="G163" s="39" t="str">
        <f t="array" ref="G163">_xlfn.XLOOKUP($B163, DB[samplingPoint], DB[noLocation])</f>
        <v>16-1-098</v>
      </c>
      <c r="H163" s="33" t="s">
        <v>327</v>
      </c>
      <c r="I163" s="40" t="str">
        <f t="array" ref="I163">_xlfn.XLOOKUP($B163, DB[samplingPoint], DB[location])</f>
        <v>CIP/SIP</v>
      </c>
      <c r="J163" s="39" t="str">
        <f t="array" ref="J163">_xlfn.XLOOKUP($B163, DB[samplingPoint], DB[waterType])</f>
        <v>WFI</v>
      </c>
      <c r="K163" s="43">
        <f t="shared" si="53"/>
        <v>46260</v>
      </c>
      <c r="L163" s="112">
        <v>46263.0</v>
      </c>
      <c r="M163" s="53">
        <v>0.0</v>
      </c>
      <c r="N163" s="53">
        <v>0.0</v>
      </c>
      <c r="O163" s="55"/>
      <c r="P163" s="55"/>
      <c r="Q163" s="32"/>
      <c r="R163" s="50" t="str">
        <f t="shared" si="3"/>
        <v>PASSED</v>
      </c>
      <c r="S163" s="38" t="b">
        <v>0</v>
      </c>
      <c r="T163" s="39"/>
      <c r="U163" s="32" t="s">
        <v>304</v>
      </c>
    </row>
    <row r="164" ht="22.5" customHeight="1">
      <c r="A164" s="26">
        <v>46258.0</v>
      </c>
      <c r="B164" s="99" t="s">
        <v>418</v>
      </c>
      <c r="C164" s="107" t="str">
        <f t="array" ref="C164">_xlfn.XLOOKUP(B164, database!$A$2:$A$150, database!$B$2:$B$150)</f>
        <v>SV216.04</v>
      </c>
      <c r="D164" s="111" t="s">
        <v>379</v>
      </c>
      <c r="E164" s="32" t="s">
        <v>341</v>
      </c>
      <c r="F164" s="38" t="b">
        <v>1</v>
      </c>
      <c r="G164" s="39" t="str">
        <f t="array" ref="G164">_xlfn.XLOOKUP($B164, DB[samplingPoint], DB[noLocation])</f>
        <v>16-1-098</v>
      </c>
      <c r="H164" s="33" t="s">
        <v>327</v>
      </c>
      <c r="I164" s="40" t="str">
        <f t="array" ref="I164">_xlfn.XLOOKUP($B164, DB[samplingPoint], DB[location])</f>
        <v>CIP/SIP</v>
      </c>
      <c r="J164" s="39" t="str">
        <f t="array" ref="J164">_xlfn.XLOOKUP($B164, DB[samplingPoint], DB[waterType])</f>
        <v>WFI</v>
      </c>
      <c r="K164" s="43">
        <f t="shared" si="53"/>
        <v>46260</v>
      </c>
      <c r="L164" s="112">
        <v>46263.0</v>
      </c>
      <c r="M164" s="53">
        <v>0.0</v>
      </c>
      <c r="N164" s="53">
        <v>0.0</v>
      </c>
      <c r="O164" s="55"/>
      <c r="P164" s="55"/>
      <c r="Q164" s="32"/>
      <c r="R164" s="50" t="str">
        <f t="shared" si="3"/>
        <v>PASSED</v>
      </c>
      <c r="S164" s="38" t="b">
        <v>0</v>
      </c>
      <c r="T164" s="39"/>
      <c r="U164" s="32" t="s">
        <v>304</v>
      </c>
    </row>
    <row r="165" ht="22.5" customHeight="1">
      <c r="A165" s="26">
        <v>46259.0</v>
      </c>
      <c r="B165" s="102" t="s">
        <v>391</v>
      </c>
      <c r="C165" s="107" t="str">
        <f t="array" ref="C165">_xlfn.XLOOKUP(B165, database!$A$2:$A$150, database!$B$2:$B$150)</f>
        <v>SV216.03</v>
      </c>
      <c r="D165" s="111" t="s">
        <v>404</v>
      </c>
      <c r="E165" s="32" t="s">
        <v>343</v>
      </c>
      <c r="F165" s="38" t="b">
        <v>1</v>
      </c>
      <c r="G165" s="39" t="str">
        <f t="array" ref="G165">_xlfn.XLOOKUP($B165, DB[samplingPoint], DB[noLocation])</f>
        <v>16-1-096</v>
      </c>
      <c r="H165" s="33" t="s">
        <v>327</v>
      </c>
      <c r="I165" s="40" t="str">
        <f t="array" ref="I165">_xlfn.XLOOKUP($B165, DB[samplingPoint], DB[location])</f>
        <v>WASHING/TUNNEL-02</v>
      </c>
      <c r="J165" s="39" t="str">
        <f t="array" ref="J165">_xlfn.XLOOKUP($B165, DB[samplingPoint], DB[waterType])</f>
        <v>WFI</v>
      </c>
      <c r="K165" s="43">
        <f t="shared" ref="K165:K167" si="54">$A165+1</f>
        <v>46260</v>
      </c>
      <c r="L165" s="112">
        <v>46263.0</v>
      </c>
      <c r="M165" s="53">
        <v>0.0</v>
      </c>
      <c r="N165" s="53">
        <v>0.0</v>
      </c>
      <c r="O165" s="55"/>
      <c r="P165" s="55"/>
      <c r="Q165" s="32"/>
      <c r="R165" s="50" t="str">
        <f t="shared" si="3"/>
        <v>PASSED</v>
      </c>
      <c r="S165" s="38" t="b">
        <v>0</v>
      </c>
      <c r="T165" s="39"/>
      <c r="U165" s="32" t="s">
        <v>304</v>
      </c>
    </row>
    <row r="166" ht="22.5" customHeight="1">
      <c r="A166" s="26">
        <v>46259.0</v>
      </c>
      <c r="B166" s="99" t="s">
        <v>395</v>
      </c>
      <c r="C166" s="107" t="str">
        <f t="array" ref="C166">_xlfn.XLOOKUP(B166, database!$A$2:$A$150, database!$B$2:$B$150)</f>
        <v>POU HE216.03</v>
      </c>
      <c r="D166" s="111" t="s">
        <v>404</v>
      </c>
      <c r="E166" s="32" t="s">
        <v>343</v>
      </c>
      <c r="F166" s="38" t="b">
        <v>1</v>
      </c>
      <c r="G166" s="39" t="str">
        <f t="array" ref="G166">_xlfn.XLOOKUP($B166, DB[samplingPoint], DB[noLocation])</f>
        <v>16-1-082</v>
      </c>
      <c r="H166" s="33" t="s">
        <v>327</v>
      </c>
      <c r="I166" s="40" t="str">
        <f t="array" ref="I166">_xlfn.XLOOKUP($B166, DB[samplingPoint], DB[location])</f>
        <v>WASHING</v>
      </c>
      <c r="J166" s="39" t="str">
        <f t="array" ref="J166">_xlfn.XLOOKUP($B166, DB[samplingPoint], DB[waterType])</f>
        <v>WFI</v>
      </c>
      <c r="K166" s="43">
        <f t="shared" si="54"/>
        <v>46260</v>
      </c>
      <c r="L166" s="112">
        <v>46263.0</v>
      </c>
      <c r="M166" s="53">
        <v>0.0</v>
      </c>
      <c r="N166" s="53">
        <v>0.0</v>
      </c>
      <c r="O166" s="55"/>
      <c r="P166" s="55"/>
      <c r="Q166" s="32"/>
      <c r="R166" s="50" t="str">
        <f t="shared" si="3"/>
        <v>PASSED</v>
      </c>
      <c r="S166" s="38" t="b">
        <v>0</v>
      </c>
      <c r="T166" s="39"/>
      <c r="U166" s="32" t="s">
        <v>304</v>
      </c>
    </row>
    <row r="167" ht="22.5" customHeight="1">
      <c r="A167" s="26">
        <v>46259.0</v>
      </c>
      <c r="B167" s="102" t="s">
        <v>397</v>
      </c>
      <c r="C167" s="107" t="str">
        <f t="array" ref="C167">_xlfn.XLOOKUP(B167, database!$A$2:$A$150, database!$B$2:$B$150)</f>
        <v>SV216.06</v>
      </c>
      <c r="D167" s="111" t="s">
        <v>404</v>
      </c>
      <c r="E167" s="32" t="s">
        <v>343</v>
      </c>
      <c r="F167" s="38" t="b">
        <v>1</v>
      </c>
      <c r="G167" s="39" t="str">
        <f t="array" ref="G167">_xlfn.XLOOKUP($B167, DB[samplingPoint], DB[noLocation])</f>
        <v>16-1-082</v>
      </c>
      <c r="H167" s="33" t="s">
        <v>327</v>
      </c>
      <c r="I167" s="40" t="str">
        <f t="array" ref="I167">_xlfn.XLOOKUP($B167, DB[samplingPoint], DB[location])</f>
        <v>WASHING</v>
      </c>
      <c r="J167" s="39" t="str">
        <f t="array" ref="J167">_xlfn.XLOOKUP($B167, DB[samplingPoint], DB[waterType])</f>
        <v>WFI</v>
      </c>
      <c r="K167" s="43">
        <f t="shared" si="54"/>
        <v>46260</v>
      </c>
      <c r="L167" s="112">
        <v>46263.0</v>
      </c>
      <c r="M167" s="53">
        <v>0.0</v>
      </c>
      <c r="N167" s="53">
        <v>0.0</v>
      </c>
      <c r="O167" s="55"/>
      <c r="P167" s="55"/>
      <c r="Q167" s="32"/>
      <c r="R167" s="50" t="str">
        <f t="shared" si="3"/>
        <v>PASSED</v>
      </c>
      <c r="S167" s="38" t="b">
        <v>0</v>
      </c>
      <c r="T167" s="39"/>
      <c r="U167" s="32" t="s">
        <v>304</v>
      </c>
    </row>
    <row r="168" ht="22.5" customHeight="1">
      <c r="A168" s="26">
        <v>46260.0</v>
      </c>
      <c r="B168" s="99" t="s">
        <v>403</v>
      </c>
      <c r="C168" s="107" t="str">
        <f t="array" ref="C168">_xlfn.XLOOKUP(B168, database!$A$2:$A$150, database!$B$2:$B$150)</f>
        <v>POU HE216.01</v>
      </c>
      <c r="D168" s="111" t="s">
        <v>292</v>
      </c>
      <c r="E168" s="32" t="s">
        <v>345</v>
      </c>
      <c r="F168" s="38" t="b">
        <v>1</v>
      </c>
      <c r="G168" s="39" t="str">
        <f t="array" ref="G168">_xlfn.XLOOKUP($B168, DB[samplingPoint], DB[noLocation])</f>
        <v>16-1-107</v>
      </c>
      <c r="H168" s="33" t="s">
        <v>327</v>
      </c>
      <c r="I168" s="40" t="str">
        <f t="array" ref="I168">_xlfn.XLOOKUP($B168, DB[samplingPoint], DB[location])</f>
        <v>COMPOUNDING-01</v>
      </c>
      <c r="J168" s="39" t="str">
        <f t="array" ref="J168">_xlfn.XLOOKUP($B168, DB[samplingPoint], DB[waterType])</f>
        <v>WFI</v>
      </c>
      <c r="K168" s="43">
        <f t="shared" ref="K168:K169" si="55">$A168+0</f>
        <v>46260</v>
      </c>
      <c r="L168" s="112">
        <v>46263.0</v>
      </c>
      <c r="M168" s="53">
        <v>0.0</v>
      </c>
      <c r="N168" s="53">
        <v>0.0</v>
      </c>
      <c r="O168" s="55"/>
      <c r="P168" s="55"/>
      <c r="Q168" s="32"/>
      <c r="R168" s="50" t="str">
        <f t="shared" si="3"/>
        <v>PASSED</v>
      </c>
      <c r="S168" s="38" t="b">
        <v>0</v>
      </c>
      <c r="T168" s="39"/>
      <c r="U168" s="32" t="s">
        <v>304</v>
      </c>
    </row>
    <row r="169" ht="22.5" customHeight="1">
      <c r="A169" s="26">
        <v>46260.0</v>
      </c>
      <c r="B169" s="102" t="s">
        <v>407</v>
      </c>
      <c r="C169" s="107" t="str">
        <f t="array" ref="C169">_xlfn.XLOOKUP(B169, database!$A$2:$A$150, database!$B$2:$B$150)</f>
        <v>POU HE216.02</v>
      </c>
      <c r="D169" s="111" t="s">
        <v>292</v>
      </c>
      <c r="E169" s="32" t="s">
        <v>345</v>
      </c>
      <c r="F169" s="38" t="b">
        <v>1</v>
      </c>
      <c r="G169" s="39" t="str">
        <f t="array" ref="G169">_xlfn.XLOOKUP($B169, DB[samplingPoint], DB[noLocation])</f>
        <v>16-1-107</v>
      </c>
      <c r="H169" s="33" t="s">
        <v>327</v>
      </c>
      <c r="I169" s="40" t="str">
        <f t="array" ref="I169">_xlfn.XLOOKUP($B169, DB[samplingPoint], DB[location])</f>
        <v>COMPOUNDING-01</v>
      </c>
      <c r="J169" s="39" t="str">
        <f t="array" ref="J169">_xlfn.XLOOKUP($B169, DB[samplingPoint], DB[waterType])</f>
        <v>WFI</v>
      </c>
      <c r="K169" s="43">
        <f t="shared" si="55"/>
        <v>46260</v>
      </c>
      <c r="L169" s="112">
        <v>46263.0</v>
      </c>
      <c r="M169" s="53">
        <v>0.0</v>
      </c>
      <c r="N169" s="53">
        <v>0.0</v>
      </c>
      <c r="O169" s="55"/>
      <c r="P169" s="55"/>
      <c r="Q169" s="32"/>
      <c r="R169" s="50" t="str">
        <f t="shared" si="3"/>
        <v>PASSED</v>
      </c>
      <c r="S169" s="38" t="b">
        <v>0</v>
      </c>
      <c r="T169" s="39"/>
      <c r="U169" s="32" t="s">
        <v>304</v>
      </c>
    </row>
    <row r="170" ht="22.5" customHeight="1">
      <c r="A170" s="26">
        <v>46261.0</v>
      </c>
      <c r="B170" s="99" t="s">
        <v>225</v>
      </c>
      <c r="C170" s="107" t="str">
        <f t="array" ref="C170">_xlfn.XLOOKUP(B170, database!$A$2:$A$150, database!$B$2:$B$150)</f>
        <v>SV216.05</v>
      </c>
      <c r="D170" s="111" t="s">
        <v>292</v>
      </c>
      <c r="E170" s="32" t="s">
        <v>347</v>
      </c>
      <c r="F170" s="38" t="b">
        <v>1</v>
      </c>
      <c r="G170" s="39" t="str">
        <f t="array" ref="G170">_xlfn.XLOOKUP($B170, DB[samplingPoint], DB[noLocation])</f>
        <v>16-1-110</v>
      </c>
      <c r="H170" s="33" t="s">
        <v>327</v>
      </c>
      <c r="I170" s="40" t="str">
        <f t="array" ref="I170">_xlfn.XLOOKUP($B170, DB[samplingPoint], DB[location])</f>
        <v>DISINFECTANT PREPARATION</v>
      </c>
      <c r="J170" s="39" t="str">
        <f t="array" ref="J170">_xlfn.XLOOKUP($B170, DB[samplingPoint], DB[waterType])</f>
        <v>WFI</v>
      </c>
      <c r="K170" s="43">
        <f t="shared" ref="K170:K171" si="56">$A170+2</f>
        <v>46263</v>
      </c>
      <c r="L170" s="26">
        <v>46266.0</v>
      </c>
      <c r="M170" s="53">
        <v>0.0</v>
      </c>
      <c r="N170" s="32">
        <f t="shared" ref="N170:N201" si="57">iferror(ROUNDUP(AVERAGE($M170), 0),"")</f>
        <v>0</v>
      </c>
      <c r="O170" s="55"/>
      <c r="P170" s="55"/>
      <c r="Q170" s="32"/>
      <c r="R170" s="50" t="str">
        <f t="shared" si="3"/>
        <v>PASSED</v>
      </c>
      <c r="S170" s="38" t="b">
        <v>0</v>
      </c>
      <c r="T170" s="39"/>
      <c r="U170" s="32" t="s">
        <v>304</v>
      </c>
    </row>
    <row r="171" ht="22.5" customHeight="1">
      <c r="A171" s="26">
        <v>46261.0</v>
      </c>
      <c r="B171" s="102" t="s">
        <v>365</v>
      </c>
      <c r="C171" s="107" t="str">
        <f t="array" ref="C171">_xlfn.XLOOKUP(B171, database!$A$2:$A$150, database!$B$2:$B$150)</f>
        <v>SV216.10</v>
      </c>
      <c r="D171" s="111" t="s">
        <v>292</v>
      </c>
      <c r="E171" s="32" t="s">
        <v>347</v>
      </c>
      <c r="F171" s="38" t="b">
        <v>1</v>
      </c>
      <c r="G171" s="39" t="str">
        <f t="array" ref="G171">_xlfn.XLOOKUP($B171, DB[samplingPoint], DB[noLocation])</f>
        <v>16-1-105</v>
      </c>
      <c r="H171" s="33" t="s">
        <v>327</v>
      </c>
      <c r="I171" s="40" t="str">
        <f t="array" ref="I171">_xlfn.XLOOKUP($B171, DB[samplingPoint], DB[location])</f>
        <v>WASHING/TUNNEL-01</v>
      </c>
      <c r="J171" s="39" t="str">
        <f t="array" ref="J171">_xlfn.XLOOKUP($B171, DB[samplingPoint], DB[waterType])</f>
        <v>WFI</v>
      </c>
      <c r="K171" s="43">
        <f t="shared" si="56"/>
        <v>46263</v>
      </c>
      <c r="L171" s="26">
        <v>46266.0</v>
      </c>
      <c r="M171" s="53">
        <v>0.0</v>
      </c>
      <c r="N171" s="32">
        <f t="shared" si="57"/>
        <v>0</v>
      </c>
      <c r="O171" s="55"/>
      <c r="P171" s="55"/>
      <c r="Q171" s="32"/>
      <c r="R171" s="50" t="str">
        <f t="shared" si="3"/>
        <v>PASSED</v>
      </c>
      <c r="S171" s="38" t="b">
        <v>0</v>
      </c>
      <c r="T171" s="39"/>
      <c r="U171" s="32" t="s">
        <v>304</v>
      </c>
    </row>
    <row r="172" ht="22.5" customHeight="1">
      <c r="A172" s="26">
        <v>46262.0</v>
      </c>
      <c r="B172" s="99" t="s">
        <v>367</v>
      </c>
      <c r="C172" s="107" t="str">
        <f t="array" ref="C172">_xlfn.XLOOKUP(B172, database!$A$2:$A$150, database!$B$2:$B$150)</f>
        <v>POU HE216.04</v>
      </c>
      <c r="D172" s="111" t="s">
        <v>369</v>
      </c>
      <c r="E172" s="32" t="s">
        <v>350</v>
      </c>
      <c r="F172" s="38" t="b">
        <v>1</v>
      </c>
      <c r="G172" s="39" t="str">
        <f t="array" ref="G172">_xlfn.XLOOKUP($B172, DB[samplingPoint], DB[noLocation])</f>
        <v>16-1-114</v>
      </c>
      <c r="H172" s="33" t="s">
        <v>327</v>
      </c>
      <c r="I172" s="40" t="str">
        <f t="array" ref="I172">_xlfn.XLOOKUP($B172, DB[samplingPoint], DB[location])</f>
        <v>COMPOUNDING-02</v>
      </c>
      <c r="J172" s="39" t="str">
        <f t="array" ref="J172">_xlfn.XLOOKUP($B172, DB[samplingPoint], DB[waterType])</f>
        <v>WFI</v>
      </c>
      <c r="K172" s="43">
        <f t="shared" ref="K172:K173" si="58">$A172+1</f>
        <v>46263</v>
      </c>
      <c r="L172" s="26">
        <v>46266.0</v>
      </c>
      <c r="M172" s="53">
        <v>0.0</v>
      </c>
      <c r="N172" s="32">
        <f t="shared" si="57"/>
        <v>0</v>
      </c>
      <c r="O172" s="55"/>
      <c r="P172" s="55"/>
      <c r="Q172" s="32"/>
      <c r="R172" s="50" t="str">
        <f t="shared" si="3"/>
        <v>PASSED</v>
      </c>
      <c r="S172" s="38" t="b">
        <v>0</v>
      </c>
      <c r="T172" s="39"/>
      <c r="U172" s="32" t="s">
        <v>304</v>
      </c>
    </row>
    <row r="173" ht="22.5" customHeight="1">
      <c r="A173" s="26">
        <v>46262.0</v>
      </c>
      <c r="B173" s="102" t="s">
        <v>372</v>
      </c>
      <c r="C173" s="107" t="str">
        <f t="array" ref="C173">_xlfn.XLOOKUP(B173, database!$A$2:$A$150, database!$B$2:$B$150)</f>
        <v>POU HE216.05</v>
      </c>
      <c r="D173" s="111" t="s">
        <v>369</v>
      </c>
      <c r="E173" s="32" t="s">
        <v>350</v>
      </c>
      <c r="F173" s="38" t="b">
        <v>1</v>
      </c>
      <c r="G173" s="39" t="str">
        <f t="array" ref="G173">_xlfn.XLOOKUP($B173, DB[samplingPoint], DB[noLocation])</f>
        <v>16-1-114</v>
      </c>
      <c r="H173" s="33" t="s">
        <v>327</v>
      </c>
      <c r="I173" s="40" t="str">
        <f t="array" ref="I173">_xlfn.XLOOKUP($B173, DB[samplingPoint], DB[location])</f>
        <v>COMPOUNDING-02</v>
      </c>
      <c r="J173" s="39" t="str">
        <f t="array" ref="J173">_xlfn.XLOOKUP($B173, DB[samplingPoint], DB[waterType])</f>
        <v>WFI</v>
      </c>
      <c r="K173" s="43">
        <f t="shared" si="58"/>
        <v>46263</v>
      </c>
      <c r="L173" s="26">
        <v>46266.0</v>
      </c>
      <c r="M173" s="53">
        <v>0.0</v>
      </c>
      <c r="N173" s="32">
        <f t="shared" si="57"/>
        <v>0</v>
      </c>
      <c r="O173" s="55"/>
      <c r="P173" s="55"/>
      <c r="Q173" s="32"/>
      <c r="R173" s="50" t="str">
        <f t="shared" si="3"/>
        <v>PASSED</v>
      </c>
      <c r="S173" s="38" t="b">
        <v>0</v>
      </c>
      <c r="T173" s="39"/>
      <c r="U173" s="32" t="s">
        <v>304</v>
      </c>
    </row>
    <row r="174" ht="22.5" customHeight="1">
      <c r="A174" s="26">
        <v>46265.0</v>
      </c>
      <c r="B174" s="99" t="s">
        <v>377</v>
      </c>
      <c r="C174" s="107" t="str">
        <f t="array" ref="C174">_xlfn.XLOOKUP(B174, database!$A$2:$A$150, database!$B$2:$B$150)</f>
        <v>V12-4</v>
      </c>
      <c r="D174" s="111" t="s">
        <v>379</v>
      </c>
      <c r="E174" s="32" t="s">
        <v>358</v>
      </c>
      <c r="F174" s="38" t="b">
        <v>1</v>
      </c>
      <c r="G174" s="39" t="str">
        <f t="array" ref="G174">_xlfn.XLOOKUP($B174, DB[samplingPoint], DB[noLocation])</f>
        <v>16-2-010</v>
      </c>
      <c r="H174" s="33" t="s">
        <v>327</v>
      </c>
      <c r="I174" s="40" t="str">
        <f t="array" ref="I174">_xlfn.XLOOKUP($B174, DB[samplingPoint], DB[location])</f>
        <v>AFTER WFI GENERATOR</v>
      </c>
      <c r="J174" s="39" t="str">
        <f t="array" ref="J174">_xlfn.XLOOKUP($B174, DB[samplingPoint], DB[waterType])</f>
        <v>WFI</v>
      </c>
      <c r="K174" s="43">
        <f t="shared" ref="K174:K178" si="59">$A174+2</f>
        <v>46267</v>
      </c>
      <c r="L174" s="26">
        <v>46270.0</v>
      </c>
      <c r="M174" s="53">
        <v>0.0</v>
      </c>
      <c r="N174" s="32">
        <f t="shared" si="57"/>
        <v>0</v>
      </c>
      <c r="O174" s="55"/>
      <c r="P174" s="55"/>
      <c r="Q174" s="32"/>
      <c r="R174" s="50" t="str">
        <f t="shared" si="3"/>
        <v>PASSED</v>
      </c>
      <c r="S174" s="38" t="b">
        <v>0</v>
      </c>
      <c r="T174" s="39"/>
      <c r="U174" s="32" t="s">
        <v>597</v>
      </c>
    </row>
    <row r="175" ht="22.5" customHeight="1">
      <c r="A175" s="26">
        <v>46265.0</v>
      </c>
      <c r="B175" s="102" t="s">
        <v>383</v>
      </c>
      <c r="C175" s="107" t="str">
        <f t="array" ref="C175">_xlfn.XLOOKUP(B175, database!$A$2:$A$150, database!$B$2:$B$150)</f>
        <v>SV213.01</v>
      </c>
      <c r="D175" s="111" t="s">
        <v>379</v>
      </c>
      <c r="E175" s="32" t="s">
        <v>358</v>
      </c>
      <c r="F175" s="38" t="b">
        <v>1</v>
      </c>
      <c r="G175" s="39" t="str">
        <f t="array" ref="G175">_xlfn.XLOOKUP($B175, DB[samplingPoint], DB[noLocation])</f>
        <v>16-2-010</v>
      </c>
      <c r="H175" s="33" t="s">
        <v>327</v>
      </c>
      <c r="I175" s="40" t="str">
        <f t="array" ref="I175">_xlfn.XLOOKUP($B175, DB[samplingPoint], DB[location])</f>
        <v>AFTER STORAGE TANK</v>
      </c>
      <c r="J175" s="39" t="str">
        <f t="array" ref="J175">_xlfn.XLOOKUP($B175, DB[samplingPoint], DB[waterType])</f>
        <v>WFI</v>
      </c>
      <c r="K175" s="43">
        <f t="shared" si="59"/>
        <v>46267</v>
      </c>
      <c r="L175" s="26">
        <v>46270.0</v>
      </c>
      <c r="M175" s="53">
        <v>0.0</v>
      </c>
      <c r="N175" s="32">
        <f t="shared" si="57"/>
        <v>0</v>
      </c>
      <c r="O175" s="55"/>
      <c r="P175" s="55"/>
      <c r="Q175" s="32"/>
      <c r="R175" s="50" t="str">
        <f t="shared" si="3"/>
        <v>PASSED</v>
      </c>
      <c r="S175" s="38" t="b">
        <v>0</v>
      </c>
      <c r="T175" s="39"/>
      <c r="U175" s="32" t="s">
        <v>597</v>
      </c>
    </row>
    <row r="176" ht="22.5" customHeight="1">
      <c r="A176" s="26">
        <v>46265.0</v>
      </c>
      <c r="B176" s="99" t="s">
        <v>388</v>
      </c>
      <c r="C176" s="107" t="str">
        <f t="array" ref="C176">_xlfn.XLOOKUP(B176, database!$A$2:$A$150, database!$B$2:$B$150)</f>
        <v>SV217.01</v>
      </c>
      <c r="D176" s="111" t="s">
        <v>379</v>
      </c>
      <c r="E176" s="32" t="s">
        <v>358</v>
      </c>
      <c r="F176" s="38" t="b">
        <v>1</v>
      </c>
      <c r="G176" s="39" t="str">
        <f t="array" ref="G176">_xlfn.XLOOKUP($B176, DB[samplingPoint], DB[noLocation])</f>
        <v>16-2-010</v>
      </c>
      <c r="H176" s="33" t="s">
        <v>327</v>
      </c>
      <c r="I176" s="40" t="str">
        <f t="array" ref="I176">_xlfn.XLOOKUP($B176, DB[samplingPoint], DB[location])</f>
        <v>RETURN LOOP</v>
      </c>
      <c r="J176" s="39" t="str">
        <f t="array" ref="J176">_xlfn.XLOOKUP($B176, DB[samplingPoint], DB[waterType])</f>
        <v>WFI</v>
      </c>
      <c r="K176" s="43">
        <f t="shared" si="59"/>
        <v>46267</v>
      </c>
      <c r="L176" s="26">
        <v>46270.0</v>
      </c>
      <c r="M176" s="53">
        <v>0.0</v>
      </c>
      <c r="N176" s="32">
        <f t="shared" si="57"/>
        <v>0</v>
      </c>
      <c r="O176" s="55"/>
      <c r="P176" s="55"/>
      <c r="Q176" s="32"/>
      <c r="R176" s="50" t="str">
        <f t="shared" si="3"/>
        <v>PASSED</v>
      </c>
      <c r="S176" s="38" t="b">
        <v>0</v>
      </c>
      <c r="T176" s="39"/>
      <c r="U176" s="32" t="s">
        <v>597</v>
      </c>
    </row>
    <row r="177" ht="22.5" customHeight="1">
      <c r="A177" s="26">
        <v>46265.0</v>
      </c>
      <c r="B177" s="102" t="s">
        <v>416</v>
      </c>
      <c r="C177" s="107" t="str">
        <f t="array" ref="C177">_xlfn.XLOOKUP(B177, database!$A$2:$A$150, database!$B$2:$B$150)</f>
        <v>SV216.02</v>
      </c>
      <c r="D177" s="111" t="s">
        <v>379</v>
      </c>
      <c r="E177" s="32" t="s">
        <v>358</v>
      </c>
      <c r="F177" s="38" t="b">
        <v>1</v>
      </c>
      <c r="G177" s="39" t="str">
        <f t="array" ref="G177">_xlfn.XLOOKUP($B177, DB[samplingPoint], DB[noLocation])</f>
        <v>16-1-098</v>
      </c>
      <c r="H177" s="33" t="s">
        <v>327</v>
      </c>
      <c r="I177" s="40" t="str">
        <f t="array" ref="I177">_xlfn.XLOOKUP($B177, DB[samplingPoint], DB[location])</f>
        <v>CIP/SIP</v>
      </c>
      <c r="J177" s="39" t="str">
        <f t="array" ref="J177">_xlfn.XLOOKUP($B177, DB[samplingPoint], DB[waterType])</f>
        <v>WFI</v>
      </c>
      <c r="K177" s="43">
        <f t="shared" si="59"/>
        <v>46267</v>
      </c>
      <c r="L177" s="26">
        <v>46270.0</v>
      </c>
      <c r="M177" s="53">
        <v>0.0</v>
      </c>
      <c r="N177" s="32">
        <f t="shared" si="57"/>
        <v>0</v>
      </c>
      <c r="O177" s="55"/>
      <c r="P177" s="55"/>
      <c r="Q177" s="32"/>
      <c r="R177" s="50" t="str">
        <f t="shared" si="3"/>
        <v>PASSED</v>
      </c>
      <c r="S177" s="38" t="b">
        <v>0</v>
      </c>
      <c r="T177" s="39"/>
      <c r="U177" s="32" t="s">
        <v>597</v>
      </c>
    </row>
    <row r="178" ht="22.5" customHeight="1">
      <c r="A178" s="26">
        <v>46265.0</v>
      </c>
      <c r="B178" s="99" t="s">
        <v>418</v>
      </c>
      <c r="C178" s="107" t="str">
        <f t="array" ref="C178">_xlfn.XLOOKUP(B178, database!$A$2:$A$150, database!$B$2:$B$150)</f>
        <v>SV216.04</v>
      </c>
      <c r="D178" s="111" t="s">
        <v>379</v>
      </c>
      <c r="E178" s="32" t="s">
        <v>358</v>
      </c>
      <c r="F178" s="38" t="b">
        <v>1</v>
      </c>
      <c r="G178" s="39" t="str">
        <f t="array" ref="G178">_xlfn.XLOOKUP($B178, DB[samplingPoint], DB[noLocation])</f>
        <v>16-1-098</v>
      </c>
      <c r="H178" s="33" t="s">
        <v>327</v>
      </c>
      <c r="I178" s="40" t="str">
        <f t="array" ref="I178">_xlfn.XLOOKUP($B178, DB[samplingPoint], DB[location])</f>
        <v>CIP/SIP</v>
      </c>
      <c r="J178" s="39" t="str">
        <f t="array" ref="J178">_xlfn.XLOOKUP($B178, DB[samplingPoint], DB[waterType])</f>
        <v>WFI</v>
      </c>
      <c r="K178" s="43">
        <f t="shared" si="59"/>
        <v>46267</v>
      </c>
      <c r="L178" s="26">
        <v>46270.0</v>
      </c>
      <c r="M178" s="53">
        <v>0.0</v>
      </c>
      <c r="N178" s="32">
        <f t="shared" si="57"/>
        <v>0</v>
      </c>
      <c r="O178" s="55"/>
      <c r="P178" s="55"/>
      <c r="Q178" s="32"/>
      <c r="R178" s="50" t="str">
        <f t="shared" si="3"/>
        <v>PASSED</v>
      </c>
      <c r="S178" s="38" t="b">
        <v>0</v>
      </c>
      <c r="T178" s="39"/>
      <c r="U178" s="32" t="s">
        <v>597</v>
      </c>
    </row>
    <row r="179" ht="22.5" customHeight="1">
      <c r="A179" s="26">
        <v>46266.0</v>
      </c>
      <c r="B179" s="102" t="s">
        <v>391</v>
      </c>
      <c r="C179" s="107" t="str">
        <f t="array" ref="C179">_xlfn.XLOOKUP(B179, database!$A$2:$A$150, database!$B$2:$B$150)</f>
        <v>SV216.03</v>
      </c>
      <c r="D179" s="111" t="s">
        <v>404</v>
      </c>
      <c r="E179" s="32" t="s">
        <v>360</v>
      </c>
      <c r="F179" s="38" t="b">
        <v>1</v>
      </c>
      <c r="G179" s="39" t="str">
        <f t="array" ref="G179">_xlfn.XLOOKUP($B179, DB[samplingPoint], DB[noLocation])</f>
        <v>16-1-096</v>
      </c>
      <c r="H179" s="33" t="s">
        <v>327</v>
      </c>
      <c r="I179" s="40" t="str">
        <f t="array" ref="I179">_xlfn.XLOOKUP($B179, DB[samplingPoint], DB[location])</f>
        <v>WASHING/TUNNEL-02</v>
      </c>
      <c r="J179" s="39" t="str">
        <f t="array" ref="J179">_xlfn.XLOOKUP($B179, DB[samplingPoint], DB[waterType])</f>
        <v>WFI</v>
      </c>
      <c r="K179" s="43">
        <f t="shared" ref="K179:K181" si="60">$A179+1</f>
        <v>46267</v>
      </c>
      <c r="L179" s="26">
        <v>46270.0</v>
      </c>
      <c r="M179" s="53">
        <v>0.0</v>
      </c>
      <c r="N179" s="32">
        <f t="shared" si="57"/>
        <v>0</v>
      </c>
      <c r="O179" s="55"/>
      <c r="P179" s="55"/>
      <c r="Q179" s="32"/>
      <c r="R179" s="50" t="str">
        <f t="shared" si="3"/>
        <v>PASSED</v>
      </c>
      <c r="S179" s="38" t="b">
        <v>0</v>
      </c>
      <c r="T179" s="39"/>
      <c r="U179" s="32" t="s">
        <v>304</v>
      </c>
    </row>
    <row r="180" ht="22.5" customHeight="1">
      <c r="A180" s="26">
        <v>46266.0</v>
      </c>
      <c r="B180" s="99" t="s">
        <v>395</v>
      </c>
      <c r="C180" s="107" t="str">
        <f t="array" ref="C180">_xlfn.XLOOKUP(B180, database!$A$2:$A$150, database!$B$2:$B$150)</f>
        <v>POU HE216.03</v>
      </c>
      <c r="D180" s="111" t="s">
        <v>404</v>
      </c>
      <c r="E180" s="32" t="s">
        <v>360</v>
      </c>
      <c r="F180" s="38" t="b">
        <v>1</v>
      </c>
      <c r="G180" s="39" t="str">
        <f t="array" ref="G180">_xlfn.XLOOKUP($B180, DB[samplingPoint], DB[noLocation])</f>
        <v>16-1-082</v>
      </c>
      <c r="H180" s="33" t="s">
        <v>327</v>
      </c>
      <c r="I180" s="40" t="str">
        <f t="array" ref="I180">_xlfn.XLOOKUP($B180, DB[samplingPoint], DB[location])</f>
        <v>WASHING</v>
      </c>
      <c r="J180" s="39" t="str">
        <f t="array" ref="J180">_xlfn.XLOOKUP($B180, DB[samplingPoint], DB[waterType])</f>
        <v>WFI</v>
      </c>
      <c r="K180" s="43">
        <f t="shared" si="60"/>
        <v>46267</v>
      </c>
      <c r="L180" s="26">
        <v>46270.0</v>
      </c>
      <c r="M180" s="53">
        <v>0.0</v>
      </c>
      <c r="N180" s="32">
        <f t="shared" si="57"/>
        <v>0</v>
      </c>
      <c r="O180" s="55"/>
      <c r="P180" s="55"/>
      <c r="Q180" s="32"/>
      <c r="R180" s="50" t="str">
        <f t="shared" si="3"/>
        <v>PASSED</v>
      </c>
      <c r="S180" s="38" t="b">
        <v>0</v>
      </c>
      <c r="T180" s="39"/>
      <c r="U180" s="32" t="s">
        <v>304</v>
      </c>
    </row>
    <row r="181" ht="22.5" customHeight="1">
      <c r="A181" s="26">
        <v>46266.0</v>
      </c>
      <c r="B181" s="102" t="s">
        <v>397</v>
      </c>
      <c r="C181" s="107" t="str">
        <f t="array" ref="C181">_xlfn.XLOOKUP(B181, database!$A$2:$A$150, database!$B$2:$B$150)</f>
        <v>SV216.06</v>
      </c>
      <c r="D181" s="111" t="s">
        <v>404</v>
      </c>
      <c r="E181" s="32" t="s">
        <v>360</v>
      </c>
      <c r="F181" s="38" t="b">
        <v>1</v>
      </c>
      <c r="G181" s="39" t="str">
        <f t="array" ref="G181">_xlfn.XLOOKUP($B181, DB[samplingPoint], DB[noLocation])</f>
        <v>16-1-082</v>
      </c>
      <c r="H181" s="33" t="s">
        <v>327</v>
      </c>
      <c r="I181" s="40" t="str">
        <f t="array" ref="I181">_xlfn.XLOOKUP($B181, DB[samplingPoint], DB[location])</f>
        <v>WASHING</v>
      </c>
      <c r="J181" s="39" t="str">
        <f t="array" ref="J181">_xlfn.XLOOKUP($B181, DB[samplingPoint], DB[waterType])</f>
        <v>WFI</v>
      </c>
      <c r="K181" s="43">
        <f t="shared" si="60"/>
        <v>46267</v>
      </c>
      <c r="L181" s="26">
        <v>46270.0</v>
      </c>
      <c r="M181" s="53">
        <v>0.0</v>
      </c>
      <c r="N181" s="32">
        <f t="shared" si="57"/>
        <v>0</v>
      </c>
      <c r="O181" s="55"/>
      <c r="P181" s="55"/>
      <c r="Q181" s="32"/>
      <c r="R181" s="50" t="str">
        <f t="shared" si="3"/>
        <v>PASSED</v>
      </c>
      <c r="S181" s="38" t="b">
        <v>0</v>
      </c>
      <c r="T181" s="39"/>
      <c r="U181" s="32" t="s">
        <v>304</v>
      </c>
    </row>
    <row r="182" ht="22.5" customHeight="1">
      <c r="A182" s="26">
        <v>46267.0</v>
      </c>
      <c r="B182" s="99" t="s">
        <v>403</v>
      </c>
      <c r="C182" s="107" t="str">
        <f t="array" ref="C182">_xlfn.XLOOKUP(B182, database!$A$2:$A$150, database!$B$2:$B$150)</f>
        <v>POU HE216.01</v>
      </c>
      <c r="D182" s="111" t="s">
        <v>292</v>
      </c>
      <c r="E182" s="32" t="s">
        <v>362</v>
      </c>
      <c r="F182" s="38" t="b">
        <v>1</v>
      </c>
      <c r="G182" s="39" t="str">
        <f t="array" ref="G182">_xlfn.XLOOKUP($B182, DB[samplingPoint], DB[noLocation])</f>
        <v>16-1-107</v>
      </c>
      <c r="H182" s="33" t="s">
        <v>327</v>
      </c>
      <c r="I182" s="40" t="str">
        <f t="array" ref="I182">_xlfn.XLOOKUP($B182, DB[samplingPoint], DB[location])</f>
        <v>COMPOUNDING-01</v>
      </c>
      <c r="J182" s="39" t="str">
        <f t="array" ref="J182">_xlfn.XLOOKUP($B182, DB[samplingPoint], DB[waterType])</f>
        <v>WFI</v>
      </c>
      <c r="K182" s="43">
        <f t="shared" ref="K182:K183" si="61">$A182+0</f>
        <v>46267</v>
      </c>
      <c r="L182" s="26">
        <v>46270.0</v>
      </c>
      <c r="M182" s="53">
        <v>0.0</v>
      </c>
      <c r="N182" s="32">
        <f t="shared" si="57"/>
        <v>0</v>
      </c>
      <c r="O182" s="55"/>
      <c r="P182" s="55"/>
      <c r="Q182" s="32"/>
      <c r="R182" s="50" t="str">
        <f t="shared" si="3"/>
        <v>PASSED</v>
      </c>
      <c r="S182" s="38" t="b">
        <v>0</v>
      </c>
      <c r="T182" s="39"/>
      <c r="U182" s="32" t="s">
        <v>304</v>
      </c>
    </row>
    <row r="183" ht="22.5" customHeight="1">
      <c r="A183" s="26">
        <v>46267.0</v>
      </c>
      <c r="B183" s="102" t="s">
        <v>407</v>
      </c>
      <c r="C183" s="107" t="str">
        <f t="array" ref="C183">_xlfn.XLOOKUP(B183, database!$A$2:$A$150, database!$B$2:$B$150)</f>
        <v>POU HE216.02</v>
      </c>
      <c r="D183" s="111" t="s">
        <v>292</v>
      </c>
      <c r="E183" s="32" t="s">
        <v>362</v>
      </c>
      <c r="F183" s="38" t="b">
        <v>1</v>
      </c>
      <c r="G183" s="39" t="str">
        <f t="array" ref="G183">_xlfn.XLOOKUP($B183, DB[samplingPoint], DB[noLocation])</f>
        <v>16-1-107</v>
      </c>
      <c r="H183" s="33" t="s">
        <v>327</v>
      </c>
      <c r="I183" s="40" t="str">
        <f t="array" ref="I183">_xlfn.XLOOKUP($B183, DB[samplingPoint], DB[location])</f>
        <v>COMPOUNDING-01</v>
      </c>
      <c r="J183" s="39" t="str">
        <f t="array" ref="J183">_xlfn.XLOOKUP($B183, DB[samplingPoint], DB[waterType])</f>
        <v>WFI</v>
      </c>
      <c r="K183" s="43">
        <f t="shared" si="61"/>
        <v>46267</v>
      </c>
      <c r="L183" s="26">
        <v>46270.0</v>
      </c>
      <c r="M183" s="53">
        <v>0.0</v>
      </c>
      <c r="N183" s="32">
        <f t="shared" si="57"/>
        <v>0</v>
      </c>
      <c r="O183" s="55"/>
      <c r="P183" s="55"/>
      <c r="Q183" s="32"/>
      <c r="R183" s="50" t="str">
        <f t="shared" si="3"/>
        <v>PASSED</v>
      </c>
      <c r="S183" s="38" t="b">
        <v>0</v>
      </c>
      <c r="T183" s="39"/>
      <c r="U183" s="32" t="s">
        <v>304</v>
      </c>
    </row>
    <row r="184" ht="22.5" customHeight="1">
      <c r="A184" s="26">
        <v>46268.0</v>
      </c>
      <c r="B184" s="99" t="s">
        <v>225</v>
      </c>
      <c r="C184" s="107" t="str">
        <f t="array" ref="C184">_xlfn.XLOOKUP(B184, database!$A$2:$A$150, database!$B$2:$B$150)</f>
        <v>SV216.05</v>
      </c>
      <c r="D184" s="111" t="s">
        <v>292</v>
      </c>
      <c r="E184" s="32"/>
      <c r="F184" s="38" t="b">
        <v>0</v>
      </c>
      <c r="G184" s="39" t="str">
        <f t="array" ref="G184">_xlfn.XLOOKUP($B184, DB[samplingPoint], DB[noLocation])</f>
        <v>16-1-110</v>
      </c>
      <c r="H184" s="33" t="s">
        <v>327</v>
      </c>
      <c r="I184" s="40" t="str">
        <f t="array" ref="I184">_xlfn.XLOOKUP($B184, DB[samplingPoint], DB[location])</f>
        <v>DISINFECTANT PREPARATION</v>
      </c>
      <c r="J184" s="39" t="str">
        <f t="array" ref="J184">_xlfn.XLOOKUP($B184, DB[samplingPoint], DB[waterType])</f>
        <v>WFI</v>
      </c>
      <c r="K184" s="43">
        <f t="shared" ref="K184:K185" si="62">$A184+2</f>
        <v>46270</v>
      </c>
      <c r="L184" s="26"/>
      <c r="M184" s="53"/>
      <c r="N184" s="32" t="str">
        <f t="shared" si="57"/>
        <v/>
      </c>
      <c r="O184" s="55"/>
      <c r="P184" s="55"/>
      <c r="Q184" s="32"/>
      <c r="R184" s="50" t="str">
        <f t="shared" si="3"/>
        <v>PASSED</v>
      </c>
      <c r="S184" s="38" t="b">
        <v>0</v>
      </c>
      <c r="T184" s="39"/>
      <c r="U184" s="32" t="s">
        <v>597</v>
      </c>
    </row>
    <row r="185" ht="22.5" customHeight="1">
      <c r="A185" s="26">
        <v>46268.0</v>
      </c>
      <c r="B185" s="102" t="s">
        <v>365</v>
      </c>
      <c r="C185" s="107" t="str">
        <f t="array" ref="C185">_xlfn.XLOOKUP(B185, database!$A$2:$A$150, database!$B$2:$B$150)</f>
        <v>SV216.10</v>
      </c>
      <c r="D185" s="111" t="s">
        <v>292</v>
      </c>
      <c r="E185" s="32"/>
      <c r="F185" s="38" t="b">
        <v>0</v>
      </c>
      <c r="G185" s="39" t="str">
        <f t="array" ref="G185">_xlfn.XLOOKUP($B185, DB[samplingPoint], DB[noLocation])</f>
        <v>16-1-105</v>
      </c>
      <c r="H185" s="33" t="s">
        <v>327</v>
      </c>
      <c r="I185" s="40" t="str">
        <f t="array" ref="I185">_xlfn.XLOOKUP($B185, DB[samplingPoint], DB[location])</f>
        <v>WASHING/TUNNEL-01</v>
      </c>
      <c r="J185" s="39" t="str">
        <f t="array" ref="J185">_xlfn.XLOOKUP($B185, DB[samplingPoint], DB[waterType])</f>
        <v>WFI</v>
      </c>
      <c r="K185" s="43">
        <f t="shared" si="62"/>
        <v>46270</v>
      </c>
      <c r="L185" s="26"/>
      <c r="M185" s="53"/>
      <c r="N185" s="32" t="str">
        <f t="shared" si="57"/>
        <v/>
      </c>
      <c r="O185" s="55"/>
      <c r="P185" s="55"/>
      <c r="Q185" s="32"/>
      <c r="R185" s="50" t="str">
        <f t="shared" si="3"/>
        <v>PASSED</v>
      </c>
      <c r="S185" s="38" t="b">
        <v>0</v>
      </c>
      <c r="T185" s="39"/>
      <c r="U185" s="32" t="s">
        <v>597</v>
      </c>
    </row>
    <row r="186" ht="22.5" customHeight="1">
      <c r="A186" s="26">
        <v>46269.0</v>
      </c>
      <c r="B186" s="99" t="s">
        <v>367</v>
      </c>
      <c r="C186" s="107" t="str">
        <f t="array" ref="C186">_xlfn.XLOOKUP(B186, database!$A$2:$A$150, database!$B$2:$B$150)</f>
        <v>POU HE216.04</v>
      </c>
      <c r="D186" s="111" t="s">
        <v>369</v>
      </c>
      <c r="E186" s="32"/>
      <c r="F186" s="38" t="b">
        <v>0</v>
      </c>
      <c r="G186" s="39" t="str">
        <f t="array" ref="G186">_xlfn.XLOOKUP($B186, DB[samplingPoint], DB[noLocation])</f>
        <v>16-1-114</v>
      </c>
      <c r="H186" s="33" t="s">
        <v>327</v>
      </c>
      <c r="I186" s="40" t="str">
        <f t="array" ref="I186">_xlfn.XLOOKUP($B186, DB[samplingPoint], DB[location])</f>
        <v>COMPOUNDING-02</v>
      </c>
      <c r="J186" s="39" t="str">
        <f t="array" ref="J186">_xlfn.XLOOKUP($B186, DB[samplingPoint], DB[waterType])</f>
        <v>WFI</v>
      </c>
      <c r="K186" s="43">
        <f t="shared" ref="K186:K193" si="63">$A186+1</f>
        <v>46270</v>
      </c>
      <c r="L186" s="26"/>
      <c r="M186" s="53"/>
      <c r="N186" s="32" t="str">
        <f t="shared" si="57"/>
        <v/>
      </c>
      <c r="O186" s="55"/>
      <c r="P186" s="55"/>
      <c r="Q186" s="32"/>
      <c r="R186" s="50" t="str">
        <f t="shared" si="3"/>
        <v>PASSED</v>
      </c>
      <c r="S186" s="38" t="b">
        <v>0</v>
      </c>
      <c r="T186" s="39"/>
      <c r="U186" s="32" t="s">
        <v>597</v>
      </c>
    </row>
    <row r="187" ht="22.5" customHeight="1">
      <c r="A187" s="26">
        <v>46269.0</v>
      </c>
      <c r="B187" s="102" t="s">
        <v>372</v>
      </c>
      <c r="C187" s="107" t="str">
        <f t="array" ref="C187">_xlfn.XLOOKUP(B187, database!$A$2:$A$150, database!$B$2:$B$150)</f>
        <v>POU HE216.05</v>
      </c>
      <c r="D187" s="111" t="s">
        <v>369</v>
      </c>
      <c r="E187" s="32"/>
      <c r="F187" s="38" t="b">
        <v>0</v>
      </c>
      <c r="G187" s="39" t="str">
        <f t="array" ref="G187">_xlfn.XLOOKUP($B187, DB[samplingPoint], DB[noLocation])</f>
        <v>16-1-114</v>
      </c>
      <c r="H187" s="33" t="s">
        <v>327</v>
      </c>
      <c r="I187" s="40" t="str">
        <f t="array" ref="I187">_xlfn.XLOOKUP($B187, DB[samplingPoint], DB[location])</f>
        <v>COMPOUNDING-02</v>
      </c>
      <c r="J187" s="39" t="str">
        <f t="array" ref="J187">_xlfn.XLOOKUP($B187, DB[samplingPoint], DB[waterType])</f>
        <v>WFI</v>
      </c>
      <c r="K187" s="43">
        <f t="shared" si="63"/>
        <v>46270</v>
      </c>
      <c r="L187" s="26"/>
      <c r="M187" s="53"/>
      <c r="N187" s="32" t="str">
        <f t="shared" si="57"/>
        <v/>
      </c>
      <c r="O187" s="55"/>
      <c r="P187" s="55"/>
      <c r="Q187" s="32"/>
      <c r="R187" s="50" t="str">
        <f t="shared" si="3"/>
        <v>PASSED</v>
      </c>
      <c r="S187" s="38" t="b">
        <v>0</v>
      </c>
      <c r="T187" s="39"/>
      <c r="U187" s="32" t="s">
        <v>597</v>
      </c>
    </row>
    <row r="188" ht="22.5" customHeight="1">
      <c r="A188" s="26">
        <v>46272.0</v>
      </c>
      <c r="B188" s="99" t="s">
        <v>377</v>
      </c>
      <c r="C188" s="107" t="str">
        <f t="array" ref="C188">_xlfn.XLOOKUP(B188, database!$A$2:$A$150, database!$B$2:$B$150)</f>
        <v>V12-4</v>
      </c>
      <c r="D188" s="111" t="s">
        <v>379</v>
      </c>
      <c r="E188" s="32"/>
      <c r="F188" s="38" t="b">
        <v>0</v>
      </c>
      <c r="G188" s="39" t="str">
        <f t="array" ref="G188">_xlfn.XLOOKUP($B188, DB[samplingPoint], DB[noLocation])</f>
        <v>16-2-010</v>
      </c>
      <c r="H188" s="33" t="s">
        <v>327</v>
      </c>
      <c r="I188" s="40" t="str">
        <f t="array" ref="I188">_xlfn.XLOOKUP($B188, DB[samplingPoint], DB[location])</f>
        <v>AFTER WFI GENERATOR</v>
      </c>
      <c r="J188" s="39" t="str">
        <f t="array" ref="J188">_xlfn.XLOOKUP($B188, DB[samplingPoint], DB[waterType])</f>
        <v>WFI</v>
      </c>
      <c r="K188" s="43">
        <f t="shared" si="63"/>
        <v>46273</v>
      </c>
      <c r="L188" s="26"/>
      <c r="M188" s="53"/>
      <c r="N188" s="32" t="str">
        <f t="shared" si="57"/>
        <v/>
      </c>
      <c r="O188" s="55"/>
      <c r="P188" s="55"/>
      <c r="Q188" s="32"/>
      <c r="R188" s="50" t="str">
        <f t="shared" si="3"/>
        <v>PASSED</v>
      </c>
      <c r="S188" s="38" t="b">
        <v>0</v>
      </c>
      <c r="T188" s="39"/>
      <c r="U188" s="32"/>
    </row>
    <row r="189" ht="22.5" customHeight="1">
      <c r="A189" s="26">
        <v>46272.0</v>
      </c>
      <c r="B189" s="102" t="s">
        <v>383</v>
      </c>
      <c r="C189" s="107" t="str">
        <f t="array" ref="C189">_xlfn.XLOOKUP(B189, database!$A$2:$A$150, database!$B$2:$B$150)</f>
        <v>SV213.01</v>
      </c>
      <c r="D189" s="111" t="s">
        <v>379</v>
      </c>
      <c r="E189" s="32"/>
      <c r="F189" s="38" t="b">
        <v>0</v>
      </c>
      <c r="G189" s="39" t="str">
        <f t="array" ref="G189">_xlfn.XLOOKUP($B189, DB[samplingPoint], DB[noLocation])</f>
        <v>16-2-010</v>
      </c>
      <c r="H189" s="33" t="s">
        <v>327</v>
      </c>
      <c r="I189" s="40" t="str">
        <f t="array" ref="I189">_xlfn.XLOOKUP($B189, DB[samplingPoint], DB[location])</f>
        <v>AFTER STORAGE TANK</v>
      </c>
      <c r="J189" s="39" t="str">
        <f t="array" ref="J189">_xlfn.XLOOKUP($B189, DB[samplingPoint], DB[waterType])</f>
        <v>WFI</v>
      </c>
      <c r="K189" s="43">
        <f t="shared" si="63"/>
        <v>46273</v>
      </c>
      <c r="L189" s="26"/>
      <c r="M189" s="53"/>
      <c r="N189" s="32" t="str">
        <f t="shared" si="57"/>
        <v/>
      </c>
      <c r="O189" s="55"/>
      <c r="P189" s="55"/>
      <c r="Q189" s="32"/>
      <c r="R189" s="50" t="str">
        <f t="shared" si="3"/>
        <v>PASSED</v>
      </c>
      <c r="S189" s="38" t="b">
        <v>0</v>
      </c>
      <c r="T189" s="39"/>
      <c r="U189" s="32"/>
    </row>
    <row r="190" ht="22.5" customHeight="1">
      <c r="A190" s="26">
        <v>46272.0</v>
      </c>
      <c r="B190" s="99" t="s">
        <v>388</v>
      </c>
      <c r="C190" s="107" t="str">
        <f t="array" ref="C190">_xlfn.XLOOKUP(B190, database!$A$2:$A$150, database!$B$2:$B$150)</f>
        <v>SV217.01</v>
      </c>
      <c r="D190" s="111" t="s">
        <v>379</v>
      </c>
      <c r="E190" s="32"/>
      <c r="F190" s="38" t="b">
        <v>0</v>
      </c>
      <c r="G190" s="39" t="str">
        <f t="array" ref="G190">_xlfn.XLOOKUP($B190, DB[samplingPoint], DB[noLocation])</f>
        <v>16-2-010</v>
      </c>
      <c r="H190" s="33" t="s">
        <v>327</v>
      </c>
      <c r="I190" s="40" t="str">
        <f t="array" ref="I190">_xlfn.XLOOKUP($B190, DB[samplingPoint], DB[location])</f>
        <v>RETURN LOOP</v>
      </c>
      <c r="J190" s="39" t="str">
        <f t="array" ref="J190">_xlfn.XLOOKUP($B190, DB[samplingPoint], DB[waterType])</f>
        <v>WFI</v>
      </c>
      <c r="K190" s="43">
        <f t="shared" si="63"/>
        <v>46273</v>
      </c>
      <c r="L190" s="26"/>
      <c r="M190" s="53"/>
      <c r="N190" s="32" t="str">
        <f t="shared" si="57"/>
        <v/>
      </c>
      <c r="O190" s="55"/>
      <c r="P190" s="55"/>
      <c r="Q190" s="32"/>
      <c r="R190" s="50" t="str">
        <f t="shared" si="3"/>
        <v>PASSED</v>
      </c>
      <c r="S190" s="38" t="b">
        <v>0</v>
      </c>
      <c r="T190" s="39"/>
      <c r="U190" s="32"/>
    </row>
    <row r="191" ht="22.5" customHeight="1">
      <c r="A191" s="26">
        <v>46272.0</v>
      </c>
      <c r="B191" s="102" t="s">
        <v>416</v>
      </c>
      <c r="C191" s="107" t="str">
        <f t="array" ref="C191">_xlfn.XLOOKUP(B191, database!$A$2:$A$150, database!$B$2:$B$150)</f>
        <v>SV216.02</v>
      </c>
      <c r="D191" s="111" t="s">
        <v>379</v>
      </c>
      <c r="E191" s="32"/>
      <c r="F191" s="38" t="b">
        <v>0</v>
      </c>
      <c r="G191" s="39" t="str">
        <f t="array" ref="G191">_xlfn.XLOOKUP($B191, DB[samplingPoint], DB[noLocation])</f>
        <v>16-1-098</v>
      </c>
      <c r="H191" s="33" t="s">
        <v>327</v>
      </c>
      <c r="I191" s="40" t="str">
        <f t="array" ref="I191">_xlfn.XLOOKUP($B191, DB[samplingPoint], DB[location])</f>
        <v>CIP/SIP</v>
      </c>
      <c r="J191" s="39" t="str">
        <f t="array" ref="J191">_xlfn.XLOOKUP($B191, DB[samplingPoint], DB[waterType])</f>
        <v>WFI</v>
      </c>
      <c r="K191" s="43">
        <f t="shared" si="63"/>
        <v>46273</v>
      </c>
      <c r="L191" s="26"/>
      <c r="M191" s="53"/>
      <c r="N191" s="32" t="str">
        <f t="shared" si="57"/>
        <v/>
      </c>
      <c r="O191" s="55"/>
      <c r="P191" s="55"/>
      <c r="Q191" s="32"/>
      <c r="R191" s="50" t="str">
        <f t="shared" si="3"/>
        <v>PASSED</v>
      </c>
      <c r="S191" s="38" t="b">
        <v>0</v>
      </c>
      <c r="T191" s="39"/>
      <c r="U191" s="32"/>
    </row>
    <row r="192" ht="22.5" customHeight="1">
      <c r="A192" s="26">
        <v>46272.0</v>
      </c>
      <c r="B192" s="99" t="s">
        <v>418</v>
      </c>
      <c r="C192" s="107" t="str">
        <f t="array" ref="C192">_xlfn.XLOOKUP(B192, database!$A$2:$A$150, database!$B$2:$B$150)</f>
        <v>SV216.04</v>
      </c>
      <c r="D192" s="111" t="s">
        <v>379</v>
      </c>
      <c r="E192" s="32"/>
      <c r="F192" s="38" t="b">
        <v>0</v>
      </c>
      <c r="G192" s="39" t="str">
        <f t="array" ref="G192">_xlfn.XLOOKUP($B192, DB[samplingPoint], DB[noLocation])</f>
        <v>16-1-098</v>
      </c>
      <c r="H192" s="33" t="s">
        <v>327</v>
      </c>
      <c r="I192" s="40" t="str">
        <f t="array" ref="I192">_xlfn.XLOOKUP($B192, DB[samplingPoint], DB[location])</f>
        <v>CIP/SIP</v>
      </c>
      <c r="J192" s="39" t="str">
        <f t="array" ref="J192">_xlfn.XLOOKUP($B192, DB[samplingPoint], DB[waterType])</f>
        <v>WFI</v>
      </c>
      <c r="K192" s="43">
        <f t="shared" si="63"/>
        <v>46273</v>
      </c>
      <c r="L192" s="26"/>
      <c r="M192" s="53"/>
      <c r="N192" s="32" t="str">
        <f t="shared" si="57"/>
        <v/>
      </c>
      <c r="O192" s="55"/>
      <c r="P192" s="55"/>
      <c r="Q192" s="32"/>
      <c r="R192" s="50" t="str">
        <f t="shared" si="3"/>
        <v>PASSED</v>
      </c>
      <c r="S192" s="38" t="b">
        <v>0</v>
      </c>
      <c r="T192" s="39"/>
      <c r="U192" s="32"/>
    </row>
    <row r="193" ht="22.5" customHeight="1">
      <c r="A193" s="26">
        <v>46273.0</v>
      </c>
      <c r="B193" s="102" t="s">
        <v>391</v>
      </c>
      <c r="C193" s="107" t="str">
        <f t="array" ref="C193">_xlfn.XLOOKUP(B193, database!$A$2:$A$150, database!$B$2:$B$150)</f>
        <v>SV216.03</v>
      </c>
      <c r="D193" s="111" t="s">
        <v>404</v>
      </c>
      <c r="E193" s="32"/>
      <c r="F193" s="38" t="b">
        <v>0</v>
      </c>
      <c r="G193" s="39" t="str">
        <f t="array" ref="G193">_xlfn.XLOOKUP($B193, DB[samplingPoint], DB[noLocation])</f>
        <v>16-1-096</v>
      </c>
      <c r="H193" s="33" t="s">
        <v>327</v>
      </c>
      <c r="I193" s="40" t="str">
        <f t="array" ref="I193">_xlfn.XLOOKUP($B193, DB[samplingPoint], DB[location])</f>
        <v>WASHING/TUNNEL-02</v>
      </c>
      <c r="J193" s="39" t="str">
        <f t="array" ref="J193">_xlfn.XLOOKUP($B193, DB[samplingPoint], DB[waterType])</f>
        <v>WFI</v>
      </c>
      <c r="K193" s="43">
        <f t="shared" si="63"/>
        <v>46274</v>
      </c>
      <c r="L193" s="26"/>
      <c r="M193" s="53"/>
      <c r="N193" s="32" t="str">
        <f t="shared" si="57"/>
        <v/>
      </c>
      <c r="O193" s="55"/>
      <c r="P193" s="55"/>
      <c r="Q193" s="32"/>
      <c r="R193" s="50" t="str">
        <f t="shared" si="3"/>
        <v>PASSED</v>
      </c>
      <c r="S193" s="38" t="b">
        <v>0</v>
      </c>
      <c r="T193" s="39"/>
      <c r="U193" s="32"/>
    </row>
    <row r="194" ht="22.5" customHeight="1">
      <c r="A194" s="26">
        <v>46273.0</v>
      </c>
      <c r="B194" s="99" t="s">
        <v>395</v>
      </c>
      <c r="C194" s="107" t="str">
        <f t="array" ref="C194">_xlfn.XLOOKUP(B194, database!$A$2:$A$150, database!$B$2:$B$150)</f>
        <v>POU HE216.03</v>
      </c>
      <c r="D194" s="111" t="s">
        <v>404</v>
      </c>
      <c r="E194" s="32"/>
      <c r="F194" s="38" t="b">
        <v>0</v>
      </c>
      <c r="G194" s="39" t="str">
        <f t="array" ref="G194">_xlfn.XLOOKUP($B194, DB[samplingPoint], DB[noLocation])</f>
        <v>16-1-082</v>
      </c>
      <c r="H194" s="33" t="s">
        <v>327</v>
      </c>
      <c r="I194" s="40" t="str">
        <f t="array" ref="I194">_xlfn.XLOOKUP($B194, DB[samplingPoint], DB[location])</f>
        <v>WASHING</v>
      </c>
      <c r="J194" s="39" t="str">
        <f t="array" ref="J194">_xlfn.XLOOKUP($B194, DB[samplingPoint], DB[waterType])</f>
        <v>WFI</v>
      </c>
      <c r="K194" s="43">
        <f t="shared" ref="K194:K195" si="64">$A195+1</f>
        <v>46274</v>
      </c>
      <c r="L194" s="26"/>
      <c r="M194" s="53"/>
      <c r="N194" s="32" t="str">
        <f t="shared" si="57"/>
        <v/>
      </c>
      <c r="O194" s="55"/>
      <c r="P194" s="55"/>
      <c r="Q194" s="32"/>
      <c r="R194" s="50" t="str">
        <f t="shared" si="3"/>
        <v>PASSED</v>
      </c>
      <c r="S194" s="38" t="b">
        <v>0</v>
      </c>
      <c r="T194" s="39"/>
      <c r="U194" s="32"/>
    </row>
    <row r="195" ht="22.5" customHeight="1">
      <c r="A195" s="26">
        <v>46273.0</v>
      </c>
      <c r="B195" s="102" t="s">
        <v>397</v>
      </c>
      <c r="C195" s="107" t="str">
        <f t="array" ref="C195">_xlfn.XLOOKUP(B195, database!$A$2:$A$150, database!$B$2:$B$150)</f>
        <v>SV216.06</v>
      </c>
      <c r="D195" s="111" t="s">
        <v>404</v>
      </c>
      <c r="E195" s="32"/>
      <c r="F195" s="38" t="b">
        <v>0</v>
      </c>
      <c r="G195" s="39" t="str">
        <f t="array" ref="G195">_xlfn.XLOOKUP($B195, DB[samplingPoint], DB[noLocation])</f>
        <v>16-1-082</v>
      </c>
      <c r="H195" s="33" t="s">
        <v>327</v>
      </c>
      <c r="I195" s="40" t="str">
        <f t="array" ref="I195">_xlfn.XLOOKUP($B195, DB[samplingPoint], DB[location])</f>
        <v>WASHING</v>
      </c>
      <c r="J195" s="39" t="str">
        <f t="array" ref="J195">_xlfn.XLOOKUP($B195, DB[samplingPoint], DB[waterType])</f>
        <v>WFI</v>
      </c>
      <c r="K195" s="43">
        <f t="shared" si="64"/>
        <v>46275</v>
      </c>
      <c r="L195" s="26"/>
      <c r="M195" s="53"/>
      <c r="N195" s="32" t="str">
        <f t="shared" si="57"/>
        <v/>
      </c>
      <c r="O195" s="55"/>
      <c r="P195" s="55"/>
      <c r="Q195" s="32"/>
      <c r="R195" s="50" t="str">
        <f t="shared" si="3"/>
        <v>PASSED</v>
      </c>
      <c r="S195" s="38" t="b">
        <v>0</v>
      </c>
      <c r="T195" s="39"/>
      <c r="U195" s="32"/>
    </row>
    <row r="196" ht="22.5" customHeight="1">
      <c r="A196" s="26">
        <v>46274.0</v>
      </c>
      <c r="B196" s="99" t="s">
        <v>403</v>
      </c>
      <c r="C196" s="107" t="str">
        <f t="array" ref="C196">_xlfn.XLOOKUP(B196, database!$A$2:$A$150, database!$B$2:$B$150)</f>
        <v>POU HE216.01</v>
      </c>
      <c r="D196" s="111" t="s">
        <v>292</v>
      </c>
      <c r="E196" s="32"/>
      <c r="F196" s="38" t="b">
        <v>0</v>
      </c>
      <c r="G196" s="39" t="str">
        <f t="array" ref="G196">_xlfn.XLOOKUP($B196, DB[samplingPoint], DB[noLocation])</f>
        <v>16-1-107</v>
      </c>
      <c r="H196" s="33" t="s">
        <v>327</v>
      </c>
      <c r="I196" s="40" t="str">
        <f t="array" ref="I196">_xlfn.XLOOKUP($B196, DB[samplingPoint], DB[location])</f>
        <v>COMPOUNDING-01</v>
      </c>
      <c r="J196" s="39" t="str">
        <f t="array" ref="J196">_xlfn.XLOOKUP($B196, DB[samplingPoint], DB[waterType])</f>
        <v>WFI</v>
      </c>
      <c r="K196" s="43">
        <f t="shared" ref="K196:K201" si="65">$A196+1</f>
        <v>46275</v>
      </c>
      <c r="L196" s="26"/>
      <c r="M196" s="53"/>
      <c r="N196" s="32" t="str">
        <f t="shared" si="57"/>
        <v/>
      </c>
      <c r="O196" s="55"/>
      <c r="P196" s="55"/>
      <c r="Q196" s="32"/>
      <c r="R196" s="50" t="str">
        <f t="shared" si="3"/>
        <v>PASSED</v>
      </c>
      <c r="S196" s="38" t="b">
        <v>0</v>
      </c>
      <c r="T196" s="39"/>
      <c r="U196" s="32"/>
    </row>
    <row r="197" ht="22.5" customHeight="1">
      <c r="A197" s="26">
        <v>46274.0</v>
      </c>
      <c r="B197" s="102" t="s">
        <v>407</v>
      </c>
      <c r="C197" s="107" t="str">
        <f t="array" ref="C197">_xlfn.XLOOKUP(B197, database!$A$2:$A$150, database!$B$2:$B$150)</f>
        <v>POU HE216.02</v>
      </c>
      <c r="D197" s="111" t="s">
        <v>292</v>
      </c>
      <c r="E197" s="32"/>
      <c r="F197" s="38" t="b">
        <v>0</v>
      </c>
      <c r="G197" s="39" t="str">
        <f t="array" ref="G197">_xlfn.XLOOKUP($B197, DB[samplingPoint], DB[noLocation])</f>
        <v>16-1-107</v>
      </c>
      <c r="H197" s="33" t="s">
        <v>327</v>
      </c>
      <c r="I197" s="40" t="str">
        <f t="array" ref="I197">_xlfn.XLOOKUP($B197, DB[samplingPoint], DB[location])</f>
        <v>COMPOUNDING-01</v>
      </c>
      <c r="J197" s="39" t="str">
        <f t="array" ref="J197">_xlfn.XLOOKUP($B197, DB[samplingPoint], DB[waterType])</f>
        <v>WFI</v>
      </c>
      <c r="K197" s="43">
        <f t="shared" si="65"/>
        <v>46275</v>
      </c>
      <c r="L197" s="26"/>
      <c r="M197" s="53"/>
      <c r="N197" s="32" t="str">
        <f t="shared" si="57"/>
        <v/>
      </c>
      <c r="O197" s="55"/>
      <c r="P197" s="55"/>
      <c r="Q197" s="32"/>
      <c r="R197" s="50" t="str">
        <f t="shared" si="3"/>
        <v>PASSED</v>
      </c>
      <c r="S197" s="38" t="b">
        <v>0</v>
      </c>
      <c r="T197" s="39"/>
      <c r="U197" s="32"/>
    </row>
    <row r="198" ht="22.5" customHeight="1">
      <c r="A198" s="26">
        <v>46275.0</v>
      </c>
      <c r="B198" s="99" t="s">
        <v>225</v>
      </c>
      <c r="C198" s="107" t="str">
        <f t="array" ref="C198">_xlfn.XLOOKUP(B198, database!$A$2:$A$150, database!$B$2:$B$150)</f>
        <v>SV216.05</v>
      </c>
      <c r="D198" s="111" t="s">
        <v>292</v>
      </c>
      <c r="E198" s="32"/>
      <c r="F198" s="38" t="b">
        <v>0</v>
      </c>
      <c r="G198" s="39" t="str">
        <f t="array" ref="G198">_xlfn.XLOOKUP($B198, DB[samplingPoint], DB[noLocation])</f>
        <v>16-1-110</v>
      </c>
      <c r="H198" s="33" t="s">
        <v>327</v>
      </c>
      <c r="I198" s="40" t="str">
        <f t="array" ref="I198">_xlfn.XLOOKUP($B198, DB[samplingPoint], DB[location])</f>
        <v>DISINFECTANT PREPARATION</v>
      </c>
      <c r="J198" s="39" t="str">
        <f t="array" ref="J198">_xlfn.XLOOKUP($B198, DB[samplingPoint], DB[waterType])</f>
        <v>WFI</v>
      </c>
      <c r="K198" s="43">
        <f t="shared" si="65"/>
        <v>46276</v>
      </c>
      <c r="L198" s="26"/>
      <c r="M198" s="53"/>
      <c r="N198" s="32" t="str">
        <f t="shared" si="57"/>
        <v/>
      </c>
      <c r="O198" s="55"/>
      <c r="P198" s="55"/>
      <c r="Q198" s="32"/>
      <c r="R198" s="50" t="str">
        <f t="shared" si="3"/>
        <v>PASSED</v>
      </c>
      <c r="S198" s="38" t="b">
        <v>0</v>
      </c>
      <c r="T198" s="39"/>
      <c r="U198" s="32"/>
    </row>
    <row r="199" ht="22.5" customHeight="1">
      <c r="A199" s="26">
        <v>46275.0</v>
      </c>
      <c r="B199" s="102" t="s">
        <v>365</v>
      </c>
      <c r="C199" s="107" t="str">
        <f t="array" ref="C199">_xlfn.XLOOKUP(B199, database!$A$2:$A$150, database!$B$2:$B$150)</f>
        <v>SV216.10</v>
      </c>
      <c r="D199" s="111" t="s">
        <v>292</v>
      </c>
      <c r="E199" s="32"/>
      <c r="F199" s="38" t="b">
        <v>0</v>
      </c>
      <c r="G199" s="39" t="str">
        <f t="array" ref="G199">_xlfn.XLOOKUP($B199, DB[samplingPoint], DB[noLocation])</f>
        <v>16-1-105</v>
      </c>
      <c r="H199" s="33" t="s">
        <v>327</v>
      </c>
      <c r="I199" s="40" t="str">
        <f t="array" ref="I199">_xlfn.XLOOKUP($B199, DB[samplingPoint], DB[location])</f>
        <v>WASHING/TUNNEL-01</v>
      </c>
      <c r="J199" s="39" t="str">
        <f t="array" ref="J199">_xlfn.XLOOKUP($B199, DB[samplingPoint], DB[waterType])</f>
        <v>WFI</v>
      </c>
      <c r="K199" s="43">
        <f t="shared" si="65"/>
        <v>46276</v>
      </c>
      <c r="L199" s="26"/>
      <c r="M199" s="53"/>
      <c r="N199" s="32" t="str">
        <f t="shared" si="57"/>
        <v/>
      </c>
      <c r="O199" s="55"/>
      <c r="P199" s="55"/>
      <c r="Q199" s="32"/>
      <c r="R199" s="50" t="str">
        <f t="shared" si="3"/>
        <v>PASSED</v>
      </c>
      <c r="S199" s="38" t="b">
        <v>0</v>
      </c>
      <c r="T199" s="39"/>
      <c r="U199" s="32"/>
    </row>
    <row r="200" ht="22.5" customHeight="1">
      <c r="A200" s="26">
        <v>46276.0</v>
      </c>
      <c r="B200" s="99" t="s">
        <v>367</v>
      </c>
      <c r="C200" s="107" t="str">
        <f t="array" ref="C200">_xlfn.XLOOKUP(B200, database!$A$2:$A$150, database!$B$2:$B$150)</f>
        <v>POU HE216.04</v>
      </c>
      <c r="D200" s="111" t="s">
        <v>369</v>
      </c>
      <c r="E200" s="32"/>
      <c r="F200" s="38" t="b">
        <v>0</v>
      </c>
      <c r="G200" s="39" t="str">
        <f t="array" ref="G200">_xlfn.XLOOKUP($B200, DB[samplingPoint], DB[noLocation])</f>
        <v>16-1-114</v>
      </c>
      <c r="H200" s="33" t="s">
        <v>327</v>
      </c>
      <c r="I200" s="40" t="str">
        <f t="array" ref="I200">_xlfn.XLOOKUP($B200, DB[samplingPoint], DB[location])</f>
        <v>COMPOUNDING-02</v>
      </c>
      <c r="J200" s="39" t="str">
        <f t="array" ref="J200">_xlfn.XLOOKUP($B200, DB[samplingPoint], DB[waterType])</f>
        <v>WFI</v>
      </c>
      <c r="K200" s="43">
        <f t="shared" si="65"/>
        <v>46277</v>
      </c>
      <c r="L200" s="26"/>
      <c r="M200" s="53"/>
      <c r="N200" s="32" t="str">
        <f t="shared" si="57"/>
        <v/>
      </c>
      <c r="O200" s="55"/>
      <c r="P200" s="55"/>
      <c r="Q200" s="32"/>
      <c r="R200" s="50" t="str">
        <f t="shared" si="3"/>
        <v>PASSED</v>
      </c>
      <c r="S200" s="38" t="b">
        <v>0</v>
      </c>
      <c r="T200" s="39"/>
      <c r="U200" s="32"/>
    </row>
    <row r="201" ht="22.5" customHeight="1">
      <c r="A201" s="26">
        <v>46276.0</v>
      </c>
      <c r="B201" s="102" t="s">
        <v>372</v>
      </c>
      <c r="C201" s="107" t="str">
        <f t="array" ref="C201">_xlfn.XLOOKUP(B201, database!$A$2:$A$150, database!$B$2:$B$150)</f>
        <v>POU HE216.05</v>
      </c>
      <c r="D201" s="111" t="s">
        <v>369</v>
      </c>
      <c r="E201" s="32"/>
      <c r="F201" s="38" t="b">
        <v>0</v>
      </c>
      <c r="G201" s="39" t="str">
        <f t="array" ref="G201">_xlfn.XLOOKUP($B201, DB[samplingPoint], DB[noLocation])</f>
        <v>16-1-114</v>
      </c>
      <c r="H201" s="33" t="s">
        <v>327</v>
      </c>
      <c r="I201" s="40" t="str">
        <f t="array" ref="I201">_xlfn.XLOOKUP($B201, DB[samplingPoint], DB[location])</f>
        <v>COMPOUNDING-02</v>
      </c>
      <c r="J201" s="39" t="str">
        <f t="array" ref="J201">_xlfn.XLOOKUP($B201, DB[samplingPoint], DB[waterType])</f>
        <v>WFI</v>
      </c>
      <c r="K201" s="43">
        <f t="shared" si="65"/>
        <v>46277</v>
      </c>
      <c r="L201" s="26"/>
      <c r="M201" s="53"/>
      <c r="N201" s="32" t="str">
        <f t="shared" si="57"/>
        <v/>
      </c>
      <c r="O201" s="55"/>
      <c r="P201" s="55"/>
      <c r="Q201" s="32"/>
      <c r="R201" s="50" t="str">
        <f t="shared" si="3"/>
        <v>PASSED</v>
      </c>
      <c r="S201" s="38" t="b">
        <v>0</v>
      </c>
      <c r="T201" s="39"/>
      <c r="U201" s="32"/>
    </row>
  </sheetData>
  <conditionalFormatting sqref="E1:E201">
    <cfRule type="containsBlanks" dxfId="5" priority="1">
      <formula>LEN(TRIM(E1))=0</formula>
    </cfRule>
  </conditionalFormatting>
  <conditionalFormatting sqref="E1:E201">
    <cfRule type="notContainsBlanks" dxfId="6" priority="2">
      <formula>LEN(TRIM(E1))&gt;0</formula>
    </cfRule>
  </conditionalFormatting>
  <conditionalFormatting sqref="M2:M201 L160:L169 N160:N169">
    <cfRule type="containsBlanks" dxfId="7" priority="3">
      <formula>LEN(TRIM(M2))=0</formula>
    </cfRule>
  </conditionalFormatting>
  <conditionalFormatting sqref="T2:T201">
    <cfRule type="containsText" dxfId="8" priority="4" operator="containsText" text="complete">
      <formula>NOT(ISERROR(SEARCH(("complete"),(T2))))</formula>
    </cfRule>
  </conditionalFormatting>
  <conditionalFormatting sqref="T2:T201">
    <cfRule type="containsText" dxfId="9" priority="5" operator="containsText" text="pending">
      <formula>NOT(ISERROR(SEARCH(("pending"),(T2))))</formula>
    </cfRule>
  </conditionalFormatting>
  <dataValidations>
    <dataValidation type="list" allowBlank="1" sqref="D2:D201">
      <formula1>"PQ3-Day1,PQ3-Day2,PQ3-Day3,PQ3-Day4,PQ3-Day5,Pre PQ3/WFI,Special"</formula1>
    </dataValidation>
    <dataValidation type="custom" allowBlank="1" showDropDown="1" sqref="A2:A201 K2:L201">
      <formula1>OR(NOT(ISERROR(DATEVALUE(A2))), AND(ISNUMBER(A2), LEFT(CELL("format", A2))="D"))</formula1>
    </dataValidation>
    <dataValidation allowBlank="1" showDropDown="1" sqref="B2:B201 G2:G201 I2:J201 T2:T201"/>
    <dataValidation type="list" allowBlank="1" sqref="H2:H201">
      <formula1>"Building 10,Building 19,Building 16,#N/A,Building 12"</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12</v>
      </c>
      <c r="B1" s="10" t="s">
        <v>16</v>
      </c>
      <c r="C1" s="10" t="s">
        <v>18</v>
      </c>
      <c r="D1" s="10" t="s">
        <v>20</v>
      </c>
    </row>
    <row r="2">
      <c r="A2" s="10" t="s">
        <v>22</v>
      </c>
      <c r="B2" s="10" t="s">
        <v>23</v>
      </c>
      <c r="C2" s="10" t="s">
        <v>24</v>
      </c>
      <c r="D2" s="10" t="s">
        <v>25</v>
      </c>
    </row>
    <row r="3">
      <c r="A3" s="10" t="s">
        <v>26</v>
      </c>
      <c r="B3" s="10" t="s">
        <v>23</v>
      </c>
      <c r="C3" s="10" t="s">
        <v>24</v>
      </c>
      <c r="D3" s="10" t="s">
        <v>27</v>
      </c>
    </row>
    <row r="4">
      <c r="A4" s="10" t="s">
        <v>28</v>
      </c>
      <c r="B4" s="10" t="s">
        <v>23</v>
      </c>
      <c r="C4" s="10" t="s">
        <v>24</v>
      </c>
      <c r="D4" s="10" t="s">
        <v>30</v>
      </c>
    </row>
    <row r="5">
      <c r="A5" s="10" t="s">
        <v>31</v>
      </c>
      <c r="B5" s="10" t="s">
        <v>23</v>
      </c>
      <c r="C5" s="10" t="s">
        <v>24</v>
      </c>
      <c r="D5" s="10" t="s">
        <v>33</v>
      </c>
    </row>
    <row r="6">
      <c r="A6" s="10" t="s">
        <v>34</v>
      </c>
      <c r="B6" s="10" t="s">
        <v>23</v>
      </c>
      <c r="C6" s="10" t="s">
        <v>24</v>
      </c>
      <c r="D6" s="10" t="s">
        <v>35</v>
      </c>
    </row>
    <row r="7">
      <c r="A7" s="10" t="s">
        <v>36</v>
      </c>
      <c r="B7" s="10" t="s">
        <v>23</v>
      </c>
      <c r="C7" s="10" t="s">
        <v>24</v>
      </c>
      <c r="D7" s="10" t="s">
        <v>39</v>
      </c>
    </row>
    <row r="8">
      <c r="A8" s="10" t="s">
        <v>40</v>
      </c>
      <c r="B8" s="10" t="s">
        <v>23</v>
      </c>
      <c r="C8" s="10" t="s">
        <v>24</v>
      </c>
      <c r="D8" s="10" t="s">
        <v>42</v>
      </c>
    </row>
    <row r="9">
      <c r="A9" s="10" t="s">
        <v>43</v>
      </c>
      <c r="B9" s="10" t="s">
        <v>23</v>
      </c>
      <c r="C9" s="10" t="s">
        <v>24</v>
      </c>
      <c r="D9" s="10" t="s">
        <v>44</v>
      </c>
    </row>
    <row r="10">
      <c r="A10" s="10" t="s">
        <v>46</v>
      </c>
      <c r="B10" s="10" t="s">
        <v>23</v>
      </c>
      <c r="C10" s="10" t="s">
        <v>24</v>
      </c>
      <c r="D10" s="10" t="s">
        <v>50</v>
      </c>
    </row>
    <row r="11">
      <c r="A11" s="10" t="s">
        <v>51</v>
      </c>
      <c r="B11" s="10" t="s">
        <v>23</v>
      </c>
      <c r="C11" s="10" t="s">
        <v>24</v>
      </c>
      <c r="D11" s="10" t="s">
        <v>53</v>
      </c>
    </row>
    <row r="12">
      <c r="A12" s="10" t="s">
        <v>55</v>
      </c>
      <c r="B12" s="10" t="s">
        <v>23</v>
      </c>
      <c r="C12" s="10" t="s">
        <v>24</v>
      </c>
      <c r="D12" s="10" t="s">
        <v>58</v>
      </c>
    </row>
    <row r="13">
      <c r="A13" s="10" t="s">
        <v>60</v>
      </c>
      <c r="B13" s="10" t="s">
        <v>23</v>
      </c>
      <c r="C13" s="10" t="s">
        <v>24</v>
      </c>
      <c r="D13" s="10" t="s">
        <v>63</v>
      </c>
    </row>
    <row r="14">
      <c r="A14" s="10" t="s">
        <v>65</v>
      </c>
      <c r="B14" s="10" t="s">
        <v>23</v>
      </c>
      <c r="C14" s="10" t="s">
        <v>24</v>
      </c>
      <c r="D14" s="10" t="s">
        <v>67</v>
      </c>
    </row>
    <row r="15">
      <c r="A15" s="10" t="s">
        <v>70</v>
      </c>
      <c r="B15" s="10" t="s">
        <v>72</v>
      </c>
      <c r="C15" s="10" t="s">
        <v>73</v>
      </c>
      <c r="D15" s="10" t="s">
        <v>75</v>
      </c>
    </row>
    <row r="16">
      <c r="A16" s="10" t="s">
        <v>77</v>
      </c>
      <c r="B16" s="10" t="s">
        <v>72</v>
      </c>
      <c r="C16" s="10" t="s">
        <v>73</v>
      </c>
      <c r="D16" s="10" t="s">
        <v>79</v>
      </c>
    </row>
    <row r="17">
      <c r="A17" s="10" t="s">
        <v>81</v>
      </c>
      <c r="B17" s="10" t="s">
        <v>72</v>
      </c>
      <c r="C17" s="10" t="s">
        <v>73</v>
      </c>
      <c r="D17" s="10" t="s">
        <v>83</v>
      </c>
    </row>
    <row r="18">
      <c r="A18" s="10" t="s">
        <v>85</v>
      </c>
      <c r="B18" s="10" t="s">
        <v>72</v>
      </c>
      <c r="C18" s="10" t="s">
        <v>73</v>
      </c>
      <c r="D18" s="10" t="s">
        <v>87</v>
      </c>
    </row>
    <row r="19">
      <c r="A19" s="10" t="s">
        <v>88</v>
      </c>
      <c r="B19" s="10" t="s">
        <v>72</v>
      </c>
      <c r="C19" s="10" t="s">
        <v>73</v>
      </c>
      <c r="D19" s="10" t="s">
        <v>91</v>
      </c>
    </row>
    <row r="20">
      <c r="A20" s="10" t="s">
        <v>92</v>
      </c>
      <c r="B20" s="10" t="s">
        <v>72</v>
      </c>
      <c r="C20" s="10" t="s">
        <v>73</v>
      </c>
      <c r="D20" s="10" t="s">
        <v>93</v>
      </c>
    </row>
    <row r="21">
      <c r="A21" s="10" t="s">
        <v>95</v>
      </c>
      <c r="B21" s="10" t="s">
        <v>72</v>
      </c>
      <c r="C21" s="10" t="s">
        <v>73</v>
      </c>
      <c r="D21" s="10" t="s">
        <v>97</v>
      </c>
    </row>
    <row r="22">
      <c r="A22" s="10" t="s">
        <v>99</v>
      </c>
      <c r="B22" s="10" t="s">
        <v>72</v>
      </c>
      <c r="C22" s="10" t="s">
        <v>73</v>
      </c>
      <c r="D22" s="10" t="s">
        <v>101</v>
      </c>
    </row>
    <row r="23">
      <c r="A23" s="10" t="s">
        <v>102</v>
      </c>
      <c r="B23" s="10" t="s">
        <v>72</v>
      </c>
      <c r="C23" s="10" t="s">
        <v>73</v>
      </c>
      <c r="D23" s="10" t="s">
        <v>104</v>
      </c>
    </row>
    <row r="24">
      <c r="A24" s="10" t="s">
        <v>105</v>
      </c>
      <c r="B24" s="10" t="s">
        <v>72</v>
      </c>
      <c r="C24" s="10" t="s">
        <v>73</v>
      </c>
      <c r="D24" s="10" t="s">
        <v>107</v>
      </c>
    </row>
    <row r="25">
      <c r="A25" s="10" t="s">
        <v>108</v>
      </c>
      <c r="B25" s="10" t="s">
        <v>23</v>
      </c>
      <c r="C25" s="10" t="s">
        <v>24</v>
      </c>
      <c r="D25" s="10" t="s">
        <v>110</v>
      </c>
    </row>
    <row r="26">
      <c r="A26" s="10" t="s">
        <v>111</v>
      </c>
      <c r="B26" s="10" t="s">
        <v>72</v>
      </c>
      <c r="C26" s="10" t="s">
        <v>73</v>
      </c>
      <c r="D26" s="10" t="s">
        <v>113</v>
      </c>
    </row>
    <row r="27">
      <c r="A27" s="10" t="s">
        <v>115</v>
      </c>
      <c r="B27" s="10" t="s">
        <v>23</v>
      </c>
      <c r="C27" s="10" t="s">
        <v>24</v>
      </c>
      <c r="D27" s="10" t="s">
        <v>116</v>
      </c>
    </row>
    <row r="28">
      <c r="A28" s="10" t="s">
        <v>118</v>
      </c>
      <c r="B28" s="10" t="s">
        <v>23</v>
      </c>
      <c r="C28" s="10" t="s">
        <v>24</v>
      </c>
      <c r="D28" s="10" t="s">
        <v>120</v>
      </c>
    </row>
    <row r="29">
      <c r="A29" s="10" t="s">
        <v>121</v>
      </c>
      <c r="B29" s="10" t="s">
        <v>72</v>
      </c>
      <c r="C29" s="10" t="s">
        <v>73</v>
      </c>
      <c r="D29" s="10" t="s">
        <v>123</v>
      </c>
    </row>
    <row r="30">
      <c r="A30" s="10" t="s">
        <v>124</v>
      </c>
      <c r="B30" s="10" t="s">
        <v>72</v>
      </c>
      <c r="C30" s="10" t="s">
        <v>73</v>
      </c>
      <c r="D30" s="10" t="s">
        <v>125</v>
      </c>
    </row>
    <row r="31">
      <c r="A31" s="10" t="s">
        <v>126</v>
      </c>
      <c r="B31" s="10" t="s">
        <v>23</v>
      </c>
      <c r="C31" s="10" t="s">
        <v>24</v>
      </c>
      <c r="D31" s="10" t="s">
        <v>127</v>
      </c>
    </row>
    <row r="32">
      <c r="A32" s="10" t="s">
        <v>128</v>
      </c>
      <c r="B32" s="10" t="s">
        <v>23</v>
      </c>
      <c r="C32" s="10" t="s">
        <v>24</v>
      </c>
      <c r="D32" s="10" t="s">
        <v>129</v>
      </c>
    </row>
    <row r="33">
      <c r="A33" s="10" t="s">
        <v>130</v>
      </c>
      <c r="B33" s="10" t="s">
        <v>72</v>
      </c>
      <c r="C33" s="10" t="s">
        <v>73</v>
      </c>
      <c r="D33" s="10" t="s">
        <v>131</v>
      </c>
    </row>
    <row r="34">
      <c r="A34" s="10" t="s">
        <v>132</v>
      </c>
      <c r="B34" s="10" t="s">
        <v>72</v>
      </c>
      <c r="C34" s="10" t="s">
        <v>73</v>
      </c>
      <c r="D34" s="10" t="s">
        <v>133</v>
      </c>
    </row>
    <row r="35">
      <c r="A35" s="10" t="s">
        <v>134</v>
      </c>
      <c r="B35" s="10" t="s">
        <v>72</v>
      </c>
      <c r="C35" s="10" t="s">
        <v>73</v>
      </c>
      <c r="D35" s="10" t="s">
        <v>135</v>
      </c>
    </row>
    <row r="36">
      <c r="A36" s="10" t="s">
        <v>136</v>
      </c>
      <c r="B36" s="10" t="s">
        <v>23</v>
      </c>
      <c r="C36" s="10" t="s">
        <v>24</v>
      </c>
      <c r="D36" s="10" t="s">
        <v>137</v>
      </c>
    </row>
    <row r="37">
      <c r="A37" s="10" t="s">
        <v>138</v>
      </c>
      <c r="B37" s="10" t="s">
        <v>23</v>
      </c>
      <c r="C37" s="10" t="s">
        <v>24</v>
      </c>
      <c r="D37" s="10" t="s">
        <v>139</v>
      </c>
    </row>
    <row r="38">
      <c r="A38" s="10" t="s">
        <v>140</v>
      </c>
      <c r="B38" s="10" t="s">
        <v>23</v>
      </c>
      <c r="C38" s="10" t="s">
        <v>24</v>
      </c>
      <c r="D38" s="10" t="s">
        <v>141</v>
      </c>
    </row>
    <row r="39">
      <c r="A39" s="10" t="s">
        <v>142</v>
      </c>
      <c r="B39" s="10" t="s">
        <v>23</v>
      </c>
      <c r="C39" s="10" t="s">
        <v>24</v>
      </c>
      <c r="D39" s="10" t="s">
        <v>145</v>
      </c>
    </row>
    <row r="40">
      <c r="A40" s="10" t="s">
        <v>146</v>
      </c>
      <c r="B40" s="10" t="s">
        <v>72</v>
      </c>
      <c r="C40" s="10" t="s">
        <v>73</v>
      </c>
      <c r="D40" s="10" t="s">
        <v>147</v>
      </c>
    </row>
    <row r="41">
      <c r="A41" s="10" t="s">
        <v>148</v>
      </c>
      <c r="B41" s="10" t="s">
        <v>72</v>
      </c>
      <c r="C41" s="10" t="s">
        <v>73</v>
      </c>
      <c r="D41" s="10" t="s">
        <v>149</v>
      </c>
    </row>
    <row r="42">
      <c r="A42" s="10" t="s">
        <v>151</v>
      </c>
      <c r="B42" s="10" t="s">
        <v>72</v>
      </c>
      <c r="C42" s="10" t="s">
        <v>73</v>
      </c>
      <c r="D42" s="10" t="s">
        <v>153</v>
      </c>
    </row>
    <row r="43">
      <c r="A43" s="10" t="s">
        <v>154</v>
      </c>
      <c r="B43" s="10" t="s">
        <v>72</v>
      </c>
      <c r="C43" s="10" t="s">
        <v>73</v>
      </c>
      <c r="D43" s="10" t="s">
        <v>155</v>
      </c>
    </row>
    <row r="44">
      <c r="A44" s="10" t="s">
        <v>157</v>
      </c>
      <c r="B44" s="10" t="s">
        <v>72</v>
      </c>
      <c r="C44" s="10" t="s">
        <v>73</v>
      </c>
      <c r="D44" s="10" t="s">
        <v>160</v>
      </c>
    </row>
    <row r="45">
      <c r="A45" s="10" t="s">
        <v>161</v>
      </c>
      <c r="B45" s="10" t="s">
        <v>23</v>
      </c>
      <c r="C45" s="10" t="s">
        <v>24</v>
      </c>
      <c r="D45" s="10" t="s">
        <v>162</v>
      </c>
    </row>
    <row r="46">
      <c r="A46" s="10" t="s">
        <v>163</v>
      </c>
      <c r="B46" s="10" t="s">
        <v>23</v>
      </c>
      <c r="C46" s="10" t="s">
        <v>24</v>
      </c>
      <c r="D46" s="10" t="s">
        <v>164</v>
      </c>
    </row>
    <row r="47">
      <c r="A47" s="10" t="s">
        <v>165</v>
      </c>
      <c r="B47" s="10" t="s">
        <v>72</v>
      </c>
      <c r="C47" s="10" t="s">
        <v>73</v>
      </c>
      <c r="D47" s="10" t="s">
        <v>166</v>
      </c>
    </row>
    <row r="48">
      <c r="A48" s="10" t="s">
        <v>167</v>
      </c>
      <c r="B48" s="10" t="s">
        <v>72</v>
      </c>
      <c r="C48" s="10" t="s">
        <v>73</v>
      </c>
      <c r="D48" s="10" t="s">
        <v>168</v>
      </c>
    </row>
    <row r="49">
      <c r="A49" s="10" t="s">
        <v>169</v>
      </c>
      <c r="B49" s="10" t="s">
        <v>72</v>
      </c>
      <c r="C49" s="10" t="s">
        <v>73</v>
      </c>
      <c r="D49" s="10" t="s">
        <v>170</v>
      </c>
    </row>
    <row r="50">
      <c r="A50" s="10" t="s">
        <v>171</v>
      </c>
      <c r="B50" s="10" t="s">
        <v>23</v>
      </c>
      <c r="C50" s="10" t="s">
        <v>24</v>
      </c>
      <c r="D50" s="10" t="s">
        <v>172</v>
      </c>
    </row>
    <row r="51">
      <c r="A51" s="10" t="s">
        <v>173</v>
      </c>
      <c r="B51" s="10" t="s">
        <v>23</v>
      </c>
      <c r="C51" s="10" t="s">
        <v>24</v>
      </c>
      <c r="D51" s="10" t="s">
        <v>174</v>
      </c>
    </row>
    <row r="52">
      <c r="A52" s="10" t="s">
        <v>175</v>
      </c>
      <c r="B52" s="10" t="s">
        <v>72</v>
      </c>
      <c r="C52" s="10" t="s">
        <v>73</v>
      </c>
      <c r="D52" s="10" t="s">
        <v>176</v>
      </c>
    </row>
    <row r="53">
      <c r="A53" s="10" t="s">
        <v>177</v>
      </c>
      <c r="B53" s="10" t="s">
        <v>23</v>
      </c>
      <c r="C53" s="10" t="s">
        <v>24</v>
      </c>
      <c r="D53" s="10" t="s">
        <v>179</v>
      </c>
    </row>
    <row r="54">
      <c r="A54" s="10" t="s">
        <v>181</v>
      </c>
      <c r="B54" s="10" t="s">
        <v>23</v>
      </c>
      <c r="C54" s="10" t="s">
        <v>24</v>
      </c>
      <c r="D54" s="10" t="s">
        <v>182</v>
      </c>
    </row>
    <row r="55">
      <c r="A55" s="10" t="s">
        <v>183</v>
      </c>
      <c r="B55" s="10" t="s">
        <v>23</v>
      </c>
      <c r="C55" s="10" t="s">
        <v>24</v>
      </c>
      <c r="D55" s="10" t="s">
        <v>184</v>
      </c>
    </row>
    <row r="56">
      <c r="A56" s="10" t="s">
        <v>185</v>
      </c>
      <c r="B56" s="10" t="s">
        <v>72</v>
      </c>
      <c r="C56" s="10" t="s">
        <v>73</v>
      </c>
      <c r="D56" s="10" t="s">
        <v>186</v>
      </c>
    </row>
    <row r="57">
      <c r="A57" s="10" t="s">
        <v>187</v>
      </c>
      <c r="B57" s="10" t="s">
        <v>72</v>
      </c>
      <c r="C57" s="10" t="s">
        <v>73</v>
      </c>
      <c r="D57" s="10" t="s">
        <v>188</v>
      </c>
    </row>
    <row r="58">
      <c r="A58" s="10" t="s">
        <v>189</v>
      </c>
      <c r="B58" s="10" t="s">
        <v>72</v>
      </c>
      <c r="C58" s="10" t="s">
        <v>73</v>
      </c>
      <c r="D58" s="10" t="s">
        <v>190</v>
      </c>
    </row>
    <row r="59">
      <c r="A59" s="10" t="s">
        <v>191</v>
      </c>
      <c r="B59" s="10" t="s">
        <v>72</v>
      </c>
      <c r="C59" s="10" t="s">
        <v>73</v>
      </c>
      <c r="D59" s="10" t="s">
        <v>192</v>
      </c>
    </row>
    <row r="60">
      <c r="A60" s="10" t="s">
        <v>193</v>
      </c>
      <c r="B60" s="10" t="s">
        <v>23</v>
      </c>
      <c r="C60" s="10" t="s">
        <v>24</v>
      </c>
      <c r="D60" s="10" t="s">
        <v>194</v>
      </c>
    </row>
    <row r="61">
      <c r="A61" s="10" t="s">
        <v>195</v>
      </c>
      <c r="B61" s="10" t="s">
        <v>72</v>
      </c>
      <c r="C61" s="10" t="s">
        <v>73</v>
      </c>
      <c r="D61" s="10" t="s">
        <v>196</v>
      </c>
    </row>
    <row r="62">
      <c r="A62" s="10" t="s">
        <v>198</v>
      </c>
      <c r="B62" s="10" t="s">
        <v>23</v>
      </c>
      <c r="C62" s="10" t="s">
        <v>24</v>
      </c>
      <c r="D62" s="10" t="s">
        <v>199</v>
      </c>
    </row>
    <row r="63">
      <c r="A63" s="10" t="s">
        <v>200</v>
      </c>
      <c r="B63" s="10" t="s">
        <v>23</v>
      </c>
      <c r="C63" s="10" t="s">
        <v>24</v>
      </c>
      <c r="D63" s="10" t="s">
        <v>201</v>
      </c>
    </row>
    <row r="64">
      <c r="A64" s="10" t="s">
        <v>202</v>
      </c>
      <c r="B64" s="10" t="s">
        <v>72</v>
      </c>
      <c r="C64" s="10" t="s">
        <v>73</v>
      </c>
      <c r="D64" s="10" t="s">
        <v>204</v>
      </c>
    </row>
    <row r="65">
      <c r="A65" s="10" t="s">
        <v>205</v>
      </c>
      <c r="B65" s="10" t="s">
        <v>72</v>
      </c>
      <c r="C65" s="10" t="s">
        <v>73</v>
      </c>
      <c r="D65" s="10" t="s">
        <v>207</v>
      </c>
    </row>
    <row r="66">
      <c r="A66" s="10" t="s">
        <v>208</v>
      </c>
      <c r="B66" s="10" t="s">
        <v>72</v>
      </c>
      <c r="C66" s="10" t="s">
        <v>73</v>
      </c>
      <c r="D66" s="10" t="s">
        <v>209</v>
      </c>
    </row>
    <row r="67">
      <c r="A67" s="10" t="s">
        <v>216</v>
      </c>
      <c r="B67" s="10" t="s">
        <v>72</v>
      </c>
      <c r="C67" s="10" t="s">
        <v>73</v>
      </c>
      <c r="D67" s="10" t="s">
        <v>217</v>
      </c>
    </row>
    <row r="68">
      <c r="A68" s="10" t="s">
        <v>218</v>
      </c>
      <c r="B68" s="10" t="s">
        <v>72</v>
      </c>
      <c r="C68" s="10" t="s">
        <v>73</v>
      </c>
      <c r="D68" s="10" t="s">
        <v>219</v>
      </c>
    </row>
    <row r="69">
      <c r="A69" s="10" t="s">
        <v>220</v>
      </c>
      <c r="B69" s="10" t="s">
        <v>23</v>
      </c>
      <c r="C69" s="10" t="s">
        <v>24</v>
      </c>
      <c r="D69" s="10" t="s">
        <v>221</v>
      </c>
    </row>
    <row r="70">
      <c r="A70" s="10" t="s">
        <v>222</v>
      </c>
      <c r="B70" s="10" t="s">
        <v>23</v>
      </c>
      <c r="C70" s="10" t="s">
        <v>24</v>
      </c>
      <c r="D70" s="10" t="s">
        <v>223</v>
      </c>
    </row>
    <row r="71">
      <c r="A71" s="10" t="s">
        <v>224</v>
      </c>
      <c r="B71" s="10" t="s">
        <v>23</v>
      </c>
      <c r="C71" s="10" t="s">
        <v>24</v>
      </c>
      <c r="D71" s="10" t="s">
        <v>226</v>
      </c>
    </row>
    <row r="72">
      <c r="A72" s="10" t="s">
        <v>228</v>
      </c>
      <c r="B72" s="10" t="s">
        <v>72</v>
      </c>
      <c r="C72" s="10" t="s">
        <v>73</v>
      </c>
      <c r="D72" s="10" t="s">
        <v>229</v>
      </c>
    </row>
    <row r="73">
      <c r="A73" s="10" t="s">
        <v>230</v>
      </c>
      <c r="B73" s="10" t="s">
        <v>72</v>
      </c>
      <c r="C73" s="10" t="s">
        <v>73</v>
      </c>
      <c r="D73" s="10" t="s">
        <v>231</v>
      </c>
    </row>
    <row r="74">
      <c r="A74" s="10" t="s">
        <v>232</v>
      </c>
      <c r="B74" s="10" t="s">
        <v>23</v>
      </c>
      <c r="C74" s="10" t="s">
        <v>24</v>
      </c>
      <c r="D74" s="10" t="s">
        <v>233</v>
      </c>
    </row>
    <row r="75">
      <c r="A75" s="10" t="s">
        <v>234</v>
      </c>
      <c r="B75" s="10" t="s">
        <v>23</v>
      </c>
      <c r="C75" s="10" t="s">
        <v>24</v>
      </c>
      <c r="D75" s="10" t="s">
        <v>235</v>
      </c>
    </row>
    <row r="76">
      <c r="A76" s="10" t="s">
        <v>236</v>
      </c>
      <c r="B76" s="10" t="s">
        <v>23</v>
      </c>
      <c r="C76" s="10" t="s">
        <v>24</v>
      </c>
      <c r="D76" s="10" t="s">
        <v>237</v>
      </c>
    </row>
    <row r="77">
      <c r="A77" s="10" t="s">
        <v>238</v>
      </c>
      <c r="B77" s="10" t="s">
        <v>23</v>
      </c>
      <c r="C77" s="10" t="s">
        <v>24</v>
      </c>
      <c r="D77" s="10" t="s">
        <v>239</v>
      </c>
    </row>
    <row r="78">
      <c r="A78" s="10" t="s">
        <v>240</v>
      </c>
      <c r="B78" s="10" t="s">
        <v>72</v>
      </c>
      <c r="C78" s="10" t="s">
        <v>73</v>
      </c>
      <c r="D78" s="10" t="s">
        <v>241</v>
      </c>
    </row>
    <row r="79">
      <c r="A79" s="10" t="s">
        <v>242</v>
      </c>
      <c r="B79" s="10" t="s">
        <v>72</v>
      </c>
      <c r="C79" s="10" t="s">
        <v>73</v>
      </c>
      <c r="D79" s="10" t="s">
        <v>243</v>
      </c>
    </row>
    <row r="80">
      <c r="A80" s="10" t="s">
        <v>244</v>
      </c>
      <c r="B80" s="10" t="s">
        <v>23</v>
      </c>
      <c r="C80" s="10" t="s">
        <v>24</v>
      </c>
      <c r="D80" s="10" t="s">
        <v>245</v>
      </c>
    </row>
    <row r="81">
      <c r="A81" s="10" t="s">
        <v>246</v>
      </c>
      <c r="B81" s="10" t="s">
        <v>23</v>
      </c>
      <c r="C81" s="10" t="s">
        <v>24</v>
      </c>
      <c r="D81" s="10" t="s">
        <v>247</v>
      </c>
    </row>
    <row r="82">
      <c r="A82" s="10" t="s">
        <v>248</v>
      </c>
      <c r="B82" s="10" t="s">
        <v>23</v>
      </c>
      <c r="C82" s="10" t="s">
        <v>24</v>
      </c>
      <c r="D82" s="10" t="s">
        <v>249</v>
      </c>
    </row>
    <row r="83">
      <c r="A83" s="10" t="s">
        <v>250</v>
      </c>
      <c r="B83" s="10" t="s">
        <v>23</v>
      </c>
      <c r="C83" s="10" t="s">
        <v>24</v>
      </c>
      <c r="D83" s="10" t="s">
        <v>251</v>
      </c>
    </row>
    <row r="84">
      <c r="A84" s="10" t="s">
        <v>252</v>
      </c>
      <c r="B84" s="10" t="s">
        <v>72</v>
      </c>
      <c r="C84" s="10" t="s">
        <v>73</v>
      </c>
      <c r="D84" s="10" t="s">
        <v>253</v>
      </c>
    </row>
    <row r="85">
      <c r="A85" s="10" t="s">
        <v>254</v>
      </c>
      <c r="B85" s="10" t="s">
        <v>23</v>
      </c>
      <c r="C85" s="10" t="s">
        <v>24</v>
      </c>
      <c r="D85" s="10" t="s">
        <v>255</v>
      </c>
    </row>
    <row r="86">
      <c r="A86" s="10" t="s">
        <v>256</v>
      </c>
      <c r="B86" s="10" t="s">
        <v>23</v>
      </c>
      <c r="C86" s="10" t="s">
        <v>24</v>
      </c>
      <c r="D86" s="10" t="s">
        <v>257</v>
      </c>
    </row>
    <row r="87">
      <c r="A87" s="10" t="s">
        <v>258</v>
      </c>
      <c r="B87" s="10" t="s">
        <v>23</v>
      </c>
      <c r="C87" s="10" t="s">
        <v>24</v>
      </c>
      <c r="D87" s="10" t="s">
        <v>259</v>
      </c>
    </row>
    <row r="88">
      <c r="A88" s="10" t="s">
        <v>260</v>
      </c>
      <c r="B88" s="10" t="s">
        <v>23</v>
      </c>
      <c r="C88" s="10" t="s">
        <v>24</v>
      </c>
      <c r="D88" s="10" t="s">
        <v>261</v>
      </c>
    </row>
    <row r="89">
      <c r="A89" s="10" t="s">
        <v>262</v>
      </c>
      <c r="B89" s="10" t="s">
        <v>23</v>
      </c>
      <c r="C89" s="10" t="s">
        <v>24</v>
      </c>
      <c r="D89" s="10" t="s">
        <v>263</v>
      </c>
    </row>
    <row r="90">
      <c r="A90" s="10" t="s">
        <v>264</v>
      </c>
      <c r="B90" s="10" t="s">
        <v>23</v>
      </c>
      <c r="C90" s="10" t="s">
        <v>24</v>
      </c>
      <c r="D90" s="10" t="s">
        <v>265</v>
      </c>
    </row>
    <row r="91">
      <c r="A91" s="10" t="s">
        <v>266</v>
      </c>
      <c r="B91" s="10" t="s">
        <v>23</v>
      </c>
      <c r="C91" s="10" t="s">
        <v>24</v>
      </c>
      <c r="D91" s="10" t="s">
        <v>267</v>
      </c>
    </row>
    <row r="92">
      <c r="A92" s="10" t="s">
        <v>268</v>
      </c>
      <c r="B92" s="10" t="s">
        <v>23</v>
      </c>
      <c r="C92" s="10" t="s">
        <v>24</v>
      </c>
      <c r="D92" s="10" t="s">
        <v>269</v>
      </c>
    </row>
    <row r="93">
      <c r="A93" s="10" t="s">
        <v>270</v>
      </c>
      <c r="B93" s="10" t="s">
        <v>23</v>
      </c>
      <c r="C93" s="10" t="s">
        <v>24</v>
      </c>
      <c r="D93" s="10" t="s">
        <v>271</v>
      </c>
    </row>
    <row r="94">
      <c r="A94" s="10" t="s">
        <v>272</v>
      </c>
      <c r="B94" s="10" t="s">
        <v>23</v>
      </c>
      <c r="C94" s="10" t="s">
        <v>24</v>
      </c>
      <c r="D94" s="10" t="s">
        <v>273</v>
      </c>
    </row>
    <row r="95">
      <c r="A95" s="10" t="s">
        <v>274</v>
      </c>
      <c r="B95" s="10" t="s">
        <v>23</v>
      </c>
      <c r="C95" s="10" t="s">
        <v>24</v>
      </c>
      <c r="D95" s="10" t="s">
        <v>275</v>
      </c>
    </row>
    <row r="96">
      <c r="A96" s="10" t="s">
        <v>276</v>
      </c>
      <c r="B96" s="10" t="s">
        <v>23</v>
      </c>
      <c r="C96" s="10" t="s">
        <v>24</v>
      </c>
      <c r="D96" s="10" t="s">
        <v>277</v>
      </c>
    </row>
    <row r="97">
      <c r="A97" s="10" t="s">
        <v>278</v>
      </c>
      <c r="B97" s="10" t="s">
        <v>23</v>
      </c>
      <c r="C97" s="10" t="s">
        <v>24</v>
      </c>
      <c r="D97" s="10" t="s">
        <v>279</v>
      </c>
    </row>
    <row r="98">
      <c r="A98" s="10" t="s">
        <v>280</v>
      </c>
      <c r="B98" s="10" t="s">
        <v>23</v>
      </c>
      <c r="C98" s="10" t="s">
        <v>24</v>
      </c>
      <c r="D98" s="10" t="s">
        <v>281</v>
      </c>
    </row>
    <row r="99">
      <c r="A99" s="10" t="s">
        <v>282</v>
      </c>
      <c r="B99" s="10" t="s">
        <v>72</v>
      </c>
      <c r="C99" s="10" t="s">
        <v>73</v>
      </c>
      <c r="D99" s="10" t="s">
        <v>283</v>
      </c>
    </row>
    <row r="100">
      <c r="A100" s="10" t="s">
        <v>284</v>
      </c>
      <c r="B100" s="10" t="s">
        <v>72</v>
      </c>
      <c r="C100" s="10" t="s">
        <v>73</v>
      </c>
      <c r="D100" s="10" t="s">
        <v>285</v>
      </c>
    </row>
    <row r="101">
      <c r="A101" s="10" t="s">
        <v>286</v>
      </c>
      <c r="B101" s="10" t="s">
        <v>72</v>
      </c>
      <c r="C101" s="10" t="s">
        <v>73</v>
      </c>
      <c r="D101" s="10" t="s">
        <v>287</v>
      </c>
    </row>
    <row r="102">
      <c r="A102" s="10" t="s">
        <v>288</v>
      </c>
      <c r="B102" s="10" t="s">
        <v>72</v>
      </c>
      <c r="C102" s="10" t="s">
        <v>73</v>
      </c>
      <c r="D102" s="10" t="s">
        <v>289</v>
      </c>
    </row>
    <row r="103">
      <c r="A103" s="10" t="s">
        <v>290</v>
      </c>
      <c r="B103" s="10" t="s">
        <v>72</v>
      </c>
      <c r="C103" s="10" t="s">
        <v>73</v>
      </c>
      <c r="D103" s="10" t="s">
        <v>291</v>
      </c>
    </row>
    <row r="104">
      <c r="A104" s="10" t="s">
        <v>293</v>
      </c>
      <c r="B104" s="10" t="s">
        <v>23</v>
      </c>
      <c r="C104" s="10" t="s">
        <v>24</v>
      </c>
      <c r="D104" s="10" t="s">
        <v>294</v>
      </c>
    </row>
    <row r="105">
      <c r="A105" s="10" t="s">
        <v>295</v>
      </c>
      <c r="B105" s="10" t="s">
        <v>72</v>
      </c>
      <c r="C105" s="10" t="s">
        <v>73</v>
      </c>
      <c r="D105" s="10" t="s">
        <v>296</v>
      </c>
    </row>
    <row r="106">
      <c r="A106" s="10" t="s">
        <v>297</v>
      </c>
      <c r="B106" s="10" t="s">
        <v>72</v>
      </c>
      <c r="C106" s="10" t="s">
        <v>73</v>
      </c>
      <c r="D106" s="10" t="s">
        <v>298</v>
      </c>
    </row>
    <row r="107">
      <c r="A107" s="10" t="s">
        <v>299</v>
      </c>
      <c r="B107" s="10" t="s">
        <v>23</v>
      </c>
      <c r="C107" s="10" t="s">
        <v>24</v>
      </c>
      <c r="D107" s="10" t="s">
        <v>300</v>
      </c>
    </row>
    <row r="108">
      <c r="A108" s="10" t="s">
        <v>301</v>
      </c>
      <c r="B108" s="10" t="s">
        <v>23</v>
      </c>
      <c r="C108" s="10" t="s">
        <v>24</v>
      </c>
      <c r="D108" s="10" t="s">
        <v>302</v>
      </c>
    </row>
    <row r="109">
      <c r="A109" s="10" t="s">
        <v>303</v>
      </c>
      <c r="B109" s="10" t="s">
        <v>23</v>
      </c>
      <c r="C109" s="10" t="s">
        <v>24</v>
      </c>
      <c r="D109" s="10" t="s">
        <v>305</v>
      </c>
    </row>
    <row r="110">
      <c r="A110" s="10" t="s">
        <v>306</v>
      </c>
      <c r="B110" s="10" t="s">
        <v>23</v>
      </c>
      <c r="C110" s="10" t="s">
        <v>24</v>
      </c>
      <c r="D110" s="10" t="s">
        <v>307</v>
      </c>
    </row>
    <row r="111">
      <c r="A111" s="10" t="s">
        <v>308</v>
      </c>
      <c r="B111" s="10" t="s">
        <v>23</v>
      </c>
      <c r="C111" s="10" t="s">
        <v>24</v>
      </c>
      <c r="D111" s="10" t="s">
        <v>309</v>
      </c>
    </row>
    <row r="112">
      <c r="A112" s="10" t="s">
        <v>310</v>
      </c>
      <c r="B112" s="10" t="s">
        <v>23</v>
      </c>
      <c r="C112" s="10" t="s">
        <v>24</v>
      </c>
      <c r="D112" s="10" t="s">
        <v>311</v>
      </c>
    </row>
    <row r="113">
      <c r="A113" s="10" t="s">
        <v>312</v>
      </c>
      <c r="B113" s="10" t="s">
        <v>72</v>
      </c>
      <c r="C113" s="10" t="s">
        <v>73</v>
      </c>
      <c r="D113" s="10" t="s">
        <v>313</v>
      </c>
    </row>
    <row r="114">
      <c r="A114" s="10" t="s">
        <v>314</v>
      </c>
      <c r="B114" s="10" t="s">
        <v>72</v>
      </c>
      <c r="C114" s="10" t="s">
        <v>73</v>
      </c>
      <c r="D114" s="10" t="s">
        <v>315</v>
      </c>
    </row>
    <row r="115">
      <c r="A115" s="10" t="s">
        <v>316</v>
      </c>
      <c r="B115" s="10" t="s">
        <v>23</v>
      </c>
      <c r="C115" s="10" t="s">
        <v>24</v>
      </c>
      <c r="D115" s="10" t="s">
        <v>317</v>
      </c>
    </row>
    <row r="116">
      <c r="A116" s="10" t="s">
        <v>318</v>
      </c>
      <c r="B116" s="10" t="s">
        <v>72</v>
      </c>
      <c r="C116" s="10" t="s">
        <v>73</v>
      </c>
      <c r="D116" s="10" t="s">
        <v>319</v>
      </c>
    </row>
    <row r="117">
      <c r="A117" s="10" t="s">
        <v>320</v>
      </c>
      <c r="B117" s="10" t="s">
        <v>72</v>
      </c>
      <c r="C117" s="10" t="s">
        <v>73</v>
      </c>
      <c r="D117" s="10" t="s">
        <v>321</v>
      </c>
    </row>
    <row r="118">
      <c r="A118" s="10" t="s">
        <v>322</v>
      </c>
      <c r="B118" s="10" t="s">
        <v>72</v>
      </c>
      <c r="C118" s="10" t="s">
        <v>73</v>
      </c>
      <c r="D118" s="10" t="s">
        <v>323</v>
      </c>
    </row>
    <row r="119">
      <c r="A119" s="10" t="s">
        <v>324</v>
      </c>
      <c r="B119" s="10" t="s">
        <v>72</v>
      </c>
      <c r="C119" s="10" t="s">
        <v>73</v>
      </c>
      <c r="D119" s="10" t="s">
        <v>325</v>
      </c>
    </row>
    <row r="120">
      <c r="A120" s="10" t="s">
        <v>326</v>
      </c>
      <c r="B120" s="10" t="s">
        <v>72</v>
      </c>
      <c r="C120" s="10" t="s">
        <v>73</v>
      </c>
      <c r="D120" s="10" t="s">
        <v>328</v>
      </c>
    </row>
    <row r="121">
      <c r="A121" s="10" t="s">
        <v>329</v>
      </c>
      <c r="B121" s="10" t="s">
        <v>23</v>
      </c>
      <c r="C121" s="10" t="s">
        <v>24</v>
      </c>
      <c r="D121" s="10" t="s">
        <v>330</v>
      </c>
    </row>
    <row r="122">
      <c r="A122" s="10" t="s">
        <v>331</v>
      </c>
      <c r="B122" s="10" t="s">
        <v>23</v>
      </c>
      <c r="C122" s="10" t="s">
        <v>24</v>
      </c>
      <c r="D122" s="10" t="s">
        <v>332</v>
      </c>
    </row>
    <row r="123">
      <c r="A123" s="10" t="s">
        <v>333</v>
      </c>
      <c r="B123" s="10" t="s">
        <v>23</v>
      </c>
      <c r="C123" s="10" t="s">
        <v>24</v>
      </c>
      <c r="D123" s="10" t="s">
        <v>334</v>
      </c>
    </row>
    <row r="124">
      <c r="A124" s="10" t="s">
        <v>335</v>
      </c>
      <c r="B124" s="10" t="s">
        <v>23</v>
      </c>
      <c r="C124" s="10" t="s">
        <v>24</v>
      </c>
      <c r="D124" s="10" t="s">
        <v>336</v>
      </c>
    </row>
    <row r="125">
      <c r="A125" s="10" t="s">
        <v>337</v>
      </c>
      <c r="B125" s="10" t="s">
        <v>23</v>
      </c>
      <c r="C125" s="10" t="s">
        <v>24</v>
      </c>
      <c r="D125" s="10" t="s">
        <v>338</v>
      </c>
    </row>
    <row r="126">
      <c r="A126" s="10" t="s">
        <v>339</v>
      </c>
      <c r="B126" s="10" t="s">
        <v>23</v>
      </c>
      <c r="C126" s="10" t="s">
        <v>24</v>
      </c>
      <c r="D126" s="10" t="s">
        <v>340</v>
      </c>
    </row>
    <row r="127">
      <c r="A127" s="10" t="s">
        <v>341</v>
      </c>
      <c r="B127" s="10" t="s">
        <v>72</v>
      </c>
      <c r="C127" s="10" t="s">
        <v>73</v>
      </c>
      <c r="D127" s="10" t="s">
        <v>342</v>
      </c>
    </row>
    <row r="128">
      <c r="A128" s="10" t="s">
        <v>343</v>
      </c>
      <c r="B128" s="10" t="s">
        <v>72</v>
      </c>
      <c r="C128" s="10" t="s">
        <v>73</v>
      </c>
      <c r="D128" s="10" t="s">
        <v>344</v>
      </c>
    </row>
    <row r="129">
      <c r="A129" s="10" t="s">
        <v>345</v>
      </c>
      <c r="B129" s="10" t="s">
        <v>72</v>
      </c>
      <c r="C129" s="10" t="s">
        <v>73</v>
      </c>
      <c r="D129" s="10" t="s">
        <v>346</v>
      </c>
    </row>
    <row r="130">
      <c r="A130" s="10" t="s">
        <v>347</v>
      </c>
      <c r="B130" s="10" t="s">
        <v>72</v>
      </c>
      <c r="C130" s="10" t="s">
        <v>73</v>
      </c>
      <c r="D130" s="10" t="s">
        <v>348</v>
      </c>
    </row>
    <row r="131">
      <c r="A131" s="10" t="s">
        <v>350</v>
      </c>
      <c r="B131" s="10" t="s">
        <v>72</v>
      </c>
      <c r="C131" s="10" t="s">
        <v>73</v>
      </c>
      <c r="D131" s="10" t="s">
        <v>351</v>
      </c>
    </row>
    <row r="132">
      <c r="A132" s="10" t="s">
        <v>352</v>
      </c>
      <c r="B132" s="10" t="s">
        <v>23</v>
      </c>
      <c r="C132" s="10" t="s">
        <v>24</v>
      </c>
      <c r="D132" s="10" t="s">
        <v>353</v>
      </c>
    </row>
    <row r="133">
      <c r="A133" s="10" t="s">
        <v>354</v>
      </c>
      <c r="B133" s="10" t="s">
        <v>23</v>
      </c>
      <c r="C133" s="10" t="s">
        <v>24</v>
      </c>
      <c r="D133" s="10" t="s">
        <v>355</v>
      </c>
    </row>
    <row r="134">
      <c r="A134" s="10" t="s">
        <v>356</v>
      </c>
      <c r="B134" s="10" t="s">
        <v>23</v>
      </c>
      <c r="C134" s="10" t="s">
        <v>24</v>
      </c>
      <c r="D134" s="10" t="s">
        <v>357</v>
      </c>
    </row>
    <row r="135">
      <c r="A135" s="10" t="s">
        <v>358</v>
      </c>
      <c r="B135" s="10" t="s">
        <v>72</v>
      </c>
      <c r="C135" s="10" t="s">
        <v>73</v>
      </c>
      <c r="D135" s="10" t="s">
        <v>359</v>
      </c>
    </row>
    <row r="136">
      <c r="A136" s="10" t="s">
        <v>360</v>
      </c>
      <c r="B136" s="10" t="s">
        <v>72</v>
      </c>
      <c r="C136" s="10" t="s">
        <v>73</v>
      </c>
      <c r="D136" s="10" t="s">
        <v>361</v>
      </c>
    </row>
    <row r="137">
      <c r="A137" s="10" t="s">
        <v>362</v>
      </c>
      <c r="B137" s="10" t="s">
        <v>72</v>
      </c>
      <c r="C137" s="10" t="s">
        <v>73</v>
      </c>
      <c r="D137" s="10" t="s">
        <v>363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1.63"/>
    <col customWidth="1" min="2" max="2" width="13.25"/>
    <col customWidth="1" min="3" max="3" width="13.38"/>
    <col customWidth="1" min="4" max="4" width="16.88"/>
    <col customWidth="1" min="5" max="5" width="12.88"/>
    <col customWidth="1" min="6" max="6" width="23.38"/>
    <col customWidth="1" min="7" max="7" width="14.75"/>
    <col customWidth="1" min="8" max="8" width="35.5"/>
    <col customWidth="1" min="15" max="15" width="29.13"/>
    <col customWidth="1" min="18" max="18" width="14.63"/>
    <col customWidth="1" min="19" max="19" width="14.88"/>
    <col customWidth="1" min="20" max="20" width="13.38"/>
  </cols>
  <sheetData>
    <row r="1" ht="22.5" customHeight="1">
      <c r="A1" s="11" t="s">
        <v>15</v>
      </c>
      <c r="B1" s="11" t="s">
        <v>17</v>
      </c>
      <c r="C1" s="11" t="s">
        <v>19</v>
      </c>
      <c r="D1" s="13" t="s">
        <v>21</v>
      </c>
      <c r="E1" s="16" t="s">
        <v>32</v>
      </c>
      <c r="F1" s="11" t="s">
        <v>37</v>
      </c>
      <c r="G1" s="13" t="s">
        <v>41</v>
      </c>
      <c r="H1" s="11" t="s">
        <v>45</v>
      </c>
      <c r="I1" s="11" t="s">
        <v>47</v>
      </c>
      <c r="J1" s="11" t="s">
        <v>49</v>
      </c>
      <c r="K1" s="11" t="s">
        <v>52</v>
      </c>
      <c r="L1" s="11" t="s">
        <v>54</v>
      </c>
      <c r="M1" s="11" t="s">
        <v>57</v>
      </c>
      <c r="N1" s="11" t="s">
        <v>61</v>
      </c>
      <c r="O1" s="22" t="s">
        <v>69</v>
      </c>
      <c r="P1" s="23" t="s">
        <v>74</v>
      </c>
      <c r="Q1" s="23" t="s">
        <v>78</v>
      </c>
      <c r="R1" s="23" t="s">
        <v>84</v>
      </c>
      <c r="S1" s="14" t="s">
        <v>29</v>
      </c>
      <c r="T1" s="24" t="s">
        <v>90</v>
      </c>
      <c r="U1" s="24" t="s">
        <v>98</v>
      </c>
      <c r="V1" s="25"/>
      <c r="W1" s="25"/>
      <c r="X1" s="25"/>
      <c r="Y1" s="25"/>
      <c r="Z1" s="25"/>
    </row>
    <row r="2" ht="22.5" customHeight="1">
      <c r="A2" s="26">
        <v>46028.0</v>
      </c>
      <c r="B2" s="39" t="s">
        <v>373</v>
      </c>
      <c r="C2" s="32" t="str">
        <f t="array" ref="C2">_xlfn.XLOOKUP(B2, DB[samplingPoint], DB[samplingTag])</f>
        <v>DV136.05</v>
      </c>
      <c r="D2" s="33" t="s">
        <v>375</v>
      </c>
      <c r="E2" s="38" t="b">
        <v>1</v>
      </c>
      <c r="F2" s="39" t="str">
        <f t="array" ref="F2">_xlfn.XLOOKUP($B2, DB[samplingPoint], DB[noLocation])</f>
        <v>12-3-037</v>
      </c>
      <c r="G2" s="59" t="str">
        <f t="array" ref="G2">_xlfn.XLOOKUP($B2, DB[samplingPoint], DB[building])</f>
        <v>Building 12</v>
      </c>
      <c r="H2" s="40" t="str">
        <f t="array" ref="H2">_xlfn.XLOOKUP($B2, DB[samplingPoint], DB[location])</f>
        <v>GLASSWARE WASHING 1</v>
      </c>
      <c r="I2" s="40" t="str">
        <f t="array" ref="I2">_xlfn.XLOOKUP($B2, DB[samplingPoint], DB[waterType])</f>
        <v>PW</v>
      </c>
      <c r="J2" s="60">
        <f t="shared" ref="J2:J745" si="1">$A2+1</f>
        <v>46029</v>
      </c>
      <c r="K2" s="26">
        <v>46032.0</v>
      </c>
      <c r="L2" s="32">
        <v>0.0</v>
      </c>
      <c r="M2" s="32">
        <v>0.0</v>
      </c>
      <c r="N2" s="32">
        <f t="shared" ref="N2:N854" si="2">ROUNDUP(AVERAGE($L2:$M2), 0)</f>
        <v>0</v>
      </c>
      <c r="O2" s="49" t="s">
        <v>376</v>
      </c>
      <c r="P2" s="32">
        <f t="array" ref="P2">_xlfn.XLOOKUP($B2, DB[samplingPoint], DB[Criteria])</f>
        <v>100</v>
      </c>
      <c r="Q2" s="50" t="str">
        <f t="shared" ref="Q2:Q854" si="3">iferror(ifs($N2&gt;P2, "NOT-PASSED", N2&lt;=P2, "PASSED"), "NA")</f>
        <v>PASSED</v>
      </c>
      <c r="R2" s="38" t="b">
        <v>0</v>
      </c>
      <c r="S2" s="32" t="s">
        <v>384</v>
      </c>
      <c r="T2" s="39" t="str">
        <f t="array" ref="T2:T854">if(S2:S854="", "pending", "complete")</f>
        <v>complete</v>
      </c>
      <c r="U2" s="32" t="s">
        <v>381</v>
      </c>
    </row>
    <row r="3" ht="22.5" customHeight="1">
      <c r="A3" s="26">
        <v>46028.0</v>
      </c>
      <c r="B3" s="39" t="s">
        <v>389</v>
      </c>
      <c r="C3" s="32" t="str">
        <f t="array" ref="C3">_xlfn.XLOOKUP(B3, DB[samplingPoint], DB[samplingTag])</f>
        <v>DV136.06</v>
      </c>
      <c r="D3" s="33" t="s">
        <v>375</v>
      </c>
      <c r="E3" s="38" t="b">
        <v>1</v>
      </c>
      <c r="F3" s="39" t="str">
        <f t="array" ref="F3">_xlfn.XLOOKUP($B3, DB[samplingPoint], DB[noLocation])</f>
        <v>12-3-037</v>
      </c>
      <c r="G3" s="59" t="str">
        <f t="array" ref="G3">_xlfn.XLOOKUP($B3, DB[samplingPoint], DB[building])</f>
        <v>Building 12</v>
      </c>
      <c r="H3" s="40" t="str">
        <f t="array" ref="H3">_xlfn.XLOOKUP($B3, DB[samplingPoint], DB[location])</f>
        <v>GLASSWARE WASHING 1</v>
      </c>
      <c r="I3" s="40" t="str">
        <f t="array" ref="I3">_xlfn.XLOOKUP($B3, DB[samplingPoint], DB[waterType])</f>
        <v>PW</v>
      </c>
      <c r="J3" s="60">
        <f t="shared" si="1"/>
        <v>46029</v>
      </c>
      <c r="K3" s="26">
        <v>46032.0</v>
      </c>
      <c r="L3" s="32">
        <v>0.0</v>
      </c>
      <c r="M3" s="32">
        <v>0.0</v>
      </c>
      <c r="N3" s="32">
        <f t="shared" si="2"/>
        <v>0</v>
      </c>
      <c r="O3" s="49" t="s">
        <v>376</v>
      </c>
      <c r="P3" s="32">
        <f t="array" ref="P3">_xlfn.XLOOKUP($B3, DB[samplingPoint], DB[Criteria])</f>
        <v>100</v>
      </c>
      <c r="Q3" s="50" t="str">
        <f t="shared" si="3"/>
        <v>PASSED</v>
      </c>
      <c r="R3" s="38" t="b">
        <v>0</v>
      </c>
      <c r="S3" s="32" t="s">
        <v>384</v>
      </c>
      <c r="T3" s="39" t="s">
        <v>386</v>
      </c>
      <c r="U3" s="32" t="s">
        <v>381</v>
      </c>
    </row>
    <row r="4" ht="22.5" customHeight="1">
      <c r="A4" s="26">
        <v>46028.0</v>
      </c>
      <c r="B4" s="39" t="s">
        <v>393</v>
      </c>
      <c r="C4" s="32" t="str">
        <f t="array" ref="C4">_xlfn.XLOOKUP(B4, DB[samplingPoint], DB[samplingTag])</f>
        <v>DV136.10</v>
      </c>
      <c r="D4" s="33" t="s">
        <v>375</v>
      </c>
      <c r="E4" s="38" t="b">
        <v>1</v>
      </c>
      <c r="F4" s="39" t="str">
        <f t="array" ref="F4">_xlfn.XLOOKUP($B4, DB[samplingPoint], DB[noLocation])</f>
        <v>12-3-056</v>
      </c>
      <c r="G4" s="59" t="str">
        <f t="array" ref="G4">_xlfn.XLOOKUP($B4, DB[samplingPoint], DB[building])</f>
        <v>Building 12</v>
      </c>
      <c r="H4" s="40" t="str">
        <f t="array" ref="H4">_xlfn.XLOOKUP($B4, DB[samplingPoint], DB[location])</f>
        <v>MEDIA PREPARATION</v>
      </c>
      <c r="I4" s="40" t="str">
        <f t="array" ref="I4">_xlfn.XLOOKUP($B4, DB[samplingPoint], DB[waterType])</f>
        <v>PW</v>
      </c>
      <c r="J4" s="60">
        <f t="shared" si="1"/>
        <v>46029</v>
      </c>
      <c r="K4" s="26">
        <v>46032.0</v>
      </c>
      <c r="L4" s="32">
        <v>0.0</v>
      </c>
      <c r="M4" s="32">
        <v>0.0</v>
      </c>
      <c r="N4" s="32">
        <f t="shared" si="2"/>
        <v>0</v>
      </c>
      <c r="O4" s="49" t="s">
        <v>376</v>
      </c>
      <c r="P4" s="32">
        <f t="array" ref="P4">_xlfn.XLOOKUP($B4, DB[samplingPoint], DB[Criteria])</f>
        <v>100</v>
      </c>
      <c r="Q4" s="50" t="str">
        <f t="shared" si="3"/>
        <v>PASSED</v>
      </c>
      <c r="R4" s="38" t="b">
        <v>0</v>
      </c>
      <c r="S4" s="32" t="s">
        <v>384</v>
      </c>
      <c r="T4" s="39" t="s">
        <v>386</v>
      </c>
      <c r="U4" s="32" t="s">
        <v>381</v>
      </c>
    </row>
    <row r="5" ht="22.5" customHeight="1">
      <c r="A5" s="26">
        <v>46028.0</v>
      </c>
      <c r="B5" s="39" t="s">
        <v>399</v>
      </c>
      <c r="C5" s="32" t="str">
        <f t="array" ref="C5">_xlfn.XLOOKUP(B5, DB[samplingPoint], DB[samplingTag])</f>
        <v>DV136.11</v>
      </c>
      <c r="D5" s="33" t="s">
        <v>375</v>
      </c>
      <c r="E5" s="38" t="b">
        <v>1</v>
      </c>
      <c r="F5" s="39" t="str">
        <f t="array" ref="F5">_xlfn.XLOOKUP($B5, DB[samplingPoint], DB[noLocation])</f>
        <v>12-3-059</v>
      </c>
      <c r="G5" s="59" t="str">
        <f t="array" ref="G5">_xlfn.XLOOKUP($B5, DB[samplingPoint], DB[building])</f>
        <v>Building 12</v>
      </c>
      <c r="H5" s="40" t="str">
        <f t="array" ref="H5">_xlfn.XLOOKUP($B5, DB[samplingPoint], DB[location])</f>
        <v>AUTOCLAVE</v>
      </c>
      <c r="I5" s="40" t="str">
        <f t="array" ref="I5">_xlfn.XLOOKUP($B5, DB[samplingPoint], DB[waterType])</f>
        <v>PW</v>
      </c>
      <c r="J5" s="60">
        <f t="shared" si="1"/>
        <v>46029</v>
      </c>
      <c r="K5" s="26">
        <v>46032.0</v>
      </c>
      <c r="L5" s="32">
        <v>0.0</v>
      </c>
      <c r="M5" s="32">
        <v>0.0</v>
      </c>
      <c r="N5" s="32">
        <f t="shared" si="2"/>
        <v>0</v>
      </c>
      <c r="O5" s="49" t="s">
        <v>376</v>
      </c>
      <c r="P5" s="32">
        <f t="array" ref="P5">_xlfn.XLOOKUP($B5, DB[samplingPoint], DB[Criteria])</f>
        <v>100</v>
      </c>
      <c r="Q5" s="50" t="str">
        <f t="shared" si="3"/>
        <v>PASSED</v>
      </c>
      <c r="R5" s="38" t="b">
        <v>0</v>
      </c>
      <c r="S5" s="32" t="s">
        <v>384</v>
      </c>
      <c r="T5" s="39" t="s">
        <v>386</v>
      </c>
      <c r="U5" s="32" t="s">
        <v>381</v>
      </c>
    </row>
    <row r="6" ht="22.5" customHeight="1">
      <c r="A6" s="26">
        <v>46028.0</v>
      </c>
      <c r="B6" s="39" t="s">
        <v>405</v>
      </c>
      <c r="C6" s="32" t="str">
        <f t="array" ref="C6">_xlfn.XLOOKUP(B6, DB[samplingPoint], DB[samplingTag])</f>
        <v>DV136.12</v>
      </c>
      <c r="D6" s="33" t="s">
        <v>375</v>
      </c>
      <c r="E6" s="38" t="b">
        <v>1</v>
      </c>
      <c r="F6" s="39" t="str">
        <f t="array" ref="F6">_xlfn.XLOOKUP($B6, DB[samplingPoint], DB[noLocation])</f>
        <v>12-3-056</v>
      </c>
      <c r="G6" s="59" t="str">
        <f t="array" ref="G6">_xlfn.XLOOKUP($B6, DB[samplingPoint], DB[building])</f>
        <v>Building 12</v>
      </c>
      <c r="H6" s="40" t="str">
        <f t="array" ref="H6">_xlfn.XLOOKUP($B6, DB[samplingPoint], DB[location])</f>
        <v>MEDIA PREPARATION</v>
      </c>
      <c r="I6" s="40" t="str">
        <f t="array" ref="I6">_xlfn.XLOOKUP($B6, DB[samplingPoint], DB[waterType])</f>
        <v>PW</v>
      </c>
      <c r="J6" s="60">
        <f t="shared" si="1"/>
        <v>46029</v>
      </c>
      <c r="K6" s="26">
        <v>46032.0</v>
      </c>
      <c r="L6" s="32">
        <v>0.0</v>
      </c>
      <c r="M6" s="32">
        <v>0.0</v>
      </c>
      <c r="N6" s="32">
        <f t="shared" si="2"/>
        <v>0</v>
      </c>
      <c r="O6" s="49" t="s">
        <v>376</v>
      </c>
      <c r="P6" s="32">
        <f t="array" ref="P6">_xlfn.XLOOKUP($B6, DB[samplingPoint], DB[Criteria])</f>
        <v>100</v>
      </c>
      <c r="Q6" s="50" t="str">
        <f t="shared" si="3"/>
        <v>PASSED</v>
      </c>
      <c r="R6" s="38" t="b">
        <v>0</v>
      </c>
      <c r="S6" s="32" t="s">
        <v>384</v>
      </c>
      <c r="T6" s="39" t="s">
        <v>386</v>
      </c>
      <c r="U6" s="32" t="s">
        <v>381</v>
      </c>
    </row>
    <row r="7" ht="22.5" customHeight="1">
      <c r="A7" s="26">
        <v>46028.0</v>
      </c>
      <c r="B7" s="39" t="s">
        <v>409</v>
      </c>
      <c r="C7" s="32" t="str">
        <f t="array" ref="C7">_xlfn.XLOOKUP(B7, DB[samplingPoint], DB[samplingTag])</f>
        <v>DV136.13</v>
      </c>
      <c r="D7" s="33" t="s">
        <v>375</v>
      </c>
      <c r="E7" s="38" t="b">
        <v>1</v>
      </c>
      <c r="F7" s="39" t="str">
        <f t="array" ref="F7">_xlfn.XLOOKUP($B7, DB[samplingPoint], DB[noLocation])</f>
        <v>12-3-057</v>
      </c>
      <c r="G7" s="59" t="str">
        <f t="array" ref="G7">_xlfn.XLOOKUP($B7, DB[samplingPoint], DB[building])</f>
        <v>Building 12</v>
      </c>
      <c r="H7" s="40" t="str">
        <f t="array" ref="H7">_xlfn.XLOOKUP($B7, DB[samplingPoint], DB[location])</f>
        <v>STERILIZATION</v>
      </c>
      <c r="I7" s="40" t="str">
        <f t="array" ref="I7">_xlfn.XLOOKUP($B7, DB[samplingPoint], DB[waterType])</f>
        <v>PW</v>
      </c>
      <c r="J7" s="60">
        <f t="shared" si="1"/>
        <v>46029</v>
      </c>
      <c r="K7" s="26">
        <v>46032.0</v>
      </c>
      <c r="L7" s="32">
        <v>0.0</v>
      </c>
      <c r="M7" s="32">
        <v>0.0</v>
      </c>
      <c r="N7" s="32">
        <f t="shared" si="2"/>
        <v>0</v>
      </c>
      <c r="O7" s="49" t="s">
        <v>376</v>
      </c>
      <c r="P7" s="32">
        <f t="array" ref="P7">_xlfn.XLOOKUP($B7, DB[samplingPoint], DB[Criteria])</f>
        <v>100</v>
      </c>
      <c r="Q7" s="50" t="str">
        <f t="shared" si="3"/>
        <v>PASSED</v>
      </c>
      <c r="R7" s="38" t="b">
        <v>0</v>
      </c>
      <c r="S7" s="32" t="s">
        <v>384</v>
      </c>
      <c r="T7" s="39" t="s">
        <v>386</v>
      </c>
      <c r="U7" s="32" t="s">
        <v>381</v>
      </c>
    </row>
    <row r="8" ht="22.5" customHeight="1">
      <c r="A8" s="26">
        <v>46028.0</v>
      </c>
      <c r="B8" s="39" t="s">
        <v>413</v>
      </c>
      <c r="C8" s="32" t="str">
        <f t="array" ref="C8">_xlfn.XLOOKUP(B8, DB[samplingPoint], DB[samplingTag])</f>
        <v>DV136.14</v>
      </c>
      <c r="D8" s="33" t="s">
        <v>375</v>
      </c>
      <c r="E8" s="38" t="b">
        <v>1</v>
      </c>
      <c r="F8" s="39" t="str">
        <f t="array" ref="F8">_xlfn.XLOOKUP($B8, DB[samplingPoint], DB[noLocation])</f>
        <v>12-3-074</v>
      </c>
      <c r="G8" s="59" t="str">
        <f t="array" ref="G8">_xlfn.XLOOKUP($B8, DB[samplingPoint], DB[building])</f>
        <v>Building 12</v>
      </c>
      <c r="H8" s="40" t="str">
        <f t="array" ref="H8">_xlfn.XLOOKUP($B8, DB[samplingPoint], DB[location])</f>
        <v>DECONTAMINATION</v>
      </c>
      <c r="I8" s="40" t="str">
        <f t="array" ref="I8">_xlfn.XLOOKUP($B8, DB[samplingPoint], DB[waterType])</f>
        <v>PW</v>
      </c>
      <c r="J8" s="60">
        <f t="shared" si="1"/>
        <v>46029</v>
      </c>
      <c r="K8" s="26">
        <v>46032.0</v>
      </c>
      <c r="L8" s="32">
        <v>0.0</v>
      </c>
      <c r="M8" s="32">
        <v>0.0</v>
      </c>
      <c r="N8" s="32">
        <f t="shared" si="2"/>
        <v>0</v>
      </c>
      <c r="O8" s="49" t="s">
        <v>376</v>
      </c>
      <c r="P8" s="32">
        <f t="array" ref="P8">_xlfn.XLOOKUP($B8, DB[samplingPoint], DB[Criteria])</f>
        <v>100</v>
      </c>
      <c r="Q8" s="50" t="str">
        <f t="shared" si="3"/>
        <v>PASSED</v>
      </c>
      <c r="R8" s="38" t="b">
        <v>0</v>
      </c>
      <c r="S8" s="32" t="s">
        <v>384</v>
      </c>
      <c r="T8" s="39" t="s">
        <v>386</v>
      </c>
      <c r="U8" s="32" t="s">
        <v>381</v>
      </c>
    </row>
    <row r="9" ht="22.5" customHeight="1">
      <c r="A9" s="26">
        <v>46028.0</v>
      </c>
      <c r="B9" s="39" t="s">
        <v>419</v>
      </c>
      <c r="C9" s="32" t="str">
        <f t="array" ref="C9">_xlfn.XLOOKUP(B9, DB[samplingPoint], DB[samplingTag])</f>
        <v>DV136.15</v>
      </c>
      <c r="D9" s="33" t="s">
        <v>375</v>
      </c>
      <c r="E9" s="38" t="b">
        <v>1</v>
      </c>
      <c r="F9" s="39" t="str">
        <f t="array" ref="F9">_xlfn.XLOOKUP($B9, DB[samplingPoint], DB[noLocation])</f>
        <v>12-3-078</v>
      </c>
      <c r="G9" s="59" t="str">
        <f t="array" ref="G9">_xlfn.XLOOKUP($B9, DB[samplingPoint], DB[building])</f>
        <v>Building 12</v>
      </c>
      <c r="H9" s="40" t="str">
        <f t="array" ref="H9">_xlfn.XLOOKUP($B9, DB[samplingPoint], DB[location])</f>
        <v>GLASSWARE WASHING 2</v>
      </c>
      <c r="I9" s="40" t="str">
        <f t="array" ref="I9">_xlfn.XLOOKUP($B9, DB[samplingPoint], DB[waterType])</f>
        <v>PW</v>
      </c>
      <c r="J9" s="60">
        <f t="shared" si="1"/>
        <v>46029</v>
      </c>
      <c r="K9" s="26">
        <v>46032.0</v>
      </c>
      <c r="L9" s="32">
        <v>0.0</v>
      </c>
      <c r="M9" s="32">
        <v>0.0</v>
      </c>
      <c r="N9" s="32">
        <f t="shared" si="2"/>
        <v>0</v>
      </c>
      <c r="O9" s="49" t="s">
        <v>376</v>
      </c>
      <c r="P9" s="32">
        <f t="array" ref="P9">_xlfn.XLOOKUP($B9, DB[samplingPoint], DB[Criteria])</f>
        <v>100</v>
      </c>
      <c r="Q9" s="50" t="str">
        <f t="shared" si="3"/>
        <v>PASSED</v>
      </c>
      <c r="R9" s="38" t="b">
        <v>0</v>
      </c>
      <c r="S9" s="32" t="s">
        <v>384</v>
      </c>
      <c r="T9" s="39" t="s">
        <v>386</v>
      </c>
      <c r="U9" s="32" t="s">
        <v>381</v>
      </c>
    </row>
    <row r="10" ht="22.5" customHeight="1">
      <c r="A10" s="26">
        <v>46028.0</v>
      </c>
      <c r="B10" s="39" t="s">
        <v>422</v>
      </c>
      <c r="C10" s="32" t="str">
        <f t="array" ref="C10">_xlfn.XLOOKUP(B10, DB[samplingPoint], DB[samplingTag])</f>
        <v>DV136.18</v>
      </c>
      <c r="D10" s="33" t="s">
        <v>375</v>
      </c>
      <c r="E10" s="38" t="b">
        <v>1</v>
      </c>
      <c r="F10" s="39" t="str">
        <f t="array" ref="F10">_xlfn.XLOOKUP($B10, DB[samplingPoint], DB[noLocation])</f>
        <v>12-3-037</v>
      </c>
      <c r="G10" s="59" t="str">
        <f t="array" ref="G10">_xlfn.XLOOKUP($B10, DB[samplingPoint], DB[building])</f>
        <v>Building 12</v>
      </c>
      <c r="H10" s="40" t="str">
        <f t="array" ref="H10">_xlfn.XLOOKUP($B10, DB[samplingPoint], DB[location])</f>
        <v>GLASSWARE WASHING 1</v>
      </c>
      <c r="I10" s="40" t="str">
        <f t="array" ref="I10">_xlfn.XLOOKUP($B10, DB[samplingPoint], DB[waterType])</f>
        <v>PW</v>
      </c>
      <c r="J10" s="60">
        <f t="shared" si="1"/>
        <v>46029</v>
      </c>
      <c r="K10" s="26">
        <v>46032.0</v>
      </c>
      <c r="L10" s="32">
        <v>0.0</v>
      </c>
      <c r="M10" s="32">
        <v>0.0</v>
      </c>
      <c r="N10" s="32">
        <f t="shared" si="2"/>
        <v>0</v>
      </c>
      <c r="O10" s="49" t="s">
        <v>376</v>
      </c>
      <c r="P10" s="32">
        <f t="array" ref="P10">_xlfn.XLOOKUP($B10, DB[samplingPoint], DB[Criteria])</f>
        <v>100</v>
      </c>
      <c r="Q10" s="50" t="str">
        <f t="shared" si="3"/>
        <v>PASSED</v>
      </c>
      <c r="R10" s="38" t="b">
        <v>0</v>
      </c>
      <c r="S10" s="32" t="s">
        <v>384</v>
      </c>
      <c r="T10" s="39" t="s">
        <v>386</v>
      </c>
      <c r="U10" s="32" t="s">
        <v>381</v>
      </c>
    </row>
    <row r="11" ht="22.5" customHeight="1">
      <c r="A11" s="26">
        <v>46028.0</v>
      </c>
      <c r="B11" s="39" t="s">
        <v>427</v>
      </c>
      <c r="C11" s="32" t="str">
        <f t="array" ref="C11">_xlfn.XLOOKUP(B11, DB[samplingPoint], DB[samplingTag])</f>
        <v>SV136.18</v>
      </c>
      <c r="D11" s="33" t="s">
        <v>375</v>
      </c>
      <c r="E11" s="38" t="b">
        <v>1</v>
      </c>
      <c r="F11" s="39" t="str">
        <f t="array" ref="F11">_xlfn.XLOOKUP($B11, DB[samplingPoint], DB[noLocation])</f>
        <v>12-3-059</v>
      </c>
      <c r="G11" s="59" t="str">
        <f t="array" ref="G11">_xlfn.XLOOKUP($B11, DB[samplingPoint], DB[building])</f>
        <v>Building 12</v>
      </c>
      <c r="H11" s="40" t="str">
        <f t="array" ref="H11">_xlfn.XLOOKUP($B11, DB[samplingPoint], DB[location])</f>
        <v>AUTOCLAVE</v>
      </c>
      <c r="I11" s="40" t="str">
        <f t="array" ref="I11">_xlfn.XLOOKUP($B11, DB[samplingPoint], DB[waterType])</f>
        <v>PW</v>
      </c>
      <c r="J11" s="60">
        <f t="shared" si="1"/>
        <v>46029</v>
      </c>
      <c r="K11" s="26">
        <v>46032.0</v>
      </c>
      <c r="L11" s="32">
        <v>0.0</v>
      </c>
      <c r="M11" s="32">
        <v>0.0</v>
      </c>
      <c r="N11" s="32">
        <f t="shared" si="2"/>
        <v>0</v>
      </c>
      <c r="O11" s="49" t="s">
        <v>376</v>
      </c>
      <c r="P11" s="32">
        <f t="array" ref="P11">_xlfn.XLOOKUP($B11, DB[samplingPoint], DB[Criteria])</f>
        <v>100</v>
      </c>
      <c r="Q11" s="50" t="str">
        <f t="shared" si="3"/>
        <v>PASSED</v>
      </c>
      <c r="R11" s="38" t="b">
        <v>0</v>
      </c>
      <c r="S11" s="32" t="s">
        <v>384</v>
      </c>
      <c r="T11" s="39" t="s">
        <v>386</v>
      </c>
      <c r="U11" s="32" t="s">
        <v>381</v>
      </c>
    </row>
    <row r="12" ht="22.5" customHeight="1">
      <c r="A12" s="26">
        <v>46028.0</v>
      </c>
      <c r="B12" s="39" t="s">
        <v>430</v>
      </c>
      <c r="C12" s="32" t="str">
        <f t="array" ref="C12">_xlfn.XLOOKUP(B12, DB[samplingPoint], DB[samplingTag])</f>
        <v>SV137.01</v>
      </c>
      <c r="D12" s="33" t="s">
        <v>375</v>
      </c>
      <c r="E12" s="38" t="b">
        <v>1</v>
      </c>
      <c r="F12" s="39" t="str">
        <f t="array" ref="F12">_xlfn.XLOOKUP($B12, DB[samplingPoint], DB[noLocation])</f>
        <v>WATER SYSTEM (B12)</v>
      </c>
      <c r="G12" s="59" t="str">
        <f t="array" ref="G12">_xlfn.XLOOKUP($B12, DB[samplingPoint], DB[building])</f>
        <v>Building 12</v>
      </c>
      <c r="H12" s="40" t="str">
        <f t="array" ref="H12">_xlfn.XLOOKUP($B12, DB[samplingPoint], DB[location])</f>
        <v>Return loop (B12)</v>
      </c>
      <c r="I12" s="40" t="str">
        <f t="array" ref="I12">_xlfn.XLOOKUP($B12, DB[samplingPoint], DB[waterType])</f>
        <v>PW</v>
      </c>
      <c r="J12" s="60">
        <f t="shared" si="1"/>
        <v>46029</v>
      </c>
      <c r="K12" s="26">
        <v>46032.0</v>
      </c>
      <c r="L12" s="32">
        <v>0.0</v>
      </c>
      <c r="M12" s="32">
        <v>0.0</v>
      </c>
      <c r="N12" s="32">
        <f t="shared" si="2"/>
        <v>0</v>
      </c>
      <c r="O12" s="49" t="s">
        <v>376</v>
      </c>
      <c r="P12" s="32">
        <f t="array" ref="P12">_xlfn.XLOOKUP($B12, DB[samplingPoint], DB[Criteria])</f>
        <v>100</v>
      </c>
      <c r="Q12" s="50" t="str">
        <f t="shared" si="3"/>
        <v>PASSED</v>
      </c>
      <c r="R12" s="38" t="b">
        <v>0</v>
      </c>
      <c r="S12" s="32" t="s">
        <v>384</v>
      </c>
      <c r="T12" s="39" t="s">
        <v>386</v>
      </c>
      <c r="U12" s="32" t="s">
        <v>381</v>
      </c>
    </row>
    <row r="13" ht="22.5" customHeight="1">
      <c r="A13" s="26">
        <v>46028.0</v>
      </c>
      <c r="B13" s="39" t="s">
        <v>434</v>
      </c>
      <c r="C13" s="32" t="str">
        <f t="array" ref="C13">_xlfn.XLOOKUP(B13, DB[samplingPoint], DB[samplingTag])</f>
        <v>V50-11C (12)</v>
      </c>
      <c r="D13" s="33" t="s">
        <v>375</v>
      </c>
      <c r="E13" s="38" t="b">
        <v>1</v>
      </c>
      <c r="F13" s="39" t="str">
        <f t="array" ref="F13">_xlfn.XLOOKUP($B13, DB[samplingPoint], DB[noLocation])</f>
        <v>WATER SYSTEM (B12)</v>
      </c>
      <c r="G13" s="59" t="str">
        <f t="array" ref="G13">_xlfn.XLOOKUP($B13, DB[samplingPoint], DB[building])</f>
        <v>Building 12</v>
      </c>
      <c r="H13" s="40" t="str">
        <f t="array" ref="H13">_xlfn.XLOOKUP($B13, DB[samplingPoint], DB[location])</f>
        <v>After RO (Before EDI) (B12)</v>
      </c>
      <c r="I13" s="40" t="str">
        <f t="array" ref="I13">_xlfn.XLOOKUP($B13, DB[samplingPoint], DB[waterType])</f>
        <v>RO water</v>
      </c>
      <c r="J13" s="60">
        <f t="shared" si="1"/>
        <v>46029</v>
      </c>
      <c r="K13" s="26">
        <v>46032.0</v>
      </c>
      <c r="L13" s="32">
        <v>0.0</v>
      </c>
      <c r="M13" s="32">
        <v>0.0</v>
      </c>
      <c r="N13" s="32">
        <f t="shared" si="2"/>
        <v>0</v>
      </c>
      <c r="O13" s="49" t="s">
        <v>376</v>
      </c>
      <c r="P13" s="32">
        <f t="array" ref="P13">_xlfn.XLOOKUP($B13, DB[samplingPoint], DB[Criteria])</f>
        <v>500</v>
      </c>
      <c r="Q13" s="50" t="str">
        <f t="shared" si="3"/>
        <v>PASSED</v>
      </c>
      <c r="R13" s="38" t="b">
        <v>0</v>
      </c>
      <c r="S13" s="32" t="s">
        <v>384</v>
      </c>
      <c r="T13" s="39" t="s">
        <v>386</v>
      </c>
      <c r="U13" s="32" t="s">
        <v>381</v>
      </c>
    </row>
    <row r="14" ht="22.5" customHeight="1">
      <c r="A14" s="26">
        <v>46028.0</v>
      </c>
      <c r="B14" s="39" t="s">
        <v>440</v>
      </c>
      <c r="C14" s="32" t="str">
        <f t="array" ref="C14">_xlfn.XLOOKUP(B14, DB[samplingPoint], DB[samplingTag])</f>
        <v>V50-39 (12)</v>
      </c>
      <c r="D14" s="33" t="s">
        <v>375</v>
      </c>
      <c r="E14" s="38" t="b">
        <v>1</v>
      </c>
      <c r="F14" s="39" t="str">
        <f t="array" ref="F14">_xlfn.XLOOKUP($B14, DB[samplingPoint], DB[noLocation])</f>
        <v>WATER SYSTEM (B12)</v>
      </c>
      <c r="G14" s="59" t="str">
        <f t="array" ref="G14">_xlfn.XLOOKUP($B14, DB[samplingPoint], DB[building])</f>
        <v>Building 12</v>
      </c>
      <c r="H14" s="40" t="str">
        <f t="array" ref="H14">_xlfn.XLOOKUP($B14, DB[samplingPoint], DB[location])</f>
        <v>After EDI (B12)</v>
      </c>
      <c r="I14" s="40" t="str">
        <f t="array" ref="I14">_xlfn.XLOOKUP($B14, DB[samplingPoint], DB[waterType])</f>
        <v>PW</v>
      </c>
      <c r="J14" s="60">
        <f t="shared" si="1"/>
        <v>46029</v>
      </c>
      <c r="K14" s="26">
        <v>46032.0</v>
      </c>
      <c r="L14" s="32">
        <v>0.0</v>
      </c>
      <c r="M14" s="32">
        <v>0.0</v>
      </c>
      <c r="N14" s="32">
        <f t="shared" si="2"/>
        <v>0</v>
      </c>
      <c r="O14" s="49" t="s">
        <v>376</v>
      </c>
      <c r="P14" s="32">
        <f t="array" ref="P14">_xlfn.XLOOKUP($B14, DB[samplingPoint], DB[Criteria])</f>
        <v>100</v>
      </c>
      <c r="Q14" s="50" t="str">
        <f t="shared" si="3"/>
        <v>PASSED</v>
      </c>
      <c r="R14" s="38" t="b">
        <v>0</v>
      </c>
      <c r="S14" s="32" t="s">
        <v>384</v>
      </c>
      <c r="T14" s="39" t="s">
        <v>386</v>
      </c>
      <c r="U14" s="32" t="s">
        <v>381</v>
      </c>
    </row>
    <row r="15" ht="22.5" customHeight="1">
      <c r="A15" s="26">
        <v>46028.0</v>
      </c>
      <c r="B15" s="39" t="s">
        <v>442</v>
      </c>
      <c r="C15" s="32" t="str">
        <f t="array" ref="C15">_xlfn.XLOOKUP(B15, DB[samplingPoint], DB[samplingTag])</f>
        <v>V50-61 (12)</v>
      </c>
      <c r="D15" s="33" t="s">
        <v>375</v>
      </c>
      <c r="E15" s="38" t="b">
        <v>1</v>
      </c>
      <c r="F15" s="39" t="str">
        <f t="array" ref="F15">_xlfn.XLOOKUP($B15, DB[samplingPoint], DB[noLocation])</f>
        <v>WATER SYSTEM (B12)</v>
      </c>
      <c r="G15" s="59" t="str">
        <f t="array" ref="G15">_xlfn.XLOOKUP($B15, DB[samplingPoint], DB[building])</f>
        <v>Building 12</v>
      </c>
      <c r="H15" s="40" t="str">
        <f t="array" ref="H15">_xlfn.XLOOKUP($B15, DB[samplingPoint], DB[location])</f>
        <v>After Cartridge filter 5 µm (B12)</v>
      </c>
      <c r="I15" s="40" t="str">
        <f t="array" ref="I15">_xlfn.XLOOKUP($B15, DB[samplingPoint], DB[waterType])</f>
        <v>PRW</v>
      </c>
      <c r="J15" s="60">
        <f t="shared" si="1"/>
        <v>46029</v>
      </c>
      <c r="K15" s="26">
        <v>46032.0</v>
      </c>
      <c r="L15" s="32">
        <v>2.0</v>
      </c>
      <c r="M15" s="32">
        <v>2.0</v>
      </c>
      <c r="N15" s="32">
        <f t="shared" si="2"/>
        <v>2</v>
      </c>
      <c r="O15" s="49" t="s">
        <v>376</v>
      </c>
      <c r="P15" s="32">
        <f t="array" ref="P15">_xlfn.XLOOKUP($B15, DB[samplingPoint], DB[Criteria])</f>
        <v>500</v>
      </c>
      <c r="Q15" s="50" t="str">
        <f t="shared" si="3"/>
        <v>PASSED</v>
      </c>
      <c r="R15" s="38" t="b">
        <v>0</v>
      </c>
      <c r="S15" s="32" t="s">
        <v>384</v>
      </c>
      <c r="T15" s="39" t="s">
        <v>386</v>
      </c>
      <c r="U15" s="32" t="s">
        <v>381</v>
      </c>
    </row>
    <row r="16" ht="22.5" customHeight="1">
      <c r="A16" s="26">
        <v>46028.0</v>
      </c>
      <c r="B16" s="39" t="s">
        <v>444</v>
      </c>
      <c r="C16" s="32" t="str">
        <f t="array" ref="C16">_xlfn.XLOOKUP(B16, DB[samplingPoint], DB[samplingTag])</f>
        <v>VB-05 (12)</v>
      </c>
      <c r="D16" s="33" t="s">
        <v>375</v>
      </c>
      <c r="E16" s="38" t="b">
        <v>1</v>
      </c>
      <c r="F16" s="39" t="str">
        <f t="array" ref="F16">_xlfn.XLOOKUP($B16, DB[samplingPoint], DB[noLocation])</f>
        <v>WATER SYSTEM (B12)</v>
      </c>
      <c r="G16" s="59" t="str">
        <f t="array" ref="G16">_xlfn.XLOOKUP($B16, DB[samplingPoint], DB[building])</f>
        <v>Building 12</v>
      </c>
      <c r="H16" s="40" t="str">
        <f t="array" ref="H16">_xlfn.XLOOKUP($B16, DB[samplingPoint], DB[location])</f>
        <v>After Chlorine circulation tank</v>
      </c>
      <c r="I16" s="40" t="str">
        <f t="array" ref="I16">_xlfn.XLOOKUP($B16, DB[samplingPoint], DB[waterType])</f>
        <v>PRW</v>
      </c>
      <c r="J16" s="60">
        <f t="shared" si="1"/>
        <v>46029</v>
      </c>
      <c r="K16" s="26">
        <v>46032.0</v>
      </c>
      <c r="L16" s="32">
        <v>0.0</v>
      </c>
      <c r="M16" s="32">
        <v>0.0</v>
      </c>
      <c r="N16" s="32">
        <f t="shared" si="2"/>
        <v>0</v>
      </c>
      <c r="O16" s="49" t="s">
        <v>376</v>
      </c>
      <c r="P16" s="32">
        <f t="array" ref="P16">_xlfn.XLOOKUP($B16, DB[samplingPoint], DB[Criteria])</f>
        <v>500</v>
      </c>
      <c r="Q16" s="50" t="str">
        <f t="shared" si="3"/>
        <v>PASSED</v>
      </c>
      <c r="R16" s="38" t="b">
        <v>0</v>
      </c>
      <c r="S16" s="32" t="s">
        <v>384</v>
      </c>
      <c r="T16" s="39" t="s">
        <v>386</v>
      </c>
      <c r="U16" s="32" t="s">
        <v>381</v>
      </c>
    </row>
    <row r="17" ht="22.5" customHeight="1">
      <c r="A17" s="26">
        <v>46028.0</v>
      </c>
      <c r="B17" s="39" t="s">
        <v>447</v>
      </c>
      <c r="C17" s="32" t="str">
        <f t="array" ref="C17">_xlfn.XLOOKUP(B17, DB[samplingPoint], DB[samplingTag])</f>
        <v>DV126.01</v>
      </c>
      <c r="D17" s="33" t="s">
        <v>375</v>
      </c>
      <c r="E17" s="38" t="b">
        <v>1</v>
      </c>
      <c r="F17" s="39" t="str">
        <f t="array" ref="F17">_xlfn.XLOOKUP($B17, DB[samplingPoint], DB[noLocation])</f>
        <v>16-1-082</v>
      </c>
      <c r="G17" s="59" t="str">
        <f t="array" ref="G17">_xlfn.XLOOKUP($B17, DB[samplingPoint], DB[building])</f>
        <v>Building 16</v>
      </c>
      <c r="H17" s="40" t="str">
        <f t="array" ref="H17">_xlfn.XLOOKUP($B17, DB[samplingPoint], DB[location])</f>
        <v>WASHING</v>
      </c>
      <c r="I17" s="40" t="str">
        <f t="array" ref="I17">_xlfn.XLOOKUP($B17, DB[samplingPoint], DB[waterType])</f>
        <v>PW</v>
      </c>
      <c r="J17" s="60">
        <f t="shared" si="1"/>
        <v>46029</v>
      </c>
      <c r="K17" s="26">
        <v>46032.0</v>
      </c>
      <c r="L17" s="32">
        <v>0.0</v>
      </c>
      <c r="M17" s="32">
        <v>0.0</v>
      </c>
      <c r="N17" s="32">
        <f t="shared" si="2"/>
        <v>0</v>
      </c>
      <c r="O17" s="49" t="s">
        <v>376</v>
      </c>
      <c r="P17" s="32">
        <f t="array" ref="P17">_xlfn.XLOOKUP($B17, DB[samplingPoint], DB[Criteria])</f>
        <v>100</v>
      </c>
      <c r="Q17" s="50" t="str">
        <f t="shared" si="3"/>
        <v>PASSED</v>
      </c>
      <c r="R17" s="38" t="b">
        <v>0</v>
      </c>
      <c r="S17" s="32" t="s">
        <v>450</v>
      </c>
      <c r="T17" s="39" t="s">
        <v>386</v>
      </c>
      <c r="U17" s="32" t="s">
        <v>381</v>
      </c>
    </row>
    <row r="18" ht="22.5" customHeight="1">
      <c r="A18" s="26">
        <v>46028.0</v>
      </c>
      <c r="B18" s="39" t="s">
        <v>451</v>
      </c>
      <c r="C18" s="32" t="str">
        <f t="array" ref="C18">_xlfn.XLOOKUP(B18, DB[samplingPoint], DB[samplingTag])</f>
        <v>DV126.02</v>
      </c>
      <c r="D18" s="33" t="s">
        <v>375</v>
      </c>
      <c r="E18" s="38" t="b">
        <v>1</v>
      </c>
      <c r="F18" s="39" t="str">
        <f t="array" ref="F18">_xlfn.XLOOKUP($B18, DB[samplingPoint], DB[noLocation])</f>
        <v>16-1-082</v>
      </c>
      <c r="G18" s="59" t="str">
        <f t="array" ref="G18">_xlfn.XLOOKUP($B18, DB[samplingPoint], DB[building])</f>
        <v>Building 16</v>
      </c>
      <c r="H18" s="40" t="str">
        <f t="array" ref="H18">_xlfn.XLOOKUP($B18, DB[samplingPoint], DB[location])</f>
        <v>WASHING</v>
      </c>
      <c r="I18" s="40" t="str">
        <f t="array" ref="I18">_xlfn.XLOOKUP($B18, DB[samplingPoint], DB[waterType])</f>
        <v>PW</v>
      </c>
      <c r="J18" s="60">
        <f t="shared" si="1"/>
        <v>46029</v>
      </c>
      <c r="K18" s="26">
        <v>46032.0</v>
      </c>
      <c r="L18" s="32">
        <v>0.0</v>
      </c>
      <c r="M18" s="32">
        <v>0.0</v>
      </c>
      <c r="N18" s="32">
        <f t="shared" si="2"/>
        <v>0</v>
      </c>
      <c r="O18" s="49" t="s">
        <v>376</v>
      </c>
      <c r="P18" s="32">
        <f t="array" ref="P18">_xlfn.XLOOKUP($B18, DB[samplingPoint], DB[Criteria])</f>
        <v>100</v>
      </c>
      <c r="Q18" s="50" t="str">
        <f t="shared" si="3"/>
        <v>PASSED</v>
      </c>
      <c r="R18" s="38" t="b">
        <v>0</v>
      </c>
      <c r="S18" s="32" t="s">
        <v>450</v>
      </c>
      <c r="T18" s="39" t="s">
        <v>386</v>
      </c>
      <c r="U18" s="32" t="s">
        <v>381</v>
      </c>
    </row>
    <row r="19" ht="22.5" customHeight="1">
      <c r="A19" s="26">
        <v>46028.0</v>
      </c>
      <c r="B19" s="39" t="s">
        <v>454</v>
      </c>
      <c r="C19" s="32" t="str">
        <f t="array" ref="C19">_xlfn.XLOOKUP(B19, DB[samplingPoint], DB[samplingTag])</f>
        <v>DV126.03</v>
      </c>
      <c r="D19" s="33" t="s">
        <v>375</v>
      </c>
      <c r="E19" s="38" t="b">
        <v>1</v>
      </c>
      <c r="F19" s="39" t="str">
        <f t="array" ref="F19">_xlfn.XLOOKUP($B19, DB[samplingPoint], DB[noLocation])</f>
        <v>16-1-098</v>
      </c>
      <c r="G19" s="59" t="str">
        <f t="array" ref="G19">_xlfn.XLOOKUP($B19, DB[samplingPoint], DB[building])</f>
        <v>Building 16</v>
      </c>
      <c r="H19" s="40" t="str">
        <f t="array" ref="H19">_xlfn.XLOOKUP($B19, DB[samplingPoint], DB[location])</f>
        <v>CIP/SIP (SINK WASHING)</v>
      </c>
      <c r="I19" s="40" t="str">
        <f t="array" ref="I19">_xlfn.XLOOKUP($B19, DB[samplingPoint], DB[waterType])</f>
        <v>PW</v>
      </c>
      <c r="J19" s="60">
        <f t="shared" si="1"/>
        <v>46029</v>
      </c>
      <c r="K19" s="26">
        <v>46032.0</v>
      </c>
      <c r="L19" s="32">
        <v>0.0</v>
      </c>
      <c r="M19" s="32">
        <v>0.0</v>
      </c>
      <c r="N19" s="32">
        <f t="shared" si="2"/>
        <v>0</v>
      </c>
      <c r="O19" s="49" t="s">
        <v>376</v>
      </c>
      <c r="P19" s="32">
        <f t="array" ref="P19">_xlfn.XLOOKUP($B19, DB[samplingPoint], DB[Criteria])</f>
        <v>100</v>
      </c>
      <c r="Q19" s="50" t="str">
        <f t="shared" si="3"/>
        <v>PASSED</v>
      </c>
      <c r="R19" s="38" t="b">
        <v>0</v>
      </c>
      <c r="S19" s="32" t="s">
        <v>450</v>
      </c>
      <c r="T19" s="39" t="s">
        <v>386</v>
      </c>
      <c r="U19" s="32" t="s">
        <v>381</v>
      </c>
    </row>
    <row r="20" ht="22.5" customHeight="1">
      <c r="A20" s="26">
        <v>46028.0</v>
      </c>
      <c r="B20" s="39" t="s">
        <v>457</v>
      </c>
      <c r="C20" s="32" t="str">
        <f t="array" ref="C20">_xlfn.XLOOKUP(B20, DB[samplingPoint], DB[samplingTag])</f>
        <v>SV126.01</v>
      </c>
      <c r="D20" s="33" t="s">
        <v>375</v>
      </c>
      <c r="E20" s="38" t="b">
        <v>1</v>
      </c>
      <c r="F20" s="39" t="str">
        <f t="array" ref="F20">_xlfn.XLOOKUP($B20, DB[samplingPoint], DB[noLocation])</f>
        <v>16-1-092</v>
      </c>
      <c r="G20" s="59" t="str">
        <f t="array" ref="G20">_xlfn.XLOOKUP($B20, DB[samplingPoint], DB[building])</f>
        <v>Building 16</v>
      </c>
      <c r="H20" s="40" t="str">
        <f t="array" ref="H20">_xlfn.XLOOKUP($B20, DB[samplingPoint], DB[location])</f>
        <v>LINEN WASHING</v>
      </c>
      <c r="I20" s="40" t="str">
        <f t="array" ref="I20">_xlfn.XLOOKUP($B20, DB[samplingPoint], DB[waterType])</f>
        <v>PW</v>
      </c>
      <c r="J20" s="60">
        <f t="shared" si="1"/>
        <v>46029</v>
      </c>
      <c r="K20" s="26">
        <v>46032.0</v>
      </c>
      <c r="L20" s="32">
        <v>0.0</v>
      </c>
      <c r="M20" s="32">
        <v>0.0</v>
      </c>
      <c r="N20" s="32">
        <f t="shared" si="2"/>
        <v>0</v>
      </c>
      <c r="O20" s="49" t="s">
        <v>376</v>
      </c>
      <c r="P20" s="32">
        <f t="array" ref="P20">_xlfn.XLOOKUP($B20, DB[samplingPoint], DB[Criteria])</f>
        <v>100</v>
      </c>
      <c r="Q20" s="50" t="str">
        <f t="shared" si="3"/>
        <v>PASSED</v>
      </c>
      <c r="R20" s="38" t="b">
        <v>0</v>
      </c>
      <c r="S20" s="32" t="s">
        <v>450</v>
      </c>
      <c r="T20" s="39" t="s">
        <v>386</v>
      </c>
      <c r="U20" s="32" t="s">
        <v>381</v>
      </c>
    </row>
    <row r="21" ht="22.5" customHeight="1">
      <c r="A21" s="26">
        <v>46028.0</v>
      </c>
      <c r="B21" s="39" t="s">
        <v>459</v>
      </c>
      <c r="C21" s="32" t="str">
        <f t="array" ref="C21">_xlfn.XLOOKUP(B21, DB[samplingPoint], DB[samplingTag])</f>
        <v>SV126.02</v>
      </c>
      <c r="D21" s="33" t="s">
        <v>375</v>
      </c>
      <c r="E21" s="38" t="b">
        <v>1</v>
      </c>
      <c r="F21" s="39" t="str">
        <f t="array" ref="F21">_xlfn.XLOOKUP($B21, DB[samplingPoint], DB[noLocation])</f>
        <v>16-1-098</v>
      </c>
      <c r="G21" s="59" t="str">
        <f t="array" ref="G21">_xlfn.XLOOKUP($B21, DB[samplingPoint], DB[building])</f>
        <v>Building 16</v>
      </c>
      <c r="H21" s="40" t="str">
        <f t="array" ref="H21">_xlfn.XLOOKUP($B21, DB[samplingPoint], DB[location])</f>
        <v>CIP/SIP (EQUIPMENT REQUIREMENT – 200L)</v>
      </c>
      <c r="I21" s="40" t="str">
        <f t="array" ref="I21">_xlfn.XLOOKUP($B21, DB[samplingPoint], DB[waterType])</f>
        <v>PW</v>
      </c>
      <c r="J21" s="60">
        <f t="shared" si="1"/>
        <v>46029</v>
      </c>
      <c r="K21" s="26">
        <v>46032.0</v>
      </c>
      <c r="L21" s="32">
        <v>0.0</v>
      </c>
      <c r="M21" s="32">
        <v>0.0</v>
      </c>
      <c r="N21" s="32">
        <f t="shared" si="2"/>
        <v>0</v>
      </c>
      <c r="O21" s="49" t="s">
        <v>376</v>
      </c>
      <c r="P21" s="32">
        <f t="array" ref="P21">_xlfn.XLOOKUP($B21, DB[samplingPoint], DB[Criteria])</f>
        <v>100</v>
      </c>
      <c r="Q21" s="50" t="str">
        <f t="shared" si="3"/>
        <v>PASSED</v>
      </c>
      <c r="R21" s="38" t="b">
        <v>0</v>
      </c>
      <c r="S21" s="32" t="s">
        <v>450</v>
      </c>
      <c r="T21" s="39" t="s">
        <v>386</v>
      </c>
      <c r="U21" s="32" t="s">
        <v>381</v>
      </c>
    </row>
    <row r="22" ht="22.5" customHeight="1">
      <c r="A22" s="26">
        <v>46028.0</v>
      </c>
      <c r="B22" s="39" t="s">
        <v>461</v>
      </c>
      <c r="C22" s="32" t="str">
        <f t="array" ref="C22">_xlfn.XLOOKUP(B22, DB[samplingPoint], DB[samplingTag])</f>
        <v>SV126.03</v>
      </c>
      <c r="D22" s="33" t="s">
        <v>375</v>
      </c>
      <c r="E22" s="38" t="b">
        <v>1</v>
      </c>
      <c r="F22" s="39" t="str">
        <f t="array" ref="F22">_xlfn.XLOOKUP($B22, DB[samplingPoint], DB[noLocation])</f>
        <v>16-2-010</v>
      </c>
      <c r="G22" s="59" t="str">
        <f t="array" ref="G22">_xlfn.XLOOKUP($B22, DB[samplingPoint], DB[building])</f>
        <v>Building 16</v>
      </c>
      <c r="H22" s="40" t="str">
        <f t="array" ref="H22">_xlfn.XLOOKUP($B22, DB[samplingPoint], DB[location])</f>
        <v>WATER SYSTEM (WFI)</v>
      </c>
      <c r="I22" s="40" t="str">
        <f t="array" ref="I22">_xlfn.XLOOKUP($B22, DB[samplingPoint], DB[waterType])</f>
        <v>PW</v>
      </c>
      <c r="J22" s="60">
        <f t="shared" si="1"/>
        <v>46029</v>
      </c>
      <c r="K22" s="26">
        <v>46032.0</v>
      </c>
      <c r="L22" s="32">
        <v>0.0</v>
      </c>
      <c r="M22" s="32">
        <v>0.0</v>
      </c>
      <c r="N22" s="32">
        <f t="shared" si="2"/>
        <v>0</v>
      </c>
      <c r="O22" s="49" t="s">
        <v>376</v>
      </c>
      <c r="P22" s="32">
        <f t="array" ref="P22">_xlfn.XLOOKUP($B22, DB[samplingPoint], DB[Criteria])</f>
        <v>100</v>
      </c>
      <c r="Q22" s="50" t="str">
        <f t="shared" si="3"/>
        <v>PASSED</v>
      </c>
      <c r="R22" s="38" t="b">
        <v>0</v>
      </c>
      <c r="S22" s="32" t="s">
        <v>450</v>
      </c>
      <c r="T22" s="39" t="s">
        <v>386</v>
      </c>
      <c r="U22" s="32" t="s">
        <v>381</v>
      </c>
    </row>
    <row r="23" ht="22.5" customHeight="1">
      <c r="A23" s="26">
        <v>46028.0</v>
      </c>
      <c r="B23" s="39" t="s">
        <v>464</v>
      </c>
      <c r="C23" s="32" t="str">
        <f t="array" ref="C23">_xlfn.XLOOKUP(B23, DB[samplingPoint], DB[samplingTag])</f>
        <v>SV127.01</v>
      </c>
      <c r="D23" s="33" t="s">
        <v>375</v>
      </c>
      <c r="E23" s="38" t="b">
        <v>1</v>
      </c>
      <c r="F23" s="39" t="str">
        <f t="array" ref="F23">_xlfn.XLOOKUP($B23, DB[samplingPoint], DB[noLocation])</f>
        <v>WATER SYSTEM (B16)</v>
      </c>
      <c r="G23" s="59" t="str">
        <f t="array" ref="G23">_xlfn.XLOOKUP($B23, DB[samplingPoint], DB[building])</f>
        <v>Building 16</v>
      </c>
      <c r="H23" s="40" t="str">
        <f t="array" ref="H23">_xlfn.XLOOKUP($B23, DB[samplingPoint], DB[location])</f>
        <v>Return loop (B16)</v>
      </c>
      <c r="I23" s="40" t="str">
        <f t="array" ref="I23">_xlfn.XLOOKUP($B23, DB[samplingPoint], DB[waterType])</f>
        <v>PW</v>
      </c>
      <c r="J23" s="60">
        <f t="shared" si="1"/>
        <v>46029</v>
      </c>
      <c r="K23" s="26">
        <v>46032.0</v>
      </c>
      <c r="L23" s="32">
        <v>0.0</v>
      </c>
      <c r="M23" s="32">
        <v>0.0</v>
      </c>
      <c r="N23" s="32">
        <f t="shared" si="2"/>
        <v>0</v>
      </c>
      <c r="O23" s="49" t="s">
        <v>376</v>
      </c>
      <c r="P23" s="32">
        <f t="array" ref="P23">_xlfn.XLOOKUP($B23, DB[samplingPoint], DB[Criteria])</f>
        <v>100</v>
      </c>
      <c r="Q23" s="50" t="str">
        <f t="shared" si="3"/>
        <v>PASSED</v>
      </c>
      <c r="R23" s="38" t="b">
        <v>0</v>
      </c>
      <c r="S23" s="32" t="s">
        <v>450</v>
      </c>
      <c r="T23" s="39" t="s">
        <v>386</v>
      </c>
      <c r="U23" s="32" t="s">
        <v>381</v>
      </c>
    </row>
    <row r="24" ht="22.5" customHeight="1">
      <c r="A24" s="26">
        <v>46028.0</v>
      </c>
      <c r="B24" s="39" t="s">
        <v>466</v>
      </c>
      <c r="C24" s="32" t="str">
        <f t="array" ref="C24">_xlfn.XLOOKUP(B24, DB[samplingPoint], DB[samplingTag])</f>
        <v>V50-11C (16)</v>
      </c>
      <c r="D24" s="33" t="s">
        <v>375</v>
      </c>
      <c r="E24" s="38" t="b">
        <v>1</v>
      </c>
      <c r="F24" s="39" t="str">
        <f t="array" ref="F24">_xlfn.XLOOKUP($B24, DB[samplingPoint], DB[noLocation])</f>
        <v>WATER SYSTEM (B16)</v>
      </c>
      <c r="G24" s="59" t="str">
        <f t="array" ref="G24">_xlfn.XLOOKUP($B24, DB[samplingPoint], DB[building])</f>
        <v>Building 16</v>
      </c>
      <c r="H24" s="40" t="str">
        <f t="array" ref="H24">_xlfn.XLOOKUP($B24, DB[samplingPoint], DB[location])</f>
        <v>After RO (Before EDI) (B16)</v>
      </c>
      <c r="I24" s="40" t="str">
        <f t="array" ref="I24">_xlfn.XLOOKUP($B24, DB[samplingPoint], DB[waterType])</f>
        <v>RO water</v>
      </c>
      <c r="J24" s="60">
        <f t="shared" si="1"/>
        <v>46029</v>
      </c>
      <c r="K24" s="26">
        <v>46032.0</v>
      </c>
      <c r="L24" s="32">
        <v>0.0</v>
      </c>
      <c r="M24" s="32">
        <v>0.0</v>
      </c>
      <c r="N24" s="32">
        <f t="shared" si="2"/>
        <v>0</v>
      </c>
      <c r="O24" s="49" t="s">
        <v>376</v>
      </c>
      <c r="P24" s="32">
        <f t="array" ref="P24">_xlfn.XLOOKUP($B24, DB[samplingPoint], DB[Criteria])</f>
        <v>500</v>
      </c>
      <c r="Q24" s="50" t="str">
        <f t="shared" si="3"/>
        <v>PASSED</v>
      </c>
      <c r="R24" s="38" t="b">
        <v>0</v>
      </c>
      <c r="S24" s="32" t="s">
        <v>450</v>
      </c>
      <c r="T24" s="39" t="s">
        <v>386</v>
      </c>
      <c r="U24" s="32" t="s">
        <v>381</v>
      </c>
    </row>
    <row r="25" ht="22.5" customHeight="1">
      <c r="A25" s="26">
        <v>46028.0</v>
      </c>
      <c r="B25" s="39" t="s">
        <v>468</v>
      </c>
      <c r="C25" s="32" t="str">
        <f t="array" ref="C25">_xlfn.XLOOKUP(B25, DB[samplingPoint], DB[samplingTag])</f>
        <v>V50-39 (16)</v>
      </c>
      <c r="D25" s="33" t="s">
        <v>375</v>
      </c>
      <c r="E25" s="38" t="b">
        <v>1</v>
      </c>
      <c r="F25" s="39" t="str">
        <f t="array" ref="F25">_xlfn.XLOOKUP($B25, DB[samplingPoint], DB[noLocation])</f>
        <v>WATER SYSTEM (B16)</v>
      </c>
      <c r="G25" s="59" t="str">
        <f t="array" ref="G25">_xlfn.XLOOKUP($B25, DB[samplingPoint], DB[building])</f>
        <v>Building 16</v>
      </c>
      <c r="H25" s="40" t="str">
        <f t="array" ref="H25">_xlfn.XLOOKUP($B25, DB[samplingPoint], DB[location])</f>
        <v>After EDI (B16)</v>
      </c>
      <c r="I25" s="40" t="str">
        <f t="array" ref="I25">_xlfn.XLOOKUP($B25, DB[samplingPoint], DB[waterType])</f>
        <v>PW</v>
      </c>
      <c r="J25" s="60">
        <f t="shared" si="1"/>
        <v>46029</v>
      </c>
      <c r="K25" s="26">
        <v>46032.0</v>
      </c>
      <c r="L25" s="32">
        <v>0.0</v>
      </c>
      <c r="M25" s="32">
        <v>0.0</v>
      </c>
      <c r="N25" s="32">
        <f t="shared" si="2"/>
        <v>0</v>
      </c>
      <c r="O25" s="49" t="s">
        <v>376</v>
      </c>
      <c r="P25" s="32">
        <f t="array" ref="P25">_xlfn.XLOOKUP($B25, DB[samplingPoint], DB[Criteria])</f>
        <v>100</v>
      </c>
      <c r="Q25" s="50" t="str">
        <f t="shared" si="3"/>
        <v>PASSED</v>
      </c>
      <c r="R25" s="38" t="b">
        <v>0</v>
      </c>
      <c r="S25" s="32" t="s">
        <v>450</v>
      </c>
      <c r="T25" s="39" t="s">
        <v>386</v>
      </c>
      <c r="U25" s="32" t="s">
        <v>381</v>
      </c>
    </row>
    <row r="26" ht="22.5" customHeight="1">
      <c r="A26" s="26">
        <v>46028.0</v>
      </c>
      <c r="B26" s="39" t="s">
        <v>470</v>
      </c>
      <c r="C26" s="32" t="str">
        <f t="array" ref="C26">_xlfn.XLOOKUP(B26, DB[samplingPoint], DB[samplingTag])</f>
        <v>V50-61 (16)</v>
      </c>
      <c r="D26" s="33" t="s">
        <v>375</v>
      </c>
      <c r="E26" s="38" t="b">
        <v>1</v>
      </c>
      <c r="F26" s="39" t="str">
        <f t="array" ref="F26">_xlfn.XLOOKUP($B26, DB[samplingPoint], DB[noLocation])</f>
        <v>WATER SYSTEM (B16)</v>
      </c>
      <c r="G26" s="59" t="str">
        <f t="array" ref="G26">_xlfn.XLOOKUP($B26, DB[samplingPoint], DB[building])</f>
        <v>Building 16</v>
      </c>
      <c r="H26" s="40" t="str">
        <f t="array" ref="H26">_xlfn.XLOOKUP($B26, DB[samplingPoint], DB[location])</f>
        <v>After Cartridge filter 5 µm (B16)</v>
      </c>
      <c r="I26" s="40" t="str">
        <f t="array" ref="I26">_xlfn.XLOOKUP($B26, DB[samplingPoint], DB[waterType])</f>
        <v>PRW</v>
      </c>
      <c r="J26" s="60">
        <f t="shared" si="1"/>
        <v>46029</v>
      </c>
      <c r="K26" s="26">
        <v>46032.0</v>
      </c>
      <c r="L26" s="32">
        <v>111.0</v>
      </c>
      <c r="M26" s="32">
        <v>5.0</v>
      </c>
      <c r="N26" s="32">
        <f t="shared" si="2"/>
        <v>58</v>
      </c>
      <c r="O26" s="49" t="s">
        <v>376</v>
      </c>
      <c r="P26" s="32">
        <f t="array" ref="P26">_xlfn.XLOOKUP($B26, DB[samplingPoint], DB[Criteria])</f>
        <v>500</v>
      </c>
      <c r="Q26" s="50" t="str">
        <f t="shared" si="3"/>
        <v>PASSED</v>
      </c>
      <c r="R26" s="38" t="b">
        <v>0</v>
      </c>
      <c r="S26" s="32" t="s">
        <v>450</v>
      </c>
      <c r="T26" s="39" t="s">
        <v>386</v>
      </c>
      <c r="U26" s="32" t="s">
        <v>381</v>
      </c>
    </row>
    <row r="27" ht="22.5" customHeight="1">
      <c r="A27" s="26">
        <v>46028.0</v>
      </c>
      <c r="B27" s="39" t="s">
        <v>471</v>
      </c>
      <c r="C27" s="32" t="str">
        <f t="array" ref="C27">_xlfn.XLOOKUP(B27, DB[samplingPoint], DB[samplingTag])</f>
        <v>VB-05 (16)</v>
      </c>
      <c r="D27" s="33" t="s">
        <v>375</v>
      </c>
      <c r="E27" s="38" t="b">
        <v>1</v>
      </c>
      <c r="F27" s="39" t="str">
        <f t="array" ref="F27">_xlfn.XLOOKUP($B27, DB[samplingPoint], DB[noLocation])</f>
        <v>WATER SYSTEM (B16)</v>
      </c>
      <c r="G27" s="59" t="str">
        <f t="array" ref="G27">_xlfn.XLOOKUP($B27, DB[samplingPoint], DB[building])</f>
        <v>Building 16</v>
      </c>
      <c r="H27" s="40" t="str">
        <f t="array" ref="H27">_xlfn.XLOOKUP($B27, DB[samplingPoint], DB[location])</f>
        <v>After Chlorine circulation tank (B16)</v>
      </c>
      <c r="I27" s="40" t="str">
        <f t="array" ref="I27">_xlfn.XLOOKUP($B27, DB[samplingPoint], DB[waterType])</f>
        <v>PRW</v>
      </c>
      <c r="J27" s="60">
        <f t="shared" si="1"/>
        <v>46029</v>
      </c>
      <c r="K27" s="26">
        <v>46032.0</v>
      </c>
      <c r="L27" s="32">
        <v>0.0</v>
      </c>
      <c r="M27" s="32">
        <v>0.0</v>
      </c>
      <c r="N27" s="32">
        <f t="shared" si="2"/>
        <v>0</v>
      </c>
      <c r="O27" s="49" t="s">
        <v>376</v>
      </c>
      <c r="P27" s="32">
        <f t="array" ref="P27">_xlfn.XLOOKUP($B27, DB[samplingPoint], DB[Criteria])</f>
        <v>500</v>
      </c>
      <c r="Q27" s="50" t="str">
        <f t="shared" si="3"/>
        <v>PASSED</v>
      </c>
      <c r="R27" s="38" t="b">
        <v>0</v>
      </c>
      <c r="S27" s="32" t="s">
        <v>450</v>
      </c>
      <c r="T27" s="39" t="s">
        <v>386</v>
      </c>
      <c r="U27" s="32" t="s">
        <v>381</v>
      </c>
    </row>
    <row r="28" ht="22.5" customHeight="1">
      <c r="A28" s="26">
        <v>46031.0</v>
      </c>
      <c r="B28" s="39" t="s">
        <v>431</v>
      </c>
      <c r="C28" s="32" t="str">
        <f t="array" ref="C28">_xlfn.XLOOKUP(B28, DB[samplingPoint], DB[samplingTag])</f>
        <v>SV-14</v>
      </c>
      <c r="D28" s="33" t="s">
        <v>375</v>
      </c>
      <c r="E28" s="38" t="b">
        <v>1</v>
      </c>
      <c r="F28" s="39" t="str">
        <f t="array" ref="F28">_xlfn.XLOOKUP($B28, DB[samplingPoint], DB[noLocation])</f>
        <v>PROCESS WATER (B19)</v>
      </c>
      <c r="G28" s="59" t="str">
        <f t="array" ref="G28">_xlfn.XLOOKUP($B28, DB[samplingPoint], DB[building])</f>
        <v>Building 19</v>
      </c>
      <c r="H28" s="40" t="str">
        <f t="array" ref="H28">_xlfn.XLOOKUP($B28, DB[samplingPoint], DB[location])</f>
        <v>AFTER RO SYSTEM NO.12 SV14</v>
      </c>
      <c r="I28" s="39" t="str">
        <f t="array" ref="I28">_xlfn.XLOOKUP($B28, DB[samplingPoint], DB[waterType])</f>
        <v>PRW</v>
      </c>
      <c r="J28" s="43">
        <f t="shared" si="1"/>
        <v>46032</v>
      </c>
      <c r="K28" s="26">
        <v>46035.0</v>
      </c>
      <c r="L28" s="32">
        <v>0.0</v>
      </c>
      <c r="M28" s="32">
        <v>0.0</v>
      </c>
      <c r="N28" s="32">
        <f t="shared" si="2"/>
        <v>0</v>
      </c>
      <c r="O28" s="49" t="s">
        <v>376</v>
      </c>
      <c r="P28" s="32">
        <f t="array" ref="P28">_xlfn.XLOOKUP($B28, DB[samplingPoint], DB[Criteria])</f>
        <v>500</v>
      </c>
      <c r="Q28" s="50" t="str">
        <f t="shared" si="3"/>
        <v>PASSED</v>
      </c>
      <c r="R28" s="38" t="b">
        <v>0</v>
      </c>
      <c r="S28" s="32" t="s">
        <v>475</v>
      </c>
      <c r="T28" s="39" t="s">
        <v>386</v>
      </c>
      <c r="U28" s="32" t="s">
        <v>381</v>
      </c>
    </row>
    <row r="29" ht="22.5" customHeight="1">
      <c r="A29" s="26">
        <v>46031.0</v>
      </c>
      <c r="B29" s="39" t="s">
        <v>476</v>
      </c>
      <c r="C29" s="32" t="str">
        <f t="array" ref="C29">_xlfn.XLOOKUP(B29, DB[samplingPoint], DB[samplingTag])</f>
        <v>DV116.12</v>
      </c>
      <c r="D29" s="33" t="s">
        <v>375</v>
      </c>
      <c r="E29" s="38" t="b">
        <v>1</v>
      </c>
      <c r="F29" s="39" t="str">
        <f t="array" ref="F29">_xlfn.XLOOKUP($B29, DB[samplingPoint], DB[noLocation])</f>
        <v>10-3-078</v>
      </c>
      <c r="G29" s="59" t="str">
        <f t="array" ref="G29">_xlfn.XLOOKUP($B29, DB[samplingPoint], DB[building])</f>
        <v>Building 10</v>
      </c>
      <c r="H29" s="40" t="str">
        <f t="array" ref="H29">_xlfn.XLOOKUP($B29, DB[samplingPoint], DB[location])</f>
        <v>WASHING</v>
      </c>
      <c r="I29" s="39" t="str">
        <f t="array" ref="I29">_xlfn.XLOOKUP($B29, DB[samplingPoint], DB[waterType])</f>
        <v>PW</v>
      </c>
      <c r="J29" s="43">
        <f t="shared" si="1"/>
        <v>46032</v>
      </c>
      <c r="K29" s="26">
        <v>46035.0</v>
      </c>
      <c r="L29" s="32">
        <v>0.0</v>
      </c>
      <c r="M29" s="32">
        <v>0.0</v>
      </c>
      <c r="N29" s="32">
        <f t="shared" si="2"/>
        <v>0</v>
      </c>
      <c r="O29" s="49" t="s">
        <v>376</v>
      </c>
      <c r="P29" s="32">
        <f t="array" ref="P29">_xlfn.XLOOKUP($B29, DB[samplingPoint], DB[Criteria])</f>
        <v>100</v>
      </c>
      <c r="Q29" s="50" t="str">
        <f t="shared" si="3"/>
        <v>PASSED</v>
      </c>
      <c r="R29" s="38" t="b">
        <v>0</v>
      </c>
      <c r="S29" s="32" t="s">
        <v>477</v>
      </c>
      <c r="T29" s="39" t="s">
        <v>386</v>
      </c>
      <c r="U29" s="32" t="s">
        <v>381</v>
      </c>
    </row>
    <row r="30" ht="22.5" customHeight="1">
      <c r="A30" s="26">
        <v>46031.0</v>
      </c>
      <c r="B30" s="39" t="s">
        <v>479</v>
      </c>
      <c r="C30" s="32" t="str">
        <f t="array" ref="C30">_xlfn.XLOOKUP(B30, DB[samplingPoint], DB[samplingTag])</f>
        <v>DV116.13</v>
      </c>
      <c r="D30" s="33" t="s">
        <v>375</v>
      </c>
      <c r="E30" s="38" t="b">
        <v>1</v>
      </c>
      <c r="F30" s="39" t="str">
        <f t="array" ref="F30">_xlfn.XLOOKUP($B30, DB[samplingPoint], DB[noLocation])</f>
        <v>10-3-078</v>
      </c>
      <c r="G30" s="59" t="str">
        <f t="array" ref="G30">_xlfn.XLOOKUP($B30, DB[samplingPoint], DB[building])</f>
        <v>Building 10</v>
      </c>
      <c r="H30" s="40" t="str">
        <f t="array" ref="H30">_xlfn.XLOOKUP($B30, DB[samplingPoint], DB[location])</f>
        <v>WASHING</v>
      </c>
      <c r="I30" s="39" t="str">
        <f t="array" ref="I30">_xlfn.XLOOKUP($B30, DB[samplingPoint], DB[waterType])</f>
        <v>PW</v>
      </c>
      <c r="J30" s="43">
        <f t="shared" si="1"/>
        <v>46032</v>
      </c>
      <c r="K30" s="26">
        <v>46035.0</v>
      </c>
      <c r="L30" s="32">
        <v>0.0</v>
      </c>
      <c r="M30" s="32">
        <v>0.0</v>
      </c>
      <c r="N30" s="32">
        <f t="shared" si="2"/>
        <v>0</v>
      </c>
      <c r="O30" s="49" t="s">
        <v>376</v>
      </c>
      <c r="P30" s="32">
        <f t="array" ref="P30">_xlfn.XLOOKUP($B30, DB[samplingPoint], DB[Criteria])</f>
        <v>100</v>
      </c>
      <c r="Q30" s="50" t="str">
        <f t="shared" si="3"/>
        <v>PASSED</v>
      </c>
      <c r="R30" s="38" t="b">
        <v>0</v>
      </c>
      <c r="S30" s="32" t="s">
        <v>477</v>
      </c>
      <c r="T30" s="39" t="s">
        <v>386</v>
      </c>
      <c r="U30" s="32" t="s">
        <v>381</v>
      </c>
    </row>
    <row r="31" ht="22.5" customHeight="1">
      <c r="A31" s="26">
        <v>46031.0</v>
      </c>
      <c r="B31" s="39" t="s">
        <v>482</v>
      </c>
      <c r="C31" s="32" t="str">
        <f t="array" ref="C31">_xlfn.XLOOKUP(B31, DB[samplingPoint], DB[samplingTag])</f>
        <v>DV116.14</v>
      </c>
      <c r="D31" s="33" t="s">
        <v>375</v>
      </c>
      <c r="E31" s="38" t="b">
        <v>1</v>
      </c>
      <c r="F31" s="39" t="str">
        <f t="array" ref="F31">_xlfn.XLOOKUP($B31, DB[samplingPoint], DB[noLocation])</f>
        <v>10-3-086</v>
      </c>
      <c r="G31" s="59" t="str">
        <f t="array" ref="G31">_xlfn.XLOOKUP($B31, DB[samplingPoint], DB[building])</f>
        <v>Building 10</v>
      </c>
      <c r="H31" s="40" t="str">
        <f t="array" ref="H31">_xlfn.XLOOKUP($B31, DB[samplingPoint], DB[location])</f>
        <v>TOOL WASHING</v>
      </c>
      <c r="I31" s="39" t="str">
        <f t="array" ref="I31">_xlfn.XLOOKUP($B31, DB[samplingPoint], DB[waterType])</f>
        <v>PW</v>
      </c>
      <c r="J31" s="43">
        <f t="shared" si="1"/>
        <v>46032</v>
      </c>
      <c r="K31" s="26">
        <v>46035.0</v>
      </c>
      <c r="L31" s="32">
        <v>0.0</v>
      </c>
      <c r="M31" s="32">
        <v>0.0</v>
      </c>
      <c r="N31" s="32">
        <f t="shared" si="2"/>
        <v>0</v>
      </c>
      <c r="O31" s="49" t="s">
        <v>376</v>
      </c>
      <c r="P31" s="32">
        <f t="array" ref="P31">_xlfn.XLOOKUP($B31, DB[samplingPoint], DB[Criteria])</f>
        <v>100</v>
      </c>
      <c r="Q31" s="50" t="str">
        <f t="shared" si="3"/>
        <v>PASSED</v>
      </c>
      <c r="R31" s="38" t="b">
        <v>0</v>
      </c>
      <c r="S31" s="32" t="s">
        <v>477</v>
      </c>
      <c r="T31" s="39" t="s">
        <v>386</v>
      </c>
      <c r="U31" s="32" t="s">
        <v>381</v>
      </c>
    </row>
    <row r="32" ht="22.5" customHeight="1">
      <c r="A32" s="26">
        <v>46031.0</v>
      </c>
      <c r="B32" s="39" t="s">
        <v>119</v>
      </c>
      <c r="C32" s="32" t="str">
        <f t="array" ref="C32">_xlfn.XLOOKUP(B32, DB[samplingPoint], DB[samplingTag])</f>
        <v>DV116.15</v>
      </c>
      <c r="D32" s="33" t="s">
        <v>375</v>
      </c>
      <c r="E32" s="38" t="b">
        <v>1</v>
      </c>
      <c r="F32" s="39" t="str">
        <f t="array" ref="F32">_xlfn.XLOOKUP($B32, DB[samplingPoint], DB[noLocation])</f>
        <v>10-3-104</v>
      </c>
      <c r="G32" s="59" t="str">
        <f t="array" ref="G32">_xlfn.XLOOKUP($B32, DB[samplingPoint], DB[building])</f>
        <v>Building 10</v>
      </c>
      <c r="H32" s="40" t="str">
        <f t="array" ref="H32">_xlfn.XLOOKUP($B32, DB[samplingPoint], DB[location])</f>
        <v>BINDER PREPARATION</v>
      </c>
      <c r="I32" s="39" t="str">
        <f t="array" ref="I32">_xlfn.XLOOKUP($B32, DB[samplingPoint], DB[waterType])</f>
        <v>PW</v>
      </c>
      <c r="J32" s="43">
        <f t="shared" si="1"/>
        <v>46032</v>
      </c>
      <c r="K32" s="26">
        <v>46035.0</v>
      </c>
      <c r="L32" s="32">
        <v>0.0</v>
      </c>
      <c r="M32" s="32">
        <v>0.0</v>
      </c>
      <c r="N32" s="32">
        <f t="shared" si="2"/>
        <v>0</v>
      </c>
      <c r="O32" s="49" t="s">
        <v>376</v>
      </c>
      <c r="P32" s="32">
        <f t="array" ref="P32">_xlfn.XLOOKUP($B32, DB[samplingPoint], DB[Criteria])</f>
        <v>100</v>
      </c>
      <c r="Q32" s="50" t="str">
        <f t="shared" si="3"/>
        <v>PASSED</v>
      </c>
      <c r="R32" s="38" t="b">
        <v>0</v>
      </c>
      <c r="S32" s="32" t="s">
        <v>477</v>
      </c>
      <c r="T32" s="39" t="s">
        <v>386</v>
      </c>
      <c r="U32" s="32" t="s">
        <v>381</v>
      </c>
    </row>
    <row r="33" ht="22.5" customHeight="1">
      <c r="A33" s="26">
        <v>46031.0</v>
      </c>
      <c r="B33" s="39" t="s">
        <v>485</v>
      </c>
      <c r="C33" s="32" t="str">
        <f t="array" ref="C33">_xlfn.XLOOKUP(B33, DB[samplingPoint], DB[samplingTag])</f>
        <v>DV116.16</v>
      </c>
      <c r="D33" s="33" t="s">
        <v>375</v>
      </c>
      <c r="E33" s="38" t="b">
        <v>1</v>
      </c>
      <c r="F33" s="39" t="str">
        <f t="array" ref="F33">_xlfn.XLOOKUP($B33, DB[samplingPoint], DB[noLocation])</f>
        <v>10-3-107</v>
      </c>
      <c r="G33" s="59" t="str">
        <f t="array" ref="G33">_xlfn.XLOOKUP($B33, DB[samplingPoint], DB[building])</f>
        <v>Building 10</v>
      </c>
      <c r="H33" s="40" t="str">
        <f t="array" ref="H33">_xlfn.XLOOKUP($B33, DB[samplingPoint], DB[location])</f>
        <v>WET GRANULATION-2</v>
      </c>
      <c r="I33" s="39" t="str">
        <f t="array" ref="I33">_xlfn.XLOOKUP($B33, DB[samplingPoint], DB[waterType])</f>
        <v>PW</v>
      </c>
      <c r="J33" s="43">
        <f t="shared" si="1"/>
        <v>46032</v>
      </c>
      <c r="K33" s="26">
        <v>46035.0</v>
      </c>
      <c r="L33" s="32">
        <v>0.0</v>
      </c>
      <c r="M33" s="32">
        <v>0.0</v>
      </c>
      <c r="N33" s="32">
        <f t="shared" si="2"/>
        <v>0</v>
      </c>
      <c r="O33" s="49" t="s">
        <v>376</v>
      </c>
      <c r="P33" s="32">
        <f t="array" ref="P33">_xlfn.XLOOKUP($B33, DB[samplingPoint], DB[Criteria])</f>
        <v>100</v>
      </c>
      <c r="Q33" s="50" t="str">
        <f t="shared" si="3"/>
        <v>PASSED</v>
      </c>
      <c r="R33" s="38" t="b">
        <v>0</v>
      </c>
      <c r="S33" s="32" t="s">
        <v>477</v>
      </c>
      <c r="T33" s="39" t="s">
        <v>386</v>
      </c>
      <c r="U33" s="32" t="s">
        <v>381</v>
      </c>
    </row>
    <row r="34" ht="22.5" customHeight="1">
      <c r="A34" s="26">
        <v>46031.0</v>
      </c>
      <c r="B34" s="39" t="s">
        <v>488</v>
      </c>
      <c r="C34" s="32" t="str">
        <f t="array" ref="C34">_xlfn.XLOOKUP(B34, DB[samplingPoint], DB[samplingTag])</f>
        <v>DV116.17</v>
      </c>
      <c r="D34" s="33" t="s">
        <v>375</v>
      </c>
      <c r="E34" s="38" t="b">
        <v>1</v>
      </c>
      <c r="F34" s="39" t="str">
        <f t="array" ref="F34">_xlfn.XLOOKUP($B34, DB[samplingPoint], DB[noLocation])</f>
        <v>10-3-117</v>
      </c>
      <c r="G34" s="59" t="str">
        <f t="array" ref="G34">_xlfn.XLOOKUP($B34, DB[samplingPoint], DB[building])</f>
        <v>Building 10</v>
      </c>
      <c r="H34" s="40" t="str">
        <f t="array" ref="H34">_xlfn.XLOOKUP($B34, DB[samplingPoint], DB[location])</f>
        <v>IPQC-2</v>
      </c>
      <c r="I34" s="39" t="str">
        <f t="array" ref="I34">_xlfn.XLOOKUP($B34, DB[samplingPoint], DB[waterType])</f>
        <v>PW</v>
      </c>
      <c r="J34" s="43">
        <f t="shared" si="1"/>
        <v>46032</v>
      </c>
      <c r="K34" s="26">
        <v>46035.0</v>
      </c>
      <c r="L34" s="32">
        <v>0.0</v>
      </c>
      <c r="M34" s="32">
        <v>0.0</v>
      </c>
      <c r="N34" s="32">
        <f t="shared" si="2"/>
        <v>0</v>
      </c>
      <c r="O34" s="49" t="s">
        <v>376</v>
      </c>
      <c r="P34" s="32">
        <f t="array" ref="P34">_xlfn.XLOOKUP($B34, DB[samplingPoint], DB[Criteria])</f>
        <v>100</v>
      </c>
      <c r="Q34" s="50" t="str">
        <f t="shared" si="3"/>
        <v>PASSED</v>
      </c>
      <c r="R34" s="38" t="b">
        <v>0</v>
      </c>
      <c r="S34" s="32" t="s">
        <v>477</v>
      </c>
      <c r="T34" s="39" t="s">
        <v>386</v>
      </c>
      <c r="U34" s="32" t="s">
        <v>381</v>
      </c>
    </row>
    <row r="35" ht="22.5" customHeight="1">
      <c r="A35" s="26">
        <v>46031.0</v>
      </c>
      <c r="B35" s="39" t="s">
        <v>489</v>
      </c>
      <c r="C35" s="32" t="str">
        <f t="array" ref="C35">_xlfn.XLOOKUP(B35, DB[samplingPoint], DB[samplingTag])</f>
        <v>DV116.18</v>
      </c>
      <c r="D35" s="33" t="s">
        <v>375</v>
      </c>
      <c r="E35" s="38" t="b">
        <v>1</v>
      </c>
      <c r="F35" s="39" t="str">
        <f t="array" ref="F35">_xlfn.XLOOKUP($B35, DB[samplingPoint], DB[noLocation])</f>
        <v>10-3-111</v>
      </c>
      <c r="G35" s="59" t="str">
        <f t="array" ref="G35">_xlfn.XLOOKUP($B35, DB[samplingPoint], DB[building])</f>
        <v>Building 10</v>
      </c>
      <c r="H35" s="40" t="str">
        <f t="array" ref="H35">_xlfn.XLOOKUP($B35, DB[samplingPoint], DB[location])</f>
        <v>WET GRANULATION-5</v>
      </c>
      <c r="I35" s="39" t="str">
        <f t="array" ref="I35">_xlfn.XLOOKUP($B35, DB[samplingPoint], DB[waterType])</f>
        <v>PW</v>
      </c>
      <c r="J35" s="43">
        <f t="shared" si="1"/>
        <v>46032</v>
      </c>
      <c r="K35" s="26">
        <v>46035.0</v>
      </c>
      <c r="L35" s="32">
        <v>0.0</v>
      </c>
      <c r="M35" s="32">
        <v>0.0</v>
      </c>
      <c r="N35" s="32">
        <f t="shared" si="2"/>
        <v>0</v>
      </c>
      <c r="O35" s="49" t="s">
        <v>376</v>
      </c>
      <c r="P35" s="32">
        <f t="array" ref="P35">_xlfn.XLOOKUP($B35, DB[samplingPoint], DB[Criteria])</f>
        <v>100</v>
      </c>
      <c r="Q35" s="50" t="str">
        <f t="shared" si="3"/>
        <v>PASSED</v>
      </c>
      <c r="R35" s="38" t="b">
        <v>0</v>
      </c>
      <c r="S35" s="32" t="s">
        <v>477</v>
      </c>
      <c r="T35" s="39" t="s">
        <v>386</v>
      </c>
      <c r="U35" s="32" t="s">
        <v>381</v>
      </c>
    </row>
    <row r="36" ht="22.5" customHeight="1">
      <c r="A36" s="26">
        <v>46031.0</v>
      </c>
      <c r="B36" s="39" t="s">
        <v>490</v>
      </c>
      <c r="C36" s="32" t="str">
        <f t="array" ref="C36">_xlfn.XLOOKUP(B36, DB[samplingPoint], DB[samplingTag])</f>
        <v>SV116.09</v>
      </c>
      <c r="D36" s="33" t="s">
        <v>375</v>
      </c>
      <c r="E36" s="38" t="b">
        <v>1</v>
      </c>
      <c r="F36" s="39" t="str">
        <f t="array" ref="F36">_xlfn.XLOOKUP($B36, DB[samplingPoint], DB[noLocation])</f>
        <v>10-3-078</v>
      </c>
      <c r="G36" s="59" t="str">
        <f t="array" ref="G36">_xlfn.XLOOKUP($B36, DB[samplingPoint], DB[building])</f>
        <v>Building 10</v>
      </c>
      <c r="H36" s="40" t="str">
        <f t="array" ref="H36">_xlfn.XLOOKUP($B36, DB[samplingPoint], DB[location])</f>
        <v>WASHING</v>
      </c>
      <c r="I36" s="39" t="str">
        <f t="array" ref="I36">_xlfn.XLOOKUP($B36, DB[samplingPoint], DB[waterType])</f>
        <v>PW</v>
      </c>
      <c r="J36" s="43">
        <f t="shared" si="1"/>
        <v>46032</v>
      </c>
      <c r="K36" s="26">
        <v>46035.0</v>
      </c>
      <c r="L36" s="32">
        <v>0.0</v>
      </c>
      <c r="M36" s="32">
        <v>0.0</v>
      </c>
      <c r="N36" s="32">
        <f t="shared" si="2"/>
        <v>0</v>
      </c>
      <c r="O36" s="49" t="s">
        <v>376</v>
      </c>
      <c r="P36" s="32">
        <f t="array" ref="P36">_xlfn.XLOOKUP($B36, DB[samplingPoint], DB[Criteria])</f>
        <v>100</v>
      </c>
      <c r="Q36" s="50" t="str">
        <f t="shared" si="3"/>
        <v>PASSED</v>
      </c>
      <c r="R36" s="38" t="b">
        <v>0</v>
      </c>
      <c r="S36" s="32" t="s">
        <v>477</v>
      </c>
      <c r="T36" s="39" t="s">
        <v>386</v>
      </c>
      <c r="U36" s="32" t="s">
        <v>381</v>
      </c>
    </row>
    <row r="37" ht="22.5" customHeight="1">
      <c r="A37" s="26">
        <v>46031.0</v>
      </c>
      <c r="B37" s="39" t="s">
        <v>492</v>
      </c>
      <c r="C37" s="32" t="str">
        <f t="array" ref="C37">_xlfn.XLOOKUP(B37, DB[samplingPoint], DB[samplingTag])</f>
        <v>SV116.11</v>
      </c>
      <c r="D37" s="33" t="s">
        <v>375</v>
      </c>
      <c r="E37" s="38" t="b">
        <v>1</v>
      </c>
      <c r="F37" s="39" t="str">
        <f t="array" ref="F37">_xlfn.XLOOKUP($B37, DB[samplingPoint], DB[noLocation])</f>
        <v>10-3-107</v>
      </c>
      <c r="G37" s="59" t="str">
        <f t="array" ref="G37">_xlfn.XLOOKUP($B37, DB[samplingPoint], DB[building])</f>
        <v>Building 10</v>
      </c>
      <c r="H37" s="40" t="str">
        <f t="array" ref="H37">_xlfn.XLOOKUP($B37, DB[samplingPoint], DB[location])</f>
        <v>WET GRANULATION-2</v>
      </c>
      <c r="I37" s="39" t="str">
        <f t="array" ref="I37">_xlfn.XLOOKUP($B37, DB[samplingPoint], DB[waterType])</f>
        <v>PW</v>
      </c>
      <c r="J37" s="43">
        <f t="shared" si="1"/>
        <v>46032</v>
      </c>
      <c r="K37" s="26">
        <v>46035.0</v>
      </c>
      <c r="L37" s="32">
        <v>0.0</v>
      </c>
      <c r="M37" s="32">
        <v>0.0</v>
      </c>
      <c r="N37" s="32">
        <f t="shared" si="2"/>
        <v>0</v>
      </c>
      <c r="O37" s="49" t="s">
        <v>376</v>
      </c>
      <c r="P37" s="32">
        <f t="array" ref="P37">_xlfn.XLOOKUP($B37, DB[samplingPoint], DB[Criteria])</f>
        <v>100</v>
      </c>
      <c r="Q37" s="50" t="str">
        <f t="shared" si="3"/>
        <v>PASSED</v>
      </c>
      <c r="R37" s="38" t="b">
        <v>0</v>
      </c>
      <c r="S37" s="32" t="s">
        <v>477</v>
      </c>
      <c r="T37" s="39" t="s">
        <v>386</v>
      </c>
      <c r="U37" s="32" t="s">
        <v>381</v>
      </c>
    </row>
    <row r="38" ht="22.5" customHeight="1">
      <c r="A38" s="26">
        <v>46031.0</v>
      </c>
      <c r="B38" s="39" t="s">
        <v>390</v>
      </c>
      <c r="C38" s="32" t="str">
        <f t="array" ref="C38">_xlfn.XLOOKUP(B38, DB[samplingPoint], DB[samplingTag])</f>
        <v>SV117.01</v>
      </c>
      <c r="D38" s="33" t="s">
        <v>375</v>
      </c>
      <c r="E38" s="38" t="b">
        <v>1</v>
      </c>
      <c r="F38" s="39" t="str">
        <f t="array" ref="F38">_xlfn.XLOOKUP($B38, DB[samplingPoint], DB[noLocation])</f>
        <v>WATER SYSTEM (B10)</v>
      </c>
      <c r="G38" s="59" t="str">
        <f t="array" ref="G38">_xlfn.XLOOKUP($B38, DB[samplingPoint], DB[building])</f>
        <v>Building 10</v>
      </c>
      <c r="H38" s="40" t="str">
        <f t="array" ref="H38">_xlfn.XLOOKUP($B38, DB[samplingPoint], DB[location])</f>
        <v>Return loop (B10)</v>
      </c>
      <c r="I38" s="39" t="str">
        <f t="array" ref="I38">_xlfn.XLOOKUP($B38, DB[samplingPoint], DB[waterType])</f>
        <v>PW</v>
      </c>
      <c r="J38" s="43">
        <f t="shared" si="1"/>
        <v>46032</v>
      </c>
      <c r="K38" s="26">
        <v>46035.0</v>
      </c>
      <c r="L38" s="32">
        <v>0.0</v>
      </c>
      <c r="M38" s="32">
        <v>0.0</v>
      </c>
      <c r="N38" s="32">
        <f t="shared" si="2"/>
        <v>0</v>
      </c>
      <c r="O38" s="49" t="s">
        <v>376</v>
      </c>
      <c r="P38" s="32">
        <f t="array" ref="P38">_xlfn.XLOOKUP($B38, DB[samplingPoint], DB[Criteria])</f>
        <v>100</v>
      </c>
      <c r="Q38" s="50" t="str">
        <f t="shared" si="3"/>
        <v>PASSED</v>
      </c>
      <c r="R38" s="38" t="b">
        <v>0</v>
      </c>
      <c r="S38" s="32" t="s">
        <v>477</v>
      </c>
      <c r="T38" s="39" t="s">
        <v>386</v>
      </c>
      <c r="U38" s="32" t="s">
        <v>381</v>
      </c>
    </row>
    <row r="39" ht="22.5" customHeight="1">
      <c r="A39" s="26">
        <v>46031.0</v>
      </c>
      <c r="B39" s="39" t="s">
        <v>368</v>
      </c>
      <c r="C39" s="32" t="str">
        <f t="array" ref="C39">_xlfn.XLOOKUP(B39, DB[samplingPoint], DB[samplingTag])</f>
        <v>V50-11C(10)</v>
      </c>
      <c r="D39" s="33" t="s">
        <v>375</v>
      </c>
      <c r="E39" s="38" t="b">
        <v>1</v>
      </c>
      <c r="F39" s="39" t="str">
        <f t="array" ref="F39">_xlfn.XLOOKUP($B39, DB[samplingPoint], DB[noLocation])</f>
        <v>WATER SYSTEM (B10)</v>
      </c>
      <c r="G39" s="59" t="str">
        <f t="array" ref="G39">_xlfn.XLOOKUP($B39, DB[samplingPoint], DB[building])</f>
        <v>Building 10</v>
      </c>
      <c r="H39" s="40" t="str">
        <f t="array" ref="H39">_xlfn.XLOOKUP($B39, DB[samplingPoint], DB[location])</f>
        <v>After RO (Before EDI) (B10)</v>
      </c>
      <c r="I39" s="39" t="str">
        <f t="array" ref="I39">_xlfn.XLOOKUP($B39, DB[samplingPoint], DB[waterType])</f>
        <v>RO water</v>
      </c>
      <c r="J39" s="43">
        <f t="shared" si="1"/>
        <v>46032</v>
      </c>
      <c r="K39" s="26">
        <v>46035.0</v>
      </c>
      <c r="L39" s="32">
        <v>0.0</v>
      </c>
      <c r="M39" s="32">
        <v>0.0</v>
      </c>
      <c r="N39" s="32">
        <f t="shared" si="2"/>
        <v>0</v>
      </c>
      <c r="O39" s="49" t="s">
        <v>376</v>
      </c>
      <c r="P39" s="32">
        <f t="array" ref="P39">_xlfn.XLOOKUP($B39, DB[samplingPoint], DB[Criteria])</f>
        <v>500</v>
      </c>
      <c r="Q39" s="50" t="str">
        <f t="shared" si="3"/>
        <v>PASSED</v>
      </c>
      <c r="R39" s="38" t="b">
        <v>0</v>
      </c>
      <c r="S39" s="32" t="s">
        <v>477</v>
      </c>
      <c r="T39" s="39" t="s">
        <v>386</v>
      </c>
      <c r="U39" s="32" t="s">
        <v>381</v>
      </c>
    </row>
    <row r="40" ht="22.5" customHeight="1">
      <c r="A40" s="26">
        <v>46031.0</v>
      </c>
      <c r="B40" s="39" t="s">
        <v>374</v>
      </c>
      <c r="C40" s="32" t="str">
        <f t="array" ref="C40">_xlfn.XLOOKUP(B40, DB[samplingPoint], DB[samplingTag])</f>
        <v>V50-39(10)</v>
      </c>
      <c r="D40" s="33" t="s">
        <v>375</v>
      </c>
      <c r="E40" s="38" t="b">
        <v>1</v>
      </c>
      <c r="F40" s="39" t="str">
        <f t="array" ref="F40">_xlfn.XLOOKUP($B40, DB[samplingPoint], DB[noLocation])</f>
        <v>WATER SYSTEM (B10)</v>
      </c>
      <c r="G40" s="59" t="str">
        <f t="array" ref="G40">_xlfn.XLOOKUP($B40, DB[samplingPoint], DB[building])</f>
        <v>Building 10</v>
      </c>
      <c r="H40" s="40" t="str">
        <f t="array" ref="H40">_xlfn.XLOOKUP($B40, DB[samplingPoint], DB[location])</f>
        <v>After EDI (B10)</v>
      </c>
      <c r="I40" s="39" t="str">
        <f t="array" ref="I40">_xlfn.XLOOKUP($B40, DB[samplingPoint], DB[waterType])</f>
        <v>PW</v>
      </c>
      <c r="J40" s="43">
        <f t="shared" si="1"/>
        <v>46032</v>
      </c>
      <c r="K40" s="26">
        <v>46035.0</v>
      </c>
      <c r="L40" s="32">
        <v>0.0</v>
      </c>
      <c r="M40" s="32">
        <v>0.0</v>
      </c>
      <c r="N40" s="32">
        <f t="shared" si="2"/>
        <v>0</v>
      </c>
      <c r="O40" s="49" t="s">
        <v>376</v>
      </c>
      <c r="P40" s="32">
        <f t="array" ref="P40">_xlfn.XLOOKUP($B40, DB[samplingPoint], DB[Criteria])</f>
        <v>100</v>
      </c>
      <c r="Q40" s="50" t="str">
        <f t="shared" si="3"/>
        <v>PASSED</v>
      </c>
      <c r="R40" s="38" t="b">
        <v>0</v>
      </c>
      <c r="S40" s="32" t="s">
        <v>477</v>
      </c>
      <c r="T40" s="39" t="s">
        <v>386</v>
      </c>
      <c r="U40" s="32" t="s">
        <v>381</v>
      </c>
    </row>
    <row r="41" ht="22.5" customHeight="1">
      <c r="A41" s="26">
        <v>46031.0</v>
      </c>
      <c r="B41" s="39" t="s">
        <v>366</v>
      </c>
      <c r="C41" s="32" t="str">
        <f t="array" ref="C41">_xlfn.XLOOKUP(B41, DB[samplingPoint], DB[samplingTag])</f>
        <v>V50-61(10)</v>
      </c>
      <c r="D41" s="33" t="s">
        <v>375</v>
      </c>
      <c r="E41" s="38" t="b">
        <v>1</v>
      </c>
      <c r="F41" s="39" t="str">
        <f t="array" ref="F41">_xlfn.XLOOKUP($B41, DB[samplingPoint], DB[noLocation])</f>
        <v>WATER SYSTEM (B10)</v>
      </c>
      <c r="G41" s="59" t="str">
        <f t="array" ref="G41">_xlfn.XLOOKUP($B41, DB[samplingPoint], DB[building])</f>
        <v>Building 10</v>
      </c>
      <c r="H41" s="40" t="str">
        <f t="array" ref="H41">_xlfn.XLOOKUP($B41, DB[samplingPoint], DB[location])</f>
        <v>After Cartridge filter 5 µm (B10)</v>
      </c>
      <c r="I41" s="39" t="str">
        <f t="array" ref="I41">_xlfn.XLOOKUP($B41, DB[samplingPoint], DB[waterType])</f>
        <v>PRW</v>
      </c>
      <c r="J41" s="43">
        <f t="shared" si="1"/>
        <v>46032</v>
      </c>
      <c r="K41" s="26">
        <v>46035.0</v>
      </c>
      <c r="L41" s="32">
        <v>0.0</v>
      </c>
      <c r="M41" s="32">
        <v>0.0</v>
      </c>
      <c r="N41" s="32">
        <f t="shared" si="2"/>
        <v>0</v>
      </c>
      <c r="O41" s="49" t="s">
        <v>376</v>
      </c>
      <c r="P41" s="32">
        <f t="array" ref="P41">_xlfn.XLOOKUP($B41, DB[samplingPoint], DB[Criteria])</f>
        <v>500</v>
      </c>
      <c r="Q41" s="50" t="str">
        <f t="shared" si="3"/>
        <v>PASSED</v>
      </c>
      <c r="R41" s="38" t="b">
        <v>0</v>
      </c>
      <c r="S41" s="32" t="s">
        <v>477</v>
      </c>
      <c r="T41" s="39" t="s">
        <v>386</v>
      </c>
      <c r="U41" s="32" t="s">
        <v>381</v>
      </c>
    </row>
    <row r="42" ht="22.5" customHeight="1">
      <c r="A42" s="26">
        <v>46031.0</v>
      </c>
      <c r="B42" s="39" t="s">
        <v>349</v>
      </c>
      <c r="C42" s="32" t="str">
        <f t="array" ref="C42">_xlfn.XLOOKUP(B42, DB[samplingPoint], DB[samplingTag])</f>
        <v>VB-05(10)</v>
      </c>
      <c r="D42" s="33" t="s">
        <v>375</v>
      </c>
      <c r="E42" s="38" t="b">
        <v>1</v>
      </c>
      <c r="F42" s="39" t="str">
        <f t="array" ref="F42">_xlfn.XLOOKUP($B42, DB[samplingPoint], DB[noLocation])</f>
        <v>WATER SYSTEM (B10)</v>
      </c>
      <c r="G42" s="59" t="str">
        <f t="array" ref="G42">_xlfn.XLOOKUP($B42, DB[samplingPoint], DB[building])</f>
        <v>Building 10</v>
      </c>
      <c r="H42" s="40" t="str">
        <f t="array" ref="H42">_xlfn.XLOOKUP($B42, DB[samplingPoint], DB[location])</f>
        <v>After Chlorine circulation tank (B10)</v>
      </c>
      <c r="I42" s="39" t="str">
        <f t="array" ref="I42">_xlfn.XLOOKUP($B42, DB[samplingPoint], DB[waterType])</f>
        <v>PRW</v>
      </c>
      <c r="J42" s="43">
        <f t="shared" si="1"/>
        <v>46032</v>
      </c>
      <c r="K42" s="26">
        <v>46035.0</v>
      </c>
      <c r="L42" s="32">
        <v>0.0</v>
      </c>
      <c r="M42" s="32">
        <v>0.0</v>
      </c>
      <c r="N42" s="32">
        <f t="shared" si="2"/>
        <v>0</v>
      </c>
      <c r="O42" s="49" t="s">
        <v>376</v>
      </c>
      <c r="P42" s="32">
        <f t="array" ref="P42">_xlfn.XLOOKUP($B42, DB[samplingPoint], DB[Criteria])</f>
        <v>500</v>
      </c>
      <c r="Q42" s="50" t="str">
        <f t="shared" si="3"/>
        <v>PASSED</v>
      </c>
      <c r="R42" s="38" t="b">
        <v>0</v>
      </c>
      <c r="S42" s="32" t="s">
        <v>477</v>
      </c>
      <c r="T42" s="39" t="s">
        <v>386</v>
      </c>
      <c r="U42" s="32" t="s">
        <v>381</v>
      </c>
    </row>
    <row r="43" ht="22.5" customHeight="1">
      <c r="A43" s="26">
        <v>46035.0</v>
      </c>
      <c r="B43" s="39" t="s">
        <v>483</v>
      </c>
      <c r="C43" s="32" t="str">
        <f t="array" ref="C43">_xlfn.XLOOKUP(B43, DB[samplingPoint], DB[samplingTag])</f>
        <v>DV126.05</v>
      </c>
      <c r="D43" s="33" t="s">
        <v>500</v>
      </c>
      <c r="E43" s="38" t="b">
        <v>1</v>
      </c>
      <c r="F43" s="39" t="str">
        <f t="array" ref="F43">_xlfn.XLOOKUP($B43, DB[samplingPoint], DB[noLocation])</f>
        <v>16-3-054</v>
      </c>
      <c r="G43" s="59" t="str">
        <f t="array" ref="G43">_xlfn.XLOOKUP($B43, DB[samplingPoint], DB[building])</f>
        <v>Building 16</v>
      </c>
      <c r="H43" s="40" t="str">
        <f t="array" ref="H43">_xlfn.XLOOKUP($B43, DB[samplingPoint], DB[location])</f>
        <v>WASHING</v>
      </c>
      <c r="I43" s="39" t="str">
        <f t="array" ref="I43">_xlfn.XLOOKUP($B43, DB[samplingPoint], DB[waterType])</f>
        <v>PW</v>
      </c>
      <c r="J43" s="43">
        <f t="shared" si="1"/>
        <v>46036</v>
      </c>
      <c r="K43" s="26">
        <v>46039.0</v>
      </c>
      <c r="L43" s="32">
        <v>0.0</v>
      </c>
      <c r="M43" s="32">
        <v>0.0</v>
      </c>
      <c r="N43" s="32">
        <f t="shared" si="2"/>
        <v>0</v>
      </c>
      <c r="O43" s="49" t="s">
        <v>376</v>
      </c>
      <c r="P43" s="32">
        <f t="array" ref="P43">_xlfn.XLOOKUP($B43, DB[samplingPoint], DB[Criteria])</f>
        <v>100</v>
      </c>
      <c r="Q43" s="50" t="str">
        <f t="shared" si="3"/>
        <v>PASSED</v>
      </c>
      <c r="R43" s="38" t="b">
        <v>0</v>
      </c>
      <c r="S43" s="32" t="s">
        <v>501</v>
      </c>
      <c r="T43" s="39" t="s">
        <v>386</v>
      </c>
      <c r="U43" s="32" t="s">
        <v>381</v>
      </c>
    </row>
    <row r="44" ht="22.5" customHeight="1">
      <c r="A44" s="26">
        <v>46035.0</v>
      </c>
      <c r="B44" s="39" t="s">
        <v>474</v>
      </c>
      <c r="C44" s="32" t="str">
        <f t="array" ref="C44">_xlfn.XLOOKUP(B44, DB[samplingPoint], DB[samplingTag])</f>
        <v>DV126.11</v>
      </c>
      <c r="D44" s="33" t="s">
        <v>500</v>
      </c>
      <c r="E44" s="38" t="b">
        <v>1</v>
      </c>
      <c r="F44" s="39" t="str">
        <f t="array" ref="F44">_xlfn.XLOOKUP($B44, DB[samplingPoint], DB[noLocation])</f>
        <v>16-3-073</v>
      </c>
      <c r="G44" s="59" t="str">
        <f t="array" ref="G44">_xlfn.XLOOKUP($B44, DB[samplingPoint], DB[building])</f>
        <v>Building 16</v>
      </c>
      <c r="H44" s="40" t="str">
        <f t="array" ref="H44">_xlfn.XLOOKUP($B44, DB[samplingPoint], DB[location])</f>
        <v>MFG 4 (5000L)</v>
      </c>
      <c r="I44" s="39" t="str">
        <f t="array" ref="I44">_xlfn.XLOOKUP($B44, DB[samplingPoint], DB[waterType])</f>
        <v>PW</v>
      </c>
      <c r="J44" s="43">
        <f t="shared" si="1"/>
        <v>46036</v>
      </c>
      <c r="K44" s="26">
        <v>46039.0</v>
      </c>
      <c r="L44" s="32">
        <v>0.0</v>
      </c>
      <c r="M44" s="32">
        <v>0.0</v>
      </c>
      <c r="N44" s="32">
        <f t="shared" si="2"/>
        <v>0</v>
      </c>
      <c r="O44" s="49" t="s">
        <v>376</v>
      </c>
      <c r="P44" s="32">
        <f t="array" ref="P44">_xlfn.XLOOKUP($B44, DB[samplingPoint], DB[Criteria])</f>
        <v>100</v>
      </c>
      <c r="Q44" s="50" t="str">
        <f t="shared" si="3"/>
        <v>PASSED</v>
      </c>
      <c r="R44" s="38" t="b">
        <v>0</v>
      </c>
      <c r="S44" s="32" t="s">
        <v>501</v>
      </c>
      <c r="T44" s="39" t="s">
        <v>386</v>
      </c>
      <c r="U44" s="32" t="s">
        <v>381</v>
      </c>
    </row>
    <row r="45" ht="22.5" customHeight="1">
      <c r="A45" s="26">
        <v>46035.0</v>
      </c>
      <c r="B45" s="39" t="s">
        <v>467</v>
      </c>
      <c r="C45" s="32" t="str">
        <f t="array" ref="C45">_xlfn.XLOOKUP(B45, DB[samplingPoint], DB[samplingTag])</f>
        <v>SV123.01</v>
      </c>
      <c r="D45" s="33" t="s">
        <v>500</v>
      </c>
      <c r="E45" s="38" t="b">
        <v>1</v>
      </c>
      <c r="F45" s="39" t="str">
        <f t="array" ref="F45">_xlfn.XLOOKUP($B45, DB[samplingPoint], DB[noLocation])</f>
        <v>WATER SYSTEM (B16)</v>
      </c>
      <c r="G45" s="59" t="str">
        <f t="array" ref="G45">_xlfn.XLOOKUP($B45, DB[samplingPoint], DB[building])</f>
        <v>Building 16</v>
      </c>
      <c r="H45" s="40" t="str">
        <f t="array" ref="H45">_xlfn.XLOOKUP($B45, DB[samplingPoint], DB[location])</f>
        <v>After Storage tank (B16)</v>
      </c>
      <c r="I45" s="39" t="str">
        <f t="array" ref="I45">_xlfn.XLOOKUP($B45, DB[samplingPoint], DB[waterType])</f>
        <v>PW</v>
      </c>
      <c r="J45" s="43">
        <f t="shared" si="1"/>
        <v>46036</v>
      </c>
      <c r="K45" s="26">
        <v>46039.0</v>
      </c>
      <c r="L45" s="32">
        <v>0.0</v>
      </c>
      <c r="M45" s="32">
        <v>0.0</v>
      </c>
      <c r="N45" s="32">
        <f t="shared" si="2"/>
        <v>0</v>
      </c>
      <c r="O45" s="49" t="s">
        <v>376</v>
      </c>
      <c r="P45" s="32">
        <f t="array" ref="P45">_xlfn.XLOOKUP($B45, DB[samplingPoint], DB[Criteria])</f>
        <v>100</v>
      </c>
      <c r="Q45" s="50" t="str">
        <f t="shared" si="3"/>
        <v>PASSED</v>
      </c>
      <c r="R45" s="38" t="b">
        <v>0</v>
      </c>
      <c r="S45" s="32" t="s">
        <v>501</v>
      </c>
      <c r="T45" s="39" t="s">
        <v>386</v>
      </c>
      <c r="U45" s="32" t="s">
        <v>381</v>
      </c>
    </row>
    <row r="46" ht="22.5" customHeight="1">
      <c r="A46" s="26">
        <v>46035.0</v>
      </c>
      <c r="B46" s="39" t="s">
        <v>469</v>
      </c>
      <c r="C46" s="32" t="str">
        <f t="array" ref="C46">_xlfn.XLOOKUP(B46, DB[samplingPoint], DB[samplingTag])</f>
        <v>SV125.02</v>
      </c>
      <c r="D46" s="33" t="s">
        <v>500</v>
      </c>
      <c r="E46" s="38" t="b">
        <v>1</v>
      </c>
      <c r="F46" s="39" t="str">
        <f t="array" ref="F46">_xlfn.XLOOKUP($B46, DB[samplingPoint], DB[noLocation])</f>
        <v>WATER SYSTEM (B16)</v>
      </c>
      <c r="G46" s="59" t="str">
        <f t="array" ref="G46">_xlfn.XLOOKUP($B46, DB[samplingPoint], DB[building])</f>
        <v>Building 16</v>
      </c>
      <c r="H46" s="40" t="str">
        <f t="array" ref="H46">_xlfn.XLOOKUP($B46, DB[samplingPoint], DB[location])</f>
        <v>After UV (B16)</v>
      </c>
      <c r="I46" s="39" t="str">
        <f t="array" ref="I46">_xlfn.XLOOKUP($B46, DB[samplingPoint], DB[waterType])</f>
        <v>PW</v>
      </c>
      <c r="J46" s="43">
        <f t="shared" si="1"/>
        <v>46036</v>
      </c>
      <c r="K46" s="26">
        <v>46039.0</v>
      </c>
      <c r="L46" s="32">
        <v>0.0</v>
      </c>
      <c r="M46" s="32">
        <v>0.0</v>
      </c>
      <c r="N46" s="32">
        <f t="shared" si="2"/>
        <v>0</v>
      </c>
      <c r="O46" s="49" t="s">
        <v>376</v>
      </c>
      <c r="P46" s="32">
        <f t="array" ref="P46">_xlfn.XLOOKUP($B46, DB[samplingPoint], DB[Criteria])</f>
        <v>100</v>
      </c>
      <c r="Q46" s="50" t="str">
        <f t="shared" si="3"/>
        <v>PASSED</v>
      </c>
      <c r="R46" s="38" t="b">
        <v>0</v>
      </c>
      <c r="S46" s="32" t="s">
        <v>501</v>
      </c>
      <c r="T46" s="39" t="s">
        <v>386</v>
      </c>
      <c r="U46" s="32" t="s">
        <v>381</v>
      </c>
    </row>
    <row r="47" ht="22.5" customHeight="1">
      <c r="A47" s="26">
        <v>46035.0</v>
      </c>
      <c r="B47" s="39" t="s">
        <v>486</v>
      </c>
      <c r="C47" s="32" t="str">
        <f t="array" ref="C47">_xlfn.XLOOKUP(B47, DB[samplingPoint], DB[samplingTag])</f>
        <v>SV126.04</v>
      </c>
      <c r="D47" s="33" t="s">
        <v>500</v>
      </c>
      <c r="E47" s="38" t="b">
        <v>1</v>
      </c>
      <c r="F47" s="39" t="str">
        <f t="array" ref="F47">_xlfn.XLOOKUP($B47, DB[samplingPoint], DB[noLocation])</f>
        <v>16-2-010</v>
      </c>
      <c r="G47" s="59" t="str">
        <f t="array" ref="G47">_xlfn.XLOOKUP($B47, DB[samplingPoint], DB[building])</f>
        <v>Building 16</v>
      </c>
      <c r="H47" s="40" t="str">
        <f t="array" ref="H47">_xlfn.XLOOKUP($B47, DB[samplingPoint], DB[location])</f>
        <v>WATER SYSTEM (PSG)</v>
      </c>
      <c r="I47" s="39" t="str">
        <f t="array" ref="I47">_xlfn.XLOOKUP($B47, DB[samplingPoint], DB[waterType])</f>
        <v>PW</v>
      </c>
      <c r="J47" s="43">
        <f t="shared" si="1"/>
        <v>46036</v>
      </c>
      <c r="K47" s="26">
        <v>46039.0</v>
      </c>
      <c r="L47" s="32">
        <v>0.0</v>
      </c>
      <c r="M47" s="32">
        <v>0.0</v>
      </c>
      <c r="N47" s="32">
        <f t="shared" si="2"/>
        <v>0</v>
      </c>
      <c r="O47" s="49" t="s">
        <v>376</v>
      </c>
      <c r="P47" s="32">
        <f t="array" ref="P47">_xlfn.XLOOKUP($B47, DB[samplingPoint], DB[Criteria])</f>
        <v>100</v>
      </c>
      <c r="Q47" s="50" t="str">
        <f t="shared" si="3"/>
        <v>PASSED</v>
      </c>
      <c r="R47" s="38" t="b">
        <v>0</v>
      </c>
      <c r="S47" s="32" t="s">
        <v>501</v>
      </c>
      <c r="T47" s="39" t="s">
        <v>386</v>
      </c>
      <c r="U47" s="32" t="s">
        <v>381</v>
      </c>
    </row>
    <row r="48" ht="22.5" customHeight="1">
      <c r="A48" s="26">
        <v>46035.0</v>
      </c>
      <c r="B48" s="39" t="s">
        <v>478</v>
      </c>
      <c r="C48" s="32" t="str">
        <f t="array" ref="C48">_xlfn.XLOOKUP(B48, DB[samplingPoint], DB[samplingTag])</f>
        <v>SV126.14</v>
      </c>
      <c r="D48" s="33" t="s">
        <v>500</v>
      </c>
      <c r="E48" s="38" t="b">
        <v>1</v>
      </c>
      <c r="F48" s="39" t="str">
        <f t="array" ref="F48">_xlfn.XLOOKUP($B48, DB[samplingPoint], DB[noLocation])</f>
        <v>16-3-073</v>
      </c>
      <c r="G48" s="59" t="str">
        <f t="array" ref="G48">_xlfn.XLOOKUP($B48, DB[samplingPoint], DB[building])</f>
        <v>Building 16</v>
      </c>
      <c r="H48" s="40" t="str">
        <f t="array" ref="H48">_xlfn.XLOOKUP($B48, DB[samplingPoint], DB[location])</f>
        <v>MFG 4 (400L)</v>
      </c>
      <c r="I48" s="39" t="str">
        <f t="array" ref="I48">_xlfn.XLOOKUP($B48, DB[samplingPoint], DB[waterType])</f>
        <v>PW</v>
      </c>
      <c r="J48" s="43">
        <f t="shared" si="1"/>
        <v>46036</v>
      </c>
      <c r="K48" s="26">
        <v>46039.0</v>
      </c>
      <c r="L48" s="32">
        <v>0.0</v>
      </c>
      <c r="M48" s="32">
        <v>0.0</v>
      </c>
      <c r="N48" s="32">
        <f t="shared" si="2"/>
        <v>0</v>
      </c>
      <c r="O48" s="49" t="s">
        <v>376</v>
      </c>
      <c r="P48" s="32">
        <f t="array" ref="P48">_xlfn.XLOOKUP($B48, DB[samplingPoint], DB[Criteria])</f>
        <v>100</v>
      </c>
      <c r="Q48" s="50" t="str">
        <f t="shared" si="3"/>
        <v>PASSED</v>
      </c>
      <c r="R48" s="38" t="b">
        <v>0</v>
      </c>
      <c r="S48" s="32" t="s">
        <v>501</v>
      </c>
      <c r="T48" s="39" t="s">
        <v>386</v>
      </c>
      <c r="U48" s="32" t="s">
        <v>381</v>
      </c>
    </row>
    <row r="49" ht="22.5" customHeight="1">
      <c r="A49" s="26">
        <v>46035.0</v>
      </c>
      <c r="B49" s="39" t="s">
        <v>481</v>
      </c>
      <c r="C49" s="32" t="str">
        <f t="array" ref="C49">_xlfn.XLOOKUP(B49, DB[samplingPoint], DB[samplingTag])</f>
        <v>SV126.15</v>
      </c>
      <c r="D49" s="33" t="s">
        <v>500</v>
      </c>
      <c r="E49" s="38" t="b">
        <v>1</v>
      </c>
      <c r="F49" s="39" t="str">
        <f t="array" ref="F49">_xlfn.XLOOKUP($B49, DB[samplingPoint], DB[noLocation])</f>
        <v>16-3-075</v>
      </c>
      <c r="G49" s="59" t="str">
        <f t="array" ref="G49">_xlfn.XLOOKUP($B49, DB[samplingPoint], DB[building])</f>
        <v>Building 16</v>
      </c>
      <c r="H49" s="40" t="str">
        <f t="array" ref="H49">_xlfn.XLOOKUP($B49, DB[samplingPoint], DB[location])</f>
        <v>MFG 5 PROCESS (2000L)</v>
      </c>
      <c r="I49" s="39" t="str">
        <f t="array" ref="I49">_xlfn.XLOOKUP($B49, DB[samplingPoint], DB[waterType])</f>
        <v>PW</v>
      </c>
      <c r="J49" s="43">
        <f t="shared" si="1"/>
        <v>46036</v>
      </c>
      <c r="K49" s="26">
        <v>46039.0</v>
      </c>
      <c r="L49" s="32">
        <v>0.0</v>
      </c>
      <c r="M49" s="32">
        <v>0.0</v>
      </c>
      <c r="N49" s="32">
        <f t="shared" si="2"/>
        <v>0</v>
      </c>
      <c r="O49" s="49" t="s">
        <v>376</v>
      </c>
      <c r="P49" s="32">
        <f t="array" ref="P49">_xlfn.XLOOKUP($B49, DB[samplingPoint], DB[Criteria])</f>
        <v>100</v>
      </c>
      <c r="Q49" s="50" t="str">
        <f t="shared" si="3"/>
        <v>PASSED</v>
      </c>
      <c r="R49" s="38" t="b">
        <v>0</v>
      </c>
      <c r="S49" s="32" t="s">
        <v>501</v>
      </c>
      <c r="T49" s="39" t="s">
        <v>386</v>
      </c>
      <c r="U49" s="32" t="s">
        <v>381</v>
      </c>
    </row>
    <row r="50" ht="22.5" customHeight="1">
      <c r="A50" s="26">
        <v>46035.0</v>
      </c>
      <c r="B50" s="39" t="s">
        <v>472</v>
      </c>
      <c r="C50" s="32" t="str">
        <f t="array" ref="C50">_xlfn.XLOOKUP(B50, DB[samplingPoint], DB[samplingTag])</f>
        <v>SV126.19</v>
      </c>
      <c r="D50" s="33" t="s">
        <v>500</v>
      </c>
      <c r="E50" s="38" t="b">
        <v>1</v>
      </c>
      <c r="F50" s="39" t="str">
        <f t="array" ref="F50">_xlfn.XLOOKUP($B50, DB[samplingPoint], DB[noLocation])</f>
        <v>16-3-087</v>
      </c>
      <c r="G50" s="59" t="str">
        <f t="array" ref="G50">_xlfn.XLOOKUP($B50, DB[samplingPoint], DB[building])</f>
        <v>Building 16</v>
      </c>
      <c r="H50" s="40" t="str">
        <f t="array" ref="H50">_xlfn.XLOOKUP($B50, DB[samplingPoint], DB[location])</f>
        <v>CIP 2 (EQUIPMENT REQUIREMENT)</v>
      </c>
      <c r="I50" s="39" t="str">
        <f t="array" ref="I50">_xlfn.XLOOKUP($B50, DB[samplingPoint], DB[waterType])</f>
        <v>PW</v>
      </c>
      <c r="J50" s="43">
        <f t="shared" si="1"/>
        <v>46036</v>
      </c>
      <c r="K50" s="26">
        <v>46039.0</v>
      </c>
      <c r="L50" s="32">
        <v>0.0</v>
      </c>
      <c r="M50" s="32">
        <v>0.0</v>
      </c>
      <c r="N50" s="32">
        <f t="shared" si="2"/>
        <v>0</v>
      </c>
      <c r="O50" s="49" t="s">
        <v>376</v>
      </c>
      <c r="P50" s="32">
        <f t="array" ref="P50">_xlfn.XLOOKUP($B50, DB[samplingPoint], DB[Criteria])</f>
        <v>100</v>
      </c>
      <c r="Q50" s="50" t="str">
        <f t="shared" si="3"/>
        <v>PASSED</v>
      </c>
      <c r="R50" s="38" t="b">
        <v>0</v>
      </c>
      <c r="S50" s="32" t="s">
        <v>501</v>
      </c>
      <c r="T50" s="39" t="s">
        <v>386</v>
      </c>
      <c r="U50" s="32" t="s">
        <v>381</v>
      </c>
    </row>
    <row r="51" ht="22.5" customHeight="1">
      <c r="A51" s="26">
        <v>46035.0</v>
      </c>
      <c r="B51" s="39" t="s">
        <v>464</v>
      </c>
      <c r="C51" s="32" t="str">
        <f t="array" ref="C51">_xlfn.XLOOKUP(B51, DB[samplingPoint], DB[samplingTag])</f>
        <v>SV127.01</v>
      </c>
      <c r="D51" s="33" t="s">
        <v>500</v>
      </c>
      <c r="E51" s="38" t="b">
        <v>1</v>
      </c>
      <c r="F51" s="39" t="str">
        <f t="array" ref="F51">_xlfn.XLOOKUP($B51, DB[samplingPoint], DB[noLocation])</f>
        <v>WATER SYSTEM (B16)</v>
      </c>
      <c r="G51" s="59" t="str">
        <f t="array" ref="G51">_xlfn.XLOOKUP($B51, DB[samplingPoint], DB[building])</f>
        <v>Building 16</v>
      </c>
      <c r="H51" s="40" t="str">
        <f t="array" ref="H51">_xlfn.XLOOKUP($B51, DB[samplingPoint], DB[location])</f>
        <v>Return loop (B16)</v>
      </c>
      <c r="I51" s="39" t="str">
        <f t="array" ref="I51">_xlfn.XLOOKUP($B51, DB[samplingPoint], DB[waterType])</f>
        <v>PW</v>
      </c>
      <c r="J51" s="43">
        <f t="shared" si="1"/>
        <v>46036</v>
      </c>
      <c r="K51" s="26">
        <v>46039.0</v>
      </c>
      <c r="L51" s="32">
        <v>0.0</v>
      </c>
      <c r="M51" s="32">
        <v>0.0</v>
      </c>
      <c r="N51" s="32">
        <f t="shared" si="2"/>
        <v>0</v>
      </c>
      <c r="O51" s="49" t="s">
        <v>376</v>
      </c>
      <c r="P51" s="32">
        <f t="array" ref="P51">_xlfn.XLOOKUP($B51, DB[samplingPoint], DB[Criteria])</f>
        <v>100</v>
      </c>
      <c r="Q51" s="50" t="str">
        <f t="shared" si="3"/>
        <v>PASSED</v>
      </c>
      <c r="R51" s="38" t="b">
        <v>0</v>
      </c>
      <c r="S51" s="32" t="s">
        <v>501</v>
      </c>
      <c r="T51" s="39" t="s">
        <v>386</v>
      </c>
      <c r="U51" s="32" t="s">
        <v>381</v>
      </c>
    </row>
    <row r="52" ht="22.5" customHeight="1">
      <c r="A52" s="26">
        <v>46035.0</v>
      </c>
      <c r="B52" s="39" t="s">
        <v>506</v>
      </c>
      <c r="C52" s="32" t="str">
        <f t="array" ref="C52">_xlfn.XLOOKUP(B52, DB[samplingPoint], DB[samplingTag])</f>
        <v>DV136.02</v>
      </c>
      <c r="D52" s="33" t="s">
        <v>500</v>
      </c>
      <c r="E52" s="38" t="b">
        <v>1</v>
      </c>
      <c r="F52" s="39" t="str">
        <f t="array" ref="F52">_xlfn.XLOOKUP($B52, DB[samplingPoint], DB[noLocation])</f>
        <v>12-2-028</v>
      </c>
      <c r="G52" s="59" t="str">
        <f t="array" ref="G52">_xlfn.XLOOKUP($B52, DB[samplingPoint], DB[building])</f>
        <v>Building 12</v>
      </c>
      <c r="H52" s="40" t="str">
        <f t="array" ref="H52">_xlfn.XLOOKUP($B52, DB[samplingPoint], DB[location])</f>
        <v>ALCOHOL STORAGE</v>
      </c>
      <c r="I52" s="39" t="str">
        <f t="array" ref="I52">_xlfn.XLOOKUP($B52, DB[samplingPoint], DB[waterType])</f>
        <v>PW</v>
      </c>
      <c r="J52" s="43">
        <f t="shared" si="1"/>
        <v>46036</v>
      </c>
      <c r="K52" s="26">
        <v>46039.0</v>
      </c>
      <c r="L52" s="32">
        <v>0.0</v>
      </c>
      <c r="M52" s="32">
        <v>0.0</v>
      </c>
      <c r="N52" s="32">
        <f t="shared" si="2"/>
        <v>0</v>
      </c>
      <c r="O52" s="49" t="s">
        <v>376</v>
      </c>
      <c r="P52" s="32">
        <f t="array" ref="P52">_xlfn.XLOOKUP($B52, DB[samplingPoint], DB[Criteria])</f>
        <v>100</v>
      </c>
      <c r="Q52" s="50" t="str">
        <f t="shared" si="3"/>
        <v>PASSED</v>
      </c>
      <c r="R52" s="38" t="b">
        <v>0</v>
      </c>
      <c r="S52" s="32" t="s">
        <v>507</v>
      </c>
      <c r="T52" s="39" t="s">
        <v>386</v>
      </c>
      <c r="U52" s="32" t="s">
        <v>381</v>
      </c>
    </row>
    <row r="53" ht="22.5" customHeight="1">
      <c r="A53" s="26">
        <v>46035.0</v>
      </c>
      <c r="B53" s="39" t="s">
        <v>508</v>
      </c>
      <c r="C53" s="32" t="str">
        <f t="array" ref="C53">_xlfn.XLOOKUP(B53, DB[samplingPoint], DB[samplingTag])</f>
        <v>DV136.07</v>
      </c>
      <c r="D53" s="33" t="s">
        <v>500</v>
      </c>
      <c r="E53" s="38" t="b">
        <v>1</v>
      </c>
      <c r="F53" s="39" t="str">
        <f t="array" ref="F53">_xlfn.XLOOKUP($B53, DB[samplingPoint], DB[noLocation])</f>
        <v>12-3-039</v>
      </c>
      <c r="G53" s="59" t="str">
        <f t="array" ref="G53">_xlfn.XLOOKUP($B53, DB[samplingPoint], DB[building])</f>
        <v>Building 12</v>
      </c>
      <c r="H53" s="40" t="str">
        <f t="array" ref="H53">_xlfn.XLOOKUP($B53, DB[samplingPoint], DB[location])</f>
        <v>INSTRUMENT 7</v>
      </c>
      <c r="I53" s="39" t="str">
        <f t="array" ref="I53">_xlfn.XLOOKUP($B53, DB[samplingPoint], DB[waterType])</f>
        <v>PW</v>
      </c>
      <c r="J53" s="43">
        <f t="shared" si="1"/>
        <v>46036</v>
      </c>
      <c r="K53" s="26">
        <v>46039.0</v>
      </c>
      <c r="L53" s="32">
        <v>0.0</v>
      </c>
      <c r="M53" s="32">
        <v>0.0</v>
      </c>
      <c r="N53" s="32">
        <f t="shared" si="2"/>
        <v>0</v>
      </c>
      <c r="O53" s="49" t="s">
        <v>376</v>
      </c>
      <c r="P53" s="32">
        <f t="array" ref="P53">_xlfn.XLOOKUP($B53, DB[samplingPoint], DB[Criteria])</f>
        <v>100</v>
      </c>
      <c r="Q53" s="50" t="str">
        <f t="shared" si="3"/>
        <v>PASSED</v>
      </c>
      <c r="R53" s="38" t="b">
        <v>0</v>
      </c>
      <c r="S53" s="32" t="s">
        <v>507</v>
      </c>
      <c r="T53" s="39" t="s">
        <v>386</v>
      </c>
      <c r="U53" s="32" t="s">
        <v>381</v>
      </c>
    </row>
    <row r="54" ht="22.5" customHeight="1">
      <c r="A54" s="26">
        <v>46035.0</v>
      </c>
      <c r="B54" s="39" t="s">
        <v>435</v>
      </c>
      <c r="C54" s="32" t="str">
        <f t="array" ref="C54">_xlfn.XLOOKUP(B54, DB[samplingPoint], DB[samplingTag])</f>
        <v>SV133.01</v>
      </c>
      <c r="D54" s="33" t="s">
        <v>500</v>
      </c>
      <c r="E54" s="38" t="b">
        <v>1</v>
      </c>
      <c r="F54" s="39" t="str">
        <f t="array" ref="F54">_xlfn.XLOOKUP($B54, DB[samplingPoint], DB[noLocation])</f>
        <v>WATER SYSTEM (B12)</v>
      </c>
      <c r="G54" s="59" t="str">
        <f t="array" ref="G54">_xlfn.XLOOKUP($B54, DB[samplingPoint], DB[building])</f>
        <v>Building 12</v>
      </c>
      <c r="H54" s="40" t="str">
        <f t="array" ref="H54">_xlfn.XLOOKUP($B54, DB[samplingPoint], DB[location])</f>
        <v>After Storage tank (B12)</v>
      </c>
      <c r="I54" s="39" t="str">
        <f t="array" ref="I54">_xlfn.XLOOKUP($B54, DB[samplingPoint], DB[waterType])</f>
        <v>PW</v>
      </c>
      <c r="J54" s="43">
        <f t="shared" si="1"/>
        <v>46036</v>
      </c>
      <c r="K54" s="26">
        <v>46039.0</v>
      </c>
      <c r="L54" s="32">
        <v>0.0</v>
      </c>
      <c r="M54" s="32">
        <v>0.0</v>
      </c>
      <c r="N54" s="32">
        <f t="shared" si="2"/>
        <v>0</v>
      </c>
      <c r="O54" s="49" t="s">
        <v>376</v>
      </c>
      <c r="P54" s="32">
        <f t="array" ref="P54">_xlfn.XLOOKUP($B54, DB[samplingPoint], DB[Criteria])</f>
        <v>100</v>
      </c>
      <c r="Q54" s="50" t="str">
        <f t="shared" si="3"/>
        <v>PASSED</v>
      </c>
      <c r="R54" s="38" t="b">
        <v>0</v>
      </c>
      <c r="S54" s="32" t="s">
        <v>507</v>
      </c>
      <c r="T54" s="39" t="s">
        <v>386</v>
      </c>
      <c r="U54" s="32" t="s">
        <v>381</v>
      </c>
    </row>
    <row r="55" ht="22.5" customHeight="1">
      <c r="A55" s="26">
        <v>46035.0</v>
      </c>
      <c r="B55" s="39" t="s">
        <v>438</v>
      </c>
      <c r="C55" s="32" t="str">
        <f t="array" ref="C55">_xlfn.XLOOKUP(B55, DB[samplingPoint], DB[samplingTag])</f>
        <v>SV135.02</v>
      </c>
      <c r="D55" s="33" t="s">
        <v>500</v>
      </c>
      <c r="E55" s="38" t="b">
        <v>1</v>
      </c>
      <c r="F55" s="39" t="str">
        <f t="array" ref="F55">_xlfn.XLOOKUP($B55, DB[samplingPoint], DB[noLocation])</f>
        <v>WATER SYSTEM (B12)</v>
      </c>
      <c r="G55" s="59" t="str">
        <f t="array" ref="G55">_xlfn.XLOOKUP($B55, DB[samplingPoint], DB[building])</f>
        <v>Building 12</v>
      </c>
      <c r="H55" s="40" t="str">
        <f t="array" ref="H55">_xlfn.XLOOKUP($B55, DB[samplingPoint], DB[location])</f>
        <v>After UV (B12)</v>
      </c>
      <c r="I55" s="39" t="str">
        <f t="array" ref="I55">_xlfn.XLOOKUP($B55, DB[samplingPoint], DB[waterType])</f>
        <v>PW</v>
      </c>
      <c r="J55" s="43">
        <f t="shared" si="1"/>
        <v>46036</v>
      </c>
      <c r="K55" s="26">
        <v>46039.0</v>
      </c>
      <c r="L55" s="32">
        <v>0.0</v>
      </c>
      <c r="M55" s="32">
        <v>0.0</v>
      </c>
      <c r="N55" s="32">
        <f t="shared" si="2"/>
        <v>0</v>
      </c>
      <c r="O55" s="49" t="s">
        <v>376</v>
      </c>
      <c r="P55" s="32">
        <f t="array" ref="P55">_xlfn.XLOOKUP($B55, DB[samplingPoint], DB[Criteria])</f>
        <v>100</v>
      </c>
      <c r="Q55" s="50" t="str">
        <f t="shared" si="3"/>
        <v>PASSED</v>
      </c>
      <c r="R55" s="38" t="b">
        <v>0</v>
      </c>
      <c r="S55" s="32" t="s">
        <v>507</v>
      </c>
      <c r="T55" s="39" t="s">
        <v>386</v>
      </c>
      <c r="U55" s="32" t="s">
        <v>381</v>
      </c>
    </row>
    <row r="56" ht="22.5" customHeight="1">
      <c r="A56" s="26">
        <v>46035.0</v>
      </c>
      <c r="B56" s="39" t="s">
        <v>510</v>
      </c>
      <c r="C56" s="32" t="str">
        <f t="array" ref="C56">_xlfn.XLOOKUP(B56, DB[samplingPoint], DB[samplingTag])</f>
        <v>SV136.03</v>
      </c>
      <c r="D56" s="33" t="s">
        <v>500</v>
      </c>
      <c r="E56" s="38" t="b">
        <v>1</v>
      </c>
      <c r="F56" s="39" t="str">
        <f t="array" ref="F56">_xlfn.XLOOKUP($B56, DB[samplingPoint], DB[noLocation])</f>
        <v>12-2-032</v>
      </c>
      <c r="G56" s="59" t="str">
        <f t="array" ref="G56">_xlfn.XLOOKUP($B56, DB[samplingPoint], DB[building])</f>
        <v>Building 12</v>
      </c>
      <c r="H56" s="40" t="str">
        <f t="array" ref="H56">_xlfn.XLOOKUP($B56, DB[samplingPoint], DB[location])</f>
        <v>CAMPHORATED OPIUM TINCTURE</v>
      </c>
      <c r="I56" s="39" t="str">
        <f t="array" ref="I56">_xlfn.XLOOKUP($B56, DB[samplingPoint], DB[waterType])</f>
        <v>PW</v>
      </c>
      <c r="J56" s="43">
        <f t="shared" si="1"/>
        <v>46036</v>
      </c>
      <c r="K56" s="26">
        <v>46039.0</v>
      </c>
      <c r="L56" s="32">
        <v>0.0</v>
      </c>
      <c r="M56" s="32">
        <v>0.0</v>
      </c>
      <c r="N56" s="32">
        <f t="shared" si="2"/>
        <v>0</v>
      </c>
      <c r="O56" s="49" t="s">
        <v>376</v>
      </c>
      <c r="P56" s="32">
        <f t="array" ref="P56">_xlfn.XLOOKUP($B56, DB[samplingPoint], DB[Criteria])</f>
        <v>100</v>
      </c>
      <c r="Q56" s="50" t="str">
        <f t="shared" si="3"/>
        <v>PASSED</v>
      </c>
      <c r="R56" s="38" t="b">
        <v>0</v>
      </c>
      <c r="S56" s="32" t="s">
        <v>507</v>
      </c>
      <c r="T56" s="39" t="s">
        <v>386</v>
      </c>
      <c r="U56" s="32" t="s">
        <v>381</v>
      </c>
    </row>
    <row r="57" ht="22.5" customHeight="1">
      <c r="A57" s="26">
        <v>46035.0</v>
      </c>
      <c r="B57" s="39" t="s">
        <v>513</v>
      </c>
      <c r="C57" s="32" t="str">
        <f t="array" ref="C57">_xlfn.XLOOKUP(B57, DB[samplingPoint], DB[samplingTag])</f>
        <v>SV136.04</v>
      </c>
      <c r="D57" s="33" t="s">
        <v>500</v>
      </c>
      <c r="E57" s="38" t="b">
        <v>1</v>
      </c>
      <c r="F57" s="39" t="str">
        <f t="array" ref="F57">_xlfn.XLOOKUP($B57, DB[samplingPoint], DB[noLocation])</f>
        <v>12-2-030</v>
      </c>
      <c r="G57" s="59" t="str">
        <f t="array" ref="G57">_xlfn.XLOOKUP($B57, DB[samplingPoint], DB[building])</f>
        <v>Building 12</v>
      </c>
      <c r="H57" s="40" t="str">
        <f t="array" ref="H57">_xlfn.XLOOKUP($B57, DB[samplingPoint], DB[location])</f>
        <v>OPIUM TINCTURE</v>
      </c>
      <c r="I57" s="39" t="str">
        <f t="array" ref="I57">_xlfn.XLOOKUP($B57, DB[samplingPoint], DB[waterType])</f>
        <v>PW</v>
      </c>
      <c r="J57" s="43">
        <f t="shared" si="1"/>
        <v>46036</v>
      </c>
      <c r="K57" s="26">
        <v>46039.0</v>
      </c>
      <c r="L57" s="32">
        <v>0.0</v>
      </c>
      <c r="M57" s="32">
        <v>0.0</v>
      </c>
      <c r="N57" s="32">
        <f t="shared" si="2"/>
        <v>0</v>
      </c>
      <c r="O57" s="49" t="s">
        <v>376</v>
      </c>
      <c r="P57" s="32">
        <f t="array" ref="P57">_xlfn.XLOOKUP($B57, DB[samplingPoint], DB[Criteria])</f>
        <v>100</v>
      </c>
      <c r="Q57" s="50" t="str">
        <f t="shared" si="3"/>
        <v>PASSED</v>
      </c>
      <c r="R57" s="38" t="b">
        <v>0</v>
      </c>
      <c r="S57" s="32" t="s">
        <v>507</v>
      </c>
      <c r="T57" s="39" t="s">
        <v>386</v>
      </c>
      <c r="U57" s="32" t="s">
        <v>381</v>
      </c>
    </row>
    <row r="58" ht="22.5" customHeight="1">
      <c r="A58" s="26">
        <v>46035.0</v>
      </c>
      <c r="B58" s="39" t="s">
        <v>514</v>
      </c>
      <c r="C58" s="32" t="str">
        <f t="array" ref="C58">_xlfn.XLOOKUP(B58, DB[samplingPoint], DB[samplingTag])</f>
        <v>SV136.05</v>
      </c>
      <c r="D58" s="33" t="s">
        <v>500</v>
      </c>
      <c r="E58" s="38" t="b">
        <v>1</v>
      </c>
      <c r="F58" s="39" t="str">
        <f t="array" ref="F58">_xlfn.XLOOKUP($B58, DB[samplingPoint], DB[noLocation])</f>
        <v>12-2-032</v>
      </c>
      <c r="G58" s="59" t="str">
        <f t="array" ref="G58">_xlfn.XLOOKUP($B58, DB[samplingPoint], DB[building])</f>
        <v>Building 12</v>
      </c>
      <c r="H58" s="40" t="str">
        <f t="array" ref="H58">_xlfn.XLOOKUP($B58, DB[samplingPoint], DB[location])</f>
        <v>CAMPHORATED OPIUM TINCTURE</v>
      </c>
      <c r="I58" s="39" t="str">
        <f t="array" ref="I58">_xlfn.XLOOKUP($B58, DB[samplingPoint], DB[waterType])</f>
        <v>PW</v>
      </c>
      <c r="J58" s="43">
        <f t="shared" si="1"/>
        <v>46036</v>
      </c>
      <c r="K58" s="26">
        <v>46039.0</v>
      </c>
      <c r="L58" s="32">
        <v>0.0</v>
      </c>
      <c r="M58" s="32">
        <v>0.0</v>
      </c>
      <c r="N58" s="32">
        <f t="shared" si="2"/>
        <v>0</v>
      </c>
      <c r="O58" s="49" t="s">
        <v>376</v>
      </c>
      <c r="P58" s="32">
        <f t="array" ref="P58">_xlfn.XLOOKUP($B58, DB[samplingPoint], DB[Criteria])</f>
        <v>100</v>
      </c>
      <c r="Q58" s="50" t="str">
        <f t="shared" si="3"/>
        <v>PASSED</v>
      </c>
      <c r="R58" s="38" t="b">
        <v>0</v>
      </c>
      <c r="S58" s="32" t="s">
        <v>507</v>
      </c>
      <c r="T58" s="39" t="s">
        <v>386</v>
      </c>
      <c r="U58" s="32" t="s">
        <v>381</v>
      </c>
    </row>
    <row r="59" ht="22.5" customHeight="1">
      <c r="A59" s="26">
        <v>46035.0</v>
      </c>
      <c r="B59" s="39" t="s">
        <v>516</v>
      </c>
      <c r="C59" s="32" t="str">
        <f t="array" ref="C59">_xlfn.XLOOKUP(B59, DB[samplingPoint], DB[samplingTag])</f>
        <v>SV136.06</v>
      </c>
      <c r="D59" s="33" t="s">
        <v>500</v>
      </c>
      <c r="E59" s="38" t="b">
        <v>1</v>
      </c>
      <c r="F59" s="39" t="str">
        <f t="array" ref="F59">_xlfn.XLOOKUP($B59, DB[samplingPoint], DB[noLocation])</f>
        <v>12-2-034</v>
      </c>
      <c r="G59" s="59" t="str">
        <f t="array" ref="G59">_xlfn.XLOOKUP($B59, DB[samplingPoint], DB[building])</f>
        <v>Building 12</v>
      </c>
      <c r="H59" s="40" t="str">
        <f t="array" ref="H59">_xlfn.XLOOKUP($B59, DB[samplingPoint], DB[location])</f>
        <v>SYRUP PREPARATION</v>
      </c>
      <c r="I59" s="39" t="str">
        <f t="array" ref="I59">_xlfn.XLOOKUP($B59, DB[samplingPoint], DB[waterType])</f>
        <v>PW</v>
      </c>
      <c r="J59" s="43">
        <f t="shared" si="1"/>
        <v>46036</v>
      </c>
      <c r="K59" s="26">
        <v>46039.0</v>
      </c>
      <c r="L59" s="32">
        <v>0.0</v>
      </c>
      <c r="M59" s="32">
        <v>0.0</v>
      </c>
      <c r="N59" s="32">
        <f t="shared" si="2"/>
        <v>0</v>
      </c>
      <c r="O59" s="49" t="s">
        <v>376</v>
      </c>
      <c r="P59" s="32">
        <f t="array" ref="P59">_xlfn.XLOOKUP($B59, DB[samplingPoint], DB[Criteria])</f>
        <v>100</v>
      </c>
      <c r="Q59" s="50" t="str">
        <f t="shared" si="3"/>
        <v>PASSED</v>
      </c>
      <c r="R59" s="38" t="b">
        <v>0</v>
      </c>
      <c r="S59" s="32" t="s">
        <v>507</v>
      </c>
      <c r="T59" s="39" t="s">
        <v>386</v>
      </c>
      <c r="U59" s="32" t="s">
        <v>381</v>
      </c>
    </row>
    <row r="60" ht="22.5" customHeight="1">
      <c r="A60" s="26">
        <v>46035.0</v>
      </c>
      <c r="B60" s="39" t="s">
        <v>517</v>
      </c>
      <c r="C60" s="32" t="str">
        <f t="array" ref="C60">_xlfn.XLOOKUP(B60, DB[samplingPoint], DB[samplingTag])</f>
        <v>SV136.07</v>
      </c>
      <c r="D60" s="33" t="s">
        <v>500</v>
      </c>
      <c r="E60" s="38" t="b">
        <v>1</v>
      </c>
      <c r="F60" s="39" t="str">
        <f t="array" ref="F60">_xlfn.XLOOKUP($B60, DB[samplingPoint], DB[noLocation])</f>
        <v>12-2-034</v>
      </c>
      <c r="G60" s="59" t="str">
        <f t="array" ref="G60">_xlfn.XLOOKUP($B60, DB[samplingPoint], DB[building])</f>
        <v>Building 12</v>
      </c>
      <c r="H60" s="40" t="str">
        <f t="array" ref="H60">_xlfn.XLOOKUP($B60, DB[samplingPoint], DB[location])</f>
        <v>SYRUP PREPARATION</v>
      </c>
      <c r="I60" s="39" t="str">
        <f t="array" ref="I60">_xlfn.XLOOKUP($B60, DB[samplingPoint], DB[waterType])</f>
        <v>PW</v>
      </c>
      <c r="J60" s="43">
        <f t="shared" si="1"/>
        <v>46036</v>
      </c>
      <c r="K60" s="26">
        <v>46039.0</v>
      </c>
      <c r="L60" s="32">
        <v>0.0</v>
      </c>
      <c r="M60" s="32">
        <v>0.0</v>
      </c>
      <c r="N60" s="32">
        <f t="shared" si="2"/>
        <v>0</v>
      </c>
      <c r="O60" s="49" t="s">
        <v>376</v>
      </c>
      <c r="P60" s="32">
        <f t="array" ref="P60">_xlfn.XLOOKUP($B60, DB[samplingPoint], DB[Criteria])</f>
        <v>100</v>
      </c>
      <c r="Q60" s="50" t="str">
        <f t="shared" si="3"/>
        <v>PASSED</v>
      </c>
      <c r="R60" s="38" t="b">
        <v>0</v>
      </c>
      <c r="S60" s="32" t="s">
        <v>507</v>
      </c>
      <c r="T60" s="39" t="s">
        <v>386</v>
      </c>
      <c r="U60" s="32" t="s">
        <v>381</v>
      </c>
    </row>
    <row r="61" ht="22.5" customHeight="1">
      <c r="A61" s="26">
        <v>46035.0</v>
      </c>
      <c r="B61" s="39" t="s">
        <v>518</v>
      </c>
      <c r="C61" s="32" t="str">
        <f t="array" ref="C61">_xlfn.XLOOKUP(B61, DB[samplingPoint], DB[samplingTag])</f>
        <v>SV136.12</v>
      </c>
      <c r="D61" s="33" t="s">
        <v>500</v>
      </c>
      <c r="E61" s="38" t="b">
        <v>1</v>
      </c>
      <c r="F61" s="39" t="str">
        <f t="array" ref="F61">_xlfn.XLOOKUP($B61, DB[samplingPoint], DB[noLocation])</f>
        <v>12-2-036</v>
      </c>
      <c r="G61" s="59" t="str">
        <f t="array" ref="G61">_xlfn.XLOOKUP($B61, DB[samplingPoint], DB[building])</f>
        <v>Building 12</v>
      </c>
      <c r="H61" s="40" t="str">
        <f t="array" ref="H61">_xlfn.XLOOKUP($B61, DB[samplingPoint], DB[location])</f>
        <v>CIP 1</v>
      </c>
      <c r="I61" s="39" t="str">
        <f t="array" ref="I61">_xlfn.XLOOKUP($B61, DB[samplingPoint], DB[waterType])</f>
        <v>PW</v>
      </c>
      <c r="J61" s="43">
        <f t="shared" si="1"/>
        <v>46036</v>
      </c>
      <c r="K61" s="26">
        <v>46039.0</v>
      </c>
      <c r="L61" s="32">
        <v>0.0</v>
      </c>
      <c r="M61" s="32">
        <v>0.0</v>
      </c>
      <c r="N61" s="32">
        <f t="shared" si="2"/>
        <v>0</v>
      </c>
      <c r="O61" s="49" t="s">
        <v>376</v>
      </c>
      <c r="P61" s="32">
        <f t="array" ref="P61">_xlfn.XLOOKUP($B61, DB[samplingPoint], DB[Criteria])</f>
        <v>100</v>
      </c>
      <c r="Q61" s="50" t="str">
        <f t="shared" si="3"/>
        <v>PASSED</v>
      </c>
      <c r="R61" s="38" t="b">
        <v>0</v>
      </c>
      <c r="S61" s="32" t="s">
        <v>507</v>
      </c>
      <c r="T61" s="39" t="s">
        <v>386</v>
      </c>
      <c r="U61" s="32" t="s">
        <v>381</v>
      </c>
    </row>
    <row r="62" ht="22.5" customHeight="1">
      <c r="A62" s="26">
        <v>46035.0</v>
      </c>
      <c r="B62" s="39" t="s">
        <v>430</v>
      </c>
      <c r="C62" s="32" t="str">
        <f t="array" ref="C62">_xlfn.XLOOKUP(B62, DB[samplingPoint], DB[samplingTag])</f>
        <v>SV137.01</v>
      </c>
      <c r="D62" s="33" t="s">
        <v>500</v>
      </c>
      <c r="E62" s="38" t="b">
        <v>1</v>
      </c>
      <c r="F62" s="39" t="str">
        <f t="array" ref="F62">_xlfn.XLOOKUP($B62, DB[samplingPoint], DB[noLocation])</f>
        <v>WATER SYSTEM (B12)</v>
      </c>
      <c r="G62" s="59" t="str">
        <f t="array" ref="G62">_xlfn.XLOOKUP($B62, DB[samplingPoint], DB[building])</f>
        <v>Building 12</v>
      </c>
      <c r="H62" s="40" t="str">
        <f t="array" ref="H62">_xlfn.XLOOKUP($B62, DB[samplingPoint], DB[location])</f>
        <v>Return loop (B12)</v>
      </c>
      <c r="I62" s="39" t="str">
        <f t="array" ref="I62">_xlfn.XLOOKUP($B62, DB[samplingPoint], DB[waterType])</f>
        <v>PW</v>
      </c>
      <c r="J62" s="43">
        <f t="shared" si="1"/>
        <v>46036</v>
      </c>
      <c r="K62" s="26">
        <v>46039.0</v>
      </c>
      <c r="L62" s="32">
        <v>0.0</v>
      </c>
      <c r="M62" s="32">
        <v>0.0</v>
      </c>
      <c r="N62" s="32">
        <f t="shared" si="2"/>
        <v>0</v>
      </c>
      <c r="O62" s="49" t="s">
        <v>376</v>
      </c>
      <c r="P62" s="32">
        <f t="array" ref="P62">_xlfn.XLOOKUP($B62, DB[samplingPoint], DB[Criteria])</f>
        <v>100</v>
      </c>
      <c r="Q62" s="50" t="str">
        <f t="shared" si="3"/>
        <v>PASSED</v>
      </c>
      <c r="R62" s="38" t="b">
        <v>0</v>
      </c>
      <c r="S62" s="32" t="s">
        <v>507</v>
      </c>
      <c r="T62" s="39" t="s">
        <v>386</v>
      </c>
      <c r="U62" s="32" t="s">
        <v>381</v>
      </c>
    </row>
    <row r="63" ht="22.5" customHeight="1">
      <c r="A63" s="26">
        <v>46038.0</v>
      </c>
      <c r="B63" s="39" t="s">
        <v>520</v>
      </c>
      <c r="C63" s="32" t="str">
        <f t="array" ref="C63">_xlfn.XLOOKUP(B63, DB[samplingPoint], DB[samplingTag])</f>
        <v>DV116.03</v>
      </c>
      <c r="D63" s="33" t="s">
        <v>500</v>
      </c>
      <c r="E63" s="38" t="b">
        <v>1</v>
      </c>
      <c r="F63" s="39" t="str">
        <f t="array" ref="F63">_xlfn.XLOOKUP($B63, DB[samplingPoint], DB[noLocation])</f>
        <v>10-2-034</v>
      </c>
      <c r="G63" s="59" t="str">
        <f t="array" ref="G63">_xlfn.XLOOKUP($B63, DB[samplingPoint], DB[building])</f>
        <v>Building 10</v>
      </c>
      <c r="H63" s="40" t="str">
        <f t="array" ref="H63">_xlfn.XLOOKUP($B63, DB[samplingPoint], DB[location])</f>
        <v>SAMPLE PREPARATION</v>
      </c>
      <c r="I63" s="39" t="str">
        <f t="array" ref="I63">_xlfn.XLOOKUP($B63, DB[samplingPoint], DB[waterType])</f>
        <v>PW</v>
      </c>
      <c r="J63" s="43">
        <f t="shared" si="1"/>
        <v>46039</v>
      </c>
      <c r="K63" s="26">
        <v>46042.0</v>
      </c>
      <c r="L63" s="32">
        <v>0.0</v>
      </c>
      <c r="M63" s="32">
        <v>0.0</v>
      </c>
      <c r="N63" s="32">
        <f t="shared" si="2"/>
        <v>0</v>
      </c>
      <c r="O63" s="49" t="s">
        <v>376</v>
      </c>
      <c r="P63" s="32">
        <f t="array" ref="P63">_xlfn.XLOOKUP($B63, DB[samplingPoint], DB[Criteria])</f>
        <v>100</v>
      </c>
      <c r="Q63" s="50" t="str">
        <f t="shared" si="3"/>
        <v>PASSED</v>
      </c>
      <c r="R63" s="38" t="b">
        <v>0</v>
      </c>
      <c r="S63" s="32" t="s">
        <v>521</v>
      </c>
      <c r="T63" s="39" t="s">
        <v>386</v>
      </c>
      <c r="U63" s="32" t="s">
        <v>381</v>
      </c>
    </row>
    <row r="64" ht="22.5" customHeight="1">
      <c r="A64" s="26">
        <v>46038.0</v>
      </c>
      <c r="B64" s="39" t="s">
        <v>522</v>
      </c>
      <c r="C64" s="32" t="str">
        <f t="array" ref="C64">_xlfn.XLOOKUP(B64, DB[samplingPoint], DB[samplingTag])</f>
        <v>DV116.04</v>
      </c>
      <c r="D64" s="33" t="s">
        <v>500</v>
      </c>
      <c r="E64" s="38" t="b">
        <v>1</v>
      </c>
      <c r="F64" s="39" t="str">
        <f t="array" ref="F64">_xlfn.XLOOKUP($B64, DB[samplingPoint], DB[noLocation])</f>
        <v>10-2-037</v>
      </c>
      <c r="G64" s="59" t="str">
        <f t="array" ref="G64">_xlfn.XLOOKUP($B64, DB[samplingPoint], DB[building])</f>
        <v>Building 10</v>
      </c>
      <c r="H64" s="40" t="str">
        <f t="array" ref="H64">_xlfn.XLOOKUP($B64, DB[samplingPoint], DB[location])</f>
        <v>SKID FOR BIN WASHING-1</v>
      </c>
      <c r="I64" s="39" t="str">
        <f t="array" ref="I64">_xlfn.XLOOKUP($B64, DB[samplingPoint], DB[waterType])</f>
        <v>PW</v>
      </c>
      <c r="J64" s="43">
        <f t="shared" si="1"/>
        <v>46039</v>
      </c>
      <c r="K64" s="26">
        <v>46042.0</v>
      </c>
      <c r="L64" s="32">
        <v>0.0</v>
      </c>
      <c r="M64" s="32">
        <v>0.0</v>
      </c>
      <c r="N64" s="32">
        <f t="shared" si="2"/>
        <v>0</v>
      </c>
      <c r="O64" s="49" t="s">
        <v>376</v>
      </c>
      <c r="P64" s="32">
        <f t="array" ref="P64">_xlfn.XLOOKUP($B64, DB[samplingPoint], DB[Criteria])</f>
        <v>100</v>
      </c>
      <c r="Q64" s="50" t="str">
        <f t="shared" si="3"/>
        <v>PASSED</v>
      </c>
      <c r="R64" s="38" t="b">
        <v>0</v>
      </c>
      <c r="S64" s="32" t="s">
        <v>521</v>
      </c>
      <c r="T64" s="39" t="s">
        <v>386</v>
      </c>
      <c r="U64" s="32" t="s">
        <v>381</v>
      </c>
    </row>
    <row r="65" ht="22.5" customHeight="1">
      <c r="A65" s="26">
        <v>46038.0</v>
      </c>
      <c r="B65" s="39" t="s">
        <v>524</v>
      </c>
      <c r="C65" s="32" t="str">
        <f t="array" ref="C65">_xlfn.XLOOKUP(B65, DB[samplingPoint], DB[samplingTag])</f>
        <v>DV116.05</v>
      </c>
      <c r="D65" s="33" t="s">
        <v>500</v>
      </c>
      <c r="E65" s="38" t="b">
        <v>1</v>
      </c>
      <c r="F65" s="39" t="str">
        <f t="array" ref="F65">_xlfn.XLOOKUP($B65, DB[samplingPoint], DB[noLocation])</f>
        <v>10-2-032</v>
      </c>
      <c r="G65" s="59" t="str">
        <f t="array" ref="G65">_xlfn.XLOOKUP($B65, DB[samplingPoint], DB[building])</f>
        <v>Building 10</v>
      </c>
      <c r="H65" s="40" t="str">
        <f t="array" ref="H65">_xlfn.XLOOKUP($B65, DB[samplingPoint], DB[location])</f>
        <v>GLASS-WARE WASHING</v>
      </c>
      <c r="I65" s="39" t="str">
        <f t="array" ref="I65">_xlfn.XLOOKUP($B65, DB[samplingPoint], DB[waterType])</f>
        <v>PW</v>
      </c>
      <c r="J65" s="43">
        <f t="shared" si="1"/>
        <v>46039</v>
      </c>
      <c r="K65" s="26">
        <v>46042.0</v>
      </c>
      <c r="L65" s="32">
        <v>0.0</v>
      </c>
      <c r="M65" s="32">
        <v>0.0</v>
      </c>
      <c r="N65" s="32">
        <f t="shared" si="2"/>
        <v>0</v>
      </c>
      <c r="O65" s="49" t="s">
        <v>376</v>
      </c>
      <c r="P65" s="32">
        <f t="array" ref="P65">_xlfn.XLOOKUP($B65, DB[samplingPoint], DB[Criteria])</f>
        <v>100</v>
      </c>
      <c r="Q65" s="50" t="str">
        <f t="shared" si="3"/>
        <v>PASSED</v>
      </c>
      <c r="R65" s="38" t="b">
        <v>0</v>
      </c>
      <c r="S65" s="32" t="s">
        <v>521</v>
      </c>
      <c r="T65" s="39" t="s">
        <v>386</v>
      </c>
      <c r="U65" s="32" t="s">
        <v>381</v>
      </c>
    </row>
    <row r="66" ht="22.5" customHeight="1">
      <c r="A66" s="26">
        <v>46038.0</v>
      </c>
      <c r="B66" s="39" t="s">
        <v>526</v>
      </c>
      <c r="C66" s="32" t="str">
        <f t="array" ref="C66">_xlfn.XLOOKUP(B66, DB[samplingPoint], DB[samplingTag])</f>
        <v>DV116.06</v>
      </c>
      <c r="D66" s="33" t="s">
        <v>500</v>
      </c>
      <c r="E66" s="38" t="b">
        <v>1</v>
      </c>
      <c r="F66" s="39" t="str">
        <f t="array" ref="F66">_xlfn.XLOOKUP($B66, DB[samplingPoint], DB[noLocation])</f>
        <v>10-2-034</v>
      </c>
      <c r="G66" s="59" t="str">
        <f t="array" ref="G66">_xlfn.XLOOKUP($B66, DB[samplingPoint], DB[building])</f>
        <v>Building 10</v>
      </c>
      <c r="H66" s="40" t="str">
        <f t="array" ref="H66">_xlfn.XLOOKUP($B66, DB[samplingPoint], DB[location])</f>
        <v>SAMPLE PREPARATION</v>
      </c>
      <c r="I66" s="39" t="str">
        <f t="array" ref="I66">_xlfn.XLOOKUP($B66, DB[samplingPoint], DB[waterType])</f>
        <v>PW</v>
      </c>
      <c r="J66" s="43">
        <f t="shared" si="1"/>
        <v>46039</v>
      </c>
      <c r="K66" s="26">
        <v>46042.0</v>
      </c>
      <c r="L66" s="32">
        <v>0.0</v>
      </c>
      <c r="M66" s="32">
        <v>0.0</v>
      </c>
      <c r="N66" s="32">
        <f t="shared" si="2"/>
        <v>0</v>
      </c>
      <c r="O66" s="49" t="s">
        <v>376</v>
      </c>
      <c r="P66" s="32">
        <f t="array" ref="P66">_xlfn.XLOOKUP($B66, DB[samplingPoint], DB[Criteria])</f>
        <v>100</v>
      </c>
      <c r="Q66" s="50" t="str">
        <f t="shared" si="3"/>
        <v>PASSED</v>
      </c>
      <c r="R66" s="38" t="b">
        <v>0</v>
      </c>
      <c r="S66" s="32" t="s">
        <v>521</v>
      </c>
      <c r="T66" s="39" t="s">
        <v>386</v>
      </c>
      <c r="U66" s="32" t="s">
        <v>381</v>
      </c>
    </row>
    <row r="67" ht="22.5" customHeight="1">
      <c r="A67" s="26">
        <v>46038.0</v>
      </c>
      <c r="B67" s="39" t="s">
        <v>527</v>
      </c>
      <c r="C67" s="32" t="str">
        <f t="array" ref="C67">_xlfn.XLOOKUP(B67, DB[samplingPoint], DB[samplingTag])</f>
        <v>DV116.07</v>
      </c>
      <c r="D67" s="33" t="s">
        <v>500</v>
      </c>
      <c r="E67" s="38" t="b">
        <v>1</v>
      </c>
      <c r="F67" s="39" t="str">
        <f t="array" ref="F67">_xlfn.XLOOKUP($B67, DB[samplingPoint], DB[noLocation])</f>
        <v>10-2-032</v>
      </c>
      <c r="G67" s="59" t="str">
        <f t="array" ref="G67">_xlfn.XLOOKUP($B67, DB[samplingPoint], DB[building])</f>
        <v>Building 10</v>
      </c>
      <c r="H67" s="40" t="str">
        <f t="array" ref="H67">_xlfn.XLOOKUP($B67, DB[samplingPoint], DB[location])</f>
        <v>GLASS-WARE WASHING</v>
      </c>
      <c r="I67" s="39" t="str">
        <f t="array" ref="I67">_xlfn.XLOOKUP($B67, DB[samplingPoint], DB[waterType])</f>
        <v>PW</v>
      </c>
      <c r="J67" s="43">
        <f t="shared" si="1"/>
        <v>46039</v>
      </c>
      <c r="K67" s="26">
        <v>46042.0</v>
      </c>
      <c r="L67" s="32">
        <v>0.0</v>
      </c>
      <c r="M67" s="32">
        <v>0.0</v>
      </c>
      <c r="N67" s="32">
        <f t="shared" si="2"/>
        <v>0</v>
      </c>
      <c r="O67" s="49" t="s">
        <v>376</v>
      </c>
      <c r="P67" s="32">
        <f t="array" ref="P67">_xlfn.XLOOKUP($B67, DB[samplingPoint], DB[Criteria])</f>
        <v>100</v>
      </c>
      <c r="Q67" s="50" t="str">
        <f t="shared" si="3"/>
        <v>PASSED</v>
      </c>
      <c r="R67" s="38" t="b">
        <v>0</v>
      </c>
      <c r="S67" s="32" t="s">
        <v>521</v>
      </c>
      <c r="T67" s="39" t="s">
        <v>386</v>
      </c>
      <c r="U67" s="32" t="s">
        <v>381</v>
      </c>
    </row>
    <row r="68" ht="22.5" customHeight="1">
      <c r="A68" s="26">
        <v>46038.0</v>
      </c>
      <c r="B68" s="39" t="s">
        <v>528</v>
      </c>
      <c r="C68" s="32" t="str">
        <f t="array" ref="C68">_xlfn.XLOOKUP(B68, DB[samplingPoint], DB[samplingTag])</f>
        <v>DV116.08</v>
      </c>
      <c r="D68" s="33" t="s">
        <v>500</v>
      </c>
      <c r="E68" s="38" t="b">
        <v>1</v>
      </c>
      <c r="F68" s="39" t="str">
        <f t="array" ref="F68">_xlfn.XLOOKUP($B68, DB[samplingPoint], DB[noLocation])</f>
        <v>10-3-059</v>
      </c>
      <c r="G68" s="59" t="str">
        <f t="array" ref="G68">_xlfn.XLOOKUP($B68, DB[samplingPoint], DB[building])</f>
        <v>Building 10</v>
      </c>
      <c r="H68" s="40" t="str">
        <f t="array" ref="H68">_xlfn.XLOOKUP($B68, DB[samplingPoint], DB[location])</f>
        <v>COATING SOLUTION PREP.-1</v>
      </c>
      <c r="I68" s="39" t="str">
        <f t="array" ref="I68">_xlfn.XLOOKUP($B68, DB[samplingPoint], DB[waterType])</f>
        <v>PW</v>
      </c>
      <c r="J68" s="43">
        <f t="shared" si="1"/>
        <v>46039</v>
      </c>
      <c r="K68" s="26">
        <v>46042.0</v>
      </c>
      <c r="L68" s="32">
        <v>0.0</v>
      </c>
      <c r="M68" s="32">
        <v>0.0</v>
      </c>
      <c r="N68" s="32">
        <f t="shared" si="2"/>
        <v>0</v>
      </c>
      <c r="O68" s="49" t="s">
        <v>376</v>
      </c>
      <c r="P68" s="32">
        <f t="array" ref="P68">_xlfn.XLOOKUP($B68, DB[samplingPoint], DB[Criteria])</f>
        <v>100</v>
      </c>
      <c r="Q68" s="50" t="str">
        <f t="shared" si="3"/>
        <v>PASSED</v>
      </c>
      <c r="R68" s="38" t="b">
        <v>0</v>
      </c>
      <c r="S68" s="32" t="s">
        <v>521</v>
      </c>
      <c r="T68" s="39" t="s">
        <v>386</v>
      </c>
      <c r="U68" s="32" t="s">
        <v>381</v>
      </c>
    </row>
    <row r="69" ht="22.5" customHeight="1">
      <c r="A69" s="26">
        <v>46038.0</v>
      </c>
      <c r="B69" s="39" t="s">
        <v>529</v>
      </c>
      <c r="C69" s="32" t="str">
        <f t="array" ref="C69">_xlfn.XLOOKUP(B69, DB[samplingPoint], DB[samplingTag])</f>
        <v>DV116.09</v>
      </c>
      <c r="D69" s="33" t="s">
        <v>500</v>
      </c>
      <c r="E69" s="38" t="b">
        <v>1</v>
      </c>
      <c r="F69" s="39" t="str">
        <f t="array" ref="F69">_xlfn.XLOOKUP($B69, DB[samplingPoint], DB[noLocation])</f>
        <v>10-3-060</v>
      </c>
      <c r="G69" s="59" t="str">
        <f t="array" ref="G69">_xlfn.XLOOKUP($B69, DB[samplingPoint], DB[building])</f>
        <v>Building 10</v>
      </c>
      <c r="H69" s="40" t="str">
        <f t="array" ref="H69">_xlfn.XLOOKUP($B69, DB[samplingPoint], DB[location])</f>
        <v>COATING SOLUTION PREP.-2</v>
      </c>
      <c r="I69" s="39" t="str">
        <f t="array" ref="I69">_xlfn.XLOOKUP($B69, DB[samplingPoint], DB[waterType])</f>
        <v>PW</v>
      </c>
      <c r="J69" s="43">
        <f t="shared" si="1"/>
        <v>46039</v>
      </c>
      <c r="K69" s="26">
        <v>46042.0</v>
      </c>
      <c r="L69" s="32">
        <v>0.0</v>
      </c>
      <c r="M69" s="32">
        <v>0.0</v>
      </c>
      <c r="N69" s="32">
        <f t="shared" si="2"/>
        <v>0</v>
      </c>
      <c r="O69" s="49" t="s">
        <v>376</v>
      </c>
      <c r="P69" s="32">
        <f t="array" ref="P69">_xlfn.XLOOKUP($B69, DB[samplingPoint], DB[Criteria])</f>
        <v>100</v>
      </c>
      <c r="Q69" s="50" t="str">
        <f t="shared" si="3"/>
        <v>PASSED</v>
      </c>
      <c r="R69" s="38" t="b">
        <v>0</v>
      </c>
      <c r="S69" s="32" t="s">
        <v>521</v>
      </c>
      <c r="T69" s="39" t="s">
        <v>386</v>
      </c>
      <c r="U69" s="32" t="s">
        <v>381</v>
      </c>
    </row>
    <row r="70" ht="22.5" customHeight="1">
      <c r="A70" s="26">
        <v>46038.0</v>
      </c>
      <c r="B70" s="39" t="s">
        <v>531</v>
      </c>
      <c r="C70" s="32" t="str">
        <f t="array" ref="C70">_xlfn.XLOOKUP(B70, DB[samplingPoint], DB[samplingTag])</f>
        <v>DV116.10</v>
      </c>
      <c r="D70" s="33" t="s">
        <v>500</v>
      </c>
      <c r="E70" s="38" t="b">
        <v>1</v>
      </c>
      <c r="F70" s="39" t="str">
        <f t="array" ref="F70">_xlfn.XLOOKUP($B70, DB[samplingPoint], DB[noLocation])</f>
        <v>10-3-065</v>
      </c>
      <c r="G70" s="59" t="str">
        <f t="array" ref="G70">_xlfn.XLOOKUP($B70, DB[samplingPoint], DB[building])</f>
        <v>Building 10</v>
      </c>
      <c r="H70" s="40" t="str">
        <f t="array" ref="H70">_xlfn.XLOOKUP($B70, DB[samplingPoint], DB[location])</f>
        <v>COATING SOLUTION PREP.-3</v>
      </c>
      <c r="I70" s="39" t="str">
        <f t="array" ref="I70">_xlfn.XLOOKUP($B70, DB[samplingPoint], DB[waterType])</f>
        <v>PW</v>
      </c>
      <c r="J70" s="43">
        <f t="shared" si="1"/>
        <v>46039</v>
      </c>
      <c r="K70" s="26">
        <v>46042.0</v>
      </c>
      <c r="L70" s="32">
        <v>0.0</v>
      </c>
      <c r="M70" s="32">
        <v>0.0</v>
      </c>
      <c r="N70" s="32">
        <f t="shared" si="2"/>
        <v>0</v>
      </c>
      <c r="O70" s="49" t="s">
        <v>376</v>
      </c>
      <c r="P70" s="32">
        <f t="array" ref="P70">_xlfn.XLOOKUP($B70, DB[samplingPoint], DB[Criteria])</f>
        <v>100</v>
      </c>
      <c r="Q70" s="50" t="str">
        <f t="shared" si="3"/>
        <v>PASSED</v>
      </c>
      <c r="R70" s="38" t="b">
        <v>0</v>
      </c>
      <c r="S70" s="32" t="s">
        <v>521</v>
      </c>
      <c r="T70" s="39" t="s">
        <v>386</v>
      </c>
      <c r="U70" s="32" t="s">
        <v>381</v>
      </c>
    </row>
    <row r="71" ht="22.5" customHeight="1">
      <c r="A71" s="26">
        <v>46038.0</v>
      </c>
      <c r="B71" s="39" t="s">
        <v>532</v>
      </c>
      <c r="C71" s="32" t="str">
        <f t="array" ref="C71">_xlfn.XLOOKUP(B71, DB[samplingPoint], DB[samplingTag])</f>
        <v>DV116.11</v>
      </c>
      <c r="D71" s="33" t="s">
        <v>500</v>
      </c>
      <c r="E71" s="38" t="b">
        <v>1</v>
      </c>
      <c r="F71" s="39" t="str">
        <f t="array" ref="F71">_xlfn.XLOOKUP($B71, DB[samplingPoint], DB[noLocation])</f>
        <v>10-3-066</v>
      </c>
      <c r="G71" s="59" t="str">
        <f t="array" ref="G71">_xlfn.XLOOKUP($B71, DB[samplingPoint], DB[building])</f>
        <v>Building 10</v>
      </c>
      <c r="H71" s="40" t="str">
        <f t="array" ref="H71">_xlfn.XLOOKUP($B71, DB[samplingPoint], DB[location])</f>
        <v>COATING SOLUTION PREP.-4</v>
      </c>
      <c r="I71" s="39" t="str">
        <f t="array" ref="I71">_xlfn.XLOOKUP($B71, DB[samplingPoint], DB[waterType])</f>
        <v>PW</v>
      </c>
      <c r="J71" s="43">
        <f t="shared" si="1"/>
        <v>46039</v>
      </c>
      <c r="K71" s="26">
        <v>46042.0</v>
      </c>
      <c r="L71" s="32">
        <v>0.0</v>
      </c>
      <c r="M71" s="32">
        <v>0.0</v>
      </c>
      <c r="N71" s="32">
        <f t="shared" si="2"/>
        <v>0</v>
      </c>
      <c r="O71" s="49" t="s">
        <v>376</v>
      </c>
      <c r="P71" s="32">
        <f t="array" ref="P71">_xlfn.XLOOKUP($B71, DB[samplingPoint], DB[Criteria])</f>
        <v>100</v>
      </c>
      <c r="Q71" s="50" t="str">
        <f t="shared" si="3"/>
        <v>PASSED</v>
      </c>
      <c r="R71" s="38" t="b">
        <v>0</v>
      </c>
      <c r="S71" s="32" t="s">
        <v>521</v>
      </c>
      <c r="T71" s="39" t="s">
        <v>386</v>
      </c>
      <c r="U71" s="32" t="s">
        <v>381</v>
      </c>
    </row>
    <row r="72" ht="22.5" customHeight="1">
      <c r="A72" s="26">
        <v>46038.0</v>
      </c>
      <c r="B72" s="39" t="s">
        <v>380</v>
      </c>
      <c r="C72" s="32" t="str">
        <f t="array" ref="C72">_xlfn.XLOOKUP(B72, DB[samplingPoint], DB[samplingTag])</f>
        <v>SV113.01</v>
      </c>
      <c r="D72" s="33" t="s">
        <v>500</v>
      </c>
      <c r="E72" s="38" t="b">
        <v>1</v>
      </c>
      <c r="F72" s="39" t="str">
        <f t="array" ref="F72">_xlfn.XLOOKUP($B72, DB[samplingPoint], DB[noLocation])</f>
        <v>WATER SYSTEM (B10)</v>
      </c>
      <c r="G72" s="59" t="str">
        <f t="array" ref="G72">_xlfn.XLOOKUP($B72, DB[samplingPoint], DB[building])</f>
        <v>Building 10</v>
      </c>
      <c r="H72" s="40" t="str">
        <f t="array" ref="H72">_xlfn.XLOOKUP($B72, DB[samplingPoint], DB[location])</f>
        <v>After Storage tank (B10)</v>
      </c>
      <c r="I72" s="39" t="str">
        <f t="array" ref="I72">_xlfn.XLOOKUP($B72, DB[samplingPoint], DB[waterType])</f>
        <v>PW</v>
      </c>
      <c r="J72" s="43">
        <f t="shared" si="1"/>
        <v>46039</v>
      </c>
      <c r="K72" s="26">
        <v>46042.0</v>
      </c>
      <c r="L72" s="32">
        <v>0.0</v>
      </c>
      <c r="M72" s="32">
        <v>0.0</v>
      </c>
      <c r="N72" s="32">
        <f t="shared" si="2"/>
        <v>0</v>
      </c>
      <c r="O72" s="49" t="s">
        <v>376</v>
      </c>
      <c r="P72" s="32">
        <f t="array" ref="P72">_xlfn.XLOOKUP($B72, DB[samplingPoint], DB[Criteria])</f>
        <v>100</v>
      </c>
      <c r="Q72" s="50" t="str">
        <f t="shared" si="3"/>
        <v>PASSED</v>
      </c>
      <c r="R72" s="38" t="b">
        <v>0</v>
      </c>
      <c r="S72" s="32" t="s">
        <v>521</v>
      </c>
      <c r="T72" s="39" t="s">
        <v>386</v>
      </c>
      <c r="U72" s="32" t="s">
        <v>381</v>
      </c>
    </row>
    <row r="73" ht="22.5" customHeight="1">
      <c r="A73" s="26">
        <v>46038.0</v>
      </c>
      <c r="B73" s="39" t="s">
        <v>385</v>
      </c>
      <c r="C73" s="32" t="str">
        <f t="array" ref="C73">_xlfn.XLOOKUP(B73, DB[samplingPoint], DB[samplingTag])</f>
        <v>SV115.02</v>
      </c>
      <c r="D73" s="33" t="s">
        <v>500</v>
      </c>
      <c r="E73" s="38" t="b">
        <v>1</v>
      </c>
      <c r="F73" s="39" t="str">
        <f t="array" ref="F73">_xlfn.XLOOKUP($B73, DB[samplingPoint], DB[noLocation])</f>
        <v>WATER SYSTEM (B10)</v>
      </c>
      <c r="G73" s="59" t="str">
        <f t="array" ref="G73">_xlfn.XLOOKUP($B73, DB[samplingPoint], DB[building])</f>
        <v>Building 10</v>
      </c>
      <c r="H73" s="40" t="str">
        <f t="array" ref="H73">_xlfn.XLOOKUP($B73, DB[samplingPoint], DB[location])</f>
        <v>After UV (B10)</v>
      </c>
      <c r="I73" s="39" t="str">
        <f t="array" ref="I73">_xlfn.XLOOKUP($B73, DB[samplingPoint], DB[waterType])</f>
        <v>PW</v>
      </c>
      <c r="J73" s="43">
        <f t="shared" si="1"/>
        <v>46039</v>
      </c>
      <c r="K73" s="26">
        <v>46042.0</v>
      </c>
      <c r="L73" s="32">
        <v>0.0</v>
      </c>
      <c r="M73" s="32">
        <v>0.0</v>
      </c>
      <c r="N73" s="32">
        <f t="shared" si="2"/>
        <v>0</v>
      </c>
      <c r="O73" s="49" t="s">
        <v>376</v>
      </c>
      <c r="P73" s="32">
        <f t="array" ref="P73">_xlfn.XLOOKUP($B73, DB[samplingPoint], DB[Criteria])</f>
        <v>100</v>
      </c>
      <c r="Q73" s="50" t="str">
        <f t="shared" si="3"/>
        <v>PASSED</v>
      </c>
      <c r="R73" s="38" t="b">
        <v>0</v>
      </c>
      <c r="S73" s="32" t="s">
        <v>521</v>
      </c>
      <c r="T73" s="39" t="s">
        <v>386</v>
      </c>
      <c r="U73" s="32" t="s">
        <v>381</v>
      </c>
    </row>
    <row r="74" ht="22.5" customHeight="1">
      <c r="A74" s="26">
        <v>46038.0</v>
      </c>
      <c r="B74" s="39" t="s">
        <v>534</v>
      </c>
      <c r="C74" s="32" t="str">
        <f t="array" ref="C74">_xlfn.XLOOKUP(B74, DB[samplingPoint], DB[samplingTag])</f>
        <v>SV116.03</v>
      </c>
      <c r="D74" s="33" t="s">
        <v>500</v>
      </c>
      <c r="E74" s="38" t="b">
        <v>1</v>
      </c>
      <c r="F74" s="39" t="str">
        <f t="array" ref="F74">_xlfn.XLOOKUP($B74, DB[samplingPoint], DB[noLocation])</f>
        <v>10-3-058</v>
      </c>
      <c r="G74" s="59" t="str">
        <f t="array" ref="G74">_xlfn.XLOOKUP($B74, DB[samplingPoint], DB[building])</f>
        <v>Building 10</v>
      </c>
      <c r="H74" s="40" t="str">
        <f t="array" ref="H74">_xlfn.XLOOKUP($B74, DB[samplingPoint], DB[location])</f>
        <v>COATING ROOM-1</v>
      </c>
      <c r="I74" s="39" t="str">
        <f t="array" ref="I74">_xlfn.XLOOKUP($B74, DB[samplingPoint], DB[waterType])</f>
        <v>PW</v>
      </c>
      <c r="J74" s="43">
        <f t="shared" si="1"/>
        <v>46039</v>
      </c>
      <c r="K74" s="26">
        <v>46042.0</v>
      </c>
      <c r="L74" s="32">
        <v>0.0</v>
      </c>
      <c r="M74" s="32">
        <v>0.0</v>
      </c>
      <c r="N74" s="32">
        <f t="shared" si="2"/>
        <v>0</v>
      </c>
      <c r="O74" s="49" t="s">
        <v>376</v>
      </c>
      <c r="P74" s="32">
        <f t="array" ref="P74">_xlfn.XLOOKUP($B74, DB[samplingPoint], DB[Criteria])</f>
        <v>100</v>
      </c>
      <c r="Q74" s="50" t="str">
        <f t="shared" si="3"/>
        <v>PASSED</v>
      </c>
      <c r="R74" s="38" t="b">
        <v>0</v>
      </c>
      <c r="S74" s="32" t="s">
        <v>521</v>
      </c>
      <c r="T74" s="39" t="s">
        <v>386</v>
      </c>
      <c r="U74" s="32" t="s">
        <v>381</v>
      </c>
    </row>
    <row r="75" ht="22.5" customHeight="1">
      <c r="A75" s="26">
        <v>46038.0</v>
      </c>
      <c r="B75" s="39" t="s">
        <v>535</v>
      </c>
      <c r="C75" s="32" t="str">
        <f t="array" ref="C75">_xlfn.XLOOKUP(B75, DB[samplingPoint], DB[samplingTag])</f>
        <v>SV116.04</v>
      </c>
      <c r="D75" s="33" t="s">
        <v>500</v>
      </c>
      <c r="E75" s="38" t="b">
        <v>1</v>
      </c>
      <c r="F75" s="39" t="str">
        <f t="array" ref="F75">_xlfn.XLOOKUP($B75, DB[samplingPoint], DB[noLocation])</f>
        <v>10-3-061</v>
      </c>
      <c r="G75" s="59" t="str">
        <f t="array" ref="G75">_xlfn.XLOOKUP($B75, DB[samplingPoint], DB[building])</f>
        <v>Building 10</v>
      </c>
      <c r="H75" s="40" t="str">
        <f t="array" ref="H75">_xlfn.XLOOKUP($B75, DB[samplingPoint], DB[location])</f>
        <v>COATING ROOM-2</v>
      </c>
      <c r="I75" s="39" t="str">
        <f t="array" ref="I75">_xlfn.XLOOKUP($B75, DB[samplingPoint], DB[waterType])</f>
        <v>PW</v>
      </c>
      <c r="J75" s="43">
        <f t="shared" si="1"/>
        <v>46039</v>
      </c>
      <c r="K75" s="26">
        <v>46042.0</v>
      </c>
      <c r="L75" s="32">
        <v>0.0</v>
      </c>
      <c r="M75" s="32">
        <v>0.0</v>
      </c>
      <c r="N75" s="32">
        <f t="shared" si="2"/>
        <v>0</v>
      </c>
      <c r="O75" s="49" t="s">
        <v>376</v>
      </c>
      <c r="P75" s="32">
        <f t="array" ref="P75">_xlfn.XLOOKUP($B75, DB[samplingPoint], DB[Criteria])</f>
        <v>100</v>
      </c>
      <c r="Q75" s="50" t="str">
        <f t="shared" si="3"/>
        <v>PASSED</v>
      </c>
      <c r="R75" s="38" t="b">
        <v>0</v>
      </c>
      <c r="S75" s="32" t="s">
        <v>521</v>
      </c>
      <c r="T75" s="39" t="s">
        <v>386</v>
      </c>
      <c r="U75" s="32" t="s">
        <v>381</v>
      </c>
    </row>
    <row r="76" ht="22.5" customHeight="1">
      <c r="A76" s="26">
        <v>46038.0</v>
      </c>
      <c r="B76" s="39" t="s">
        <v>536</v>
      </c>
      <c r="C76" s="32" t="str">
        <f t="array" ref="C76">_xlfn.XLOOKUP(B76, DB[samplingPoint], DB[samplingTag])</f>
        <v>SV116.05</v>
      </c>
      <c r="D76" s="33" t="s">
        <v>500</v>
      </c>
      <c r="E76" s="38" t="b">
        <v>1</v>
      </c>
      <c r="F76" s="39" t="str">
        <f t="array" ref="F76">_xlfn.XLOOKUP($B76, DB[samplingPoint], DB[noLocation])</f>
        <v>10-3-062</v>
      </c>
      <c r="G76" s="59" t="str">
        <f t="array" ref="G76">_xlfn.XLOOKUP($B76, DB[samplingPoint], DB[building])</f>
        <v>Building 10</v>
      </c>
      <c r="H76" s="40" t="str">
        <f t="array" ref="H76">_xlfn.XLOOKUP($B76, DB[samplingPoint], DB[location])</f>
        <v>COATING ROOM-3</v>
      </c>
      <c r="I76" s="39" t="str">
        <f t="array" ref="I76">_xlfn.XLOOKUP($B76, DB[samplingPoint], DB[waterType])</f>
        <v>PW</v>
      </c>
      <c r="J76" s="43">
        <f t="shared" si="1"/>
        <v>46039</v>
      </c>
      <c r="K76" s="26">
        <v>46042.0</v>
      </c>
      <c r="L76" s="32">
        <v>0.0</v>
      </c>
      <c r="M76" s="32">
        <v>0.0</v>
      </c>
      <c r="N76" s="32">
        <f t="shared" si="2"/>
        <v>0</v>
      </c>
      <c r="O76" s="49" t="s">
        <v>376</v>
      </c>
      <c r="P76" s="32">
        <f t="array" ref="P76">_xlfn.XLOOKUP($B76, DB[samplingPoint], DB[Criteria])</f>
        <v>100</v>
      </c>
      <c r="Q76" s="50" t="str">
        <f t="shared" si="3"/>
        <v>PASSED</v>
      </c>
      <c r="R76" s="38" t="b">
        <v>0</v>
      </c>
      <c r="S76" s="32" t="s">
        <v>521</v>
      </c>
      <c r="T76" s="39" t="s">
        <v>386</v>
      </c>
      <c r="U76" s="32" t="s">
        <v>381</v>
      </c>
    </row>
    <row r="77" ht="22.5" customHeight="1">
      <c r="A77" s="26">
        <v>46038.0</v>
      </c>
      <c r="B77" s="39" t="s">
        <v>538</v>
      </c>
      <c r="C77" s="32" t="str">
        <f t="array" ref="C77">_xlfn.XLOOKUP(B77, DB[samplingPoint], DB[samplingTag])</f>
        <v>SV116.06</v>
      </c>
      <c r="D77" s="33" t="s">
        <v>500</v>
      </c>
      <c r="E77" s="38" t="b">
        <v>1</v>
      </c>
      <c r="F77" s="39" t="str">
        <f t="array" ref="F77">_xlfn.XLOOKUP($B77, DB[samplingPoint], DB[noLocation])</f>
        <v>10-3-063</v>
      </c>
      <c r="G77" s="59" t="str">
        <f t="array" ref="G77">_xlfn.XLOOKUP($B77, DB[samplingPoint], DB[building])</f>
        <v>Building 10</v>
      </c>
      <c r="H77" s="40" t="str">
        <f t="array" ref="H77">_xlfn.XLOOKUP($B77, DB[samplingPoint], DB[location])</f>
        <v>COATING ROOM-4</v>
      </c>
      <c r="I77" s="39" t="str">
        <f t="array" ref="I77">_xlfn.XLOOKUP($B77, DB[samplingPoint], DB[waterType])</f>
        <v>PW</v>
      </c>
      <c r="J77" s="43">
        <f t="shared" si="1"/>
        <v>46039</v>
      </c>
      <c r="K77" s="26">
        <v>46042.0</v>
      </c>
      <c r="L77" s="32">
        <v>0.0</v>
      </c>
      <c r="M77" s="32">
        <v>0.0</v>
      </c>
      <c r="N77" s="32">
        <f t="shared" si="2"/>
        <v>0</v>
      </c>
      <c r="O77" s="49" t="s">
        <v>376</v>
      </c>
      <c r="P77" s="32">
        <f t="array" ref="P77">_xlfn.XLOOKUP($B77, DB[samplingPoint], DB[Criteria])</f>
        <v>100</v>
      </c>
      <c r="Q77" s="50" t="str">
        <f t="shared" si="3"/>
        <v>PASSED</v>
      </c>
      <c r="R77" s="38" t="b">
        <v>0</v>
      </c>
      <c r="S77" s="32" t="s">
        <v>521</v>
      </c>
      <c r="T77" s="39" t="s">
        <v>386</v>
      </c>
      <c r="U77" s="32" t="s">
        <v>381</v>
      </c>
    </row>
    <row r="78" ht="22.5" customHeight="1">
      <c r="A78" s="26">
        <v>46038.0</v>
      </c>
      <c r="B78" s="39" t="s">
        <v>539</v>
      </c>
      <c r="C78" s="32" t="str">
        <f t="array" ref="C78">_xlfn.XLOOKUP(B78, DB[samplingPoint], DB[samplingTag])</f>
        <v>SV116.07</v>
      </c>
      <c r="D78" s="33" t="s">
        <v>500</v>
      </c>
      <c r="E78" s="38" t="b">
        <v>1</v>
      </c>
      <c r="F78" s="39" t="str">
        <f t="array" ref="F78">_xlfn.XLOOKUP($B78, DB[samplingPoint], DB[noLocation])</f>
        <v>10-3-064</v>
      </c>
      <c r="G78" s="59" t="str">
        <f t="array" ref="G78">_xlfn.XLOOKUP($B78, DB[samplingPoint], DB[building])</f>
        <v>Building 10</v>
      </c>
      <c r="H78" s="40" t="str">
        <f t="array" ref="H78">_xlfn.XLOOKUP($B78, DB[samplingPoint], DB[location])</f>
        <v>COATING ROOM-5</v>
      </c>
      <c r="I78" s="39" t="str">
        <f t="array" ref="I78">_xlfn.XLOOKUP($B78, DB[samplingPoint], DB[waterType])</f>
        <v>PW</v>
      </c>
      <c r="J78" s="43">
        <f t="shared" si="1"/>
        <v>46039</v>
      </c>
      <c r="K78" s="26">
        <v>46042.0</v>
      </c>
      <c r="L78" s="32">
        <v>0.0</v>
      </c>
      <c r="M78" s="32">
        <v>0.0</v>
      </c>
      <c r="N78" s="32">
        <f t="shared" si="2"/>
        <v>0</v>
      </c>
      <c r="O78" s="49" t="s">
        <v>376</v>
      </c>
      <c r="P78" s="32">
        <f t="array" ref="P78">_xlfn.XLOOKUP($B78, DB[samplingPoint], DB[Criteria])</f>
        <v>100</v>
      </c>
      <c r="Q78" s="50" t="str">
        <f t="shared" si="3"/>
        <v>PASSED</v>
      </c>
      <c r="R78" s="38" t="b">
        <v>0</v>
      </c>
      <c r="S78" s="32" t="s">
        <v>521</v>
      </c>
      <c r="T78" s="39" t="s">
        <v>386</v>
      </c>
      <c r="U78" s="32" t="s">
        <v>381</v>
      </c>
    </row>
    <row r="79" ht="22.5" customHeight="1">
      <c r="A79" s="26">
        <v>46038.0</v>
      </c>
      <c r="B79" s="39" t="s">
        <v>541</v>
      </c>
      <c r="C79" s="32" t="str">
        <f t="array" ref="C79">_xlfn.XLOOKUP(B79, DB[samplingPoint], DB[samplingTag])</f>
        <v>SV116.08</v>
      </c>
      <c r="D79" s="33" t="s">
        <v>500</v>
      </c>
      <c r="E79" s="38" t="b">
        <v>1</v>
      </c>
      <c r="F79" s="39" t="str">
        <f t="array" ref="F79">_xlfn.XLOOKUP($B79, DB[samplingPoint], DB[noLocation])</f>
        <v>10-3-067</v>
      </c>
      <c r="G79" s="59" t="str">
        <f t="array" ref="G79">_xlfn.XLOOKUP($B79, DB[samplingPoint], DB[building])</f>
        <v>Building 10</v>
      </c>
      <c r="H79" s="40" t="str">
        <f t="array" ref="H79">_xlfn.XLOOKUP($B79, DB[samplingPoint], DB[location])</f>
        <v>COATING ROOM-6</v>
      </c>
      <c r="I79" s="39" t="str">
        <f t="array" ref="I79">_xlfn.XLOOKUP($B79, DB[samplingPoint], DB[waterType])</f>
        <v>PW</v>
      </c>
      <c r="J79" s="43">
        <f t="shared" si="1"/>
        <v>46039</v>
      </c>
      <c r="K79" s="26">
        <v>46042.0</v>
      </c>
      <c r="L79" s="32">
        <v>0.0</v>
      </c>
      <c r="M79" s="32">
        <v>0.0</v>
      </c>
      <c r="N79" s="32">
        <f t="shared" si="2"/>
        <v>0</v>
      </c>
      <c r="O79" s="49" t="s">
        <v>376</v>
      </c>
      <c r="P79" s="32">
        <f t="array" ref="P79">_xlfn.XLOOKUP($B79, DB[samplingPoint], DB[Criteria])</f>
        <v>100</v>
      </c>
      <c r="Q79" s="50" t="str">
        <f t="shared" si="3"/>
        <v>PASSED</v>
      </c>
      <c r="R79" s="38" t="b">
        <v>0</v>
      </c>
      <c r="S79" s="32" t="s">
        <v>521</v>
      </c>
      <c r="T79" s="39" t="s">
        <v>386</v>
      </c>
      <c r="U79" s="32" t="s">
        <v>381</v>
      </c>
    </row>
    <row r="80" ht="22.5" customHeight="1">
      <c r="A80" s="26">
        <v>46038.0</v>
      </c>
      <c r="B80" s="39" t="s">
        <v>390</v>
      </c>
      <c r="C80" s="32" t="str">
        <f t="array" ref="C80">_xlfn.XLOOKUP(B80, DB[samplingPoint], DB[samplingTag])</f>
        <v>SV117.01</v>
      </c>
      <c r="D80" s="33" t="s">
        <v>500</v>
      </c>
      <c r="E80" s="38" t="b">
        <v>1</v>
      </c>
      <c r="F80" s="39" t="str">
        <f t="array" ref="F80">_xlfn.XLOOKUP($B80, DB[samplingPoint], DB[noLocation])</f>
        <v>WATER SYSTEM (B10)</v>
      </c>
      <c r="G80" s="59" t="str">
        <f t="array" ref="G80">_xlfn.XLOOKUP($B80, DB[samplingPoint], DB[building])</f>
        <v>Building 10</v>
      </c>
      <c r="H80" s="40" t="str">
        <f t="array" ref="H80">_xlfn.XLOOKUP($B80, DB[samplingPoint], DB[location])</f>
        <v>Return loop (B10)</v>
      </c>
      <c r="I80" s="39" t="str">
        <f t="array" ref="I80">_xlfn.XLOOKUP($B80, DB[samplingPoint], DB[waterType])</f>
        <v>PW</v>
      </c>
      <c r="J80" s="43">
        <f t="shared" si="1"/>
        <v>46039</v>
      </c>
      <c r="K80" s="26">
        <v>46042.0</v>
      </c>
      <c r="L80" s="32">
        <v>0.0</v>
      </c>
      <c r="M80" s="32">
        <v>0.0</v>
      </c>
      <c r="N80" s="32">
        <f t="shared" si="2"/>
        <v>0</v>
      </c>
      <c r="O80" s="49" t="s">
        <v>376</v>
      </c>
      <c r="P80" s="32">
        <f t="array" ref="P80">_xlfn.XLOOKUP($B80, DB[samplingPoint], DB[Criteria])</f>
        <v>100</v>
      </c>
      <c r="Q80" s="50" t="str">
        <f t="shared" si="3"/>
        <v>PASSED</v>
      </c>
      <c r="R80" s="38" t="b">
        <v>0</v>
      </c>
      <c r="S80" s="32" t="s">
        <v>521</v>
      </c>
      <c r="T80" s="39" t="s">
        <v>386</v>
      </c>
      <c r="U80" s="32" t="s">
        <v>381</v>
      </c>
    </row>
    <row r="81" ht="22.5" customHeight="1">
      <c r="A81" s="26">
        <v>46042.0</v>
      </c>
      <c r="B81" s="39" t="s">
        <v>543</v>
      </c>
      <c r="C81" s="32" t="str">
        <f t="array" ref="C81">_xlfn.XLOOKUP(B81, DB[samplingPoint], DB[samplingTag])</f>
        <v>DV136.01</v>
      </c>
      <c r="D81" s="33" t="s">
        <v>364</v>
      </c>
      <c r="E81" s="38" t="b">
        <v>1</v>
      </c>
      <c r="F81" s="39" t="str">
        <f t="array" ref="F81">_xlfn.XLOOKUP($B81, DB[samplingPoint], DB[noLocation])</f>
        <v>12-1-035</v>
      </c>
      <c r="G81" s="59" t="str">
        <f t="array" ref="G81">_xlfn.XLOOKUP($B81, DB[samplingPoint], DB[building])</f>
        <v>Building 12</v>
      </c>
      <c r="H81" s="40" t="str">
        <f t="array" ref="H81">_xlfn.XLOOKUP($B81, DB[samplingPoint], DB[location])</f>
        <v>SUGAR TRANSFERRING</v>
      </c>
      <c r="I81" s="39" t="str">
        <f t="array" ref="I81">_xlfn.XLOOKUP($B81, DB[samplingPoint], DB[waterType])</f>
        <v>PW</v>
      </c>
      <c r="J81" s="43">
        <f t="shared" si="1"/>
        <v>46043</v>
      </c>
      <c r="K81" s="26">
        <v>46046.0</v>
      </c>
      <c r="L81" s="32">
        <v>0.0</v>
      </c>
      <c r="M81" s="32">
        <v>0.0</v>
      </c>
      <c r="N81" s="32">
        <f t="shared" si="2"/>
        <v>0</v>
      </c>
      <c r="O81" s="49" t="s">
        <v>376</v>
      </c>
      <c r="P81" s="32">
        <f t="array" ref="P81">_xlfn.XLOOKUP($B81, DB[samplingPoint], DB[Criteria])</f>
        <v>100</v>
      </c>
      <c r="Q81" s="50" t="str">
        <f t="shared" si="3"/>
        <v>PASSED</v>
      </c>
      <c r="R81" s="38" t="b">
        <v>0</v>
      </c>
      <c r="S81" s="32" t="s">
        <v>544</v>
      </c>
      <c r="T81" s="39" t="s">
        <v>386</v>
      </c>
      <c r="U81" s="32" t="s">
        <v>381</v>
      </c>
    </row>
    <row r="82" ht="22.5" customHeight="1">
      <c r="A82" s="26">
        <v>46042.0</v>
      </c>
      <c r="B82" s="39" t="s">
        <v>545</v>
      </c>
      <c r="C82" s="32" t="str">
        <f t="array" ref="C82">_xlfn.XLOOKUP(B82, DB[samplingPoint], DB[samplingTag])</f>
        <v>DV136.03</v>
      </c>
      <c r="D82" s="33" t="s">
        <v>364</v>
      </c>
      <c r="E82" s="38" t="b">
        <v>1</v>
      </c>
      <c r="F82" s="39" t="str">
        <f t="array" ref="F82">_xlfn.XLOOKUP($B82, DB[samplingPoint], DB[noLocation])</f>
        <v>12-2-053</v>
      </c>
      <c r="G82" s="59" t="str">
        <f t="array" ref="G82">_xlfn.XLOOKUP($B82, DB[samplingPoint], DB[building])</f>
        <v>Building 12</v>
      </c>
      <c r="H82" s="40" t="str">
        <f t="array" ref="H82">_xlfn.XLOOKUP($B82, DB[samplingPoint], DB[location])</f>
        <v>IPQC</v>
      </c>
      <c r="I82" s="39" t="str">
        <f t="array" ref="I82">_xlfn.XLOOKUP($B82, DB[samplingPoint], DB[waterType])</f>
        <v>PW</v>
      </c>
      <c r="J82" s="43">
        <f t="shared" si="1"/>
        <v>46043</v>
      </c>
      <c r="K82" s="26">
        <v>46046.0</v>
      </c>
      <c r="L82" s="32">
        <v>0.0</v>
      </c>
      <c r="M82" s="32">
        <v>0.0</v>
      </c>
      <c r="N82" s="32">
        <f t="shared" si="2"/>
        <v>0</v>
      </c>
      <c r="O82" s="49" t="s">
        <v>376</v>
      </c>
      <c r="P82" s="32">
        <f t="array" ref="P82">_xlfn.XLOOKUP($B82, DB[samplingPoint], DB[Criteria])</f>
        <v>100</v>
      </c>
      <c r="Q82" s="50" t="str">
        <f t="shared" si="3"/>
        <v>PASSED</v>
      </c>
      <c r="R82" s="38" t="b">
        <v>0</v>
      </c>
      <c r="S82" s="32" t="s">
        <v>544</v>
      </c>
      <c r="T82" s="39" t="s">
        <v>386</v>
      </c>
      <c r="U82" s="32" t="s">
        <v>381</v>
      </c>
    </row>
    <row r="83" ht="22.5" customHeight="1">
      <c r="A83" s="26">
        <v>46042.0</v>
      </c>
      <c r="B83" s="39" t="s">
        <v>546</v>
      </c>
      <c r="C83" s="32" t="str">
        <f t="array" ref="C83">_xlfn.XLOOKUP(B83, DB[samplingPoint], DB[samplingTag])</f>
        <v>DV136.04</v>
      </c>
      <c r="D83" s="33" t="s">
        <v>364</v>
      </c>
      <c r="E83" s="38" t="b">
        <v>1</v>
      </c>
      <c r="F83" s="39" t="str">
        <f t="array" ref="F83">_xlfn.XLOOKUP($B83, DB[samplingPoint], DB[noLocation])</f>
        <v>12-2-077</v>
      </c>
      <c r="G83" s="59" t="str">
        <f t="array" ref="G83">_xlfn.XLOOKUP($B83, DB[samplingPoint], DB[building])</f>
        <v>Building 12</v>
      </c>
      <c r="H83" s="40" t="str">
        <f t="array" ref="H83">_xlfn.XLOOKUP($B83, DB[samplingPoint], DB[location])</f>
        <v>WATER SYSTEM ROOM</v>
      </c>
      <c r="I83" s="39" t="str">
        <f t="array" ref="I83">_xlfn.XLOOKUP($B83, DB[samplingPoint], DB[waterType])</f>
        <v>PW</v>
      </c>
      <c r="J83" s="43">
        <f t="shared" si="1"/>
        <v>46043</v>
      </c>
      <c r="K83" s="26">
        <v>46046.0</v>
      </c>
      <c r="L83" s="32">
        <v>0.0</v>
      </c>
      <c r="M83" s="32">
        <v>0.0</v>
      </c>
      <c r="N83" s="32">
        <f t="shared" si="2"/>
        <v>0</v>
      </c>
      <c r="O83" s="49" t="s">
        <v>376</v>
      </c>
      <c r="P83" s="32">
        <f t="array" ref="P83">_xlfn.XLOOKUP($B83, DB[samplingPoint], DB[Criteria])</f>
        <v>100</v>
      </c>
      <c r="Q83" s="50" t="str">
        <f t="shared" si="3"/>
        <v>PASSED</v>
      </c>
      <c r="R83" s="38" t="b">
        <v>0</v>
      </c>
      <c r="S83" s="32" t="s">
        <v>544</v>
      </c>
      <c r="T83" s="39" t="s">
        <v>386</v>
      </c>
      <c r="U83" s="32" t="s">
        <v>381</v>
      </c>
    </row>
    <row r="84" ht="22.5" customHeight="1">
      <c r="A84" s="26">
        <v>46042.0</v>
      </c>
      <c r="B84" s="39" t="s">
        <v>547</v>
      </c>
      <c r="C84" s="32" t="str">
        <f t="array" ref="C84">_xlfn.XLOOKUP(B84, DB[samplingPoint], DB[samplingTag])</f>
        <v>DV136.16</v>
      </c>
      <c r="D84" s="33" t="s">
        <v>364</v>
      </c>
      <c r="E84" s="38" t="b">
        <v>1</v>
      </c>
      <c r="F84" s="39" t="str">
        <f t="array" ref="F84">_xlfn.XLOOKUP($B84, DB[samplingPoint], DB[noLocation])</f>
        <v>12-1-064</v>
      </c>
      <c r="G84" s="59" t="str">
        <f t="array" ref="G84">_xlfn.XLOOKUP($B84, DB[samplingPoint], DB[building])</f>
        <v>Building 12</v>
      </c>
      <c r="H84" s="40" t="str">
        <f t="array" ref="H84">_xlfn.XLOOKUP($B84, DB[samplingPoint], DB[location])</f>
        <v>WASHING</v>
      </c>
      <c r="I84" s="39" t="str">
        <f t="array" ref="I84">_xlfn.XLOOKUP($B84, DB[samplingPoint], DB[waterType])</f>
        <v>PW</v>
      </c>
      <c r="J84" s="43">
        <f t="shared" si="1"/>
        <v>46043</v>
      </c>
      <c r="K84" s="26">
        <v>46046.0</v>
      </c>
      <c r="L84" s="32">
        <v>0.0</v>
      </c>
      <c r="M84" s="32">
        <v>0.0</v>
      </c>
      <c r="N84" s="32">
        <f t="shared" si="2"/>
        <v>0</v>
      </c>
      <c r="O84" s="49" t="s">
        <v>376</v>
      </c>
      <c r="P84" s="32">
        <f t="array" ref="P84">_xlfn.XLOOKUP($B84, DB[samplingPoint], DB[Criteria])</f>
        <v>100</v>
      </c>
      <c r="Q84" s="50" t="str">
        <f t="shared" si="3"/>
        <v>PASSED</v>
      </c>
      <c r="R84" s="38" t="b">
        <v>0</v>
      </c>
      <c r="S84" s="32" t="s">
        <v>544</v>
      </c>
      <c r="T84" s="39" t="s">
        <v>386</v>
      </c>
      <c r="U84" s="32" t="s">
        <v>381</v>
      </c>
    </row>
    <row r="85" ht="22.5" customHeight="1">
      <c r="A85" s="26">
        <v>46042.0</v>
      </c>
      <c r="B85" s="39" t="s">
        <v>548</v>
      </c>
      <c r="C85" s="32" t="str">
        <f t="array" ref="C85">_xlfn.XLOOKUP(B85, DB[samplingPoint], DB[samplingTag])</f>
        <v>DV136.17</v>
      </c>
      <c r="D85" s="33" t="s">
        <v>364</v>
      </c>
      <c r="E85" s="38" t="b">
        <v>1</v>
      </c>
      <c r="F85" s="39" t="str">
        <f t="array" ref="F85">_xlfn.XLOOKUP($B85, DB[samplingPoint], DB[noLocation])</f>
        <v>12-2-065</v>
      </c>
      <c r="G85" s="59" t="str">
        <f t="array" ref="G85">_xlfn.XLOOKUP($B85, DB[samplingPoint], DB[building])</f>
        <v>Building 12</v>
      </c>
      <c r="H85" s="40" t="str">
        <f t="array" ref="H85">_xlfn.XLOOKUP($B85, DB[samplingPoint], DB[location])</f>
        <v>WASHING</v>
      </c>
      <c r="I85" s="39" t="str">
        <f t="array" ref="I85">_xlfn.XLOOKUP($B85, DB[samplingPoint], DB[waterType])</f>
        <v>PW</v>
      </c>
      <c r="J85" s="43">
        <f t="shared" si="1"/>
        <v>46043</v>
      </c>
      <c r="K85" s="26">
        <v>46046.0</v>
      </c>
      <c r="L85" s="32">
        <v>0.0</v>
      </c>
      <c r="M85" s="32">
        <v>0.0</v>
      </c>
      <c r="N85" s="32">
        <f t="shared" si="2"/>
        <v>0</v>
      </c>
      <c r="O85" s="49" t="s">
        <v>376</v>
      </c>
      <c r="P85" s="32">
        <f t="array" ref="P85">_xlfn.XLOOKUP($B85, DB[samplingPoint], DB[Criteria])</f>
        <v>100</v>
      </c>
      <c r="Q85" s="50" t="str">
        <f t="shared" si="3"/>
        <v>PASSED</v>
      </c>
      <c r="R85" s="38" t="b">
        <v>0</v>
      </c>
      <c r="S85" s="32" t="s">
        <v>544</v>
      </c>
      <c r="T85" s="39" t="s">
        <v>386</v>
      </c>
      <c r="U85" s="32" t="s">
        <v>381</v>
      </c>
    </row>
    <row r="86" ht="22.5" customHeight="1">
      <c r="A86" s="26">
        <v>46042.0</v>
      </c>
      <c r="B86" s="39" t="s">
        <v>549</v>
      </c>
      <c r="C86" s="32" t="str">
        <f t="array" ref="C86">_xlfn.XLOOKUP(B86, DB[samplingPoint], DB[samplingTag])</f>
        <v>SV136.15</v>
      </c>
      <c r="D86" s="33" t="s">
        <v>364</v>
      </c>
      <c r="E86" s="38" t="b">
        <v>1</v>
      </c>
      <c r="F86" s="39" t="str">
        <f t="array" ref="F86">_xlfn.XLOOKUP($B86, DB[samplingPoint], DB[noLocation])</f>
        <v>12-2-055</v>
      </c>
      <c r="G86" s="59" t="str">
        <f t="array" ref="G86">_xlfn.XLOOKUP($B86, DB[samplingPoint], DB[building])</f>
        <v>Building 12</v>
      </c>
      <c r="H86" s="40" t="str">
        <f t="array" ref="H86">_xlfn.XLOOKUP($B86, DB[samplingPoint], DB[location])</f>
        <v>CIP 3</v>
      </c>
      <c r="I86" s="39" t="str">
        <f t="array" ref="I86">_xlfn.XLOOKUP($B86, DB[samplingPoint], DB[waterType])</f>
        <v>PW</v>
      </c>
      <c r="J86" s="43">
        <f t="shared" si="1"/>
        <v>46043</v>
      </c>
      <c r="K86" s="26">
        <v>46046.0</v>
      </c>
      <c r="L86" s="32">
        <v>0.0</v>
      </c>
      <c r="M86" s="32">
        <v>0.0</v>
      </c>
      <c r="N86" s="32">
        <f t="shared" si="2"/>
        <v>0</v>
      </c>
      <c r="O86" s="49" t="s">
        <v>376</v>
      </c>
      <c r="P86" s="32">
        <f t="array" ref="P86">_xlfn.XLOOKUP($B86, DB[samplingPoint], DB[Criteria])</f>
        <v>100</v>
      </c>
      <c r="Q86" s="50" t="str">
        <f t="shared" si="3"/>
        <v>PASSED</v>
      </c>
      <c r="R86" s="38" t="b">
        <v>0</v>
      </c>
      <c r="S86" s="32" t="s">
        <v>544</v>
      </c>
      <c r="T86" s="39" t="s">
        <v>386</v>
      </c>
      <c r="U86" s="32" t="s">
        <v>381</v>
      </c>
    </row>
    <row r="87" ht="22.5" customHeight="1">
      <c r="A87" s="26">
        <v>46042.0</v>
      </c>
      <c r="B87" s="39" t="s">
        <v>551</v>
      </c>
      <c r="C87" s="32" t="str">
        <f t="array" ref="C87">_xlfn.XLOOKUP(B87, DB[samplingPoint], DB[samplingTag])</f>
        <v>SV136.16</v>
      </c>
      <c r="D87" s="33" t="s">
        <v>364</v>
      </c>
      <c r="E87" s="38" t="b">
        <v>1</v>
      </c>
      <c r="F87" s="39" t="str">
        <f t="array" ref="F87">_xlfn.XLOOKUP($B87, DB[samplingPoint], DB[noLocation])</f>
        <v>12-2-057</v>
      </c>
      <c r="G87" s="59" t="str">
        <f t="array" ref="G87">_xlfn.XLOOKUP($B87, DB[samplingPoint], DB[building])</f>
        <v>Building 12</v>
      </c>
      <c r="H87" s="40" t="str">
        <f t="array" ref="H87">_xlfn.XLOOKUP($B87, DB[samplingPoint], DB[location])</f>
        <v>CIP 2</v>
      </c>
      <c r="I87" s="39" t="str">
        <f t="array" ref="I87">_xlfn.XLOOKUP($B87, DB[samplingPoint], DB[waterType])</f>
        <v>PW</v>
      </c>
      <c r="J87" s="43">
        <f t="shared" si="1"/>
        <v>46043</v>
      </c>
      <c r="K87" s="26">
        <v>46046.0</v>
      </c>
      <c r="L87" s="32">
        <v>0.0</v>
      </c>
      <c r="M87" s="32">
        <v>0.0</v>
      </c>
      <c r="N87" s="32">
        <f t="shared" si="2"/>
        <v>0</v>
      </c>
      <c r="O87" s="49" t="s">
        <v>376</v>
      </c>
      <c r="P87" s="32">
        <f t="array" ref="P87">_xlfn.XLOOKUP($B87, DB[samplingPoint], DB[Criteria])</f>
        <v>100</v>
      </c>
      <c r="Q87" s="50" t="str">
        <f t="shared" si="3"/>
        <v>PASSED</v>
      </c>
      <c r="R87" s="38" t="b">
        <v>0</v>
      </c>
      <c r="S87" s="32" t="s">
        <v>544</v>
      </c>
      <c r="T87" s="39" t="s">
        <v>386</v>
      </c>
      <c r="U87" s="32" t="s">
        <v>381</v>
      </c>
    </row>
    <row r="88" ht="22.5" customHeight="1">
      <c r="A88" s="26">
        <v>46042.0</v>
      </c>
      <c r="B88" s="39" t="s">
        <v>430</v>
      </c>
      <c r="C88" s="32" t="str">
        <f t="array" ref="C88">_xlfn.XLOOKUP(B88, DB[samplingPoint], DB[samplingTag])</f>
        <v>SV137.01</v>
      </c>
      <c r="D88" s="33" t="s">
        <v>364</v>
      </c>
      <c r="E88" s="38" t="b">
        <v>1</v>
      </c>
      <c r="F88" s="39" t="str">
        <f t="array" ref="F88">_xlfn.XLOOKUP($B88, DB[samplingPoint], DB[noLocation])</f>
        <v>WATER SYSTEM (B12)</v>
      </c>
      <c r="G88" s="59" t="str">
        <f t="array" ref="G88">_xlfn.XLOOKUP($B88, DB[samplingPoint], DB[building])</f>
        <v>Building 12</v>
      </c>
      <c r="H88" s="40" t="str">
        <f t="array" ref="H88">_xlfn.XLOOKUP($B88, DB[samplingPoint], DB[location])</f>
        <v>Return loop (B12)</v>
      </c>
      <c r="I88" s="39" t="str">
        <f t="array" ref="I88">_xlfn.XLOOKUP($B88, DB[samplingPoint], DB[waterType])</f>
        <v>PW</v>
      </c>
      <c r="J88" s="43">
        <f t="shared" si="1"/>
        <v>46043</v>
      </c>
      <c r="K88" s="26">
        <v>46046.0</v>
      </c>
      <c r="L88" s="32">
        <v>0.0</v>
      </c>
      <c r="M88" s="32">
        <v>0.0</v>
      </c>
      <c r="N88" s="32">
        <f t="shared" si="2"/>
        <v>0</v>
      </c>
      <c r="O88" s="49" t="s">
        <v>376</v>
      </c>
      <c r="P88" s="32">
        <f t="array" ref="P88">_xlfn.XLOOKUP($B88, DB[samplingPoint], DB[Criteria])</f>
        <v>100</v>
      </c>
      <c r="Q88" s="50" t="str">
        <f t="shared" si="3"/>
        <v>PASSED</v>
      </c>
      <c r="R88" s="38" t="b">
        <v>0</v>
      </c>
      <c r="S88" s="32" t="s">
        <v>544</v>
      </c>
      <c r="T88" s="39" t="s">
        <v>386</v>
      </c>
      <c r="U88" s="32" t="s">
        <v>381</v>
      </c>
    </row>
    <row r="89" ht="22.5" customHeight="1">
      <c r="A89" s="26">
        <v>46042.0</v>
      </c>
      <c r="B89" s="39" t="s">
        <v>434</v>
      </c>
      <c r="C89" s="32" t="str">
        <f t="array" ref="C89">_xlfn.XLOOKUP(B89, DB[samplingPoint], DB[samplingTag])</f>
        <v>V50-11C (12)</v>
      </c>
      <c r="D89" s="33" t="s">
        <v>364</v>
      </c>
      <c r="E89" s="38" t="b">
        <v>1</v>
      </c>
      <c r="F89" s="39" t="str">
        <f t="array" ref="F89">_xlfn.XLOOKUP($B89, DB[samplingPoint], DB[noLocation])</f>
        <v>WATER SYSTEM (B12)</v>
      </c>
      <c r="G89" s="59" t="str">
        <f t="array" ref="G89">_xlfn.XLOOKUP($B89, DB[samplingPoint], DB[building])</f>
        <v>Building 12</v>
      </c>
      <c r="H89" s="40" t="str">
        <f t="array" ref="H89">_xlfn.XLOOKUP($B89, DB[samplingPoint], DB[location])</f>
        <v>After RO (Before EDI) (B12)</v>
      </c>
      <c r="I89" s="39" t="str">
        <f t="array" ref="I89">_xlfn.XLOOKUP($B89, DB[samplingPoint], DB[waterType])</f>
        <v>RO water</v>
      </c>
      <c r="J89" s="43">
        <f t="shared" si="1"/>
        <v>46043</v>
      </c>
      <c r="K89" s="26">
        <v>46046.0</v>
      </c>
      <c r="L89" s="32">
        <v>0.0</v>
      </c>
      <c r="M89" s="32">
        <v>0.0</v>
      </c>
      <c r="N89" s="32">
        <f t="shared" si="2"/>
        <v>0</v>
      </c>
      <c r="O89" s="49" t="s">
        <v>376</v>
      </c>
      <c r="P89" s="32">
        <f t="array" ref="P89">_xlfn.XLOOKUP($B89, DB[samplingPoint], DB[Criteria])</f>
        <v>500</v>
      </c>
      <c r="Q89" s="50" t="str">
        <f t="shared" si="3"/>
        <v>PASSED</v>
      </c>
      <c r="R89" s="38" t="b">
        <v>0</v>
      </c>
      <c r="S89" s="32" t="s">
        <v>544</v>
      </c>
      <c r="T89" s="39" t="s">
        <v>386</v>
      </c>
      <c r="U89" s="32" t="s">
        <v>381</v>
      </c>
    </row>
    <row r="90" ht="22.5" customHeight="1">
      <c r="A90" s="26">
        <v>46042.0</v>
      </c>
      <c r="B90" s="39" t="s">
        <v>440</v>
      </c>
      <c r="C90" s="32" t="str">
        <f t="array" ref="C90">_xlfn.XLOOKUP(B90, DB[samplingPoint], DB[samplingTag])</f>
        <v>V50-39 (12)</v>
      </c>
      <c r="D90" s="33" t="s">
        <v>364</v>
      </c>
      <c r="E90" s="38" t="b">
        <v>1</v>
      </c>
      <c r="F90" s="39" t="str">
        <f t="array" ref="F90">_xlfn.XLOOKUP($B90, DB[samplingPoint], DB[noLocation])</f>
        <v>WATER SYSTEM (B12)</v>
      </c>
      <c r="G90" s="59" t="str">
        <f t="array" ref="G90">_xlfn.XLOOKUP($B90, DB[samplingPoint], DB[building])</f>
        <v>Building 12</v>
      </c>
      <c r="H90" s="40" t="str">
        <f t="array" ref="H90">_xlfn.XLOOKUP($B90, DB[samplingPoint], DB[location])</f>
        <v>After EDI (B12)</v>
      </c>
      <c r="I90" s="39" t="str">
        <f t="array" ref="I90">_xlfn.XLOOKUP($B90, DB[samplingPoint], DB[waterType])</f>
        <v>PW</v>
      </c>
      <c r="J90" s="43">
        <f t="shared" si="1"/>
        <v>46043</v>
      </c>
      <c r="K90" s="26">
        <v>46046.0</v>
      </c>
      <c r="L90" s="32">
        <v>0.0</v>
      </c>
      <c r="M90" s="32">
        <v>0.0</v>
      </c>
      <c r="N90" s="32">
        <f t="shared" si="2"/>
        <v>0</v>
      </c>
      <c r="O90" s="49" t="s">
        <v>376</v>
      </c>
      <c r="P90" s="32">
        <f t="array" ref="P90">_xlfn.XLOOKUP($B90, DB[samplingPoint], DB[Criteria])</f>
        <v>100</v>
      </c>
      <c r="Q90" s="50" t="str">
        <f t="shared" si="3"/>
        <v>PASSED</v>
      </c>
      <c r="R90" s="38" t="b">
        <v>0</v>
      </c>
      <c r="S90" s="32" t="s">
        <v>544</v>
      </c>
      <c r="T90" s="39" t="s">
        <v>386</v>
      </c>
      <c r="U90" s="32" t="s">
        <v>381</v>
      </c>
    </row>
    <row r="91" ht="22.5" customHeight="1">
      <c r="A91" s="26">
        <v>46042.0</v>
      </c>
      <c r="B91" s="39" t="s">
        <v>442</v>
      </c>
      <c r="C91" s="32" t="str">
        <f t="array" ref="C91">_xlfn.XLOOKUP(B91, DB[samplingPoint], DB[samplingTag])</f>
        <v>V50-61 (12)</v>
      </c>
      <c r="D91" s="33" t="s">
        <v>364</v>
      </c>
      <c r="E91" s="38" t="b">
        <v>1</v>
      </c>
      <c r="F91" s="39" t="str">
        <f t="array" ref="F91">_xlfn.XLOOKUP($B91, DB[samplingPoint], DB[noLocation])</f>
        <v>WATER SYSTEM (B12)</v>
      </c>
      <c r="G91" s="59" t="str">
        <f t="array" ref="G91">_xlfn.XLOOKUP($B91, DB[samplingPoint], DB[building])</f>
        <v>Building 12</v>
      </c>
      <c r="H91" s="40" t="str">
        <f t="array" ref="H91">_xlfn.XLOOKUP($B91, DB[samplingPoint], DB[location])</f>
        <v>After Cartridge filter 5 µm (B12)</v>
      </c>
      <c r="I91" s="39" t="str">
        <f t="array" ref="I91">_xlfn.XLOOKUP($B91, DB[samplingPoint], DB[waterType])</f>
        <v>PRW</v>
      </c>
      <c r="J91" s="43">
        <f t="shared" si="1"/>
        <v>46043</v>
      </c>
      <c r="K91" s="26">
        <v>46046.0</v>
      </c>
      <c r="L91" s="32">
        <v>0.0</v>
      </c>
      <c r="M91" s="32">
        <v>0.0</v>
      </c>
      <c r="N91" s="32">
        <f t="shared" si="2"/>
        <v>0</v>
      </c>
      <c r="O91" s="49" t="s">
        <v>376</v>
      </c>
      <c r="P91" s="32">
        <f t="array" ref="P91">_xlfn.XLOOKUP($B91, DB[samplingPoint], DB[Criteria])</f>
        <v>500</v>
      </c>
      <c r="Q91" s="50" t="str">
        <f t="shared" si="3"/>
        <v>PASSED</v>
      </c>
      <c r="R91" s="38" t="b">
        <v>0</v>
      </c>
      <c r="S91" s="32" t="s">
        <v>544</v>
      </c>
      <c r="T91" s="39" t="s">
        <v>386</v>
      </c>
      <c r="U91" s="32" t="s">
        <v>381</v>
      </c>
    </row>
    <row r="92" ht="22.5" customHeight="1">
      <c r="A92" s="26">
        <v>46042.0</v>
      </c>
      <c r="B92" s="39" t="s">
        <v>444</v>
      </c>
      <c r="C92" s="32" t="str">
        <f t="array" ref="C92">_xlfn.XLOOKUP(B92, DB[samplingPoint], DB[samplingTag])</f>
        <v>VB-05 (12)</v>
      </c>
      <c r="D92" s="33" t="s">
        <v>364</v>
      </c>
      <c r="E92" s="38" t="b">
        <v>1</v>
      </c>
      <c r="F92" s="39" t="str">
        <f t="array" ref="F92">_xlfn.XLOOKUP($B92, DB[samplingPoint], DB[noLocation])</f>
        <v>WATER SYSTEM (B12)</v>
      </c>
      <c r="G92" s="59" t="str">
        <f t="array" ref="G92">_xlfn.XLOOKUP($B92, DB[samplingPoint], DB[building])</f>
        <v>Building 12</v>
      </c>
      <c r="H92" s="40" t="str">
        <f t="array" ref="H92">_xlfn.XLOOKUP($B92, DB[samplingPoint], DB[location])</f>
        <v>After Chlorine circulation tank</v>
      </c>
      <c r="I92" s="39" t="str">
        <f t="array" ref="I92">_xlfn.XLOOKUP($B92, DB[samplingPoint], DB[waterType])</f>
        <v>PRW</v>
      </c>
      <c r="J92" s="43">
        <f t="shared" si="1"/>
        <v>46043</v>
      </c>
      <c r="K92" s="26">
        <v>46045.0</v>
      </c>
      <c r="L92" s="32">
        <v>0.0</v>
      </c>
      <c r="M92" s="32">
        <v>0.0</v>
      </c>
      <c r="N92" s="32">
        <f t="shared" si="2"/>
        <v>0</v>
      </c>
      <c r="O92" s="49" t="s">
        <v>376</v>
      </c>
      <c r="P92" s="32">
        <f t="array" ref="P92">_xlfn.XLOOKUP($B92, DB[samplingPoint], DB[Criteria])</f>
        <v>500</v>
      </c>
      <c r="Q92" s="50" t="str">
        <f t="shared" si="3"/>
        <v>PASSED</v>
      </c>
      <c r="R92" s="38" t="b">
        <v>0</v>
      </c>
      <c r="S92" s="32" t="s">
        <v>544</v>
      </c>
      <c r="T92" s="39" t="s">
        <v>386</v>
      </c>
      <c r="U92" s="32" t="s">
        <v>381</v>
      </c>
    </row>
    <row r="93" ht="22.5" customHeight="1">
      <c r="A93" s="26">
        <v>46042.0</v>
      </c>
      <c r="B93" s="39" t="s">
        <v>558</v>
      </c>
      <c r="C93" s="32" t="str">
        <f t="array" ref="C93">_xlfn.XLOOKUP(B93, DB[samplingPoint], DB[samplingTag])</f>
        <v>DV126.04</v>
      </c>
      <c r="D93" s="33" t="s">
        <v>364</v>
      </c>
      <c r="E93" s="38" t="b">
        <v>1</v>
      </c>
      <c r="F93" s="39" t="str">
        <f t="array" ref="F93">_xlfn.XLOOKUP($B93, DB[samplingPoint], DB[noLocation])</f>
        <v>16-2-010</v>
      </c>
      <c r="G93" s="59" t="str">
        <f t="array" ref="G93">_xlfn.XLOOKUP($B93, DB[samplingPoint], DB[building])</f>
        <v>Building 16</v>
      </c>
      <c r="H93" s="40" t="str">
        <f t="array" ref="H93">_xlfn.XLOOKUP($B93, DB[samplingPoint], DB[location])</f>
        <v>WATER SYSTEM (PW)</v>
      </c>
      <c r="I93" s="39" t="str">
        <f t="array" ref="I93">_xlfn.XLOOKUP($B93, DB[samplingPoint], DB[waterType])</f>
        <v>PW</v>
      </c>
      <c r="J93" s="43">
        <f t="shared" si="1"/>
        <v>46043</v>
      </c>
      <c r="K93" s="26">
        <v>46046.0</v>
      </c>
      <c r="L93" s="32">
        <v>0.0</v>
      </c>
      <c r="M93" s="32">
        <v>0.0</v>
      </c>
      <c r="N93" s="32">
        <f t="shared" si="2"/>
        <v>0</v>
      </c>
      <c r="O93" s="49" t="s">
        <v>376</v>
      </c>
      <c r="P93" s="32">
        <f t="array" ref="P93">_xlfn.XLOOKUP($B93, DB[samplingPoint], DB[Criteria])</f>
        <v>100</v>
      </c>
      <c r="Q93" s="50" t="str">
        <f t="shared" si="3"/>
        <v>PASSED</v>
      </c>
      <c r="R93" s="38" t="b">
        <v>0</v>
      </c>
      <c r="S93" s="32" t="s">
        <v>560</v>
      </c>
      <c r="T93" s="39" t="s">
        <v>386</v>
      </c>
      <c r="U93" s="32" t="s">
        <v>381</v>
      </c>
    </row>
    <row r="94" ht="22.5" customHeight="1">
      <c r="A94" s="26">
        <v>46042.0</v>
      </c>
      <c r="B94" s="39" t="s">
        <v>562</v>
      </c>
      <c r="C94" s="32" t="str">
        <f t="array" ref="C94">_xlfn.XLOOKUP(B94, DB[samplingPoint], DB[samplingTag])</f>
        <v>DV126.09</v>
      </c>
      <c r="D94" s="33" t="s">
        <v>364</v>
      </c>
      <c r="E94" s="38" t="b">
        <v>1</v>
      </c>
      <c r="F94" s="39" t="str">
        <f t="array" ref="F94">_xlfn.XLOOKUP($B94, DB[samplingPoint], DB[noLocation])</f>
        <v>16-3-090</v>
      </c>
      <c r="G94" s="59" t="str">
        <f t="array" ref="G94">_xlfn.XLOOKUP($B94, DB[samplingPoint], DB[building])</f>
        <v>Building 16</v>
      </c>
      <c r="H94" s="40" t="str">
        <f t="array" ref="H94">_xlfn.XLOOKUP($B94, DB[samplingPoint], DB[location])</f>
        <v>CIP 1 (ZINK WASHING)</v>
      </c>
      <c r="I94" s="39" t="str">
        <f t="array" ref="I94">_xlfn.XLOOKUP($B94, DB[samplingPoint], DB[waterType])</f>
        <v>PW</v>
      </c>
      <c r="J94" s="43">
        <f t="shared" si="1"/>
        <v>46043</v>
      </c>
      <c r="K94" s="26">
        <v>46046.0</v>
      </c>
      <c r="L94" s="32">
        <v>0.0</v>
      </c>
      <c r="M94" s="32">
        <v>0.0</v>
      </c>
      <c r="N94" s="32">
        <f t="shared" si="2"/>
        <v>0</v>
      </c>
      <c r="O94" s="49" t="s">
        <v>376</v>
      </c>
      <c r="P94" s="32">
        <f t="array" ref="P94">_xlfn.XLOOKUP($B94, DB[samplingPoint], DB[Criteria])</f>
        <v>100</v>
      </c>
      <c r="Q94" s="50" t="str">
        <f t="shared" si="3"/>
        <v>PASSED</v>
      </c>
      <c r="R94" s="38" t="b">
        <v>0</v>
      </c>
      <c r="S94" s="32" t="s">
        <v>560</v>
      </c>
      <c r="T94" s="39" t="s">
        <v>386</v>
      </c>
      <c r="U94" s="32" t="s">
        <v>381</v>
      </c>
    </row>
    <row r="95" ht="22.5" customHeight="1">
      <c r="A95" s="26">
        <v>46042.0</v>
      </c>
      <c r="B95" s="39" t="s">
        <v>564</v>
      </c>
      <c r="C95" s="32" t="str">
        <f t="array" ref="C95">_xlfn.XLOOKUP(B95, DB[samplingPoint], DB[samplingTag])</f>
        <v>SV126.05</v>
      </c>
      <c r="D95" s="33" t="s">
        <v>364</v>
      </c>
      <c r="E95" s="38" t="b">
        <v>1</v>
      </c>
      <c r="F95" s="39" t="str">
        <f t="array" ref="F95">_xlfn.XLOOKUP($B95, DB[samplingPoint], DB[noLocation])</f>
        <v>16-3-049</v>
      </c>
      <c r="G95" s="59" t="str">
        <f t="array" ref="G95">_xlfn.XLOOKUP($B95, DB[samplingPoint], DB[building])</f>
        <v>Building 16</v>
      </c>
      <c r="H95" s="40" t="str">
        <f t="array" ref="H95">_xlfn.XLOOKUP($B95, DB[samplingPoint], DB[location])</f>
        <v>LINEN WASHING</v>
      </c>
      <c r="I95" s="39" t="str">
        <f t="array" ref="I95">_xlfn.XLOOKUP($B95, DB[samplingPoint], DB[waterType])</f>
        <v>PW</v>
      </c>
      <c r="J95" s="43">
        <f t="shared" si="1"/>
        <v>46043</v>
      </c>
      <c r="K95" s="26">
        <v>46046.0</v>
      </c>
      <c r="L95" s="32">
        <v>0.0</v>
      </c>
      <c r="M95" s="32">
        <v>0.0</v>
      </c>
      <c r="N95" s="32">
        <f t="shared" si="2"/>
        <v>0</v>
      </c>
      <c r="O95" s="49" t="s">
        <v>376</v>
      </c>
      <c r="P95" s="32">
        <f t="array" ref="P95">_xlfn.XLOOKUP($B95, DB[samplingPoint], DB[Criteria])</f>
        <v>100</v>
      </c>
      <c r="Q95" s="50" t="str">
        <f t="shared" si="3"/>
        <v>PASSED</v>
      </c>
      <c r="R95" s="38" t="b">
        <v>0</v>
      </c>
      <c r="S95" s="32" t="s">
        <v>560</v>
      </c>
      <c r="T95" s="39" t="s">
        <v>386</v>
      </c>
      <c r="U95" s="32" t="s">
        <v>381</v>
      </c>
    </row>
    <row r="96" ht="22.5" customHeight="1">
      <c r="A96" s="26">
        <v>46042.0</v>
      </c>
      <c r="B96" s="39" t="s">
        <v>567</v>
      </c>
      <c r="C96" s="32" t="str">
        <f t="array" ref="C96">_xlfn.XLOOKUP(B96, DB[samplingPoint], DB[samplingTag])</f>
        <v>SV126.06</v>
      </c>
      <c r="D96" s="33" t="s">
        <v>364</v>
      </c>
      <c r="E96" s="38" t="b">
        <v>1</v>
      </c>
      <c r="F96" s="39" t="str">
        <f t="array" ref="F96">_xlfn.XLOOKUP($B96, DB[samplingPoint], DB[noLocation])</f>
        <v>16-3-067</v>
      </c>
      <c r="G96" s="59" t="str">
        <f t="array" ref="G96">_xlfn.XLOOKUP($B96, DB[samplingPoint], DB[building])</f>
        <v>Building 16</v>
      </c>
      <c r="H96" s="40" t="str">
        <f t="array" ref="H96">_xlfn.XLOOKUP($B96, DB[samplingPoint], DB[location])</f>
        <v>MFG 1</v>
      </c>
      <c r="I96" s="39" t="str">
        <f t="array" ref="I96">_xlfn.XLOOKUP($B96, DB[samplingPoint], DB[waterType])</f>
        <v>PW</v>
      </c>
      <c r="J96" s="43">
        <f t="shared" si="1"/>
        <v>46043</v>
      </c>
      <c r="K96" s="26">
        <v>46046.0</v>
      </c>
      <c r="L96" s="32">
        <v>0.0</v>
      </c>
      <c r="M96" s="32">
        <v>0.0</v>
      </c>
      <c r="N96" s="32">
        <f t="shared" si="2"/>
        <v>0</v>
      </c>
      <c r="O96" s="49" t="s">
        <v>376</v>
      </c>
      <c r="P96" s="32">
        <f t="array" ref="P96">_xlfn.XLOOKUP($B96, DB[samplingPoint], DB[Criteria])</f>
        <v>100</v>
      </c>
      <c r="Q96" s="50" t="str">
        <f t="shared" si="3"/>
        <v>PASSED</v>
      </c>
      <c r="R96" s="38" t="b">
        <v>0</v>
      </c>
      <c r="S96" s="32" t="s">
        <v>560</v>
      </c>
      <c r="T96" s="39" t="s">
        <v>386</v>
      </c>
      <c r="U96" s="32" t="s">
        <v>381</v>
      </c>
    </row>
    <row r="97" ht="22.5" customHeight="1">
      <c r="A97" s="26">
        <v>46042.0</v>
      </c>
      <c r="B97" s="39" t="s">
        <v>568</v>
      </c>
      <c r="C97" s="32" t="str">
        <f t="array" ref="C97">_xlfn.XLOOKUP(B97, DB[samplingPoint], DB[samplingTag])</f>
        <v>SV126.18</v>
      </c>
      <c r="D97" s="33" t="s">
        <v>364</v>
      </c>
      <c r="E97" s="38" t="b">
        <v>1</v>
      </c>
      <c r="F97" s="39" t="str">
        <f t="array" ref="F97">_xlfn.XLOOKUP($B97, DB[samplingPoint], DB[noLocation])</f>
        <v>16-3-085</v>
      </c>
      <c r="G97" s="59" t="str">
        <f t="array" ref="G97">_xlfn.XLOOKUP($B97, DB[samplingPoint], DB[building])</f>
        <v>Building 16</v>
      </c>
      <c r="H97" s="40" t="str">
        <f t="array" ref="H97">_xlfn.XLOOKUP($B97, DB[samplingPoint], DB[location])</f>
        <v>CIP 3 (EQUIPMENT REQUIREMENT)</v>
      </c>
      <c r="I97" s="39" t="str">
        <f t="array" ref="I97">_xlfn.XLOOKUP($B97, DB[samplingPoint], DB[waterType])</f>
        <v>PW</v>
      </c>
      <c r="J97" s="43">
        <f t="shared" si="1"/>
        <v>46043</v>
      </c>
      <c r="K97" s="26">
        <v>46046.0</v>
      </c>
      <c r="L97" s="32">
        <v>0.0</v>
      </c>
      <c r="M97" s="32">
        <v>0.0</v>
      </c>
      <c r="N97" s="32">
        <f t="shared" si="2"/>
        <v>0</v>
      </c>
      <c r="O97" s="49" t="s">
        <v>376</v>
      </c>
      <c r="P97" s="32">
        <f t="array" ref="P97">_xlfn.XLOOKUP($B97, DB[samplingPoint], DB[Criteria])</f>
        <v>100</v>
      </c>
      <c r="Q97" s="50" t="str">
        <f t="shared" si="3"/>
        <v>PASSED</v>
      </c>
      <c r="R97" s="38" t="b">
        <v>0</v>
      </c>
      <c r="S97" s="32" t="s">
        <v>560</v>
      </c>
      <c r="T97" s="39" t="s">
        <v>386</v>
      </c>
      <c r="U97" s="32" t="s">
        <v>381</v>
      </c>
    </row>
    <row r="98" ht="22.5" customHeight="1">
      <c r="A98" s="26">
        <v>46042.0</v>
      </c>
      <c r="B98" s="39" t="s">
        <v>569</v>
      </c>
      <c r="C98" s="32" t="str">
        <f t="array" ref="C98">_xlfn.XLOOKUP(B98, DB[samplingPoint], DB[samplingTag])</f>
        <v>SV126.21</v>
      </c>
      <c r="D98" s="33" t="s">
        <v>364</v>
      </c>
      <c r="E98" s="38" t="b">
        <v>1</v>
      </c>
      <c r="F98" s="39" t="str">
        <f t="array" ref="F98">_xlfn.XLOOKUP($B98, DB[samplingPoint], DB[noLocation])</f>
        <v>16-3-090</v>
      </c>
      <c r="G98" s="59" t="str">
        <f t="array" ref="G98">_xlfn.XLOOKUP($B98, DB[samplingPoint], DB[building])</f>
        <v>Building 16</v>
      </c>
      <c r="H98" s="40" t="str">
        <f t="array" ref="H98">_xlfn.XLOOKUP($B98, DB[samplingPoint], DB[location])</f>
        <v>CIP 1 (EQUIPMENT REQUIREMENT)</v>
      </c>
      <c r="I98" s="39" t="str">
        <f t="array" ref="I98">_xlfn.XLOOKUP($B98, DB[samplingPoint], DB[waterType])</f>
        <v>PW</v>
      </c>
      <c r="J98" s="43">
        <f t="shared" si="1"/>
        <v>46043</v>
      </c>
      <c r="K98" s="26">
        <v>46046.0</v>
      </c>
      <c r="L98" s="32">
        <v>0.0</v>
      </c>
      <c r="M98" s="32">
        <v>0.0</v>
      </c>
      <c r="N98" s="32">
        <f t="shared" si="2"/>
        <v>0</v>
      </c>
      <c r="O98" s="49" t="s">
        <v>376</v>
      </c>
      <c r="P98" s="32">
        <f t="array" ref="P98">_xlfn.XLOOKUP($B98, DB[samplingPoint], DB[Criteria])</f>
        <v>100</v>
      </c>
      <c r="Q98" s="50" t="str">
        <f t="shared" si="3"/>
        <v>PASSED</v>
      </c>
      <c r="R98" s="38" t="b">
        <v>0</v>
      </c>
      <c r="S98" s="32" t="s">
        <v>560</v>
      </c>
      <c r="T98" s="39" t="s">
        <v>386</v>
      </c>
      <c r="U98" s="32" t="s">
        <v>381</v>
      </c>
    </row>
    <row r="99" ht="22.5" customHeight="1">
      <c r="A99" s="26">
        <v>46042.0</v>
      </c>
      <c r="B99" s="39" t="s">
        <v>464</v>
      </c>
      <c r="C99" s="32" t="str">
        <f t="array" ref="C99">_xlfn.XLOOKUP(B99, DB[samplingPoint], DB[samplingTag])</f>
        <v>SV127.01</v>
      </c>
      <c r="D99" s="33" t="s">
        <v>364</v>
      </c>
      <c r="E99" s="38" t="b">
        <v>1</v>
      </c>
      <c r="F99" s="39" t="str">
        <f t="array" ref="F99">_xlfn.XLOOKUP($B99, DB[samplingPoint], DB[noLocation])</f>
        <v>WATER SYSTEM (B16)</v>
      </c>
      <c r="G99" s="59" t="str">
        <f t="array" ref="G99">_xlfn.XLOOKUP($B99, DB[samplingPoint], DB[building])</f>
        <v>Building 16</v>
      </c>
      <c r="H99" s="40" t="str">
        <f t="array" ref="H99">_xlfn.XLOOKUP($B99, DB[samplingPoint], DB[location])</f>
        <v>Return loop (B16)</v>
      </c>
      <c r="I99" s="39" t="str">
        <f t="array" ref="I99">_xlfn.XLOOKUP($B99, DB[samplingPoint], DB[waterType])</f>
        <v>PW</v>
      </c>
      <c r="J99" s="43">
        <f t="shared" si="1"/>
        <v>46043</v>
      </c>
      <c r="K99" s="26">
        <v>46046.0</v>
      </c>
      <c r="L99" s="32">
        <v>0.0</v>
      </c>
      <c r="M99" s="32">
        <v>0.0</v>
      </c>
      <c r="N99" s="32">
        <f t="shared" si="2"/>
        <v>0</v>
      </c>
      <c r="O99" s="49" t="s">
        <v>376</v>
      </c>
      <c r="P99" s="32">
        <f t="array" ref="P99">_xlfn.XLOOKUP($B99, DB[samplingPoint], DB[Criteria])</f>
        <v>100</v>
      </c>
      <c r="Q99" s="50" t="str">
        <f t="shared" si="3"/>
        <v>PASSED</v>
      </c>
      <c r="R99" s="38" t="b">
        <v>0</v>
      </c>
      <c r="S99" s="32" t="s">
        <v>560</v>
      </c>
      <c r="T99" s="39" t="s">
        <v>386</v>
      </c>
      <c r="U99" s="32" t="s">
        <v>381</v>
      </c>
    </row>
    <row r="100" ht="22.5" customHeight="1">
      <c r="A100" s="26">
        <v>46042.0</v>
      </c>
      <c r="B100" s="39" t="s">
        <v>466</v>
      </c>
      <c r="C100" s="32" t="str">
        <f t="array" ref="C100">_xlfn.XLOOKUP(B100, DB[samplingPoint], DB[samplingTag])</f>
        <v>V50-11C (16)</v>
      </c>
      <c r="D100" s="33" t="s">
        <v>364</v>
      </c>
      <c r="E100" s="38" t="b">
        <v>1</v>
      </c>
      <c r="F100" s="39" t="str">
        <f t="array" ref="F100">_xlfn.XLOOKUP($B100, DB[samplingPoint], DB[noLocation])</f>
        <v>WATER SYSTEM (B16)</v>
      </c>
      <c r="G100" s="59" t="str">
        <f t="array" ref="G100">_xlfn.XLOOKUP($B100, DB[samplingPoint], DB[building])</f>
        <v>Building 16</v>
      </c>
      <c r="H100" s="40" t="str">
        <f t="array" ref="H100">_xlfn.XLOOKUP($B100, DB[samplingPoint], DB[location])</f>
        <v>After RO (Before EDI) (B16)</v>
      </c>
      <c r="I100" s="39" t="str">
        <f t="array" ref="I100">_xlfn.XLOOKUP($B100, DB[samplingPoint], DB[waterType])</f>
        <v>RO water</v>
      </c>
      <c r="J100" s="43">
        <f t="shared" si="1"/>
        <v>46043</v>
      </c>
      <c r="K100" s="26">
        <v>46046.0</v>
      </c>
      <c r="L100" s="32">
        <v>0.0</v>
      </c>
      <c r="M100" s="32">
        <v>0.0</v>
      </c>
      <c r="N100" s="32">
        <f t="shared" si="2"/>
        <v>0</v>
      </c>
      <c r="O100" s="49" t="s">
        <v>376</v>
      </c>
      <c r="P100" s="32">
        <f t="array" ref="P100">_xlfn.XLOOKUP($B100, DB[samplingPoint], DB[Criteria])</f>
        <v>500</v>
      </c>
      <c r="Q100" s="50" t="str">
        <f t="shared" si="3"/>
        <v>PASSED</v>
      </c>
      <c r="R100" s="38" t="b">
        <v>0</v>
      </c>
      <c r="S100" s="32" t="s">
        <v>560</v>
      </c>
      <c r="T100" s="39" t="s">
        <v>386</v>
      </c>
      <c r="U100" s="32" t="s">
        <v>381</v>
      </c>
    </row>
    <row r="101" ht="22.5" customHeight="1">
      <c r="A101" s="26">
        <v>46042.0</v>
      </c>
      <c r="B101" s="39" t="s">
        <v>468</v>
      </c>
      <c r="C101" s="32" t="str">
        <f t="array" ref="C101">_xlfn.XLOOKUP(B101, DB[samplingPoint], DB[samplingTag])</f>
        <v>V50-39 (16)</v>
      </c>
      <c r="D101" s="33" t="s">
        <v>364</v>
      </c>
      <c r="E101" s="38" t="b">
        <v>1</v>
      </c>
      <c r="F101" s="39" t="str">
        <f t="array" ref="F101">_xlfn.XLOOKUP($B101, DB[samplingPoint], DB[noLocation])</f>
        <v>WATER SYSTEM (B16)</v>
      </c>
      <c r="G101" s="59" t="str">
        <f t="array" ref="G101">_xlfn.XLOOKUP($B101, DB[samplingPoint], DB[building])</f>
        <v>Building 16</v>
      </c>
      <c r="H101" s="40" t="str">
        <f t="array" ref="H101">_xlfn.XLOOKUP($B101, DB[samplingPoint], DB[location])</f>
        <v>After EDI (B16)</v>
      </c>
      <c r="I101" s="39" t="str">
        <f t="array" ref="I101">_xlfn.XLOOKUP($B101, DB[samplingPoint], DB[waterType])</f>
        <v>PW</v>
      </c>
      <c r="J101" s="43">
        <f t="shared" si="1"/>
        <v>46043</v>
      </c>
      <c r="K101" s="26">
        <v>46046.0</v>
      </c>
      <c r="L101" s="32">
        <v>0.0</v>
      </c>
      <c r="M101" s="32">
        <v>0.0</v>
      </c>
      <c r="N101" s="32">
        <f t="shared" si="2"/>
        <v>0</v>
      </c>
      <c r="O101" s="49" t="s">
        <v>376</v>
      </c>
      <c r="P101" s="32">
        <f t="array" ref="P101">_xlfn.XLOOKUP($B101, DB[samplingPoint], DB[Criteria])</f>
        <v>100</v>
      </c>
      <c r="Q101" s="50" t="str">
        <f t="shared" si="3"/>
        <v>PASSED</v>
      </c>
      <c r="R101" s="38" t="b">
        <v>0</v>
      </c>
      <c r="S101" s="32" t="s">
        <v>560</v>
      </c>
      <c r="T101" s="39" t="s">
        <v>386</v>
      </c>
      <c r="U101" s="32" t="s">
        <v>381</v>
      </c>
    </row>
    <row r="102" ht="22.5" customHeight="1">
      <c r="A102" s="26">
        <v>46042.0</v>
      </c>
      <c r="B102" s="39" t="s">
        <v>470</v>
      </c>
      <c r="C102" s="32" t="str">
        <f t="array" ref="C102">_xlfn.XLOOKUP(B102, DB[samplingPoint], DB[samplingTag])</f>
        <v>V50-61 (16)</v>
      </c>
      <c r="D102" s="33" t="s">
        <v>364</v>
      </c>
      <c r="E102" s="38" t="b">
        <v>1</v>
      </c>
      <c r="F102" s="39" t="str">
        <f t="array" ref="F102">_xlfn.XLOOKUP($B102, DB[samplingPoint], DB[noLocation])</f>
        <v>WATER SYSTEM (B16)</v>
      </c>
      <c r="G102" s="59" t="str">
        <f t="array" ref="G102">_xlfn.XLOOKUP($B102, DB[samplingPoint], DB[building])</f>
        <v>Building 16</v>
      </c>
      <c r="H102" s="40" t="str">
        <f t="array" ref="H102">_xlfn.XLOOKUP($B102, DB[samplingPoint], DB[location])</f>
        <v>After Cartridge filter 5 µm (B16)</v>
      </c>
      <c r="I102" s="39" t="str">
        <f t="array" ref="I102">_xlfn.XLOOKUP($B102, DB[samplingPoint], DB[waterType])</f>
        <v>PRW</v>
      </c>
      <c r="J102" s="43">
        <f t="shared" si="1"/>
        <v>46043</v>
      </c>
      <c r="K102" s="26">
        <v>46046.0</v>
      </c>
      <c r="L102" s="32">
        <v>2.0</v>
      </c>
      <c r="M102" s="32">
        <v>2.0</v>
      </c>
      <c r="N102" s="32">
        <f t="shared" si="2"/>
        <v>2</v>
      </c>
      <c r="O102" s="49" t="s">
        <v>376</v>
      </c>
      <c r="P102" s="32">
        <f t="array" ref="P102">_xlfn.XLOOKUP($B102, DB[samplingPoint], DB[Criteria])</f>
        <v>500</v>
      </c>
      <c r="Q102" s="50" t="str">
        <f t="shared" si="3"/>
        <v>PASSED</v>
      </c>
      <c r="R102" s="38" t="b">
        <v>0</v>
      </c>
      <c r="S102" s="32" t="s">
        <v>560</v>
      </c>
      <c r="T102" s="39" t="s">
        <v>386</v>
      </c>
      <c r="U102" s="32" t="s">
        <v>381</v>
      </c>
    </row>
    <row r="103" ht="22.5" customHeight="1">
      <c r="A103" s="26">
        <v>46042.0</v>
      </c>
      <c r="B103" s="39" t="s">
        <v>471</v>
      </c>
      <c r="C103" s="32" t="str">
        <f t="array" ref="C103">_xlfn.XLOOKUP(B103, DB[samplingPoint], DB[samplingTag])</f>
        <v>VB-05 (16)</v>
      </c>
      <c r="D103" s="33" t="s">
        <v>364</v>
      </c>
      <c r="E103" s="38" t="b">
        <v>1</v>
      </c>
      <c r="F103" s="39" t="str">
        <f t="array" ref="F103">_xlfn.XLOOKUP($B103, DB[samplingPoint], DB[noLocation])</f>
        <v>WATER SYSTEM (B16)</v>
      </c>
      <c r="G103" s="59" t="str">
        <f t="array" ref="G103">_xlfn.XLOOKUP($B103, DB[samplingPoint], DB[building])</f>
        <v>Building 16</v>
      </c>
      <c r="H103" s="40" t="str">
        <f t="array" ref="H103">_xlfn.XLOOKUP($B103, DB[samplingPoint], DB[location])</f>
        <v>After Chlorine circulation tank (B16)</v>
      </c>
      <c r="I103" s="39" t="str">
        <f t="array" ref="I103">_xlfn.XLOOKUP($B103, DB[samplingPoint], DB[waterType])</f>
        <v>PRW</v>
      </c>
      <c r="J103" s="43">
        <f t="shared" si="1"/>
        <v>46043</v>
      </c>
      <c r="K103" s="26">
        <v>46046.0</v>
      </c>
      <c r="L103" s="32">
        <v>0.0</v>
      </c>
      <c r="M103" s="32">
        <v>0.0</v>
      </c>
      <c r="N103" s="32">
        <f t="shared" si="2"/>
        <v>0</v>
      </c>
      <c r="O103" s="49" t="s">
        <v>376</v>
      </c>
      <c r="P103" s="32">
        <f t="array" ref="P103">_xlfn.XLOOKUP($B103, DB[samplingPoint], DB[Criteria])</f>
        <v>500</v>
      </c>
      <c r="Q103" s="50" t="str">
        <f t="shared" si="3"/>
        <v>PASSED</v>
      </c>
      <c r="R103" s="38" t="b">
        <v>0</v>
      </c>
      <c r="S103" s="32" t="s">
        <v>560</v>
      </c>
      <c r="T103" s="39" t="s">
        <v>386</v>
      </c>
      <c r="U103" s="32" t="s">
        <v>381</v>
      </c>
    </row>
    <row r="104" ht="22.5" customHeight="1">
      <c r="A104" s="26">
        <v>46044.0</v>
      </c>
      <c r="B104" s="39" t="s">
        <v>428</v>
      </c>
      <c r="C104" s="32" t="str">
        <f t="array" ref="C104">_xlfn.XLOOKUP(B104, DB[samplingPoint], DB[samplingTag])</f>
        <v>DV116.01</v>
      </c>
      <c r="D104" s="33" t="s">
        <v>364</v>
      </c>
      <c r="E104" s="38" t="b">
        <v>1</v>
      </c>
      <c r="F104" s="39" t="str">
        <f t="array" ref="F104">_xlfn.XLOOKUP($B104, DB[samplingPoint], DB[noLocation])</f>
        <v>10-1-057</v>
      </c>
      <c r="G104" s="59" t="str">
        <f t="array" ref="G104">_xlfn.XLOOKUP($B104, DB[samplingPoint], DB[building])</f>
        <v>Building 10</v>
      </c>
      <c r="H104" s="40" t="str">
        <f t="array" ref="H104">_xlfn.XLOOKUP($B104, DB[samplingPoint], DB[location])</f>
        <v>WASHING-P</v>
      </c>
      <c r="I104" s="39" t="str">
        <f t="array" ref="I104">_xlfn.XLOOKUP($B104, DB[samplingPoint], DB[waterType])</f>
        <v>PW</v>
      </c>
      <c r="J104" s="43">
        <f t="shared" si="1"/>
        <v>46045</v>
      </c>
      <c r="K104" s="26">
        <v>46048.0</v>
      </c>
      <c r="L104" s="32">
        <v>0.0</v>
      </c>
      <c r="M104" s="32">
        <v>0.0</v>
      </c>
      <c r="N104" s="32">
        <f t="shared" si="2"/>
        <v>0</v>
      </c>
      <c r="O104" s="49" t="s">
        <v>376</v>
      </c>
      <c r="P104" s="32">
        <f t="array" ref="P104">_xlfn.XLOOKUP($B104, DB[samplingPoint], DB[Criteria])</f>
        <v>100</v>
      </c>
      <c r="Q104" s="50" t="str">
        <f t="shared" si="3"/>
        <v>PASSED</v>
      </c>
      <c r="R104" s="38" t="b">
        <v>0</v>
      </c>
      <c r="S104" s="32" t="s">
        <v>573</v>
      </c>
      <c r="T104" s="39" t="s">
        <v>386</v>
      </c>
      <c r="U104" s="32" t="s">
        <v>381</v>
      </c>
    </row>
    <row r="105" ht="22.5" customHeight="1">
      <c r="A105" s="26">
        <v>46044.0</v>
      </c>
      <c r="B105" s="39" t="s">
        <v>425</v>
      </c>
      <c r="C105" s="32" t="str">
        <f t="array" ref="C105">_xlfn.XLOOKUP(B105, DB[samplingPoint], DB[samplingTag])</f>
        <v>DV116.02</v>
      </c>
      <c r="D105" s="33" t="s">
        <v>364</v>
      </c>
      <c r="E105" s="38" t="b">
        <v>1</v>
      </c>
      <c r="F105" s="39" t="str">
        <f t="array" ref="F105">_xlfn.XLOOKUP($B105, DB[samplingPoint], DB[noLocation])</f>
        <v>10-1-115</v>
      </c>
      <c r="G105" s="59" t="str">
        <f t="array" ref="G105">_xlfn.XLOOKUP($B105, DB[samplingPoint], DB[building])</f>
        <v>Building 10</v>
      </c>
      <c r="H105" s="40" t="str">
        <f t="array" ref="H105">_xlfn.XLOOKUP($B105, DB[samplingPoint], DB[location])</f>
        <v>WASHING</v>
      </c>
      <c r="I105" s="39" t="str">
        <f t="array" ref="I105">_xlfn.XLOOKUP($B105, DB[samplingPoint], DB[waterType])</f>
        <v>PW</v>
      </c>
      <c r="J105" s="43">
        <f t="shared" si="1"/>
        <v>46045</v>
      </c>
      <c r="K105" s="26">
        <v>46048.0</v>
      </c>
      <c r="L105" s="32">
        <v>0.0</v>
      </c>
      <c r="M105" s="32">
        <v>0.0</v>
      </c>
      <c r="N105" s="32">
        <f t="shared" si="2"/>
        <v>0</v>
      </c>
      <c r="O105" s="49" t="s">
        <v>376</v>
      </c>
      <c r="P105" s="32">
        <f t="array" ref="P105">_xlfn.XLOOKUP($B105, DB[samplingPoint], DB[Criteria])</f>
        <v>100</v>
      </c>
      <c r="Q105" s="50" t="str">
        <f t="shared" si="3"/>
        <v>PASSED</v>
      </c>
      <c r="R105" s="38" t="b">
        <v>0</v>
      </c>
      <c r="S105" s="32" t="s">
        <v>573</v>
      </c>
      <c r="T105" s="39" t="s">
        <v>386</v>
      </c>
      <c r="U105" s="32" t="s">
        <v>381</v>
      </c>
    </row>
    <row r="106" ht="22.5" customHeight="1">
      <c r="A106" s="26">
        <v>46044.0</v>
      </c>
      <c r="B106" s="39" t="s">
        <v>421</v>
      </c>
      <c r="C106" s="32" t="str">
        <f t="array" ref="C106">_xlfn.XLOOKUP(B106, DB[samplingPoint], DB[samplingTag])</f>
        <v>DV116.19</v>
      </c>
      <c r="D106" s="33" t="s">
        <v>364</v>
      </c>
      <c r="E106" s="38" t="b">
        <v>1</v>
      </c>
      <c r="F106" s="39" t="str">
        <f t="array" ref="F106">_xlfn.XLOOKUP($B106, DB[samplingPoint], DB[noLocation])</f>
        <v>10-3-143</v>
      </c>
      <c r="G106" s="59" t="str">
        <f t="array" ref="G106">_xlfn.XLOOKUP($B106, DB[samplingPoint], DB[building])</f>
        <v>Building 10</v>
      </c>
      <c r="H106" s="40" t="str">
        <f t="array" ref="H106">_xlfn.XLOOKUP($B106, DB[samplingPoint], DB[location])</f>
        <v>COATING SOLUTION PREP.-P</v>
      </c>
      <c r="I106" s="39" t="str">
        <f t="array" ref="I106">_xlfn.XLOOKUP($B106, DB[samplingPoint], DB[waterType])</f>
        <v>PW</v>
      </c>
      <c r="J106" s="43">
        <f t="shared" si="1"/>
        <v>46045</v>
      </c>
      <c r="K106" s="26">
        <v>46048.0</v>
      </c>
      <c r="L106" s="32">
        <v>0.0</v>
      </c>
      <c r="M106" s="32">
        <v>0.0</v>
      </c>
      <c r="N106" s="32">
        <f t="shared" si="2"/>
        <v>0</v>
      </c>
      <c r="O106" s="49" t="s">
        <v>376</v>
      </c>
      <c r="P106" s="32">
        <f t="array" ref="P106">_xlfn.XLOOKUP($B106, DB[samplingPoint], DB[Criteria])</f>
        <v>100</v>
      </c>
      <c r="Q106" s="50" t="str">
        <f t="shared" si="3"/>
        <v>PASSED</v>
      </c>
      <c r="R106" s="38" t="b">
        <v>0</v>
      </c>
      <c r="S106" s="32" t="s">
        <v>573</v>
      </c>
      <c r="T106" s="39" t="s">
        <v>386</v>
      </c>
      <c r="U106" s="32" t="s">
        <v>381</v>
      </c>
    </row>
    <row r="107" ht="22.5" customHeight="1">
      <c r="A107" s="26">
        <v>46044.0</v>
      </c>
      <c r="B107" s="39" t="s">
        <v>417</v>
      </c>
      <c r="C107" s="32" t="str">
        <f t="array" ref="C107">_xlfn.XLOOKUP(B107, DB[samplingPoint], DB[samplingTag])</f>
        <v>DV116.20</v>
      </c>
      <c r="D107" s="33" t="s">
        <v>364</v>
      </c>
      <c r="E107" s="38" t="b">
        <v>1</v>
      </c>
      <c r="F107" s="39" t="str">
        <f t="array" ref="F107">_xlfn.XLOOKUP($B107, DB[samplingPoint], DB[noLocation])</f>
        <v>10-3-149</v>
      </c>
      <c r="G107" s="59" t="str">
        <f t="array" ref="G107">_xlfn.XLOOKUP($B107, DB[samplingPoint], DB[building])</f>
        <v>Building 10</v>
      </c>
      <c r="H107" s="40" t="str">
        <f t="array" ref="H107">_xlfn.XLOOKUP($B107, DB[samplingPoint], DB[location])</f>
        <v>IPQC-1-P</v>
      </c>
      <c r="I107" s="39" t="str">
        <f t="array" ref="I107">_xlfn.XLOOKUP($B107, DB[samplingPoint], DB[waterType])</f>
        <v>PW</v>
      </c>
      <c r="J107" s="43">
        <f t="shared" si="1"/>
        <v>46045</v>
      </c>
      <c r="K107" s="26">
        <v>46048.0</v>
      </c>
      <c r="L107" s="32">
        <v>0.0</v>
      </c>
      <c r="M107" s="32">
        <v>0.0</v>
      </c>
      <c r="N107" s="32">
        <f t="shared" si="2"/>
        <v>0</v>
      </c>
      <c r="O107" s="49" t="s">
        <v>376</v>
      </c>
      <c r="P107" s="32">
        <f t="array" ref="P107">_xlfn.XLOOKUP($B107, DB[samplingPoint], DB[Criteria])</f>
        <v>100</v>
      </c>
      <c r="Q107" s="50" t="str">
        <f t="shared" si="3"/>
        <v>PASSED</v>
      </c>
      <c r="R107" s="38" t="b">
        <v>0</v>
      </c>
      <c r="S107" s="32" t="s">
        <v>573</v>
      </c>
      <c r="T107" s="39" t="s">
        <v>386</v>
      </c>
      <c r="U107" s="32" t="s">
        <v>381</v>
      </c>
    </row>
    <row r="108" ht="22.5" customHeight="1">
      <c r="A108" s="26">
        <v>46044.0</v>
      </c>
      <c r="B108" s="39" t="s">
        <v>406</v>
      </c>
      <c r="C108" s="32" t="str">
        <f t="array" ref="C108">_xlfn.XLOOKUP(B108, DB[samplingPoint], DB[samplingTag])</f>
        <v>DV116.21</v>
      </c>
      <c r="D108" s="33" t="s">
        <v>364</v>
      </c>
      <c r="E108" s="38" t="b">
        <v>1</v>
      </c>
      <c r="F108" s="39" t="str">
        <f t="array" ref="F108">_xlfn.XLOOKUP($B108, DB[samplingPoint], DB[noLocation])</f>
        <v>10-3-152</v>
      </c>
      <c r="G108" s="59" t="str">
        <f t="array" ref="G108">_xlfn.XLOOKUP($B108, DB[samplingPoint], DB[building])</f>
        <v>Building 10</v>
      </c>
      <c r="H108" s="40" t="str">
        <f t="array" ref="H108">_xlfn.XLOOKUP($B108, DB[samplingPoint], DB[location])</f>
        <v>WASHING-P</v>
      </c>
      <c r="I108" s="39" t="str">
        <f t="array" ref="I108">_xlfn.XLOOKUP($B108, DB[samplingPoint], DB[waterType])</f>
        <v>PW</v>
      </c>
      <c r="J108" s="43">
        <f t="shared" si="1"/>
        <v>46045</v>
      </c>
      <c r="K108" s="26">
        <v>46048.0</v>
      </c>
      <c r="L108" s="32">
        <v>0.0</v>
      </c>
      <c r="M108" s="32">
        <v>0.0</v>
      </c>
      <c r="N108" s="32">
        <f t="shared" si="2"/>
        <v>0</v>
      </c>
      <c r="O108" s="49" t="s">
        <v>376</v>
      </c>
      <c r="P108" s="32">
        <f t="array" ref="P108">_xlfn.XLOOKUP($B108, DB[samplingPoint], DB[Criteria])</f>
        <v>100</v>
      </c>
      <c r="Q108" s="50" t="str">
        <f t="shared" si="3"/>
        <v>PASSED</v>
      </c>
      <c r="R108" s="38" t="b">
        <v>0</v>
      </c>
      <c r="S108" s="32" t="s">
        <v>573</v>
      </c>
      <c r="T108" s="39" t="s">
        <v>386</v>
      </c>
      <c r="U108" s="32" t="s">
        <v>381</v>
      </c>
    </row>
    <row r="109" ht="22.5" customHeight="1">
      <c r="A109" s="26">
        <v>46044.0</v>
      </c>
      <c r="B109" s="39" t="s">
        <v>410</v>
      </c>
      <c r="C109" s="32" t="str">
        <f t="array" ref="C109">_xlfn.XLOOKUP(B109, DB[samplingPoint], DB[samplingTag])</f>
        <v>DV116.22</v>
      </c>
      <c r="D109" s="33" t="s">
        <v>364</v>
      </c>
      <c r="E109" s="38" t="b">
        <v>1</v>
      </c>
      <c r="F109" s="39" t="str">
        <f t="array" ref="F109">_xlfn.XLOOKUP($B109, DB[samplingPoint], DB[noLocation])</f>
        <v>10-3-152</v>
      </c>
      <c r="G109" s="59" t="str">
        <f t="array" ref="G109">_xlfn.XLOOKUP($B109, DB[samplingPoint], DB[building])</f>
        <v>Building 10</v>
      </c>
      <c r="H109" s="40" t="str">
        <f t="array" ref="H109">_xlfn.XLOOKUP($B109, DB[samplingPoint], DB[location])</f>
        <v>WASHING-P</v>
      </c>
      <c r="I109" s="39" t="str">
        <f t="array" ref="I109">_xlfn.XLOOKUP($B109, DB[samplingPoint], DB[waterType])</f>
        <v>PW</v>
      </c>
      <c r="J109" s="43">
        <f t="shared" si="1"/>
        <v>46045</v>
      </c>
      <c r="K109" s="26">
        <v>46048.0</v>
      </c>
      <c r="L109" s="32">
        <v>0.0</v>
      </c>
      <c r="M109" s="32">
        <v>0.0</v>
      </c>
      <c r="N109" s="32">
        <f t="shared" si="2"/>
        <v>0</v>
      </c>
      <c r="O109" s="49" t="s">
        <v>376</v>
      </c>
      <c r="P109" s="32">
        <f t="array" ref="P109">_xlfn.XLOOKUP($B109, DB[samplingPoint], DB[Criteria])</f>
        <v>100</v>
      </c>
      <c r="Q109" s="50" t="str">
        <f t="shared" si="3"/>
        <v>PASSED</v>
      </c>
      <c r="R109" s="38" t="b">
        <v>0</v>
      </c>
      <c r="S109" s="32" t="s">
        <v>573</v>
      </c>
      <c r="T109" s="39" t="s">
        <v>386</v>
      </c>
      <c r="U109" s="32" t="s">
        <v>381</v>
      </c>
    </row>
    <row r="110" ht="22.5" customHeight="1">
      <c r="A110" s="26">
        <v>46044.0</v>
      </c>
      <c r="B110" s="39" t="s">
        <v>401</v>
      </c>
      <c r="C110" s="32" t="str">
        <f t="array" ref="C110">_xlfn.XLOOKUP(B110, DB[samplingPoint], DB[samplingTag])</f>
        <v>DV116.23</v>
      </c>
      <c r="D110" s="33" t="s">
        <v>364</v>
      </c>
      <c r="E110" s="38" t="b">
        <v>1</v>
      </c>
      <c r="F110" s="39" t="str">
        <f t="array" ref="F110">_xlfn.XLOOKUP($B110, DB[samplingPoint], DB[noLocation])</f>
        <v>10-3-159</v>
      </c>
      <c r="G110" s="59" t="str">
        <f t="array" ref="G110">_xlfn.XLOOKUP($B110, DB[samplingPoint], DB[building])</f>
        <v>Building 10</v>
      </c>
      <c r="H110" s="40" t="str">
        <f t="array" ref="H110">_xlfn.XLOOKUP($B110, DB[samplingPoint], DB[location])</f>
        <v>BINDER PREPARATION-P</v>
      </c>
      <c r="I110" s="39" t="str">
        <f t="array" ref="I110">_xlfn.XLOOKUP($B110, DB[samplingPoint], DB[waterType])</f>
        <v>PW</v>
      </c>
      <c r="J110" s="43">
        <f t="shared" si="1"/>
        <v>46045</v>
      </c>
      <c r="K110" s="26">
        <v>46048.0</v>
      </c>
      <c r="L110" s="32">
        <v>0.0</v>
      </c>
      <c r="M110" s="32">
        <v>0.0</v>
      </c>
      <c r="N110" s="32">
        <f t="shared" si="2"/>
        <v>0</v>
      </c>
      <c r="O110" s="49" t="s">
        <v>376</v>
      </c>
      <c r="P110" s="32">
        <f t="array" ref="P110">_xlfn.XLOOKUP($B110, DB[samplingPoint], DB[Criteria])</f>
        <v>100</v>
      </c>
      <c r="Q110" s="50" t="str">
        <f t="shared" si="3"/>
        <v>PASSED</v>
      </c>
      <c r="R110" s="38" t="b">
        <v>0</v>
      </c>
      <c r="S110" s="32" t="s">
        <v>573</v>
      </c>
      <c r="T110" s="39" t="s">
        <v>386</v>
      </c>
      <c r="U110" s="32" t="s">
        <v>381</v>
      </c>
    </row>
    <row r="111" ht="22.5" customHeight="1">
      <c r="A111" s="26">
        <v>46044.0</v>
      </c>
      <c r="B111" s="39" t="s">
        <v>398</v>
      </c>
      <c r="C111" s="32" t="str">
        <f t="array" ref="C111">_xlfn.XLOOKUP(B111, DB[samplingPoint], DB[samplingTag])</f>
        <v>DV116.24</v>
      </c>
      <c r="D111" s="33" t="s">
        <v>364</v>
      </c>
      <c r="E111" s="38" t="b">
        <v>1</v>
      </c>
      <c r="F111" s="39" t="str">
        <f t="array" ref="F111">_xlfn.XLOOKUP($B111, DB[samplingPoint], DB[noLocation])</f>
        <v>10-3-163</v>
      </c>
      <c r="G111" s="59" t="str">
        <f t="array" ref="G111">_xlfn.XLOOKUP($B111, DB[samplingPoint], DB[building])</f>
        <v>Building 10</v>
      </c>
      <c r="H111" s="40" t="str">
        <f t="array" ref="H111">_xlfn.XLOOKUP($B111, DB[samplingPoint], DB[location])</f>
        <v>WET GRANULATION 1-P</v>
      </c>
      <c r="I111" s="39" t="str">
        <f t="array" ref="I111">_xlfn.XLOOKUP($B111, DB[samplingPoint], DB[waterType])</f>
        <v>PW</v>
      </c>
      <c r="J111" s="43">
        <f t="shared" si="1"/>
        <v>46045</v>
      </c>
      <c r="K111" s="26">
        <v>46048.0</v>
      </c>
      <c r="L111" s="32">
        <v>0.0</v>
      </c>
      <c r="M111" s="32">
        <v>0.0</v>
      </c>
      <c r="N111" s="32">
        <f t="shared" si="2"/>
        <v>0</v>
      </c>
      <c r="O111" s="49" t="s">
        <v>376</v>
      </c>
      <c r="P111" s="32">
        <f t="array" ref="P111">_xlfn.XLOOKUP($B111, DB[samplingPoint], DB[Criteria])</f>
        <v>100</v>
      </c>
      <c r="Q111" s="50" t="str">
        <f t="shared" si="3"/>
        <v>PASSED</v>
      </c>
      <c r="R111" s="38" t="b">
        <v>0</v>
      </c>
      <c r="S111" s="32" t="s">
        <v>573</v>
      </c>
      <c r="T111" s="39" t="s">
        <v>386</v>
      </c>
      <c r="U111" s="32" t="s">
        <v>381</v>
      </c>
    </row>
    <row r="112" ht="22.5" customHeight="1">
      <c r="A112" s="26">
        <v>46044.0</v>
      </c>
      <c r="B112" s="39" t="s">
        <v>394</v>
      </c>
      <c r="C112" s="32" t="str">
        <f t="array" ref="C112">_xlfn.XLOOKUP(B112, DB[samplingPoint], DB[samplingTag])</f>
        <v>DV116.25</v>
      </c>
      <c r="D112" s="33" t="s">
        <v>364</v>
      </c>
      <c r="E112" s="38" t="b">
        <v>1</v>
      </c>
      <c r="F112" s="39" t="str">
        <f t="array" ref="F112">_xlfn.XLOOKUP($B112, DB[samplingPoint], DB[noLocation])</f>
        <v>10-3-171</v>
      </c>
      <c r="G112" s="59" t="str">
        <f t="array" ref="G112">_xlfn.XLOOKUP($B112, DB[samplingPoint], DB[building])</f>
        <v>Building 10</v>
      </c>
      <c r="H112" s="40" t="str">
        <f t="array" ref="H112">_xlfn.XLOOKUP($B112, DB[samplingPoint], DB[location])</f>
        <v>TOOL WASHING-P</v>
      </c>
      <c r="I112" s="39" t="str">
        <f t="array" ref="I112">_xlfn.XLOOKUP($B112, DB[samplingPoint], DB[waterType])</f>
        <v>PW</v>
      </c>
      <c r="J112" s="43">
        <f t="shared" si="1"/>
        <v>46045</v>
      </c>
      <c r="K112" s="26">
        <v>46048.0</v>
      </c>
      <c r="L112" s="32">
        <v>0.0</v>
      </c>
      <c r="M112" s="32">
        <v>0.0</v>
      </c>
      <c r="N112" s="32">
        <f t="shared" si="2"/>
        <v>0</v>
      </c>
      <c r="O112" s="49" t="s">
        <v>376</v>
      </c>
      <c r="P112" s="32">
        <f t="array" ref="P112">_xlfn.XLOOKUP($B112, DB[samplingPoint], DB[Criteria])</f>
        <v>100</v>
      </c>
      <c r="Q112" s="50" t="str">
        <f t="shared" si="3"/>
        <v>PASSED</v>
      </c>
      <c r="R112" s="38" t="b">
        <v>0</v>
      </c>
      <c r="S112" s="32" t="s">
        <v>573</v>
      </c>
      <c r="T112" s="39" t="s">
        <v>386</v>
      </c>
      <c r="U112" s="32" t="s">
        <v>381</v>
      </c>
    </row>
    <row r="113" ht="22.5" customHeight="1">
      <c r="A113" s="26">
        <v>46044.0</v>
      </c>
      <c r="B113" s="39" t="s">
        <v>423</v>
      </c>
      <c r="C113" s="32" t="str">
        <f t="array" ref="C113">_xlfn.XLOOKUP(B113, DB[samplingPoint], DB[samplingTag])</f>
        <v>SV116.12</v>
      </c>
      <c r="D113" s="33" t="s">
        <v>364</v>
      </c>
      <c r="E113" s="38" t="b">
        <v>1</v>
      </c>
      <c r="F113" s="39" t="str">
        <f t="array" ref="F113">_xlfn.XLOOKUP($B113, DB[samplingPoint], DB[noLocation])</f>
        <v>10-3-144</v>
      </c>
      <c r="G113" s="59" t="str">
        <f t="array" ref="G113">_xlfn.XLOOKUP($B113, DB[samplingPoint], DB[building])</f>
        <v>Building 10</v>
      </c>
      <c r="H113" s="40" t="str">
        <f t="array" ref="H113">_xlfn.XLOOKUP($B113, DB[samplingPoint], DB[location])</f>
        <v>COATING-P</v>
      </c>
      <c r="I113" s="39" t="str">
        <f t="array" ref="I113">_xlfn.XLOOKUP($B113, DB[samplingPoint], DB[waterType])</f>
        <v>PW</v>
      </c>
      <c r="J113" s="43">
        <f t="shared" si="1"/>
        <v>46045</v>
      </c>
      <c r="K113" s="26">
        <v>46048.0</v>
      </c>
      <c r="L113" s="32">
        <v>0.0</v>
      </c>
      <c r="M113" s="32">
        <v>0.0</v>
      </c>
      <c r="N113" s="32">
        <f t="shared" si="2"/>
        <v>0</v>
      </c>
      <c r="O113" s="49" t="s">
        <v>376</v>
      </c>
      <c r="P113" s="32">
        <f t="array" ref="P113">_xlfn.XLOOKUP($B113, DB[samplingPoint], DB[Criteria])</f>
        <v>100</v>
      </c>
      <c r="Q113" s="50" t="str">
        <f t="shared" si="3"/>
        <v>PASSED</v>
      </c>
      <c r="R113" s="38" t="b">
        <v>0</v>
      </c>
      <c r="S113" s="32" t="s">
        <v>573</v>
      </c>
      <c r="T113" s="39" t="s">
        <v>386</v>
      </c>
      <c r="U113" s="32" t="s">
        <v>381</v>
      </c>
    </row>
    <row r="114" ht="22.5" customHeight="1">
      <c r="A114" s="26">
        <v>46044.0</v>
      </c>
      <c r="B114" s="39" t="s">
        <v>414</v>
      </c>
      <c r="C114" s="32" t="str">
        <f t="array" ref="C114">_xlfn.XLOOKUP(B114, DB[samplingPoint], DB[samplingTag])</f>
        <v>SV116.13</v>
      </c>
      <c r="D114" s="33" t="s">
        <v>364</v>
      </c>
      <c r="E114" s="38" t="b">
        <v>1</v>
      </c>
      <c r="F114" s="39" t="str">
        <f t="array" ref="F114">_xlfn.XLOOKUP($B114, DB[samplingPoint], DB[noLocation])</f>
        <v>10-3-152</v>
      </c>
      <c r="G114" s="59" t="str">
        <f t="array" ref="G114">_xlfn.XLOOKUP($B114, DB[samplingPoint], DB[building])</f>
        <v>Building 10</v>
      </c>
      <c r="H114" s="40" t="str">
        <f t="array" ref="H114">_xlfn.XLOOKUP($B114, DB[samplingPoint], DB[location])</f>
        <v>WASHING-P</v>
      </c>
      <c r="I114" s="39" t="str">
        <f t="array" ref="I114">_xlfn.XLOOKUP($B114, DB[samplingPoint], DB[waterType])</f>
        <v>PW</v>
      </c>
      <c r="J114" s="43">
        <f t="shared" si="1"/>
        <v>46045</v>
      </c>
      <c r="K114" s="26">
        <v>46048.0</v>
      </c>
      <c r="L114" s="32">
        <v>0.0</v>
      </c>
      <c r="M114" s="32">
        <v>0.0</v>
      </c>
      <c r="N114" s="32">
        <f t="shared" si="2"/>
        <v>0</v>
      </c>
      <c r="O114" s="49" t="s">
        <v>376</v>
      </c>
      <c r="P114" s="32">
        <f t="array" ref="P114">_xlfn.XLOOKUP($B114, DB[samplingPoint], DB[Criteria])</f>
        <v>100</v>
      </c>
      <c r="Q114" s="50" t="str">
        <f t="shared" si="3"/>
        <v>PASSED</v>
      </c>
      <c r="R114" s="38" t="b">
        <v>0</v>
      </c>
      <c r="S114" s="32" t="s">
        <v>573</v>
      </c>
      <c r="T114" s="39" t="s">
        <v>386</v>
      </c>
      <c r="U114" s="32" t="s">
        <v>381</v>
      </c>
    </row>
    <row r="115" ht="22.5" customHeight="1">
      <c r="A115" s="26">
        <v>46044.0</v>
      </c>
      <c r="B115" s="39" t="s">
        <v>390</v>
      </c>
      <c r="C115" s="32" t="str">
        <f t="array" ref="C115">_xlfn.XLOOKUP(B115, DB[samplingPoint], DB[samplingTag])</f>
        <v>SV117.01</v>
      </c>
      <c r="D115" s="33" t="s">
        <v>364</v>
      </c>
      <c r="E115" s="38" t="b">
        <v>1</v>
      </c>
      <c r="F115" s="39" t="str">
        <f t="array" ref="F115">_xlfn.XLOOKUP($B115, DB[samplingPoint], DB[noLocation])</f>
        <v>WATER SYSTEM (B10)</v>
      </c>
      <c r="G115" s="59" t="str">
        <f t="array" ref="G115">_xlfn.XLOOKUP($B115, DB[samplingPoint], DB[building])</f>
        <v>Building 10</v>
      </c>
      <c r="H115" s="40" t="str">
        <f t="array" ref="H115">_xlfn.XLOOKUP($B115, DB[samplingPoint], DB[location])</f>
        <v>Return loop (B10)</v>
      </c>
      <c r="I115" s="39" t="str">
        <f t="array" ref="I115">_xlfn.XLOOKUP($B115, DB[samplingPoint], DB[waterType])</f>
        <v>PW</v>
      </c>
      <c r="J115" s="43">
        <f t="shared" si="1"/>
        <v>46045</v>
      </c>
      <c r="K115" s="26">
        <v>46048.0</v>
      </c>
      <c r="L115" s="32">
        <v>0.0</v>
      </c>
      <c r="M115" s="32">
        <v>0.0</v>
      </c>
      <c r="N115" s="32">
        <f t="shared" si="2"/>
        <v>0</v>
      </c>
      <c r="O115" s="49" t="s">
        <v>376</v>
      </c>
      <c r="P115" s="32">
        <f t="array" ref="P115">_xlfn.XLOOKUP($B115, DB[samplingPoint], DB[Criteria])</f>
        <v>100</v>
      </c>
      <c r="Q115" s="50" t="str">
        <f t="shared" si="3"/>
        <v>PASSED</v>
      </c>
      <c r="R115" s="38" t="b">
        <v>0</v>
      </c>
      <c r="S115" s="32" t="s">
        <v>573</v>
      </c>
      <c r="T115" s="39" t="s">
        <v>386</v>
      </c>
      <c r="U115" s="32" t="s">
        <v>381</v>
      </c>
    </row>
    <row r="116" ht="22.5" customHeight="1">
      <c r="A116" s="26">
        <v>46044.0</v>
      </c>
      <c r="B116" s="39" t="s">
        <v>368</v>
      </c>
      <c r="C116" s="32" t="str">
        <f t="array" ref="C116">_xlfn.XLOOKUP(B116, DB[samplingPoint], DB[samplingTag])</f>
        <v>V50-11C(10)</v>
      </c>
      <c r="D116" s="33" t="s">
        <v>364</v>
      </c>
      <c r="E116" s="38" t="b">
        <v>1</v>
      </c>
      <c r="F116" s="39" t="str">
        <f t="array" ref="F116">_xlfn.XLOOKUP($B116, DB[samplingPoint], DB[noLocation])</f>
        <v>WATER SYSTEM (B10)</v>
      </c>
      <c r="G116" s="59" t="str">
        <f t="array" ref="G116">_xlfn.XLOOKUP($B116, DB[samplingPoint], DB[building])</f>
        <v>Building 10</v>
      </c>
      <c r="H116" s="40" t="str">
        <f t="array" ref="H116">_xlfn.XLOOKUP($B116, DB[samplingPoint], DB[location])</f>
        <v>After RO (Before EDI) (B10)</v>
      </c>
      <c r="I116" s="39" t="str">
        <f t="array" ref="I116">_xlfn.XLOOKUP($B116, DB[samplingPoint], DB[waterType])</f>
        <v>RO water</v>
      </c>
      <c r="J116" s="43">
        <f t="shared" si="1"/>
        <v>46045</v>
      </c>
      <c r="K116" s="26">
        <v>46048.0</v>
      </c>
      <c r="L116" s="32">
        <v>0.0</v>
      </c>
      <c r="M116" s="32">
        <v>0.0</v>
      </c>
      <c r="N116" s="32">
        <f t="shared" si="2"/>
        <v>0</v>
      </c>
      <c r="O116" s="49" t="s">
        <v>376</v>
      </c>
      <c r="P116" s="32">
        <f t="array" ref="P116">_xlfn.XLOOKUP($B116, DB[samplingPoint], DB[Criteria])</f>
        <v>500</v>
      </c>
      <c r="Q116" s="50" t="str">
        <f t="shared" si="3"/>
        <v>PASSED</v>
      </c>
      <c r="R116" s="38" t="b">
        <v>0</v>
      </c>
      <c r="S116" s="32" t="s">
        <v>573</v>
      </c>
      <c r="T116" s="39" t="s">
        <v>386</v>
      </c>
      <c r="U116" s="32" t="s">
        <v>381</v>
      </c>
    </row>
    <row r="117" ht="22.5" customHeight="1">
      <c r="A117" s="26">
        <v>46044.0</v>
      </c>
      <c r="B117" s="39" t="s">
        <v>579</v>
      </c>
      <c r="C117" s="39" t="str">
        <f t="array" ref="C117">_xlfn.XLOOKUP(B117, DB[samplingPoint], DB[samplingTag])</f>
        <v>V50-60(10)</v>
      </c>
      <c r="D117" s="33" t="s">
        <v>364</v>
      </c>
      <c r="E117" s="38" t="b">
        <v>1</v>
      </c>
      <c r="F117" s="39" t="str">
        <f t="array" ref="F117">_xlfn.XLOOKUP($B117, DB[samplingPoint], DB[noLocation])</f>
        <v>WATER SYSTEM (B10)</v>
      </c>
      <c r="G117" s="59" t="str">
        <f t="array" ref="G117">_xlfn.XLOOKUP($B117, DB[samplingPoint], DB[building])</f>
        <v>Building 10</v>
      </c>
      <c r="H117" s="40" t="str">
        <f t="array" ref="H117">_xlfn.XLOOKUP($B117, DB[samplingPoint], DB[location])</f>
        <v>Before Cartridge filter 5 µm (B10)</v>
      </c>
      <c r="I117" s="39" t="str">
        <f t="array" ref="I117">_xlfn.XLOOKUP($B117, DB[samplingPoint], DB[waterType])</f>
        <v>PRW</v>
      </c>
      <c r="J117" s="43">
        <f t="shared" si="1"/>
        <v>46045</v>
      </c>
      <c r="K117" s="26">
        <v>46048.0</v>
      </c>
      <c r="L117" s="32">
        <v>0.0</v>
      </c>
      <c r="M117" s="32">
        <v>0.0</v>
      </c>
      <c r="N117" s="32">
        <f t="shared" si="2"/>
        <v>0</v>
      </c>
      <c r="O117" s="49" t="s">
        <v>376</v>
      </c>
      <c r="P117" s="32">
        <f t="array" ref="P117">_xlfn.XLOOKUP($B117, DB[samplingPoint], DB[Criteria])</f>
        <v>500</v>
      </c>
      <c r="Q117" s="50" t="str">
        <f t="shared" si="3"/>
        <v>PASSED</v>
      </c>
      <c r="R117" s="38" t="b">
        <v>0</v>
      </c>
      <c r="S117" s="32" t="s">
        <v>573</v>
      </c>
      <c r="T117" s="39" t="s">
        <v>386</v>
      </c>
      <c r="U117" s="32" t="s">
        <v>381</v>
      </c>
    </row>
    <row r="118" ht="22.5" customHeight="1">
      <c r="A118" s="26">
        <v>46044.0</v>
      </c>
      <c r="B118" s="39" t="s">
        <v>366</v>
      </c>
      <c r="C118" s="32" t="str">
        <f t="array" ref="C118">_xlfn.XLOOKUP(B118, DB[samplingPoint], DB[samplingTag])</f>
        <v>V50-61(10)</v>
      </c>
      <c r="D118" s="33" t="s">
        <v>364</v>
      </c>
      <c r="E118" s="38" t="b">
        <v>1</v>
      </c>
      <c r="F118" s="39" t="str">
        <f t="array" ref="F118">_xlfn.XLOOKUP($B118, DB[samplingPoint], DB[noLocation])</f>
        <v>WATER SYSTEM (B10)</v>
      </c>
      <c r="G118" s="59" t="str">
        <f t="array" ref="G118">_xlfn.XLOOKUP($B118, DB[samplingPoint], DB[building])</f>
        <v>Building 10</v>
      </c>
      <c r="H118" s="40" t="str">
        <f t="array" ref="H118">_xlfn.XLOOKUP($B118, DB[samplingPoint], DB[location])</f>
        <v>After Cartridge filter 5 µm (B10)</v>
      </c>
      <c r="I118" s="39" t="str">
        <f t="array" ref="I118">_xlfn.XLOOKUP($B118, DB[samplingPoint], DB[waterType])</f>
        <v>PRW</v>
      </c>
      <c r="J118" s="43">
        <f t="shared" si="1"/>
        <v>46045</v>
      </c>
      <c r="K118" s="26">
        <v>46048.0</v>
      </c>
      <c r="L118" s="32">
        <v>0.0</v>
      </c>
      <c r="M118" s="32">
        <v>0.0</v>
      </c>
      <c r="N118" s="32">
        <f t="shared" si="2"/>
        <v>0</v>
      </c>
      <c r="O118" s="49" t="s">
        <v>376</v>
      </c>
      <c r="P118" s="32">
        <f t="array" ref="P118">_xlfn.XLOOKUP($B118, DB[samplingPoint], DB[Criteria])</f>
        <v>500</v>
      </c>
      <c r="Q118" s="50" t="str">
        <f t="shared" si="3"/>
        <v>PASSED</v>
      </c>
      <c r="R118" s="38" t="b">
        <v>0</v>
      </c>
      <c r="S118" s="32" t="s">
        <v>573</v>
      </c>
      <c r="T118" s="39" t="s">
        <v>386</v>
      </c>
      <c r="U118" s="32" t="s">
        <v>381</v>
      </c>
    </row>
    <row r="119" ht="22.5" customHeight="1">
      <c r="A119" s="26">
        <v>46044.0</v>
      </c>
      <c r="B119" s="39" t="s">
        <v>349</v>
      </c>
      <c r="C119" s="32" t="str">
        <f t="array" ref="C119">_xlfn.XLOOKUP(B119, DB[samplingPoint], DB[samplingTag])</f>
        <v>VB-05(10)</v>
      </c>
      <c r="D119" s="33" t="s">
        <v>364</v>
      </c>
      <c r="E119" s="38" t="b">
        <v>1</v>
      </c>
      <c r="F119" s="39" t="str">
        <f t="array" ref="F119">_xlfn.XLOOKUP($B119, DB[samplingPoint], DB[noLocation])</f>
        <v>WATER SYSTEM (B10)</v>
      </c>
      <c r="G119" s="59" t="str">
        <f t="array" ref="G119">_xlfn.XLOOKUP($B119, DB[samplingPoint], DB[building])</f>
        <v>Building 10</v>
      </c>
      <c r="H119" s="40" t="str">
        <f t="array" ref="H119">_xlfn.XLOOKUP($B119, DB[samplingPoint], DB[location])</f>
        <v>After Chlorine circulation tank (B10)</v>
      </c>
      <c r="I119" s="39" t="str">
        <f t="array" ref="I119">_xlfn.XLOOKUP($B119, DB[samplingPoint], DB[waterType])</f>
        <v>PRW</v>
      </c>
      <c r="J119" s="43">
        <f t="shared" si="1"/>
        <v>46045</v>
      </c>
      <c r="K119" s="26">
        <v>46048.0</v>
      </c>
      <c r="L119" s="32">
        <v>0.0</v>
      </c>
      <c r="M119" s="32">
        <v>0.0</v>
      </c>
      <c r="N119" s="32">
        <f t="shared" si="2"/>
        <v>0</v>
      </c>
      <c r="O119" s="49" t="s">
        <v>376</v>
      </c>
      <c r="P119" s="32">
        <f t="array" ref="P119">_xlfn.XLOOKUP($B119, DB[samplingPoint], DB[Criteria])</f>
        <v>500</v>
      </c>
      <c r="Q119" s="50" t="str">
        <f t="shared" si="3"/>
        <v>PASSED</v>
      </c>
      <c r="R119" s="38" t="b">
        <v>0</v>
      </c>
      <c r="S119" s="32" t="s">
        <v>573</v>
      </c>
      <c r="T119" s="39" t="s">
        <v>386</v>
      </c>
      <c r="U119" s="32" t="s">
        <v>381</v>
      </c>
    </row>
    <row r="120" ht="22.5" customHeight="1">
      <c r="A120" s="26">
        <v>46044.0</v>
      </c>
      <c r="B120" s="39" t="s">
        <v>431</v>
      </c>
      <c r="C120" s="32" t="str">
        <f t="array" ref="C120">_xlfn.XLOOKUP(B120, DB[samplingPoint], DB[samplingTag])</f>
        <v>SV-14</v>
      </c>
      <c r="D120" s="33" t="s">
        <v>364</v>
      </c>
      <c r="E120" s="38" t="b">
        <v>1</v>
      </c>
      <c r="F120" s="39" t="str">
        <f t="array" ref="F120">_xlfn.XLOOKUP($B120, DB[samplingPoint], DB[noLocation])</f>
        <v>PROCESS WATER (B19)</v>
      </c>
      <c r="G120" s="59" t="str">
        <f t="array" ref="G120">_xlfn.XLOOKUP($B120, DB[samplingPoint], DB[building])</f>
        <v>Building 19</v>
      </c>
      <c r="H120" s="40" t="str">
        <f t="array" ref="H120">_xlfn.XLOOKUP($B120, DB[samplingPoint], DB[location])</f>
        <v>AFTER RO SYSTEM NO.12 SV14</v>
      </c>
      <c r="I120" s="39" t="str">
        <f t="array" ref="I120">_xlfn.XLOOKUP($B120, DB[samplingPoint], DB[waterType])</f>
        <v>PRW</v>
      </c>
      <c r="J120" s="43">
        <f t="shared" si="1"/>
        <v>46045</v>
      </c>
      <c r="K120" s="26">
        <v>46048.0</v>
      </c>
      <c r="L120" s="32">
        <v>0.0</v>
      </c>
      <c r="M120" s="32">
        <v>0.0</v>
      </c>
      <c r="N120" s="32">
        <f t="shared" si="2"/>
        <v>0</v>
      </c>
      <c r="O120" s="49" t="s">
        <v>376</v>
      </c>
      <c r="P120" s="32">
        <f t="array" ref="P120">_xlfn.XLOOKUP($B120, DB[samplingPoint], DB[Criteria])</f>
        <v>500</v>
      </c>
      <c r="Q120" s="50" t="str">
        <f t="shared" si="3"/>
        <v>PASSED</v>
      </c>
      <c r="R120" s="38" t="b">
        <v>0</v>
      </c>
      <c r="S120" s="32" t="s">
        <v>582</v>
      </c>
      <c r="T120" s="39" t="s">
        <v>386</v>
      </c>
      <c r="U120" s="32" t="s">
        <v>381</v>
      </c>
    </row>
    <row r="121" ht="22.5" customHeight="1">
      <c r="A121" s="26">
        <v>46049.0</v>
      </c>
      <c r="B121" s="39" t="s">
        <v>463</v>
      </c>
      <c r="C121" s="32" t="str">
        <f t="array" ref="C121">_xlfn.XLOOKUP(B121, DB[samplingPoint], DB[samplingTag])</f>
        <v>DV136.08</v>
      </c>
      <c r="D121" s="33" t="s">
        <v>436</v>
      </c>
      <c r="E121" s="38" t="b">
        <v>1</v>
      </c>
      <c r="F121" s="39" t="str">
        <f t="array" ref="F121">_xlfn.XLOOKUP($B121, DB[samplingPoint], DB[noLocation])</f>
        <v>12-3-042</v>
      </c>
      <c r="G121" s="59" t="str">
        <f t="array" ref="G121">_xlfn.XLOOKUP($B121, DB[samplingPoint], DB[building])</f>
        <v>Building 12</v>
      </c>
      <c r="H121" s="40" t="str">
        <f t="array" ref="H121">_xlfn.XLOOKUP($B121, DB[samplingPoint], DB[location])</f>
        <v>SAMPLE PREPARATION</v>
      </c>
      <c r="I121" s="39" t="str">
        <f t="array" ref="I121">_xlfn.XLOOKUP($B121, DB[samplingPoint], DB[waterType])</f>
        <v>PW</v>
      </c>
      <c r="J121" s="43">
        <f t="shared" si="1"/>
        <v>46050</v>
      </c>
      <c r="K121" s="26">
        <v>46055.0</v>
      </c>
      <c r="L121" s="32">
        <v>0.0</v>
      </c>
      <c r="M121" s="32">
        <v>0.0</v>
      </c>
      <c r="N121" s="32">
        <f t="shared" si="2"/>
        <v>0</v>
      </c>
      <c r="O121" s="49" t="s">
        <v>376</v>
      </c>
      <c r="P121" s="32">
        <f t="array" ref="P121">_xlfn.XLOOKUP($B121, DB[samplingPoint], DB[Criteria])</f>
        <v>100</v>
      </c>
      <c r="Q121" s="50" t="str">
        <f t="shared" si="3"/>
        <v>PASSED</v>
      </c>
      <c r="R121" s="38" t="b">
        <v>0</v>
      </c>
      <c r="S121" s="32" t="s">
        <v>583</v>
      </c>
      <c r="T121" s="39" t="s">
        <v>386</v>
      </c>
      <c r="U121" s="32" t="s">
        <v>381</v>
      </c>
    </row>
    <row r="122" ht="22.5" customHeight="1">
      <c r="A122" s="26">
        <v>46049.0</v>
      </c>
      <c r="B122" s="39" t="s">
        <v>465</v>
      </c>
      <c r="C122" s="32" t="str">
        <f t="array" ref="C122">_xlfn.XLOOKUP(B122, DB[samplingPoint], DB[samplingTag])</f>
        <v>DV136.09</v>
      </c>
      <c r="D122" s="33" t="s">
        <v>436</v>
      </c>
      <c r="E122" s="38" t="b">
        <v>1</v>
      </c>
      <c r="F122" s="39" t="str">
        <f t="array" ref="F122">_xlfn.XLOOKUP($B122, DB[samplingPoint], DB[noLocation])</f>
        <v>12-3-042</v>
      </c>
      <c r="G122" s="59" t="str">
        <f t="array" ref="G122">_xlfn.XLOOKUP($B122, DB[samplingPoint], DB[building])</f>
        <v>Building 12</v>
      </c>
      <c r="H122" s="40" t="str">
        <f t="array" ref="H122">_xlfn.XLOOKUP($B122, DB[samplingPoint], DB[location])</f>
        <v>SAMPLE PREPARATION</v>
      </c>
      <c r="I122" s="39" t="str">
        <f t="array" ref="I122">_xlfn.XLOOKUP($B122, DB[samplingPoint], DB[waterType])</f>
        <v>PW</v>
      </c>
      <c r="J122" s="43">
        <f t="shared" si="1"/>
        <v>46050</v>
      </c>
      <c r="K122" s="26">
        <v>46055.0</v>
      </c>
      <c r="L122" s="32">
        <v>0.0</v>
      </c>
      <c r="M122" s="32">
        <v>0.0</v>
      </c>
      <c r="N122" s="32">
        <f t="shared" si="2"/>
        <v>0</v>
      </c>
      <c r="O122" s="49" t="s">
        <v>376</v>
      </c>
      <c r="P122" s="32">
        <f t="array" ref="P122">_xlfn.XLOOKUP($B122, DB[samplingPoint], DB[Criteria])</f>
        <v>100</v>
      </c>
      <c r="Q122" s="50" t="str">
        <f t="shared" si="3"/>
        <v>PASSED</v>
      </c>
      <c r="R122" s="38" t="b">
        <v>0</v>
      </c>
      <c r="S122" s="32" t="s">
        <v>583</v>
      </c>
      <c r="T122" s="39" t="s">
        <v>386</v>
      </c>
      <c r="U122" s="32" t="s">
        <v>381</v>
      </c>
    </row>
    <row r="123" ht="22.5" customHeight="1">
      <c r="A123" s="26">
        <v>46049.0</v>
      </c>
      <c r="B123" s="39" t="s">
        <v>435</v>
      </c>
      <c r="C123" s="32" t="str">
        <f t="array" ref="C123">_xlfn.XLOOKUP(B123, DB[samplingPoint], DB[samplingTag])</f>
        <v>SV133.01</v>
      </c>
      <c r="D123" s="33" t="s">
        <v>436</v>
      </c>
      <c r="E123" s="38" t="b">
        <v>1</v>
      </c>
      <c r="F123" s="39" t="str">
        <f t="array" ref="F123">_xlfn.XLOOKUP($B123, DB[samplingPoint], DB[noLocation])</f>
        <v>WATER SYSTEM (B12)</v>
      </c>
      <c r="G123" s="59" t="str">
        <f t="array" ref="G123">_xlfn.XLOOKUP($B123, DB[samplingPoint], DB[building])</f>
        <v>Building 12</v>
      </c>
      <c r="H123" s="40" t="str">
        <f t="array" ref="H123">_xlfn.XLOOKUP($B123, DB[samplingPoint], DB[location])</f>
        <v>After Storage tank (B12)</v>
      </c>
      <c r="I123" s="39" t="str">
        <f t="array" ref="I123">_xlfn.XLOOKUP($B123, DB[samplingPoint], DB[waterType])</f>
        <v>PW</v>
      </c>
      <c r="J123" s="43">
        <f t="shared" si="1"/>
        <v>46050</v>
      </c>
      <c r="K123" s="26">
        <v>46055.0</v>
      </c>
      <c r="L123" s="32">
        <v>0.0</v>
      </c>
      <c r="M123" s="32">
        <v>0.0</v>
      </c>
      <c r="N123" s="32">
        <f t="shared" si="2"/>
        <v>0</v>
      </c>
      <c r="O123" s="49" t="s">
        <v>376</v>
      </c>
      <c r="P123" s="32">
        <f t="array" ref="P123">_xlfn.XLOOKUP($B123, DB[samplingPoint], DB[Criteria])</f>
        <v>100</v>
      </c>
      <c r="Q123" s="50" t="str">
        <f t="shared" si="3"/>
        <v>PASSED</v>
      </c>
      <c r="R123" s="38" t="b">
        <v>0</v>
      </c>
      <c r="S123" s="32" t="s">
        <v>583</v>
      </c>
      <c r="T123" s="39" t="s">
        <v>386</v>
      </c>
      <c r="U123" s="32" t="s">
        <v>381</v>
      </c>
    </row>
    <row r="124" ht="22.5" customHeight="1">
      <c r="A124" s="26">
        <v>46049.0</v>
      </c>
      <c r="B124" s="39" t="s">
        <v>438</v>
      </c>
      <c r="C124" s="32" t="str">
        <f t="array" ref="C124">_xlfn.XLOOKUP(B124, DB[samplingPoint], DB[samplingTag])</f>
        <v>SV135.02</v>
      </c>
      <c r="D124" s="33" t="s">
        <v>436</v>
      </c>
      <c r="E124" s="38" t="b">
        <v>1</v>
      </c>
      <c r="F124" s="39" t="str">
        <f t="array" ref="F124">_xlfn.XLOOKUP($B124, DB[samplingPoint], DB[noLocation])</f>
        <v>WATER SYSTEM (B12)</v>
      </c>
      <c r="G124" s="59" t="str">
        <f t="array" ref="G124">_xlfn.XLOOKUP($B124, DB[samplingPoint], DB[building])</f>
        <v>Building 12</v>
      </c>
      <c r="H124" s="40" t="str">
        <f t="array" ref="H124">_xlfn.XLOOKUP($B124, DB[samplingPoint], DB[location])</f>
        <v>After UV (B12)</v>
      </c>
      <c r="I124" s="39" t="str">
        <f t="array" ref="I124">_xlfn.XLOOKUP($B124, DB[samplingPoint], DB[waterType])</f>
        <v>PW</v>
      </c>
      <c r="J124" s="43">
        <f t="shared" si="1"/>
        <v>46050</v>
      </c>
      <c r="K124" s="26">
        <v>46055.0</v>
      </c>
      <c r="L124" s="32">
        <v>0.0</v>
      </c>
      <c r="M124" s="32">
        <v>0.0</v>
      </c>
      <c r="N124" s="32">
        <f t="shared" si="2"/>
        <v>0</v>
      </c>
      <c r="O124" s="49" t="s">
        <v>376</v>
      </c>
      <c r="P124" s="32">
        <f t="array" ref="P124">_xlfn.XLOOKUP($B124, DB[samplingPoint], DB[Criteria])</f>
        <v>100</v>
      </c>
      <c r="Q124" s="50" t="str">
        <f t="shared" si="3"/>
        <v>PASSED</v>
      </c>
      <c r="R124" s="38" t="b">
        <v>0</v>
      </c>
      <c r="S124" s="32" t="s">
        <v>583</v>
      </c>
      <c r="T124" s="39" t="s">
        <v>386</v>
      </c>
      <c r="U124" s="32" t="s">
        <v>381</v>
      </c>
    </row>
    <row r="125" ht="22.5" customHeight="1">
      <c r="A125" s="26">
        <v>46049.0</v>
      </c>
      <c r="B125" s="39" t="s">
        <v>460</v>
      </c>
      <c r="C125" s="32" t="str">
        <f t="array" ref="C125">_xlfn.XLOOKUP(B125, DB[samplingPoint], DB[samplingTag])</f>
        <v>SV136.02</v>
      </c>
      <c r="D125" s="33" t="s">
        <v>436</v>
      </c>
      <c r="E125" s="38" t="b">
        <v>1</v>
      </c>
      <c r="F125" s="39" t="str">
        <f t="array" ref="F125">_xlfn.XLOOKUP($B125, DB[samplingPoint], DB[noLocation])</f>
        <v>12-2-024</v>
      </c>
      <c r="G125" s="59" t="str">
        <f t="array" ref="G125">_xlfn.XLOOKUP($B125, DB[samplingPoint], DB[building])</f>
        <v>Building 12</v>
      </c>
      <c r="H125" s="40" t="str">
        <f t="array" ref="H125">_xlfn.XLOOKUP($B125, DB[samplingPoint], DB[location])</f>
        <v>LIQUORICE EXTRACT</v>
      </c>
      <c r="I125" s="39" t="str">
        <f t="array" ref="I125">_xlfn.XLOOKUP($B125, DB[samplingPoint], DB[waterType])</f>
        <v>PW</v>
      </c>
      <c r="J125" s="43">
        <f t="shared" si="1"/>
        <v>46050</v>
      </c>
      <c r="K125" s="26">
        <v>46055.0</v>
      </c>
      <c r="L125" s="32">
        <v>0.0</v>
      </c>
      <c r="M125" s="32">
        <v>0.0</v>
      </c>
      <c r="N125" s="32">
        <f t="shared" si="2"/>
        <v>0</v>
      </c>
      <c r="O125" s="49" t="s">
        <v>376</v>
      </c>
      <c r="P125" s="32">
        <f t="array" ref="P125">_xlfn.XLOOKUP($B125, DB[samplingPoint], DB[Criteria])</f>
        <v>100</v>
      </c>
      <c r="Q125" s="50" t="str">
        <f t="shared" si="3"/>
        <v>PASSED</v>
      </c>
      <c r="R125" s="38" t="b">
        <v>0</v>
      </c>
      <c r="S125" s="32" t="s">
        <v>583</v>
      </c>
      <c r="T125" s="39" t="s">
        <v>386</v>
      </c>
      <c r="U125" s="32" t="s">
        <v>381</v>
      </c>
    </row>
    <row r="126" ht="22.5" customHeight="1">
      <c r="A126" s="26">
        <v>46049.0</v>
      </c>
      <c r="B126" s="39" t="s">
        <v>455</v>
      </c>
      <c r="C126" s="32" t="str">
        <f t="array" ref="C126">_xlfn.XLOOKUP(B126, DB[samplingPoint], DB[samplingTag])</f>
        <v>SV136.08</v>
      </c>
      <c r="D126" s="33" t="s">
        <v>436</v>
      </c>
      <c r="E126" s="38" t="b">
        <v>1</v>
      </c>
      <c r="F126" s="39" t="str">
        <f t="array" ref="F126">_xlfn.XLOOKUP($B126, DB[samplingPoint], DB[noLocation])</f>
        <v>12-2-043</v>
      </c>
      <c r="G126" s="59" t="str">
        <f t="array" ref="G126">_xlfn.XLOOKUP($B126, DB[samplingPoint], DB[building])</f>
        <v>Building 12</v>
      </c>
      <c r="H126" s="40" t="str">
        <f t="array" ref="H126">_xlfn.XLOOKUP($B126, DB[samplingPoint], DB[location])</f>
        <v>MFG 3</v>
      </c>
      <c r="I126" s="39" t="str">
        <f t="array" ref="I126">_xlfn.XLOOKUP($B126, DB[samplingPoint], DB[waterType])</f>
        <v>PW</v>
      </c>
      <c r="J126" s="43">
        <f t="shared" si="1"/>
        <v>46050</v>
      </c>
      <c r="K126" s="26">
        <v>46055.0</v>
      </c>
      <c r="L126" s="32">
        <v>0.0</v>
      </c>
      <c r="M126" s="32">
        <v>0.0</v>
      </c>
      <c r="N126" s="32">
        <f t="shared" si="2"/>
        <v>0</v>
      </c>
      <c r="O126" s="49" t="s">
        <v>376</v>
      </c>
      <c r="P126" s="32">
        <f t="array" ref="P126">_xlfn.XLOOKUP($B126, DB[samplingPoint], DB[Criteria])</f>
        <v>100</v>
      </c>
      <c r="Q126" s="50" t="str">
        <f t="shared" si="3"/>
        <v>PASSED</v>
      </c>
      <c r="R126" s="38" t="b">
        <v>0</v>
      </c>
      <c r="S126" s="32" t="s">
        <v>583</v>
      </c>
      <c r="T126" s="39" t="s">
        <v>386</v>
      </c>
      <c r="U126" s="32" t="s">
        <v>381</v>
      </c>
    </row>
    <row r="127" ht="22.5" customHeight="1">
      <c r="A127" s="26">
        <v>46049.0</v>
      </c>
      <c r="B127" s="39" t="s">
        <v>443</v>
      </c>
      <c r="C127" s="32" t="str">
        <f t="array" ref="C127">_xlfn.XLOOKUP(B127, DB[samplingPoint], DB[samplingTag])</f>
        <v>SV136.09</v>
      </c>
      <c r="D127" s="33" t="s">
        <v>436</v>
      </c>
      <c r="E127" s="38" t="b">
        <v>1</v>
      </c>
      <c r="F127" s="39" t="str">
        <f t="array" ref="F127">_xlfn.XLOOKUP($B127, DB[samplingPoint], DB[noLocation])</f>
        <v>12-2-039</v>
      </c>
      <c r="G127" s="59" t="str">
        <f t="array" ref="G127">_xlfn.XLOOKUP($B127, DB[samplingPoint], DB[building])</f>
        <v>Building 12</v>
      </c>
      <c r="H127" s="40" t="str">
        <f t="array" ref="H127">_xlfn.XLOOKUP($B127, DB[samplingPoint], DB[location])</f>
        <v>MFG 1</v>
      </c>
      <c r="I127" s="39" t="str">
        <f t="array" ref="I127">_xlfn.XLOOKUP($B127, DB[samplingPoint], DB[waterType])</f>
        <v>PW</v>
      </c>
      <c r="J127" s="43">
        <f t="shared" si="1"/>
        <v>46050</v>
      </c>
      <c r="K127" s="26">
        <v>46055.0</v>
      </c>
      <c r="L127" s="32">
        <v>0.0</v>
      </c>
      <c r="M127" s="32">
        <v>0.0</v>
      </c>
      <c r="N127" s="32">
        <f t="shared" si="2"/>
        <v>0</v>
      </c>
      <c r="O127" s="49" t="s">
        <v>376</v>
      </c>
      <c r="P127" s="32">
        <f t="array" ref="P127">_xlfn.XLOOKUP($B127, DB[samplingPoint], DB[Criteria])</f>
        <v>100</v>
      </c>
      <c r="Q127" s="50" t="str">
        <f t="shared" si="3"/>
        <v>PASSED</v>
      </c>
      <c r="R127" s="38" t="b">
        <v>0</v>
      </c>
      <c r="S127" s="32" t="s">
        <v>583</v>
      </c>
      <c r="T127" s="39" t="s">
        <v>386</v>
      </c>
      <c r="U127" s="32" t="s">
        <v>381</v>
      </c>
    </row>
    <row r="128" ht="22.5" customHeight="1">
      <c r="A128" s="26">
        <v>46049.0</v>
      </c>
      <c r="B128" s="39" t="s">
        <v>445</v>
      </c>
      <c r="C128" s="32" t="str">
        <f t="array" ref="C128">_xlfn.XLOOKUP(B128, DB[samplingPoint], DB[samplingTag])</f>
        <v>SV136.10</v>
      </c>
      <c r="D128" s="33" t="s">
        <v>436</v>
      </c>
      <c r="E128" s="38" t="b">
        <v>1</v>
      </c>
      <c r="F128" s="39" t="str">
        <f t="array" ref="F128">_xlfn.XLOOKUP($B128, DB[samplingPoint], DB[noLocation])</f>
        <v>12-2-041</v>
      </c>
      <c r="G128" s="59" t="str">
        <f t="array" ref="G128">_xlfn.XLOOKUP($B128, DB[samplingPoint], DB[building])</f>
        <v>Building 12</v>
      </c>
      <c r="H128" s="40" t="str">
        <f t="array" ref="H128">_xlfn.XLOOKUP($B128, DB[samplingPoint], DB[location])</f>
        <v>MFG 2</v>
      </c>
      <c r="I128" s="39" t="str">
        <f t="array" ref="I128">_xlfn.XLOOKUP($B128, DB[samplingPoint], DB[waterType])</f>
        <v>PW</v>
      </c>
      <c r="J128" s="43">
        <f t="shared" si="1"/>
        <v>46050</v>
      </c>
      <c r="K128" s="26">
        <v>46055.0</v>
      </c>
      <c r="L128" s="32">
        <v>0.0</v>
      </c>
      <c r="M128" s="32">
        <v>0.0</v>
      </c>
      <c r="N128" s="32">
        <f t="shared" si="2"/>
        <v>0</v>
      </c>
      <c r="O128" s="49" t="s">
        <v>376</v>
      </c>
      <c r="P128" s="32">
        <f t="array" ref="P128">_xlfn.XLOOKUP($B128, DB[samplingPoint], DB[Criteria])</f>
        <v>100</v>
      </c>
      <c r="Q128" s="50" t="str">
        <f t="shared" si="3"/>
        <v>PASSED</v>
      </c>
      <c r="R128" s="38" t="b">
        <v>0</v>
      </c>
      <c r="S128" s="32" t="s">
        <v>583</v>
      </c>
      <c r="T128" s="39" t="s">
        <v>386</v>
      </c>
      <c r="U128" s="32" t="s">
        <v>381</v>
      </c>
    </row>
    <row r="129" ht="22.5" customHeight="1">
      <c r="A129" s="26">
        <v>46049.0</v>
      </c>
      <c r="B129" s="39" t="s">
        <v>449</v>
      </c>
      <c r="C129" s="32" t="str">
        <f t="array" ref="C129">_xlfn.XLOOKUP(B129, DB[samplingPoint], DB[samplingTag])</f>
        <v>SV136.11</v>
      </c>
      <c r="D129" s="33" t="s">
        <v>436</v>
      </c>
      <c r="E129" s="38" t="b">
        <v>1</v>
      </c>
      <c r="F129" s="39" t="str">
        <f t="array" ref="F129">_xlfn.XLOOKUP($B129, DB[samplingPoint], DB[noLocation])</f>
        <v>12-2-043</v>
      </c>
      <c r="G129" s="59" t="str">
        <f t="array" ref="G129">_xlfn.XLOOKUP($B129, DB[samplingPoint], DB[building])</f>
        <v>Building 12</v>
      </c>
      <c r="H129" s="40" t="str">
        <f t="array" ref="H129">_xlfn.XLOOKUP($B129, DB[samplingPoint], DB[location])</f>
        <v>MFG 3</v>
      </c>
      <c r="I129" s="39" t="str">
        <f t="array" ref="I129">_xlfn.XLOOKUP($B129, DB[samplingPoint], DB[waterType])</f>
        <v>PW</v>
      </c>
      <c r="J129" s="43">
        <f t="shared" si="1"/>
        <v>46050</v>
      </c>
      <c r="K129" s="26">
        <v>46055.0</v>
      </c>
      <c r="L129" s="32">
        <v>0.0</v>
      </c>
      <c r="M129" s="32">
        <v>0.0</v>
      </c>
      <c r="N129" s="32">
        <f t="shared" si="2"/>
        <v>0</v>
      </c>
      <c r="O129" s="49" t="s">
        <v>376</v>
      </c>
      <c r="P129" s="32">
        <f t="array" ref="P129">_xlfn.XLOOKUP($B129, DB[samplingPoint], DB[Criteria])</f>
        <v>100</v>
      </c>
      <c r="Q129" s="50" t="str">
        <f t="shared" si="3"/>
        <v>PASSED</v>
      </c>
      <c r="R129" s="38" t="b">
        <v>0</v>
      </c>
      <c r="S129" s="32" t="s">
        <v>583</v>
      </c>
      <c r="T129" s="39" t="s">
        <v>386</v>
      </c>
      <c r="U129" s="32" t="s">
        <v>381</v>
      </c>
    </row>
    <row r="130" ht="22.5" customHeight="1">
      <c r="A130" s="26">
        <v>46049.0</v>
      </c>
      <c r="B130" s="39" t="s">
        <v>453</v>
      </c>
      <c r="C130" s="32" t="str">
        <f t="array" ref="C130">_xlfn.XLOOKUP(B130, DB[samplingPoint], DB[samplingTag])</f>
        <v>SV136.13</v>
      </c>
      <c r="D130" s="33" t="s">
        <v>436</v>
      </c>
      <c r="E130" s="38" t="b">
        <v>1</v>
      </c>
      <c r="F130" s="39" t="str">
        <f t="array" ref="F130">_xlfn.XLOOKUP($B130, DB[samplingPoint], DB[noLocation])</f>
        <v>12-2-043</v>
      </c>
      <c r="G130" s="59" t="str">
        <f t="array" ref="G130">_xlfn.XLOOKUP($B130, DB[samplingPoint], DB[building])</f>
        <v>Building 12</v>
      </c>
      <c r="H130" s="40" t="str">
        <f t="array" ref="H130">_xlfn.XLOOKUP($B130, DB[samplingPoint], DB[location])</f>
        <v>MFG 3</v>
      </c>
      <c r="I130" s="39" t="str">
        <f t="array" ref="I130">_xlfn.XLOOKUP($B130, DB[samplingPoint], DB[waterType])</f>
        <v>PW</v>
      </c>
      <c r="J130" s="43">
        <f t="shared" si="1"/>
        <v>46050</v>
      </c>
      <c r="K130" s="26">
        <v>46055.0</v>
      </c>
      <c r="L130" s="32">
        <v>0.0</v>
      </c>
      <c r="M130" s="32">
        <v>0.0</v>
      </c>
      <c r="N130" s="32">
        <f t="shared" si="2"/>
        <v>0</v>
      </c>
      <c r="O130" s="49" t="s">
        <v>376</v>
      </c>
      <c r="P130" s="32">
        <f t="array" ref="P130">_xlfn.XLOOKUP($B130, DB[samplingPoint], DB[Criteria])</f>
        <v>100</v>
      </c>
      <c r="Q130" s="50" t="str">
        <f t="shared" si="3"/>
        <v>PASSED</v>
      </c>
      <c r="R130" s="38" t="b">
        <v>0</v>
      </c>
      <c r="S130" s="32" t="s">
        <v>583</v>
      </c>
      <c r="T130" s="39" t="s">
        <v>386</v>
      </c>
      <c r="U130" s="32" t="s">
        <v>381</v>
      </c>
    </row>
    <row r="131" ht="22.5" customHeight="1">
      <c r="A131" s="26">
        <v>46049.0</v>
      </c>
      <c r="B131" s="39" t="s">
        <v>458</v>
      </c>
      <c r="C131" s="32" t="str">
        <f t="array" ref="C131">_xlfn.XLOOKUP(B131, DB[samplingPoint], DB[samplingTag])</f>
        <v>SV136.14</v>
      </c>
      <c r="D131" s="33" t="s">
        <v>436</v>
      </c>
      <c r="E131" s="38" t="b">
        <v>1</v>
      </c>
      <c r="F131" s="39" t="str">
        <f t="array" ref="F131">_xlfn.XLOOKUP($B131, DB[samplingPoint], DB[noLocation])</f>
        <v>12-2-045</v>
      </c>
      <c r="G131" s="59" t="str">
        <f t="array" ref="G131">_xlfn.XLOOKUP($B131, DB[samplingPoint], DB[building])</f>
        <v>Building 12</v>
      </c>
      <c r="H131" s="40" t="str">
        <f t="array" ref="H131">_xlfn.XLOOKUP($B131, DB[samplingPoint], DB[location])</f>
        <v>MFG 4</v>
      </c>
      <c r="I131" s="39" t="str">
        <f t="array" ref="I131">_xlfn.XLOOKUP($B131, DB[samplingPoint], DB[waterType])</f>
        <v>PW</v>
      </c>
      <c r="J131" s="43">
        <f t="shared" si="1"/>
        <v>46050</v>
      </c>
      <c r="K131" s="26">
        <v>46055.0</v>
      </c>
      <c r="L131" s="32">
        <v>0.0</v>
      </c>
      <c r="M131" s="32">
        <v>0.0</v>
      </c>
      <c r="N131" s="32">
        <f t="shared" si="2"/>
        <v>0</v>
      </c>
      <c r="O131" s="49" t="s">
        <v>376</v>
      </c>
      <c r="P131" s="32">
        <f t="array" ref="P131">_xlfn.XLOOKUP($B131, DB[samplingPoint], DB[Criteria])</f>
        <v>100</v>
      </c>
      <c r="Q131" s="50" t="str">
        <f t="shared" si="3"/>
        <v>PASSED</v>
      </c>
      <c r="R131" s="38" t="b">
        <v>0</v>
      </c>
      <c r="S131" s="32" t="s">
        <v>583</v>
      </c>
      <c r="T131" s="39" t="s">
        <v>386</v>
      </c>
      <c r="U131" s="32" t="s">
        <v>381</v>
      </c>
    </row>
    <row r="132" ht="22.5" customHeight="1">
      <c r="A132" s="26">
        <v>46049.0</v>
      </c>
      <c r="B132" s="39" t="s">
        <v>430</v>
      </c>
      <c r="C132" s="32" t="str">
        <f t="array" ref="C132">_xlfn.XLOOKUP(B132, DB[samplingPoint], DB[samplingTag])</f>
        <v>SV137.01</v>
      </c>
      <c r="D132" s="33" t="s">
        <v>436</v>
      </c>
      <c r="E132" s="38" t="b">
        <v>1</v>
      </c>
      <c r="F132" s="39" t="str">
        <f t="array" ref="F132">_xlfn.XLOOKUP($B132, DB[samplingPoint], DB[noLocation])</f>
        <v>WATER SYSTEM (B12)</v>
      </c>
      <c r="G132" s="59" t="str">
        <f t="array" ref="G132">_xlfn.XLOOKUP($B132, DB[samplingPoint], DB[building])</f>
        <v>Building 12</v>
      </c>
      <c r="H132" s="40" t="str">
        <f t="array" ref="H132">_xlfn.XLOOKUP($B132, DB[samplingPoint], DB[location])</f>
        <v>Return loop (B12)</v>
      </c>
      <c r="I132" s="39" t="str">
        <f t="array" ref="I132">_xlfn.XLOOKUP($B132, DB[samplingPoint], DB[waterType])</f>
        <v>PW</v>
      </c>
      <c r="J132" s="43">
        <f t="shared" si="1"/>
        <v>46050</v>
      </c>
      <c r="K132" s="26">
        <v>46055.0</v>
      </c>
      <c r="L132" s="32">
        <v>0.0</v>
      </c>
      <c r="M132" s="32">
        <v>0.0</v>
      </c>
      <c r="N132" s="32">
        <f t="shared" si="2"/>
        <v>0</v>
      </c>
      <c r="O132" s="49" t="s">
        <v>376</v>
      </c>
      <c r="P132" s="32">
        <f t="array" ref="P132">_xlfn.XLOOKUP($B132, DB[samplingPoint], DB[Criteria])</f>
        <v>100</v>
      </c>
      <c r="Q132" s="50" t="str">
        <f t="shared" si="3"/>
        <v>PASSED</v>
      </c>
      <c r="R132" s="38" t="b">
        <v>0</v>
      </c>
      <c r="S132" s="32" t="s">
        <v>583</v>
      </c>
      <c r="T132" s="39" t="s">
        <v>386</v>
      </c>
      <c r="U132" s="32" t="s">
        <v>381</v>
      </c>
    </row>
    <row r="133" ht="22.5" customHeight="1">
      <c r="A133" s="26">
        <v>46049.0</v>
      </c>
      <c r="B133" s="39" t="s">
        <v>555</v>
      </c>
      <c r="C133" s="32" t="str">
        <f t="array" ref="C133">_xlfn.XLOOKUP(B133, DB[samplingPoint], DB[samplingTag])</f>
        <v>DV126.06</v>
      </c>
      <c r="D133" s="33" t="s">
        <v>436</v>
      </c>
      <c r="E133" s="38" t="b">
        <v>1</v>
      </c>
      <c r="F133" s="39" t="str">
        <f t="array" ref="F133">_xlfn.XLOOKUP($B133, DB[samplingPoint], DB[noLocation])</f>
        <v>16-3-069</v>
      </c>
      <c r="G133" s="59" t="str">
        <f t="array" ref="G133">_xlfn.XLOOKUP($B133, DB[samplingPoint], DB[building])</f>
        <v>Building 16</v>
      </c>
      <c r="H133" s="40" t="str">
        <f t="array" ref="H133">_xlfn.XLOOKUP($B133, DB[samplingPoint], DB[location])</f>
        <v>MFG 2</v>
      </c>
      <c r="I133" s="39" t="str">
        <f t="array" ref="I133">_xlfn.XLOOKUP($B133, DB[samplingPoint], DB[waterType])</f>
        <v>PW</v>
      </c>
      <c r="J133" s="43">
        <f t="shared" si="1"/>
        <v>46050</v>
      </c>
      <c r="K133" s="26">
        <v>46055.0</v>
      </c>
      <c r="L133" s="32">
        <v>0.0</v>
      </c>
      <c r="M133" s="32">
        <v>0.0</v>
      </c>
      <c r="N133" s="32">
        <f t="shared" si="2"/>
        <v>0</v>
      </c>
      <c r="O133" s="49" t="s">
        <v>376</v>
      </c>
      <c r="P133" s="32">
        <f t="array" ref="P133">_xlfn.XLOOKUP($B133, DB[samplingPoint], DB[Criteria])</f>
        <v>100</v>
      </c>
      <c r="Q133" s="50" t="str">
        <f t="shared" si="3"/>
        <v>PASSED</v>
      </c>
      <c r="R133" s="38" t="b">
        <v>0</v>
      </c>
      <c r="S133" s="32" t="s">
        <v>588</v>
      </c>
      <c r="T133" s="39" t="s">
        <v>386</v>
      </c>
      <c r="U133" s="32" t="s">
        <v>381</v>
      </c>
    </row>
    <row r="134" ht="22.5" customHeight="1">
      <c r="A134" s="26">
        <v>46049.0</v>
      </c>
      <c r="B134" s="39" t="s">
        <v>563</v>
      </c>
      <c r="C134" s="32" t="str">
        <f t="array" ref="C134">_xlfn.XLOOKUP(B134, DB[samplingPoint], DB[samplingTag])</f>
        <v>DV126.07</v>
      </c>
      <c r="D134" s="33" t="s">
        <v>436</v>
      </c>
      <c r="E134" s="38" t="b">
        <v>1</v>
      </c>
      <c r="F134" s="39" t="str">
        <f t="array" ref="F134">_xlfn.XLOOKUP($B134, DB[samplingPoint], DB[noLocation])</f>
        <v>16-3-077</v>
      </c>
      <c r="G134" s="59" t="str">
        <f t="array" ref="G134">_xlfn.XLOOKUP($B134, DB[samplingPoint], DB[building])</f>
        <v>Building 16</v>
      </c>
      <c r="H134" s="40" t="str">
        <f t="array" ref="H134">_xlfn.XLOOKUP($B134, DB[samplingPoint], DB[location])</f>
        <v>MFG 6</v>
      </c>
      <c r="I134" s="39" t="str">
        <f t="array" ref="I134">_xlfn.XLOOKUP($B134, DB[samplingPoint], DB[waterType])</f>
        <v>PW</v>
      </c>
      <c r="J134" s="43">
        <f t="shared" si="1"/>
        <v>46050</v>
      </c>
      <c r="K134" s="26">
        <v>46055.0</v>
      </c>
      <c r="L134" s="32">
        <v>0.0</v>
      </c>
      <c r="M134" s="32">
        <v>0.0</v>
      </c>
      <c r="N134" s="32">
        <f t="shared" si="2"/>
        <v>0</v>
      </c>
      <c r="O134" s="49" t="s">
        <v>376</v>
      </c>
      <c r="P134" s="32">
        <f t="array" ref="P134">_xlfn.XLOOKUP($B134, DB[samplingPoint], DB[Criteria])</f>
        <v>100</v>
      </c>
      <c r="Q134" s="50" t="str">
        <f t="shared" si="3"/>
        <v>PASSED</v>
      </c>
      <c r="R134" s="38" t="b">
        <v>0</v>
      </c>
      <c r="S134" s="32" t="s">
        <v>588</v>
      </c>
      <c r="T134" s="39" t="s">
        <v>386</v>
      </c>
      <c r="U134" s="32" t="s">
        <v>381</v>
      </c>
    </row>
    <row r="135" ht="22.5" customHeight="1">
      <c r="A135" s="26">
        <v>46049.0</v>
      </c>
      <c r="B135" s="39" t="s">
        <v>566</v>
      </c>
      <c r="C135" s="32" t="str">
        <f t="array" ref="C135">_xlfn.XLOOKUP(B135, DB[samplingPoint], DB[samplingTag])</f>
        <v>DV126.08</v>
      </c>
      <c r="D135" s="33" t="s">
        <v>436</v>
      </c>
      <c r="E135" s="38" t="b">
        <v>1</v>
      </c>
      <c r="F135" s="39" t="str">
        <f t="array" ref="F135">_xlfn.XLOOKUP($B135, DB[samplingPoint], DB[noLocation])</f>
        <v>16-3-077</v>
      </c>
      <c r="G135" s="59" t="str">
        <f t="array" ref="G135">_xlfn.XLOOKUP($B135, DB[samplingPoint], DB[building])</f>
        <v>Building 16</v>
      </c>
      <c r="H135" s="40" t="str">
        <f t="array" ref="H135">_xlfn.XLOOKUP($B135, DB[samplingPoint], DB[location])</f>
        <v>MFG 6</v>
      </c>
      <c r="I135" s="39" t="str">
        <f t="array" ref="I135">_xlfn.XLOOKUP($B135, DB[samplingPoint], DB[waterType])</f>
        <v>PW</v>
      </c>
      <c r="J135" s="43">
        <f t="shared" si="1"/>
        <v>46050</v>
      </c>
      <c r="K135" s="26">
        <v>46055.0</v>
      </c>
      <c r="L135" s="32">
        <v>0.0</v>
      </c>
      <c r="M135" s="32">
        <v>0.0</v>
      </c>
      <c r="N135" s="32">
        <f t="shared" si="2"/>
        <v>0</v>
      </c>
      <c r="O135" s="49" t="s">
        <v>376</v>
      </c>
      <c r="P135" s="32">
        <f t="array" ref="P135">_xlfn.XLOOKUP($B135, DB[samplingPoint], DB[Criteria])</f>
        <v>100</v>
      </c>
      <c r="Q135" s="50" t="str">
        <f t="shared" si="3"/>
        <v>PASSED</v>
      </c>
      <c r="R135" s="38" t="b">
        <v>0</v>
      </c>
      <c r="S135" s="32" t="s">
        <v>588</v>
      </c>
      <c r="T135" s="39" t="s">
        <v>386</v>
      </c>
      <c r="U135" s="32" t="s">
        <v>381</v>
      </c>
    </row>
    <row r="136" ht="22.5" customHeight="1">
      <c r="A136" s="26">
        <v>46049.0</v>
      </c>
      <c r="B136" s="39" t="s">
        <v>553</v>
      </c>
      <c r="C136" s="32" t="str">
        <f t="array" ref="C136">_xlfn.XLOOKUP(B136, DB[samplingPoint], DB[samplingTag])</f>
        <v>DV126.10</v>
      </c>
      <c r="D136" s="33" t="s">
        <v>436</v>
      </c>
      <c r="E136" s="38" t="b">
        <v>1</v>
      </c>
      <c r="F136" s="39" t="str">
        <f t="array" ref="F136">_xlfn.XLOOKUP($B136, DB[samplingPoint], DB[noLocation])</f>
        <v>16-3-069</v>
      </c>
      <c r="G136" s="59" t="str">
        <f t="array" ref="G136">_xlfn.XLOOKUP($B136, DB[samplingPoint], DB[building])</f>
        <v>Building 16</v>
      </c>
      <c r="H136" s="40" t="str">
        <f t="array" ref="H136">_xlfn.XLOOKUP($B136, DB[samplingPoint], DB[location])</f>
        <v>MFG 2</v>
      </c>
      <c r="I136" s="39" t="str">
        <f t="array" ref="I136">_xlfn.XLOOKUP($B136, DB[samplingPoint], DB[waterType])</f>
        <v>PW</v>
      </c>
      <c r="J136" s="43">
        <f t="shared" si="1"/>
        <v>46050</v>
      </c>
      <c r="K136" s="26">
        <v>46055.0</v>
      </c>
      <c r="L136" s="32">
        <v>1.0</v>
      </c>
      <c r="M136" s="32">
        <v>0.0</v>
      </c>
      <c r="N136" s="32">
        <f t="shared" si="2"/>
        <v>1</v>
      </c>
      <c r="O136" s="49" t="s">
        <v>376</v>
      </c>
      <c r="P136" s="32">
        <f t="array" ref="P136">_xlfn.XLOOKUP($B136, DB[samplingPoint], DB[Criteria])</f>
        <v>100</v>
      </c>
      <c r="Q136" s="50" t="str">
        <f t="shared" si="3"/>
        <v>PASSED</v>
      </c>
      <c r="R136" s="38" t="b">
        <v>0</v>
      </c>
      <c r="S136" s="32" t="s">
        <v>588</v>
      </c>
      <c r="T136" s="39" t="s">
        <v>386</v>
      </c>
      <c r="U136" s="32" t="s">
        <v>381</v>
      </c>
    </row>
    <row r="137" ht="22.5" customHeight="1">
      <c r="A137" s="26">
        <v>46049.0</v>
      </c>
      <c r="B137" s="39" t="s">
        <v>467</v>
      </c>
      <c r="C137" s="32" t="str">
        <f t="array" ref="C137">_xlfn.XLOOKUP(B137, DB[samplingPoint], DB[samplingTag])</f>
        <v>SV123.01</v>
      </c>
      <c r="D137" s="33" t="s">
        <v>436</v>
      </c>
      <c r="E137" s="38" t="b">
        <v>1</v>
      </c>
      <c r="F137" s="39" t="str">
        <f t="array" ref="F137">_xlfn.XLOOKUP($B137, DB[samplingPoint], DB[noLocation])</f>
        <v>WATER SYSTEM (B16)</v>
      </c>
      <c r="G137" s="59" t="str">
        <f t="array" ref="G137">_xlfn.XLOOKUP($B137, DB[samplingPoint], DB[building])</f>
        <v>Building 16</v>
      </c>
      <c r="H137" s="40" t="str">
        <f t="array" ref="H137">_xlfn.XLOOKUP($B137, DB[samplingPoint], DB[location])</f>
        <v>After Storage tank (B16)</v>
      </c>
      <c r="I137" s="39" t="str">
        <f t="array" ref="I137">_xlfn.XLOOKUP($B137, DB[samplingPoint], DB[waterType])</f>
        <v>PW</v>
      </c>
      <c r="J137" s="43">
        <f t="shared" si="1"/>
        <v>46050</v>
      </c>
      <c r="K137" s="26">
        <v>46055.0</v>
      </c>
      <c r="L137" s="32">
        <v>0.0</v>
      </c>
      <c r="M137" s="32">
        <v>0.0</v>
      </c>
      <c r="N137" s="32">
        <f t="shared" si="2"/>
        <v>0</v>
      </c>
      <c r="O137" s="49" t="s">
        <v>376</v>
      </c>
      <c r="P137" s="32">
        <f t="array" ref="P137">_xlfn.XLOOKUP($B137, DB[samplingPoint], DB[Criteria])</f>
        <v>100</v>
      </c>
      <c r="Q137" s="50" t="str">
        <f t="shared" si="3"/>
        <v>PASSED</v>
      </c>
      <c r="R137" s="38" t="b">
        <v>0</v>
      </c>
      <c r="S137" s="32" t="s">
        <v>588</v>
      </c>
      <c r="T137" s="39" t="s">
        <v>386</v>
      </c>
      <c r="U137" s="32" t="s">
        <v>381</v>
      </c>
    </row>
    <row r="138" ht="22.5" customHeight="1">
      <c r="A138" s="26">
        <v>46049.0</v>
      </c>
      <c r="B138" s="39" t="s">
        <v>469</v>
      </c>
      <c r="C138" s="32" t="str">
        <f t="array" ref="C138">_xlfn.XLOOKUP(B138, DB[samplingPoint], DB[samplingTag])</f>
        <v>SV125.02</v>
      </c>
      <c r="D138" s="33" t="s">
        <v>436</v>
      </c>
      <c r="E138" s="38" t="b">
        <v>1</v>
      </c>
      <c r="F138" s="39" t="str">
        <f t="array" ref="F138">_xlfn.XLOOKUP($B138, DB[samplingPoint], DB[noLocation])</f>
        <v>WATER SYSTEM (B16)</v>
      </c>
      <c r="G138" s="59" t="str">
        <f t="array" ref="G138">_xlfn.XLOOKUP($B138, DB[samplingPoint], DB[building])</f>
        <v>Building 16</v>
      </c>
      <c r="H138" s="40" t="str">
        <f t="array" ref="H138">_xlfn.XLOOKUP($B138, DB[samplingPoint], DB[location])</f>
        <v>After UV (B16)</v>
      </c>
      <c r="I138" s="39" t="str">
        <f t="array" ref="I138">_xlfn.XLOOKUP($B138, DB[samplingPoint], DB[waterType])</f>
        <v>PW</v>
      </c>
      <c r="J138" s="43">
        <f t="shared" si="1"/>
        <v>46050</v>
      </c>
      <c r="K138" s="26">
        <v>46055.0</v>
      </c>
      <c r="L138" s="32">
        <v>0.0</v>
      </c>
      <c r="M138" s="32">
        <v>0.0</v>
      </c>
      <c r="N138" s="32">
        <f t="shared" si="2"/>
        <v>0</v>
      </c>
      <c r="O138" s="49" t="s">
        <v>376</v>
      </c>
      <c r="P138" s="32">
        <f t="array" ref="P138">_xlfn.XLOOKUP($B138, DB[samplingPoint], DB[Criteria])</f>
        <v>100</v>
      </c>
      <c r="Q138" s="50" t="str">
        <f t="shared" si="3"/>
        <v>PASSED</v>
      </c>
      <c r="R138" s="38" t="b">
        <v>0</v>
      </c>
      <c r="S138" s="32" t="s">
        <v>588</v>
      </c>
      <c r="T138" s="39" t="s">
        <v>386</v>
      </c>
      <c r="U138" s="32" t="s">
        <v>381</v>
      </c>
    </row>
    <row r="139" ht="22.5" customHeight="1">
      <c r="A139" s="26">
        <v>46049.0</v>
      </c>
      <c r="B139" s="39" t="s">
        <v>561</v>
      </c>
      <c r="C139" s="32" t="str">
        <f t="array" ref="C139">_xlfn.XLOOKUP(B139, DB[samplingPoint], DB[samplingTag])</f>
        <v>SV126.09</v>
      </c>
      <c r="D139" s="33" t="s">
        <v>436</v>
      </c>
      <c r="E139" s="38" t="b">
        <v>1</v>
      </c>
      <c r="F139" s="39" t="str">
        <f t="array" ref="F139">_xlfn.XLOOKUP($B139, DB[samplingPoint], DB[noLocation])</f>
        <v>16-3-071</v>
      </c>
      <c r="G139" s="59" t="str">
        <f t="array" ref="G139">_xlfn.XLOOKUP($B139, DB[samplingPoint], DB[building])</f>
        <v>Building 16</v>
      </c>
      <c r="H139" s="40" t="str">
        <f t="array" ref="H139">_xlfn.XLOOKUP($B139, DB[samplingPoint], DB[location])</f>
        <v>MFG 3 (5000L)</v>
      </c>
      <c r="I139" s="39" t="str">
        <f t="array" ref="I139">_xlfn.XLOOKUP($B139, DB[samplingPoint], DB[waterType])</f>
        <v>PW</v>
      </c>
      <c r="J139" s="43">
        <f t="shared" si="1"/>
        <v>46050</v>
      </c>
      <c r="K139" s="26">
        <v>46055.0</v>
      </c>
      <c r="L139" s="32">
        <v>0.0</v>
      </c>
      <c r="M139" s="32">
        <v>0.0</v>
      </c>
      <c r="N139" s="32">
        <f t="shared" si="2"/>
        <v>0</v>
      </c>
      <c r="O139" s="49" t="s">
        <v>376</v>
      </c>
      <c r="P139" s="32">
        <f t="array" ref="P139">_xlfn.XLOOKUP($B139, DB[samplingPoint], DB[Criteria])</f>
        <v>100</v>
      </c>
      <c r="Q139" s="50" t="str">
        <f t="shared" si="3"/>
        <v>PASSED</v>
      </c>
      <c r="R139" s="38" t="b">
        <v>0</v>
      </c>
      <c r="S139" s="32" t="s">
        <v>588</v>
      </c>
      <c r="T139" s="39" t="s">
        <v>386</v>
      </c>
      <c r="U139" s="32" t="s">
        <v>381</v>
      </c>
    </row>
    <row r="140" ht="22.5" customHeight="1">
      <c r="A140" s="26">
        <v>46049.0</v>
      </c>
      <c r="B140" s="39" t="s">
        <v>557</v>
      </c>
      <c r="C140" s="32" t="str">
        <f t="array" ref="C140">_xlfn.XLOOKUP(B140, DB[samplingPoint], DB[samplingTag])</f>
        <v>SV126.10</v>
      </c>
      <c r="D140" s="33" t="s">
        <v>436</v>
      </c>
      <c r="E140" s="38" t="b">
        <v>1</v>
      </c>
      <c r="F140" s="39" t="str">
        <f t="array" ref="F140">_xlfn.XLOOKUP($B140, DB[samplingPoint], DB[noLocation])</f>
        <v>16-3-071</v>
      </c>
      <c r="G140" s="59" t="str">
        <f t="array" ref="G140">_xlfn.XLOOKUP($B140, DB[samplingPoint], DB[building])</f>
        <v>Building 16</v>
      </c>
      <c r="H140" s="40" t="str">
        <f t="array" ref="H140">_xlfn.XLOOKUP($B140, DB[samplingPoint], DB[location])</f>
        <v>MFG 3 (1200L)</v>
      </c>
      <c r="I140" s="39" t="str">
        <f t="array" ref="I140">_xlfn.XLOOKUP($B140, DB[samplingPoint], DB[waterType])</f>
        <v>PW</v>
      </c>
      <c r="J140" s="43">
        <f t="shared" si="1"/>
        <v>46050</v>
      </c>
      <c r="K140" s="26">
        <v>46055.0</v>
      </c>
      <c r="L140" s="32">
        <v>0.0</v>
      </c>
      <c r="M140" s="32">
        <v>0.0</v>
      </c>
      <c r="N140" s="32">
        <f t="shared" si="2"/>
        <v>0</v>
      </c>
      <c r="O140" s="49" t="s">
        <v>376</v>
      </c>
      <c r="P140" s="32">
        <f t="array" ref="P140">_xlfn.XLOOKUP($B140, DB[samplingPoint], DB[Criteria])</f>
        <v>100</v>
      </c>
      <c r="Q140" s="50" t="str">
        <f t="shared" si="3"/>
        <v>PASSED</v>
      </c>
      <c r="R140" s="38" t="b">
        <v>0</v>
      </c>
      <c r="S140" s="32" t="s">
        <v>588</v>
      </c>
      <c r="T140" s="39" t="s">
        <v>386</v>
      </c>
      <c r="U140" s="32" t="s">
        <v>381</v>
      </c>
    </row>
    <row r="141" ht="22.5" customHeight="1">
      <c r="A141" s="26">
        <v>46049.0</v>
      </c>
      <c r="B141" s="39" t="s">
        <v>464</v>
      </c>
      <c r="C141" s="32" t="str">
        <f t="array" ref="C141">_xlfn.XLOOKUP(B141, DB[samplingPoint], DB[samplingTag])</f>
        <v>SV127.01</v>
      </c>
      <c r="D141" s="33" t="s">
        <v>436</v>
      </c>
      <c r="E141" s="38" t="b">
        <v>1</v>
      </c>
      <c r="F141" s="39" t="str">
        <f t="array" ref="F141">_xlfn.XLOOKUP($B141, DB[samplingPoint], DB[noLocation])</f>
        <v>WATER SYSTEM (B16)</v>
      </c>
      <c r="G141" s="59" t="str">
        <f t="array" ref="G141">_xlfn.XLOOKUP($B141, DB[samplingPoint], DB[building])</f>
        <v>Building 16</v>
      </c>
      <c r="H141" s="40" t="str">
        <f t="array" ref="H141">_xlfn.XLOOKUP($B141, DB[samplingPoint], DB[location])</f>
        <v>Return loop (B16)</v>
      </c>
      <c r="I141" s="39" t="str">
        <f t="array" ref="I141">_xlfn.XLOOKUP($B141, DB[samplingPoint], DB[waterType])</f>
        <v>PW</v>
      </c>
      <c r="J141" s="43">
        <f t="shared" si="1"/>
        <v>46050</v>
      </c>
      <c r="K141" s="26">
        <v>46055.0</v>
      </c>
      <c r="L141" s="32">
        <v>0.0</v>
      </c>
      <c r="M141" s="32">
        <v>0.0</v>
      </c>
      <c r="N141" s="32">
        <f t="shared" si="2"/>
        <v>0</v>
      </c>
      <c r="O141" s="49" t="s">
        <v>376</v>
      </c>
      <c r="P141" s="32">
        <f t="array" ref="P141">_xlfn.XLOOKUP($B141, DB[samplingPoint], DB[Criteria])</f>
        <v>100</v>
      </c>
      <c r="Q141" s="50" t="str">
        <f t="shared" si="3"/>
        <v>PASSED</v>
      </c>
      <c r="R141" s="38" t="b">
        <v>0</v>
      </c>
      <c r="S141" s="32" t="s">
        <v>588</v>
      </c>
      <c r="T141" s="39" t="s">
        <v>386</v>
      </c>
      <c r="U141" s="32" t="s">
        <v>381</v>
      </c>
    </row>
    <row r="142" ht="22.5" customHeight="1">
      <c r="A142" s="26">
        <v>46050.0</v>
      </c>
      <c r="B142" s="39" t="s">
        <v>502</v>
      </c>
      <c r="C142" s="32" t="str">
        <f t="array" ref="C142">_xlfn.XLOOKUP(B142, DB[samplingPoint], DB[samplingTag])</f>
        <v>DV116.26</v>
      </c>
      <c r="D142" s="33" t="s">
        <v>436</v>
      </c>
      <c r="E142" s="38" t="b">
        <v>1</v>
      </c>
      <c r="F142" s="39" t="str">
        <f t="array" ref="F142">_xlfn.XLOOKUP($B142, DB[samplingPoint], DB[noLocation])</f>
        <v>10-4-015</v>
      </c>
      <c r="G142" s="59" t="str">
        <f t="array" ref="G142">_xlfn.XLOOKUP($B142, DB[samplingPoint], DB[building])</f>
        <v>Building 10</v>
      </c>
      <c r="H142" s="40" t="str">
        <f t="array" ref="H142">_xlfn.XLOOKUP($B142, DB[samplingPoint], DB[location])</f>
        <v>WATER SYSTEM ROOM</v>
      </c>
      <c r="I142" s="39" t="str">
        <f t="array" ref="I142">_xlfn.XLOOKUP($B142, DB[samplingPoint], DB[waterType])</f>
        <v>PW</v>
      </c>
      <c r="J142" s="43">
        <f t="shared" si="1"/>
        <v>46051</v>
      </c>
      <c r="K142" s="26">
        <v>46055.0</v>
      </c>
      <c r="L142" s="32">
        <v>0.0</v>
      </c>
      <c r="M142" s="32">
        <v>0.0</v>
      </c>
      <c r="N142" s="32">
        <f t="shared" si="2"/>
        <v>0</v>
      </c>
      <c r="O142" s="49" t="s">
        <v>376</v>
      </c>
      <c r="P142" s="32">
        <f t="array" ref="P142">_xlfn.XLOOKUP($B142, DB[samplingPoint], DB[Criteria])</f>
        <v>100</v>
      </c>
      <c r="Q142" s="50" t="str">
        <f t="shared" si="3"/>
        <v>PASSED</v>
      </c>
      <c r="R142" s="38" t="b">
        <v>0</v>
      </c>
      <c r="S142" s="32" t="s">
        <v>592</v>
      </c>
      <c r="T142" s="39" t="s">
        <v>386</v>
      </c>
      <c r="U142" s="32" t="s">
        <v>381</v>
      </c>
    </row>
    <row r="143" ht="22.5" customHeight="1">
      <c r="A143" s="26">
        <v>46050.0</v>
      </c>
      <c r="B143" s="39" t="s">
        <v>380</v>
      </c>
      <c r="C143" s="32" t="str">
        <f t="array" ref="C143">_xlfn.XLOOKUP(B143, DB[samplingPoint], DB[samplingTag])</f>
        <v>SV113.01</v>
      </c>
      <c r="D143" s="33" t="s">
        <v>436</v>
      </c>
      <c r="E143" s="38" t="b">
        <v>1</v>
      </c>
      <c r="F143" s="39" t="str">
        <f t="array" ref="F143">_xlfn.XLOOKUP($B143, DB[samplingPoint], DB[noLocation])</f>
        <v>WATER SYSTEM (B10)</v>
      </c>
      <c r="G143" s="59" t="str">
        <f t="array" ref="G143">_xlfn.XLOOKUP($B143, DB[samplingPoint], DB[building])</f>
        <v>Building 10</v>
      </c>
      <c r="H143" s="40" t="str">
        <f t="array" ref="H143">_xlfn.XLOOKUP($B143, DB[samplingPoint], DB[location])</f>
        <v>After Storage tank (B10)</v>
      </c>
      <c r="I143" s="39" t="str">
        <f t="array" ref="I143">_xlfn.XLOOKUP($B143, DB[samplingPoint], DB[waterType])</f>
        <v>PW</v>
      </c>
      <c r="J143" s="43">
        <f t="shared" si="1"/>
        <v>46051</v>
      </c>
      <c r="K143" s="26">
        <v>46055.0</v>
      </c>
      <c r="L143" s="32">
        <v>0.0</v>
      </c>
      <c r="M143" s="32">
        <v>0.0</v>
      </c>
      <c r="N143" s="32">
        <f t="shared" si="2"/>
        <v>0</v>
      </c>
      <c r="O143" s="49" t="s">
        <v>376</v>
      </c>
      <c r="P143" s="32">
        <f t="array" ref="P143">_xlfn.XLOOKUP($B143, DB[samplingPoint], DB[Criteria])</f>
        <v>100</v>
      </c>
      <c r="Q143" s="50" t="str">
        <f t="shared" si="3"/>
        <v>PASSED</v>
      </c>
      <c r="R143" s="38" t="b">
        <v>0</v>
      </c>
      <c r="S143" s="32" t="s">
        <v>592</v>
      </c>
      <c r="T143" s="39" t="s">
        <v>386</v>
      </c>
      <c r="U143" s="32" t="s">
        <v>381</v>
      </c>
    </row>
    <row r="144" ht="22.5" customHeight="1">
      <c r="A144" s="26">
        <v>46050.0</v>
      </c>
      <c r="B144" s="39" t="s">
        <v>385</v>
      </c>
      <c r="C144" s="32" t="str">
        <f t="array" ref="C144">_xlfn.XLOOKUP(B144, DB[samplingPoint], DB[samplingTag])</f>
        <v>SV115.02</v>
      </c>
      <c r="D144" s="33" t="s">
        <v>436</v>
      </c>
      <c r="E144" s="38" t="b">
        <v>1</v>
      </c>
      <c r="F144" s="39" t="str">
        <f t="array" ref="F144">_xlfn.XLOOKUP($B144, DB[samplingPoint], DB[noLocation])</f>
        <v>WATER SYSTEM (B10)</v>
      </c>
      <c r="G144" s="59" t="str">
        <f t="array" ref="G144">_xlfn.XLOOKUP($B144, DB[samplingPoint], DB[building])</f>
        <v>Building 10</v>
      </c>
      <c r="H144" s="40" t="str">
        <f t="array" ref="H144">_xlfn.XLOOKUP($B144, DB[samplingPoint], DB[location])</f>
        <v>After UV (B10)</v>
      </c>
      <c r="I144" s="39" t="str">
        <f t="array" ref="I144">_xlfn.XLOOKUP($B144, DB[samplingPoint], DB[waterType])</f>
        <v>PW</v>
      </c>
      <c r="J144" s="43">
        <f t="shared" si="1"/>
        <v>46051</v>
      </c>
      <c r="K144" s="26">
        <v>46055.0</v>
      </c>
      <c r="L144" s="32">
        <v>0.0</v>
      </c>
      <c r="M144" s="32">
        <v>0.0</v>
      </c>
      <c r="N144" s="32">
        <f t="shared" si="2"/>
        <v>0</v>
      </c>
      <c r="O144" s="49" t="s">
        <v>376</v>
      </c>
      <c r="P144" s="32">
        <f t="array" ref="P144">_xlfn.XLOOKUP($B144, DB[samplingPoint], DB[Criteria])</f>
        <v>100</v>
      </c>
      <c r="Q144" s="50" t="str">
        <f t="shared" si="3"/>
        <v>PASSED</v>
      </c>
      <c r="R144" s="38" t="b">
        <v>0</v>
      </c>
      <c r="S144" s="32" t="s">
        <v>592</v>
      </c>
      <c r="T144" s="39" t="s">
        <v>386</v>
      </c>
      <c r="U144" s="32" t="s">
        <v>381</v>
      </c>
    </row>
    <row r="145" ht="22.5" customHeight="1">
      <c r="A145" s="26">
        <v>46050.0</v>
      </c>
      <c r="B145" s="39" t="s">
        <v>499</v>
      </c>
      <c r="C145" s="32" t="str">
        <f t="array" ref="C145">_xlfn.XLOOKUP(B145, DB[samplingPoint], DB[samplingTag])</f>
        <v>SV116.01</v>
      </c>
      <c r="D145" s="33" t="s">
        <v>436</v>
      </c>
      <c r="E145" s="38" t="b">
        <v>1</v>
      </c>
      <c r="F145" s="39" t="str">
        <f t="array" ref="F145">_xlfn.XLOOKUP($B145, DB[samplingPoint], DB[noLocation])</f>
        <v>10-2-021</v>
      </c>
      <c r="G145" s="59" t="str">
        <f t="array" ref="G145">_xlfn.XLOOKUP($B145, DB[samplingPoint], DB[building])</f>
        <v>Building 10</v>
      </c>
      <c r="H145" s="40" t="str">
        <f t="array" ref="H145">_xlfn.XLOOKUP($B145, DB[samplingPoint], DB[location])</f>
        <v>INSTRUMENT-1</v>
      </c>
      <c r="I145" s="39" t="str">
        <f t="array" ref="I145">_xlfn.XLOOKUP($B145, DB[samplingPoint], DB[waterType])</f>
        <v>PW</v>
      </c>
      <c r="J145" s="43">
        <f t="shared" si="1"/>
        <v>46051</v>
      </c>
      <c r="K145" s="26">
        <v>46055.0</v>
      </c>
      <c r="L145" s="32">
        <v>0.0</v>
      </c>
      <c r="M145" s="32">
        <v>0.0</v>
      </c>
      <c r="N145" s="32">
        <f t="shared" si="2"/>
        <v>0</v>
      </c>
      <c r="O145" s="49" t="s">
        <v>376</v>
      </c>
      <c r="P145" s="32">
        <f t="array" ref="P145">_xlfn.XLOOKUP($B145, DB[samplingPoint], DB[Criteria])</f>
        <v>100</v>
      </c>
      <c r="Q145" s="50" t="str">
        <f t="shared" si="3"/>
        <v>PASSED</v>
      </c>
      <c r="R145" s="38" t="b">
        <v>0</v>
      </c>
      <c r="S145" s="32" t="s">
        <v>592</v>
      </c>
      <c r="T145" s="39" t="s">
        <v>386</v>
      </c>
      <c r="U145" s="32" t="s">
        <v>381</v>
      </c>
    </row>
    <row r="146" ht="22.5" customHeight="1">
      <c r="A146" s="26">
        <v>46050.0</v>
      </c>
      <c r="B146" s="39" t="s">
        <v>498</v>
      </c>
      <c r="C146" s="32" t="str">
        <f t="array" ref="C146">_xlfn.XLOOKUP(B146, DB[samplingPoint], DB[samplingTag])</f>
        <v>SV116.02</v>
      </c>
      <c r="D146" s="33" t="s">
        <v>436</v>
      </c>
      <c r="E146" s="38" t="b">
        <v>1</v>
      </c>
      <c r="F146" s="39" t="str">
        <f t="array" ref="F146">_xlfn.XLOOKUP($B146, DB[samplingPoint], DB[noLocation])</f>
        <v>10-2-037</v>
      </c>
      <c r="G146" s="59" t="str">
        <f t="array" ref="G146">_xlfn.XLOOKUP($B146, DB[samplingPoint], DB[building])</f>
        <v>Building 10</v>
      </c>
      <c r="H146" s="40" t="str">
        <f t="array" ref="H146">_xlfn.XLOOKUP($B146, DB[samplingPoint], DB[location])</f>
        <v>SKID FOR BIN WASHING-2</v>
      </c>
      <c r="I146" s="39" t="str">
        <f t="array" ref="I146">_xlfn.XLOOKUP($B146, DB[samplingPoint], DB[waterType])</f>
        <v>PW</v>
      </c>
      <c r="J146" s="43">
        <f t="shared" si="1"/>
        <v>46051</v>
      </c>
      <c r="K146" s="26">
        <v>46055.0</v>
      </c>
      <c r="L146" s="32">
        <v>0.0</v>
      </c>
      <c r="M146" s="32">
        <v>0.0</v>
      </c>
      <c r="N146" s="32">
        <f t="shared" si="2"/>
        <v>0</v>
      </c>
      <c r="O146" s="49" t="s">
        <v>376</v>
      </c>
      <c r="P146" s="32">
        <f t="array" ref="P146">_xlfn.XLOOKUP($B146, DB[samplingPoint], DB[Criteria])</f>
        <v>100</v>
      </c>
      <c r="Q146" s="50" t="str">
        <f t="shared" si="3"/>
        <v>PASSED</v>
      </c>
      <c r="R146" s="38" t="b">
        <v>0</v>
      </c>
      <c r="S146" s="32" t="s">
        <v>592</v>
      </c>
      <c r="T146" s="39" t="s">
        <v>386</v>
      </c>
      <c r="U146" s="32" t="s">
        <v>381</v>
      </c>
    </row>
    <row r="147" ht="22.5" customHeight="1">
      <c r="A147" s="26">
        <v>46050.0</v>
      </c>
      <c r="B147" s="39" t="s">
        <v>491</v>
      </c>
      <c r="C147" s="32" t="str">
        <f t="array" ref="C147">_xlfn.XLOOKUP(B147, DB[samplingPoint], DB[samplingTag])</f>
        <v>SV116.15</v>
      </c>
      <c r="D147" s="33" t="s">
        <v>436</v>
      </c>
      <c r="E147" s="38" t="b">
        <v>1</v>
      </c>
      <c r="F147" s="39" t="str">
        <f t="array" ref="F147">_xlfn.XLOOKUP($B147, DB[samplingPoint], DB[noLocation])</f>
        <v>10-4-012</v>
      </c>
      <c r="G147" s="59" t="str">
        <f t="array" ref="G147">_xlfn.XLOOKUP($B147, DB[samplingPoint], DB[building])</f>
        <v>Building 10</v>
      </c>
      <c r="H147" s="40" t="str">
        <f t="array" ref="H147">_xlfn.XLOOKUP($B147, DB[samplingPoint], DB[location])</f>
        <v>CIP SKID-1 FOR BIN WASHING-1</v>
      </c>
      <c r="I147" s="39" t="str">
        <f t="array" ref="I147">_xlfn.XLOOKUP($B147, DB[samplingPoint], DB[waterType])</f>
        <v>PW</v>
      </c>
      <c r="J147" s="43">
        <f t="shared" si="1"/>
        <v>46051</v>
      </c>
      <c r="K147" s="26">
        <v>46055.0</v>
      </c>
      <c r="L147" s="32">
        <v>0.0</v>
      </c>
      <c r="M147" s="32">
        <v>0.0</v>
      </c>
      <c r="N147" s="32">
        <f t="shared" si="2"/>
        <v>0</v>
      </c>
      <c r="O147" s="49" t="s">
        <v>376</v>
      </c>
      <c r="P147" s="32">
        <f t="array" ref="P147">_xlfn.XLOOKUP($B147, DB[samplingPoint], DB[Criteria])</f>
        <v>100</v>
      </c>
      <c r="Q147" s="50" t="str">
        <f t="shared" si="3"/>
        <v>PASSED</v>
      </c>
      <c r="R147" s="38" t="b">
        <v>0</v>
      </c>
      <c r="S147" s="32" t="s">
        <v>592</v>
      </c>
      <c r="T147" s="39" t="s">
        <v>386</v>
      </c>
      <c r="U147" s="32" t="s">
        <v>381</v>
      </c>
    </row>
    <row r="148" ht="22.5" customHeight="1">
      <c r="A148" s="26">
        <v>46050.0</v>
      </c>
      <c r="B148" s="39" t="s">
        <v>493</v>
      </c>
      <c r="C148" s="32" t="str">
        <f t="array" ref="C148">_xlfn.XLOOKUP(B148, DB[samplingPoint], DB[samplingTag])</f>
        <v>SV116.16</v>
      </c>
      <c r="D148" s="33" t="s">
        <v>436</v>
      </c>
      <c r="E148" s="38" t="b">
        <v>1</v>
      </c>
      <c r="F148" s="39" t="str">
        <f t="array" ref="F148">_xlfn.XLOOKUP($B148, DB[samplingPoint], DB[noLocation])</f>
        <v>10-4-012</v>
      </c>
      <c r="G148" s="59" t="str">
        <f t="array" ref="G148">_xlfn.XLOOKUP($B148, DB[samplingPoint], DB[building])</f>
        <v>Building 10</v>
      </c>
      <c r="H148" s="40" t="str">
        <f t="array" ref="H148">_xlfn.XLOOKUP($B148, DB[samplingPoint], DB[location])</f>
        <v>WIP SKID-3 FOR GRANULATION POTENT</v>
      </c>
      <c r="I148" s="39" t="str">
        <f t="array" ref="I148">_xlfn.XLOOKUP($B148, DB[samplingPoint], DB[waterType])</f>
        <v>PW</v>
      </c>
      <c r="J148" s="43">
        <f t="shared" si="1"/>
        <v>46051</v>
      </c>
      <c r="K148" s="26">
        <v>46055.0</v>
      </c>
      <c r="L148" s="32">
        <v>0.0</v>
      </c>
      <c r="M148" s="32">
        <v>0.0</v>
      </c>
      <c r="N148" s="32">
        <f t="shared" si="2"/>
        <v>0</v>
      </c>
      <c r="O148" s="49" t="s">
        <v>376</v>
      </c>
      <c r="P148" s="32">
        <f t="array" ref="P148">_xlfn.XLOOKUP($B148, DB[samplingPoint], DB[Criteria])</f>
        <v>100</v>
      </c>
      <c r="Q148" s="50" t="str">
        <f t="shared" si="3"/>
        <v>PASSED</v>
      </c>
      <c r="R148" s="38" t="b">
        <v>0</v>
      </c>
      <c r="S148" s="32" t="s">
        <v>592</v>
      </c>
      <c r="T148" s="39" t="s">
        <v>386</v>
      </c>
      <c r="U148" s="32" t="s">
        <v>381</v>
      </c>
    </row>
    <row r="149" ht="22.5" customHeight="1">
      <c r="A149" s="26">
        <v>46050.0</v>
      </c>
      <c r="B149" s="39" t="s">
        <v>494</v>
      </c>
      <c r="C149" s="32" t="str">
        <f t="array" ref="C149">_xlfn.XLOOKUP(B149, DB[samplingPoint], DB[samplingTag])</f>
        <v>SV116.17</v>
      </c>
      <c r="D149" s="33" t="s">
        <v>436</v>
      </c>
      <c r="E149" s="38" t="b">
        <v>1</v>
      </c>
      <c r="F149" s="39" t="str">
        <f t="array" ref="F149">_xlfn.XLOOKUP($B149, DB[samplingPoint], DB[noLocation])</f>
        <v>10-4-012</v>
      </c>
      <c r="G149" s="59" t="str">
        <f t="array" ref="G149">_xlfn.XLOOKUP($B149, DB[samplingPoint], DB[building])</f>
        <v>Building 10</v>
      </c>
      <c r="H149" s="40" t="str">
        <f t="array" ref="H149">_xlfn.XLOOKUP($B149, DB[samplingPoint], DB[location])</f>
        <v>CIP SKID-2 FOR BIN WASHING-1</v>
      </c>
      <c r="I149" s="39" t="str">
        <f t="array" ref="I149">_xlfn.XLOOKUP($B149, DB[samplingPoint], DB[waterType])</f>
        <v>PW</v>
      </c>
      <c r="J149" s="43">
        <f t="shared" si="1"/>
        <v>46051</v>
      </c>
      <c r="K149" s="26">
        <v>46055.0</v>
      </c>
      <c r="L149" s="32">
        <v>0.0</v>
      </c>
      <c r="M149" s="32">
        <v>0.0</v>
      </c>
      <c r="N149" s="32">
        <f t="shared" si="2"/>
        <v>0</v>
      </c>
      <c r="O149" s="49" t="s">
        <v>376</v>
      </c>
      <c r="P149" s="32">
        <f t="array" ref="P149">_xlfn.XLOOKUP($B149, DB[samplingPoint], DB[Criteria])</f>
        <v>100</v>
      </c>
      <c r="Q149" s="50" t="str">
        <f t="shared" si="3"/>
        <v>PASSED</v>
      </c>
      <c r="R149" s="38" t="b">
        <v>0</v>
      </c>
      <c r="S149" s="32" t="s">
        <v>592</v>
      </c>
      <c r="T149" s="39" t="s">
        <v>386</v>
      </c>
      <c r="U149" s="32" t="s">
        <v>381</v>
      </c>
    </row>
    <row r="150" ht="22.5" customHeight="1">
      <c r="A150" s="26">
        <v>46050.0</v>
      </c>
      <c r="B150" s="39" t="s">
        <v>495</v>
      </c>
      <c r="C150" s="32" t="str">
        <f t="array" ref="C150">_xlfn.XLOOKUP(B150, DB[samplingPoint], DB[samplingTag])</f>
        <v>SV116.18</v>
      </c>
      <c r="D150" s="33" t="s">
        <v>436</v>
      </c>
      <c r="E150" s="38" t="b">
        <v>1</v>
      </c>
      <c r="F150" s="39" t="str">
        <f t="array" ref="F150">_xlfn.XLOOKUP($B150, DB[samplingPoint], DB[noLocation])</f>
        <v>10-4-012</v>
      </c>
      <c r="G150" s="59" t="str">
        <f t="array" ref="G150">_xlfn.XLOOKUP($B150, DB[samplingPoint], DB[building])</f>
        <v>Building 10</v>
      </c>
      <c r="H150" s="40" t="str">
        <f t="array" ref="H150">_xlfn.XLOOKUP($B150, DB[samplingPoint], DB[location])</f>
        <v>WIP SKID-1 FOR GRANULATION NON POTENT</v>
      </c>
      <c r="I150" s="39" t="str">
        <f t="array" ref="I150">_xlfn.XLOOKUP($B150, DB[samplingPoint], DB[waterType])</f>
        <v>PW</v>
      </c>
      <c r="J150" s="43">
        <f t="shared" si="1"/>
        <v>46051</v>
      </c>
      <c r="K150" s="26">
        <v>46055.0</v>
      </c>
      <c r="L150" s="32">
        <v>0.0</v>
      </c>
      <c r="M150" s="32">
        <v>0.0</v>
      </c>
      <c r="N150" s="32">
        <f t="shared" si="2"/>
        <v>0</v>
      </c>
      <c r="O150" s="49" t="s">
        <v>376</v>
      </c>
      <c r="P150" s="32">
        <f t="array" ref="P150">_xlfn.XLOOKUP($B150, DB[samplingPoint], DB[Criteria])</f>
        <v>100</v>
      </c>
      <c r="Q150" s="50" t="str">
        <f t="shared" si="3"/>
        <v>PASSED</v>
      </c>
      <c r="R150" s="38" t="b">
        <v>0</v>
      </c>
      <c r="S150" s="32" t="s">
        <v>592</v>
      </c>
      <c r="T150" s="39" t="s">
        <v>386</v>
      </c>
      <c r="U150" s="32" t="s">
        <v>381</v>
      </c>
    </row>
    <row r="151" ht="22.5" customHeight="1">
      <c r="A151" s="26">
        <v>46050.0</v>
      </c>
      <c r="B151" s="39" t="s">
        <v>496</v>
      </c>
      <c r="C151" s="32" t="str">
        <f t="array" ref="C151">_xlfn.XLOOKUP(B151, DB[samplingPoint], DB[samplingTag])</f>
        <v>SV116.19</v>
      </c>
      <c r="D151" s="33" t="s">
        <v>436</v>
      </c>
      <c r="E151" s="38" t="b">
        <v>1</v>
      </c>
      <c r="F151" s="39" t="str">
        <f t="array" ref="F151">_xlfn.XLOOKUP($B151, DB[samplingPoint], DB[noLocation])</f>
        <v>10-4-012</v>
      </c>
      <c r="G151" s="59" t="str">
        <f t="array" ref="G151">_xlfn.XLOOKUP($B151, DB[samplingPoint], DB[building])</f>
        <v>Building 10</v>
      </c>
      <c r="H151" s="40" t="str">
        <f t="array" ref="H151">_xlfn.XLOOKUP($B151, DB[samplingPoint], DB[location])</f>
        <v>WIP SKID-2 FOR GRANULATION NON POTENT</v>
      </c>
      <c r="I151" s="39" t="str">
        <f t="array" ref="I151">_xlfn.XLOOKUP($B151, DB[samplingPoint], DB[waterType])</f>
        <v>PW</v>
      </c>
      <c r="J151" s="43">
        <f t="shared" si="1"/>
        <v>46051</v>
      </c>
      <c r="K151" s="26">
        <v>46055.0</v>
      </c>
      <c r="L151" s="32">
        <v>0.0</v>
      </c>
      <c r="M151" s="32">
        <v>0.0</v>
      </c>
      <c r="N151" s="32">
        <f t="shared" si="2"/>
        <v>0</v>
      </c>
      <c r="O151" s="49" t="s">
        <v>376</v>
      </c>
      <c r="P151" s="32">
        <f t="array" ref="P151">_xlfn.XLOOKUP($B151, DB[samplingPoint], DB[Criteria])</f>
        <v>100</v>
      </c>
      <c r="Q151" s="50" t="str">
        <f t="shared" si="3"/>
        <v>PASSED</v>
      </c>
      <c r="R151" s="38" t="b">
        <v>0</v>
      </c>
      <c r="S151" s="32" t="s">
        <v>592</v>
      </c>
      <c r="T151" s="39" t="s">
        <v>386</v>
      </c>
      <c r="U151" s="32" t="s">
        <v>381</v>
      </c>
    </row>
    <row r="152" ht="22.5" customHeight="1">
      <c r="A152" s="26">
        <v>46050.0</v>
      </c>
      <c r="B152" s="39" t="s">
        <v>390</v>
      </c>
      <c r="C152" s="32" t="str">
        <f t="array" ref="C152">_xlfn.XLOOKUP(B152, DB[samplingPoint], DB[samplingTag])</f>
        <v>SV117.01</v>
      </c>
      <c r="D152" s="33" t="s">
        <v>436</v>
      </c>
      <c r="E152" s="38" t="b">
        <v>1</v>
      </c>
      <c r="F152" s="39" t="str">
        <f t="array" ref="F152">_xlfn.XLOOKUP($B152, DB[samplingPoint], DB[noLocation])</f>
        <v>WATER SYSTEM (B10)</v>
      </c>
      <c r="G152" s="59" t="str">
        <f t="array" ref="G152">_xlfn.XLOOKUP($B152, DB[samplingPoint], DB[building])</f>
        <v>Building 10</v>
      </c>
      <c r="H152" s="40" t="str">
        <f t="array" ref="H152">_xlfn.XLOOKUP($B152, DB[samplingPoint], DB[location])</f>
        <v>Return loop (B10)</v>
      </c>
      <c r="I152" s="39" t="str">
        <f t="array" ref="I152">_xlfn.XLOOKUP($B152, DB[samplingPoint], DB[waterType])</f>
        <v>PW</v>
      </c>
      <c r="J152" s="43">
        <f t="shared" si="1"/>
        <v>46051</v>
      </c>
      <c r="K152" s="26">
        <v>46055.0</v>
      </c>
      <c r="L152" s="32">
        <v>0.0</v>
      </c>
      <c r="M152" s="32">
        <v>0.0</v>
      </c>
      <c r="N152" s="32">
        <f t="shared" si="2"/>
        <v>0</v>
      </c>
      <c r="O152" s="49" t="s">
        <v>376</v>
      </c>
      <c r="P152" s="32">
        <f t="array" ref="P152">_xlfn.XLOOKUP($B152, DB[samplingPoint], DB[Criteria])</f>
        <v>100</v>
      </c>
      <c r="Q152" s="50" t="str">
        <f t="shared" si="3"/>
        <v>PASSED</v>
      </c>
      <c r="R152" s="38" t="b">
        <v>0</v>
      </c>
      <c r="S152" s="32" t="s">
        <v>592</v>
      </c>
      <c r="T152" s="39" t="s">
        <v>386</v>
      </c>
      <c r="U152" s="32" t="s">
        <v>381</v>
      </c>
    </row>
    <row r="153" ht="22.5" customHeight="1">
      <c r="A153" s="26">
        <v>46056.0</v>
      </c>
      <c r="B153" s="39" t="s">
        <v>447</v>
      </c>
      <c r="C153" s="32" t="str">
        <f t="array" ref="C153">_xlfn.XLOOKUP(B153, DB[samplingPoint], DB[samplingTag])</f>
        <v>DV126.01</v>
      </c>
      <c r="D153" s="33" t="s">
        <v>375</v>
      </c>
      <c r="E153" s="38" t="b">
        <v>1</v>
      </c>
      <c r="F153" s="39" t="str">
        <f t="array" ref="F153">_xlfn.XLOOKUP($B153, DB[samplingPoint], DB[noLocation])</f>
        <v>16-1-082</v>
      </c>
      <c r="G153" s="59" t="str">
        <f t="array" ref="G153">_xlfn.XLOOKUP($B153, DB[samplingPoint], DB[building])</f>
        <v>Building 16</v>
      </c>
      <c r="H153" s="40" t="str">
        <f t="array" ref="H153">_xlfn.XLOOKUP($B153, DB[samplingPoint], DB[location])</f>
        <v>WASHING</v>
      </c>
      <c r="I153" s="39" t="str">
        <f t="array" ref="I153">_xlfn.XLOOKUP($B153, DB[samplingPoint], DB[waterType])</f>
        <v>PW</v>
      </c>
      <c r="J153" s="43">
        <f t="shared" si="1"/>
        <v>46057</v>
      </c>
      <c r="K153" s="26">
        <v>46060.0</v>
      </c>
      <c r="L153" s="32">
        <v>0.0</v>
      </c>
      <c r="M153" s="32">
        <v>0.0</v>
      </c>
      <c r="N153" s="32">
        <f t="shared" si="2"/>
        <v>0</v>
      </c>
      <c r="O153" s="49" t="s">
        <v>376</v>
      </c>
      <c r="P153" s="32">
        <f t="array" ref="P153">_xlfn.XLOOKUP($B153, DB[samplingPoint], DB[Criteria])</f>
        <v>100</v>
      </c>
      <c r="Q153" s="50" t="str">
        <f t="shared" si="3"/>
        <v>PASSED</v>
      </c>
      <c r="R153" s="38" t="b">
        <v>0</v>
      </c>
      <c r="S153" s="32" t="s">
        <v>598</v>
      </c>
      <c r="T153" s="39" t="s">
        <v>386</v>
      </c>
      <c r="U153" s="32" t="s">
        <v>381</v>
      </c>
    </row>
    <row r="154" ht="22.5" customHeight="1">
      <c r="A154" s="26">
        <v>46056.0</v>
      </c>
      <c r="B154" s="39" t="s">
        <v>451</v>
      </c>
      <c r="C154" s="32" t="str">
        <f t="array" ref="C154">_xlfn.XLOOKUP(B154, DB[samplingPoint], DB[samplingTag])</f>
        <v>DV126.02</v>
      </c>
      <c r="D154" s="33" t="s">
        <v>375</v>
      </c>
      <c r="E154" s="38" t="b">
        <v>1</v>
      </c>
      <c r="F154" s="39" t="str">
        <f t="array" ref="F154">_xlfn.XLOOKUP($B154, DB[samplingPoint], DB[noLocation])</f>
        <v>16-1-082</v>
      </c>
      <c r="G154" s="59" t="str">
        <f t="array" ref="G154">_xlfn.XLOOKUP($B154, DB[samplingPoint], DB[building])</f>
        <v>Building 16</v>
      </c>
      <c r="H154" s="40" t="str">
        <f t="array" ref="H154">_xlfn.XLOOKUP($B154, DB[samplingPoint], DB[location])</f>
        <v>WASHING</v>
      </c>
      <c r="I154" s="39" t="str">
        <f t="array" ref="I154">_xlfn.XLOOKUP($B154, DB[samplingPoint], DB[waterType])</f>
        <v>PW</v>
      </c>
      <c r="J154" s="43">
        <f t="shared" si="1"/>
        <v>46057</v>
      </c>
      <c r="K154" s="26">
        <v>46060.0</v>
      </c>
      <c r="L154" s="32">
        <v>0.0</v>
      </c>
      <c r="M154" s="32">
        <v>0.0</v>
      </c>
      <c r="N154" s="32">
        <f t="shared" si="2"/>
        <v>0</v>
      </c>
      <c r="O154" s="49" t="s">
        <v>376</v>
      </c>
      <c r="P154" s="32">
        <f t="array" ref="P154">_xlfn.XLOOKUP($B154, DB[samplingPoint], DB[Criteria])</f>
        <v>100</v>
      </c>
      <c r="Q154" s="50" t="str">
        <f t="shared" si="3"/>
        <v>PASSED</v>
      </c>
      <c r="R154" s="38" t="b">
        <v>0</v>
      </c>
      <c r="S154" s="32" t="s">
        <v>598</v>
      </c>
      <c r="T154" s="39" t="s">
        <v>386</v>
      </c>
      <c r="U154" s="32" t="s">
        <v>381</v>
      </c>
    </row>
    <row r="155" ht="22.5" customHeight="1">
      <c r="A155" s="26">
        <v>46056.0</v>
      </c>
      <c r="B155" s="39" t="s">
        <v>454</v>
      </c>
      <c r="C155" s="32" t="str">
        <f t="array" ref="C155">_xlfn.XLOOKUP(B155, DB[samplingPoint], DB[samplingTag])</f>
        <v>DV126.03</v>
      </c>
      <c r="D155" s="33" t="s">
        <v>375</v>
      </c>
      <c r="E155" s="38" t="b">
        <v>1</v>
      </c>
      <c r="F155" s="39" t="str">
        <f t="array" ref="F155">_xlfn.XLOOKUP($B155, DB[samplingPoint], DB[noLocation])</f>
        <v>16-1-098</v>
      </c>
      <c r="G155" s="59" t="str">
        <f t="array" ref="G155">_xlfn.XLOOKUP($B155, DB[samplingPoint], DB[building])</f>
        <v>Building 16</v>
      </c>
      <c r="H155" s="40" t="str">
        <f t="array" ref="H155">_xlfn.XLOOKUP($B155, DB[samplingPoint], DB[location])</f>
        <v>CIP/SIP (SINK WASHING)</v>
      </c>
      <c r="I155" s="39" t="str">
        <f t="array" ref="I155">_xlfn.XLOOKUP($B155, DB[samplingPoint], DB[waterType])</f>
        <v>PW</v>
      </c>
      <c r="J155" s="43">
        <f t="shared" si="1"/>
        <v>46057</v>
      </c>
      <c r="K155" s="26">
        <v>46060.0</v>
      </c>
      <c r="L155" s="32">
        <v>0.0</v>
      </c>
      <c r="M155" s="32">
        <v>0.0</v>
      </c>
      <c r="N155" s="32">
        <f t="shared" si="2"/>
        <v>0</v>
      </c>
      <c r="O155" s="49" t="s">
        <v>376</v>
      </c>
      <c r="P155" s="32">
        <f t="array" ref="P155">_xlfn.XLOOKUP($B155, DB[samplingPoint], DB[Criteria])</f>
        <v>100</v>
      </c>
      <c r="Q155" s="50" t="str">
        <f t="shared" si="3"/>
        <v>PASSED</v>
      </c>
      <c r="R155" s="38" t="b">
        <v>0</v>
      </c>
      <c r="S155" s="32" t="s">
        <v>598</v>
      </c>
      <c r="T155" s="39" t="s">
        <v>386</v>
      </c>
      <c r="U155" s="32" t="s">
        <v>381</v>
      </c>
    </row>
    <row r="156" ht="22.5" customHeight="1">
      <c r="A156" s="26">
        <v>46056.0</v>
      </c>
      <c r="B156" s="39" t="s">
        <v>457</v>
      </c>
      <c r="C156" s="32" t="str">
        <f t="array" ref="C156">_xlfn.XLOOKUP(B156, DB[samplingPoint], DB[samplingTag])</f>
        <v>SV126.01</v>
      </c>
      <c r="D156" s="33" t="s">
        <v>375</v>
      </c>
      <c r="E156" s="38" t="b">
        <v>1</v>
      </c>
      <c r="F156" s="39" t="str">
        <f t="array" ref="F156">_xlfn.XLOOKUP($B156, DB[samplingPoint], DB[noLocation])</f>
        <v>16-1-092</v>
      </c>
      <c r="G156" s="59" t="str">
        <f t="array" ref="G156">_xlfn.XLOOKUP($B156, DB[samplingPoint], DB[building])</f>
        <v>Building 16</v>
      </c>
      <c r="H156" s="40" t="str">
        <f t="array" ref="H156">_xlfn.XLOOKUP($B156, DB[samplingPoint], DB[location])</f>
        <v>LINEN WASHING</v>
      </c>
      <c r="I156" s="39" t="str">
        <f t="array" ref="I156">_xlfn.XLOOKUP($B156, DB[samplingPoint], DB[waterType])</f>
        <v>PW</v>
      </c>
      <c r="J156" s="43">
        <f t="shared" si="1"/>
        <v>46057</v>
      </c>
      <c r="K156" s="26">
        <v>46060.0</v>
      </c>
      <c r="L156" s="32">
        <v>0.0</v>
      </c>
      <c r="M156" s="32">
        <v>0.0</v>
      </c>
      <c r="N156" s="32">
        <f t="shared" si="2"/>
        <v>0</v>
      </c>
      <c r="O156" s="49" t="s">
        <v>376</v>
      </c>
      <c r="P156" s="32">
        <f t="array" ref="P156">_xlfn.XLOOKUP($B156, DB[samplingPoint], DB[Criteria])</f>
        <v>100</v>
      </c>
      <c r="Q156" s="50" t="str">
        <f t="shared" si="3"/>
        <v>PASSED</v>
      </c>
      <c r="R156" s="38" t="b">
        <v>0</v>
      </c>
      <c r="S156" s="32" t="s">
        <v>598</v>
      </c>
      <c r="T156" s="39" t="s">
        <v>386</v>
      </c>
      <c r="U156" s="32" t="s">
        <v>381</v>
      </c>
    </row>
    <row r="157" ht="22.5" customHeight="1">
      <c r="A157" s="26">
        <v>46056.0</v>
      </c>
      <c r="B157" s="39" t="s">
        <v>459</v>
      </c>
      <c r="C157" s="32" t="str">
        <f t="array" ref="C157">_xlfn.XLOOKUP(B157, DB[samplingPoint], DB[samplingTag])</f>
        <v>SV126.02</v>
      </c>
      <c r="D157" s="33" t="s">
        <v>375</v>
      </c>
      <c r="E157" s="38" t="b">
        <v>1</v>
      </c>
      <c r="F157" s="39" t="str">
        <f t="array" ref="F157">_xlfn.XLOOKUP($B157, DB[samplingPoint], DB[noLocation])</f>
        <v>16-1-098</v>
      </c>
      <c r="G157" s="59" t="str">
        <f t="array" ref="G157">_xlfn.XLOOKUP($B157, DB[samplingPoint], DB[building])</f>
        <v>Building 16</v>
      </c>
      <c r="H157" s="40" t="str">
        <f t="array" ref="H157">_xlfn.XLOOKUP($B157, DB[samplingPoint], DB[location])</f>
        <v>CIP/SIP (EQUIPMENT REQUIREMENT – 200L)</v>
      </c>
      <c r="I157" s="39" t="str">
        <f t="array" ref="I157">_xlfn.XLOOKUP($B157, DB[samplingPoint], DB[waterType])</f>
        <v>PW</v>
      </c>
      <c r="J157" s="43">
        <f t="shared" si="1"/>
        <v>46057</v>
      </c>
      <c r="K157" s="26">
        <v>46060.0</v>
      </c>
      <c r="L157" s="32">
        <v>0.0</v>
      </c>
      <c r="M157" s="32">
        <v>0.0</v>
      </c>
      <c r="N157" s="32">
        <f t="shared" si="2"/>
        <v>0</v>
      </c>
      <c r="O157" s="49" t="s">
        <v>376</v>
      </c>
      <c r="P157" s="32">
        <f t="array" ref="P157">_xlfn.XLOOKUP($B157, DB[samplingPoint], DB[Criteria])</f>
        <v>100</v>
      </c>
      <c r="Q157" s="50" t="str">
        <f t="shared" si="3"/>
        <v>PASSED</v>
      </c>
      <c r="R157" s="38" t="b">
        <v>0</v>
      </c>
      <c r="S157" s="32" t="s">
        <v>598</v>
      </c>
      <c r="T157" s="39" t="s">
        <v>386</v>
      </c>
      <c r="U157" s="32" t="s">
        <v>381</v>
      </c>
    </row>
    <row r="158" ht="22.5" customHeight="1">
      <c r="A158" s="26">
        <v>46056.0</v>
      </c>
      <c r="B158" s="39" t="s">
        <v>461</v>
      </c>
      <c r="C158" s="32" t="str">
        <f t="array" ref="C158">_xlfn.XLOOKUP(B158, DB[samplingPoint], DB[samplingTag])</f>
        <v>SV126.03</v>
      </c>
      <c r="D158" s="33" t="s">
        <v>375</v>
      </c>
      <c r="E158" s="38" t="b">
        <v>1</v>
      </c>
      <c r="F158" s="39" t="str">
        <f t="array" ref="F158">_xlfn.XLOOKUP($B158, DB[samplingPoint], DB[noLocation])</f>
        <v>16-2-010</v>
      </c>
      <c r="G158" s="59" t="str">
        <f t="array" ref="G158">_xlfn.XLOOKUP($B158, DB[samplingPoint], DB[building])</f>
        <v>Building 16</v>
      </c>
      <c r="H158" s="40" t="str">
        <f t="array" ref="H158">_xlfn.XLOOKUP($B158, DB[samplingPoint], DB[location])</f>
        <v>WATER SYSTEM (WFI)</v>
      </c>
      <c r="I158" s="39" t="str">
        <f t="array" ref="I158">_xlfn.XLOOKUP($B158, DB[samplingPoint], DB[waterType])</f>
        <v>PW</v>
      </c>
      <c r="J158" s="43">
        <f t="shared" si="1"/>
        <v>46057</v>
      </c>
      <c r="K158" s="26">
        <v>46060.0</v>
      </c>
      <c r="L158" s="32">
        <v>0.0</v>
      </c>
      <c r="M158" s="32">
        <v>0.0</v>
      </c>
      <c r="N158" s="32">
        <f t="shared" si="2"/>
        <v>0</v>
      </c>
      <c r="O158" s="49" t="s">
        <v>376</v>
      </c>
      <c r="P158" s="32">
        <f t="array" ref="P158">_xlfn.XLOOKUP($B158, DB[samplingPoint], DB[Criteria])</f>
        <v>100</v>
      </c>
      <c r="Q158" s="50" t="str">
        <f t="shared" si="3"/>
        <v>PASSED</v>
      </c>
      <c r="R158" s="38" t="b">
        <v>0</v>
      </c>
      <c r="S158" s="32" t="s">
        <v>598</v>
      </c>
      <c r="T158" s="39" t="s">
        <v>386</v>
      </c>
      <c r="U158" s="32" t="s">
        <v>381</v>
      </c>
    </row>
    <row r="159" ht="22.5" customHeight="1">
      <c r="A159" s="26">
        <v>46056.0</v>
      </c>
      <c r="B159" s="39" t="s">
        <v>464</v>
      </c>
      <c r="C159" s="32" t="str">
        <f t="array" ref="C159">_xlfn.XLOOKUP(B159, DB[samplingPoint], DB[samplingTag])</f>
        <v>SV127.01</v>
      </c>
      <c r="D159" s="33" t="s">
        <v>375</v>
      </c>
      <c r="E159" s="38" t="b">
        <v>1</v>
      </c>
      <c r="F159" s="39" t="str">
        <f t="array" ref="F159">_xlfn.XLOOKUP($B159, DB[samplingPoint], DB[noLocation])</f>
        <v>WATER SYSTEM (B16)</v>
      </c>
      <c r="G159" s="59" t="str">
        <f t="array" ref="G159">_xlfn.XLOOKUP($B159, DB[samplingPoint], DB[building])</f>
        <v>Building 16</v>
      </c>
      <c r="H159" s="40" t="str">
        <f t="array" ref="H159">_xlfn.XLOOKUP($B159, DB[samplingPoint], DB[location])</f>
        <v>Return loop (B16)</v>
      </c>
      <c r="I159" s="39" t="str">
        <f t="array" ref="I159">_xlfn.XLOOKUP($B159, DB[samplingPoint], DB[waterType])</f>
        <v>PW</v>
      </c>
      <c r="J159" s="43">
        <f t="shared" si="1"/>
        <v>46057</v>
      </c>
      <c r="K159" s="26">
        <v>46060.0</v>
      </c>
      <c r="L159" s="32">
        <v>0.0</v>
      </c>
      <c r="M159" s="32">
        <v>0.0</v>
      </c>
      <c r="N159" s="32">
        <f t="shared" si="2"/>
        <v>0</v>
      </c>
      <c r="O159" s="49" t="s">
        <v>376</v>
      </c>
      <c r="P159" s="32">
        <f t="array" ref="P159">_xlfn.XLOOKUP($B159, DB[samplingPoint], DB[Criteria])</f>
        <v>100</v>
      </c>
      <c r="Q159" s="50" t="str">
        <f t="shared" si="3"/>
        <v>PASSED</v>
      </c>
      <c r="R159" s="38" t="b">
        <v>0</v>
      </c>
      <c r="S159" s="32" t="s">
        <v>598</v>
      </c>
      <c r="T159" s="39" t="s">
        <v>386</v>
      </c>
      <c r="U159" s="32" t="s">
        <v>381</v>
      </c>
    </row>
    <row r="160" ht="22.5" customHeight="1">
      <c r="A160" s="26">
        <v>46056.0</v>
      </c>
      <c r="B160" s="39" t="s">
        <v>466</v>
      </c>
      <c r="C160" s="32" t="str">
        <f t="array" ref="C160">_xlfn.XLOOKUP(B160, DB[samplingPoint], DB[samplingTag])</f>
        <v>V50-11C (16)</v>
      </c>
      <c r="D160" s="33" t="s">
        <v>375</v>
      </c>
      <c r="E160" s="38" t="b">
        <v>1</v>
      </c>
      <c r="F160" s="39" t="str">
        <f t="array" ref="F160">_xlfn.XLOOKUP($B160, DB[samplingPoint], DB[noLocation])</f>
        <v>WATER SYSTEM (B16)</v>
      </c>
      <c r="G160" s="59" t="str">
        <f t="array" ref="G160">_xlfn.XLOOKUP($B160, DB[samplingPoint], DB[building])</f>
        <v>Building 16</v>
      </c>
      <c r="H160" s="40" t="str">
        <f t="array" ref="H160">_xlfn.XLOOKUP($B160, DB[samplingPoint], DB[location])</f>
        <v>After RO (Before EDI) (B16)</v>
      </c>
      <c r="I160" s="39" t="str">
        <f t="array" ref="I160">_xlfn.XLOOKUP($B160, DB[samplingPoint], DB[waterType])</f>
        <v>RO water</v>
      </c>
      <c r="J160" s="43">
        <f t="shared" si="1"/>
        <v>46057</v>
      </c>
      <c r="K160" s="26">
        <v>46060.0</v>
      </c>
      <c r="L160" s="32">
        <v>0.0</v>
      </c>
      <c r="M160" s="32">
        <v>0.0</v>
      </c>
      <c r="N160" s="32">
        <f t="shared" si="2"/>
        <v>0</v>
      </c>
      <c r="O160" s="49" t="s">
        <v>376</v>
      </c>
      <c r="P160" s="32">
        <f t="array" ref="P160">_xlfn.XLOOKUP($B160, DB[samplingPoint], DB[Criteria])</f>
        <v>500</v>
      </c>
      <c r="Q160" s="50" t="str">
        <f t="shared" si="3"/>
        <v>PASSED</v>
      </c>
      <c r="R160" s="38" t="b">
        <v>0</v>
      </c>
      <c r="S160" s="32" t="s">
        <v>598</v>
      </c>
      <c r="T160" s="39" t="s">
        <v>386</v>
      </c>
      <c r="U160" s="32" t="s">
        <v>381</v>
      </c>
    </row>
    <row r="161" ht="22.5" customHeight="1">
      <c r="A161" s="26">
        <v>46056.0</v>
      </c>
      <c r="B161" s="39" t="s">
        <v>468</v>
      </c>
      <c r="C161" s="32" t="str">
        <f t="array" ref="C161">_xlfn.XLOOKUP(B161, DB[samplingPoint], DB[samplingTag])</f>
        <v>V50-39 (16)</v>
      </c>
      <c r="D161" s="33" t="s">
        <v>375</v>
      </c>
      <c r="E161" s="38" t="b">
        <v>1</v>
      </c>
      <c r="F161" s="39" t="str">
        <f t="array" ref="F161">_xlfn.XLOOKUP($B161, DB[samplingPoint], DB[noLocation])</f>
        <v>WATER SYSTEM (B16)</v>
      </c>
      <c r="G161" s="59" t="str">
        <f t="array" ref="G161">_xlfn.XLOOKUP($B161, DB[samplingPoint], DB[building])</f>
        <v>Building 16</v>
      </c>
      <c r="H161" s="40" t="str">
        <f t="array" ref="H161">_xlfn.XLOOKUP($B161, DB[samplingPoint], DB[location])</f>
        <v>After EDI (B16)</v>
      </c>
      <c r="I161" s="39" t="str">
        <f t="array" ref="I161">_xlfn.XLOOKUP($B161, DB[samplingPoint], DB[waterType])</f>
        <v>PW</v>
      </c>
      <c r="J161" s="43">
        <f t="shared" si="1"/>
        <v>46057</v>
      </c>
      <c r="K161" s="26">
        <v>46060.0</v>
      </c>
      <c r="L161" s="32">
        <v>0.0</v>
      </c>
      <c r="M161" s="32">
        <v>0.0</v>
      </c>
      <c r="N161" s="32">
        <f t="shared" si="2"/>
        <v>0</v>
      </c>
      <c r="O161" s="49" t="s">
        <v>376</v>
      </c>
      <c r="P161" s="32">
        <f t="array" ref="P161">_xlfn.XLOOKUP($B161, DB[samplingPoint], DB[Criteria])</f>
        <v>100</v>
      </c>
      <c r="Q161" s="50" t="str">
        <f t="shared" si="3"/>
        <v>PASSED</v>
      </c>
      <c r="R161" s="38" t="b">
        <v>0</v>
      </c>
      <c r="S161" s="32" t="s">
        <v>598</v>
      </c>
      <c r="T161" s="39" t="s">
        <v>386</v>
      </c>
      <c r="U161" s="32" t="s">
        <v>381</v>
      </c>
    </row>
    <row r="162" ht="22.5" customHeight="1">
      <c r="A162" s="26">
        <v>46056.0</v>
      </c>
      <c r="B162" s="39" t="s">
        <v>470</v>
      </c>
      <c r="C162" s="32" t="str">
        <f t="array" ref="C162">_xlfn.XLOOKUP(B162, DB[samplingPoint], DB[samplingTag])</f>
        <v>V50-61 (16)</v>
      </c>
      <c r="D162" s="33" t="s">
        <v>375</v>
      </c>
      <c r="E162" s="38" t="b">
        <v>1</v>
      </c>
      <c r="F162" s="39" t="str">
        <f t="array" ref="F162">_xlfn.XLOOKUP($B162, DB[samplingPoint], DB[noLocation])</f>
        <v>WATER SYSTEM (B16)</v>
      </c>
      <c r="G162" s="59" t="str">
        <f t="array" ref="G162">_xlfn.XLOOKUP($B162, DB[samplingPoint], DB[building])</f>
        <v>Building 16</v>
      </c>
      <c r="H162" s="40" t="str">
        <f t="array" ref="H162">_xlfn.XLOOKUP($B162, DB[samplingPoint], DB[location])</f>
        <v>After Cartridge filter 5 µm (B16)</v>
      </c>
      <c r="I162" s="39" t="str">
        <f t="array" ref="I162">_xlfn.XLOOKUP($B162, DB[samplingPoint], DB[waterType])</f>
        <v>PRW</v>
      </c>
      <c r="J162" s="43">
        <f t="shared" si="1"/>
        <v>46057</v>
      </c>
      <c r="K162" s="26">
        <v>46060.0</v>
      </c>
      <c r="L162" s="32">
        <v>0.0</v>
      </c>
      <c r="M162" s="32">
        <v>0.0</v>
      </c>
      <c r="N162" s="32">
        <f t="shared" si="2"/>
        <v>0</v>
      </c>
      <c r="O162" s="49" t="s">
        <v>376</v>
      </c>
      <c r="P162" s="32">
        <f t="array" ref="P162">_xlfn.XLOOKUP($B162, DB[samplingPoint], DB[Criteria])</f>
        <v>500</v>
      </c>
      <c r="Q162" s="50" t="str">
        <f t="shared" si="3"/>
        <v>PASSED</v>
      </c>
      <c r="R162" s="38" t="b">
        <v>0</v>
      </c>
      <c r="S162" s="32" t="s">
        <v>598</v>
      </c>
      <c r="T162" s="39" t="s">
        <v>386</v>
      </c>
      <c r="U162" s="32" t="s">
        <v>381</v>
      </c>
    </row>
    <row r="163" ht="22.5" customHeight="1">
      <c r="A163" s="26">
        <v>46056.0</v>
      </c>
      <c r="B163" s="39" t="s">
        <v>471</v>
      </c>
      <c r="C163" s="32" t="str">
        <f t="array" ref="C163">_xlfn.XLOOKUP(B163, DB[samplingPoint], DB[samplingTag])</f>
        <v>VB-05 (16)</v>
      </c>
      <c r="D163" s="33" t="s">
        <v>375</v>
      </c>
      <c r="E163" s="38" t="b">
        <v>1</v>
      </c>
      <c r="F163" s="39" t="str">
        <f t="array" ref="F163">_xlfn.XLOOKUP($B163, DB[samplingPoint], DB[noLocation])</f>
        <v>WATER SYSTEM (B16)</v>
      </c>
      <c r="G163" s="59" t="str">
        <f t="array" ref="G163">_xlfn.XLOOKUP($B163, DB[samplingPoint], DB[building])</f>
        <v>Building 16</v>
      </c>
      <c r="H163" s="40" t="str">
        <f t="array" ref="H163">_xlfn.XLOOKUP($B163, DB[samplingPoint], DB[location])</f>
        <v>After Chlorine circulation tank (B16)</v>
      </c>
      <c r="I163" s="39" t="str">
        <f t="array" ref="I163">_xlfn.XLOOKUP($B163, DB[samplingPoint], DB[waterType])</f>
        <v>PRW</v>
      </c>
      <c r="J163" s="43">
        <f t="shared" si="1"/>
        <v>46057</v>
      </c>
      <c r="K163" s="26">
        <v>46060.0</v>
      </c>
      <c r="L163" s="32">
        <v>0.0</v>
      </c>
      <c r="M163" s="32">
        <v>0.0</v>
      </c>
      <c r="N163" s="32">
        <f t="shared" si="2"/>
        <v>0</v>
      </c>
      <c r="O163" s="49" t="s">
        <v>376</v>
      </c>
      <c r="P163" s="32">
        <f t="array" ref="P163">_xlfn.XLOOKUP($B163, DB[samplingPoint], DB[Criteria])</f>
        <v>500</v>
      </c>
      <c r="Q163" s="50" t="str">
        <f t="shared" si="3"/>
        <v>PASSED</v>
      </c>
      <c r="R163" s="38" t="b">
        <v>0</v>
      </c>
      <c r="S163" s="32" t="s">
        <v>598</v>
      </c>
      <c r="T163" s="39" t="s">
        <v>386</v>
      </c>
      <c r="U163" s="32" t="s">
        <v>381</v>
      </c>
    </row>
    <row r="164" ht="22.5" customHeight="1">
      <c r="A164" s="26">
        <v>46056.0</v>
      </c>
      <c r="B164" s="39" t="s">
        <v>373</v>
      </c>
      <c r="C164" s="32" t="str">
        <f t="array" ref="C164">_xlfn.XLOOKUP(B164, DB[samplingPoint], DB[samplingTag])</f>
        <v>DV136.05</v>
      </c>
      <c r="D164" s="33" t="s">
        <v>375</v>
      </c>
      <c r="E164" s="38" t="b">
        <v>1</v>
      </c>
      <c r="F164" s="39" t="str">
        <f t="array" ref="F164">_xlfn.XLOOKUP($B164, DB[samplingPoint], DB[noLocation])</f>
        <v>12-3-037</v>
      </c>
      <c r="G164" s="59" t="str">
        <f t="array" ref="G164">_xlfn.XLOOKUP($B164, DB[samplingPoint], DB[building])</f>
        <v>Building 12</v>
      </c>
      <c r="H164" s="40" t="str">
        <f t="array" ref="H164">_xlfn.XLOOKUP($B164, DB[samplingPoint], DB[location])</f>
        <v>GLASSWARE WASHING 1</v>
      </c>
      <c r="I164" s="39" t="str">
        <f t="array" ref="I164">_xlfn.XLOOKUP($B164, DB[samplingPoint], DB[waterType])</f>
        <v>PW</v>
      </c>
      <c r="J164" s="43">
        <f t="shared" si="1"/>
        <v>46057</v>
      </c>
      <c r="K164" s="26">
        <v>46060.0</v>
      </c>
      <c r="L164" s="32">
        <v>0.0</v>
      </c>
      <c r="M164" s="32">
        <v>0.0</v>
      </c>
      <c r="N164" s="32">
        <f t="shared" si="2"/>
        <v>0</v>
      </c>
      <c r="O164" s="49" t="s">
        <v>376</v>
      </c>
      <c r="P164" s="32">
        <f t="array" ref="P164">_xlfn.XLOOKUP($B164, DB[samplingPoint], DB[Criteria])</f>
        <v>100</v>
      </c>
      <c r="Q164" s="50" t="str">
        <f t="shared" si="3"/>
        <v>PASSED</v>
      </c>
      <c r="R164" s="38" t="b">
        <v>0</v>
      </c>
      <c r="S164" s="32" t="s">
        <v>604</v>
      </c>
      <c r="T164" s="39" t="s">
        <v>386</v>
      </c>
      <c r="U164" s="32" t="s">
        <v>381</v>
      </c>
    </row>
    <row r="165" ht="22.5" customHeight="1">
      <c r="A165" s="26">
        <v>46056.0</v>
      </c>
      <c r="B165" s="39" t="s">
        <v>389</v>
      </c>
      <c r="C165" s="32" t="str">
        <f t="array" ref="C165">_xlfn.XLOOKUP(B165, DB[samplingPoint], DB[samplingTag])</f>
        <v>DV136.06</v>
      </c>
      <c r="D165" s="33" t="s">
        <v>375</v>
      </c>
      <c r="E165" s="38" t="b">
        <v>1</v>
      </c>
      <c r="F165" s="39" t="str">
        <f t="array" ref="F165">_xlfn.XLOOKUP($B165, DB[samplingPoint], DB[noLocation])</f>
        <v>12-3-037</v>
      </c>
      <c r="G165" s="59" t="str">
        <f t="array" ref="G165">_xlfn.XLOOKUP($B165, DB[samplingPoint], DB[building])</f>
        <v>Building 12</v>
      </c>
      <c r="H165" s="40" t="str">
        <f t="array" ref="H165">_xlfn.XLOOKUP($B165, DB[samplingPoint], DB[location])</f>
        <v>GLASSWARE WASHING 1</v>
      </c>
      <c r="I165" s="39" t="str">
        <f t="array" ref="I165">_xlfn.XLOOKUP($B165, DB[samplingPoint], DB[waterType])</f>
        <v>PW</v>
      </c>
      <c r="J165" s="43">
        <f t="shared" si="1"/>
        <v>46057</v>
      </c>
      <c r="K165" s="26">
        <v>46060.0</v>
      </c>
      <c r="L165" s="32">
        <v>0.0</v>
      </c>
      <c r="M165" s="32">
        <v>0.0</v>
      </c>
      <c r="N165" s="32">
        <f t="shared" si="2"/>
        <v>0</v>
      </c>
      <c r="O165" s="49" t="s">
        <v>376</v>
      </c>
      <c r="P165" s="32">
        <f t="array" ref="P165">_xlfn.XLOOKUP($B165, DB[samplingPoint], DB[Criteria])</f>
        <v>100</v>
      </c>
      <c r="Q165" s="50" t="str">
        <f t="shared" si="3"/>
        <v>PASSED</v>
      </c>
      <c r="R165" s="38" t="b">
        <v>0</v>
      </c>
      <c r="S165" s="32" t="s">
        <v>604</v>
      </c>
      <c r="T165" s="39" t="s">
        <v>386</v>
      </c>
      <c r="U165" s="32" t="s">
        <v>381</v>
      </c>
    </row>
    <row r="166" ht="22.5" customHeight="1">
      <c r="A166" s="26">
        <v>46056.0</v>
      </c>
      <c r="B166" s="39" t="s">
        <v>393</v>
      </c>
      <c r="C166" s="32" t="str">
        <f t="array" ref="C166">_xlfn.XLOOKUP(B166, DB[samplingPoint], DB[samplingTag])</f>
        <v>DV136.10</v>
      </c>
      <c r="D166" s="33" t="s">
        <v>375</v>
      </c>
      <c r="E166" s="38" t="b">
        <v>1</v>
      </c>
      <c r="F166" s="39" t="str">
        <f t="array" ref="F166">_xlfn.XLOOKUP($B166, DB[samplingPoint], DB[noLocation])</f>
        <v>12-3-056</v>
      </c>
      <c r="G166" s="59" t="str">
        <f t="array" ref="G166">_xlfn.XLOOKUP($B166, DB[samplingPoint], DB[building])</f>
        <v>Building 12</v>
      </c>
      <c r="H166" s="40" t="str">
        <f t="array" ref="H166">_xlfn.XLOOKUP($B166, DB[samplingPoint], DB[location])</f>
        <v>MEDIA PREPARATION</v>
      </c>
      <c r="I166" s="39" t="str">
        <f t="array" ref="I166">_xlfn.XLOOKUP($B166, DB[samplingPoint], DB[waterType])</f>
        <v>PW</v>
      </c>
      <c r="J166" s="43">
        <f t="shared" si="1"/>
        <v>46057</v>
      </c>
      <c r="K166" s="26">
        <v>46060.0</v>
      </c>
      <c r="L166" s="32">
        <v>0.0</v>
      </c>
      <c r="M166" s="32">
        <v>0.0</v>
      </c>
      <c r="N166" s="32">
        <f t="shared" si="2"/>
        <v>0</v>
      </c>
      <c r="O166" s="49" t="s">
        <v>376</v>
      </c>
      <c r="P166" s="32">
        <f t="array" ref="P166">_xlfn.XLOOKUP($B166, DB[samplingPoint], DB[Criteria])</f>
        <v>100</v>
      </c>
      <c r="Q166" s="50" t="str">
        <f t="shared" si="3"/>
        <v>PASSED</v>
      </c>
      <c r="R166" s="38" t="b">
        <v>0</v>
      </c>
      <c r="S166" s="32" t="s">
        <v>604</v>
      </c>
      <c r="T166" s="39" t="s">
        <v>386</v>
      </c>
      <c r="U166" s="32" t="s">
        <v>381</v>
      </c>
    </row>
    <row r="167" ht="22.5" customHeight="1">
      <c r="A167" s="26">
        <v>46056.0</v>
      </c>
      <c r="B167" s="39" t="s">
        <v>399</v>
      </c>
      <c r="C167" s="32" t="str">
        <f t="array" ref="C167">_xlfn.XLOOKUP(B167, DB[samplingPoint], DB[samplingTag])</f>
        <v>DV136.11</v>
      </c>
      <c r="D167" s="33" t="s">
        <v>375</v>
      </c>
      <c r="E167" s="38" t="b">
        <v>1</v>
      </c>
      <c r="F167" s="39" t="str">
        <f t="array" ref="F167">_xlfn.XLOOKUP($B167, DB[samplingPoint], DB[noLocation])</f>
        <v>12-3-059</v>
      </c>
      <c r="G167" s="59" t="str">
        <f t="array" ref="G167">_xlfn.XLOOKUP($B167, DB[samplingPoint], DB[building])</f>
        <v>Building 12</v>
      </c>
      <c r="H167" s="40" t="str">
        <f t="array" ref="H167">_xlfn.XLOOKUP($B167, DB[samplingPoint], DB[location])</f>
        <v>AUTOCLAVE</v>
      </c>
      <c r="I167" s="39" t="str">
        <f t="array" ref="I167">_xlfn.XLOOKUP($B167, DB[samplingPoint], DB[waterType])</f>
        <v>PW</v>
      </c>
      <c r="J167" s="43">
        <f t="shared" si="1"/>
        <v>46057</v>
      </c>
      <c r="K167" s="26">
        <v>46060.0</v>
      </c>
      <c r="L167" s="32">
        <v>0.0</v>
      </c>
      <c r="M167" s="32">
        <v>0.0</v>
      </c>
      <c r="N167" s="32">
        <f t="shared" si="2"/>
        <v>0</v>
      </c>
      <c r="O167" s="49" t="s">
        <v>376</v>
      </c>
      <c r="P167" s="32">
        <f t="array" ref="P167">_xlfn.XLOOKUP($B167, DB[samplingPoint], DB[Criteria])</f>
        <v>100</v>
      </c>
      <c r="Q167" s="50" t="str">
        <f t="shared" si="3"/>
        <v>PASSED</v>
      </c>
      <c r="R167" s="38" t="b">
        <v>0</v>
      </c>
      <c r="S167" s="32" t="s">
        <v>604</v>
      </c>
      <c r="T167" s="39" t="s">
        <v>386</v>
      </c>
      <c r="U167" s="32" t="s">
        <v>381</v>
      </c>
    </row>
    <row r="168" ht="22.5" customHeight="1">
      <c r="A168" s="26">
        <v>46056.0</v>
      </c>
      <c r="B168" s="39" t="s">
        <v>405</v>
      </c>
      <c r="C168" s="32" t="str">
        <f t="array" ref="C168">_xlfn.XLOOKUP(B168, DB[samplingPoint], DB[samplingTag])</f>
        <v>DV136.12</v>
      </c>
      <c r="D168" s="33" t="s">
        <v>375</v>
      </c>
      <c r="E168" s="38" t="b">
        <v>1</v>
      </c>
      <c r="F168" s="39" t="str">
        <f t="array" ref="F168">_xlfn.XLOOKUP($B168, DB[samplingPoint], DB[noLocation])</f>
        <v>12-3-056</v>
      </c>
      <c r="G168" s="59" t="str">
        <f t="array" ref="G168">_xlfn.XLOOKUP($B168, DB[samplingPoint], DB[building])</f>
        <v>Building 12</v>
      </c>
      <c r="H168" s="40" t="str">
        <f t="array" ref="H168">_xlfn.XLOOKUP($B168, DB[samplingPoint], DB[location])</f>
        <v>MEDIA PREPARATION</v>
      </c>
      <c r="I168" s="39" t="str">
        <f t="array" ref="I168">_xlfn.XLOOKUP($B168, DB[samplingPoint], DB[waterType])</f>
        <v>PW</v>
      </c>
      <c r="J168" s="43">
        <f t="shared" si="1"/>
        <v>46057</v>
      </c>
      <c r="K168" s="26">
        <v>46060.0</v>
      </c>
      <c r="L168" s="32">
        <v>0.0</v>
      </c>
      <c r="M168" s="32">
        <v>0.0</v>
      </c>
      <c r="N168" s="32">
        <f t="shared" si="2"/>
        <v>0</v>
      </c>
      <c r="O168" s="49" t="s">
        <v>376</v>
      </c>
      <c r="P168" s="32">
        <f t="array" ref="P168">_xlfn.XLOOKUP($B168, DB[samplingPoint], DB[Criteria])</f>
        <v>100</v>
      </c>
      <c r="Q168" s="50" t="str">
        <f t="shared" si="3"/>
        <v>PASSED</v>
      </c>
      <c r="R168" s="38" t="b">
        <v>0</v>
      </c>
      <c r="S168" s="32" t="s">
        <v>604</v>
      </c>
      <c r="T168" s="39" t="s">
        <v>386</v>
      </c>
      <c r="U168" s="32" t="s">
        <v>381</v>
      </c>
    </row>
    <row r="169" ht="22.5" customHeight="1">
      <c r="A169" s="26">
        <v>46056.0</v>
      </c>
      <c r="B169" s="39" t="s">
        <v>409</v>
      </c>
      <c r="C169" s="32" t="str">
        <f t="array" ref="C169">_xlfn.XLOOKUP(B169, DB[samplingPoint], DB[samplingTag])</f>
        <v>DV136.13</v>
      </c>
      <c r="D169" s="33" t="s">
        <v>375</v>
      </c>
      <c r="E169" s="38" t="b">
        <v>1</v>
      </c>
      <c r="F169" s="39" t="str">
        <f t="array" ref="F169">_xlfn.XLOOKUP($B169, DB[samplingPoint], DB[noLocation])</f>
        <v>12-3-057</v>
      </c>
      <c r="G169" s="59" t="str">
        <f t="array" ref="G169">_xlfn.XLOOKUP($B169, DB[samplingPoint], DB[building])</f>
        <v>Building 12</v>
      </c>
      <c r="H169" s="40" t="str">
        <f t="array" ref="H169">_xlfn.XLOOKUP($B169, DB[samplingPoint], DB[location])</f>
        <v>STERILIZATION</v>
      </c>
      <c r="I169" s="39" t="str">
        <f t="array" ref="I169">_xlfn.XLOOKUP($B169, DB[samplingPoint], DB[waterType])</f>
        <v>PW</v>
      </c>
      <c r="J169" s="43">
        <f t="shared" si="1"/>
        <v>46057</v>
      </c>
      <c r="K169" s="26">
        <v>46060.0</v>
      </c>
      <c r="L169" s="32">
        <v>0.0</v>
      </c>
      <c r="M169" s="32">
        <v>0.0</v>
      </c>
      <c r="N169" s="32">
        <f t="shared" si="2"/>
        <v>0</v>
      </c>
      <c r="O169" s="49" t="s">
        <v>376</v>
      </c>
      <c r="P169" s="32">
        <f t="array" ref="P169">_xlfn.XLOOKUP($B169, DB[samplingPoint], DB[Criteria])</f>
        <v>100</v>
      </c>
      <c r="Q169" s="50" t="str">
        <f t="shared" si="3"/>
        <v>PASSED</v>
      </c>
      <c r="R169" s="38" t="b">
        <v>0</v>
      </c>
      <c r="S169" s="32" t="s">
        <v>604</v>
      </c>
      <c r="T169" s="39" t="s">
        <v>386</v>
      </c>
      <c r="U169" s="32" t="s">
        <v>381</v>
      </c>
    </row>
    <row r="170" ht="22.5" customHeight="1">
      <c r="A170" s="26">
        <v>46056.0</v>
      </c>
      <c r="B170" s="39" t="s">
        <v>413</v>
      </c>
      <c r="C170" s="32" t="str">
        <f t="array" ref="C170">_xlfn.XLOOKUP(B170, DB[samplingPoint], DB[samplingTag])</f>
        <v>DV136.14</v>
      </c>
      <c r="D170" s="33" t="s">
        <v>375</v>
      </c>
      <c r="E170" s="38" t="b">
        <v>1</v>
      </c>
      <c r="F170" s="39" t="str">
        <f t="array" ref="F170">_xlfn.XLOOKUP($B170, DB[samplingPoint], DB[noLocation])</f>
        <v>12-3-074</v>
      </c>
      <c r="G170" s="59" t="str">
        <f t="array" ref="G170">_xlfn.XLOOKUP($B170, DB[samplingPoint], DB[building])</f>
        <v>Building 12</v>
      </c>
      <c r="H170" s="40" t="str">
        <f t="array" ref="H170">_xlfn.XLOOKUP($B170, DB[samplingPoint], DB[location])</f>
        <v>DECONTAMINATION</v>
      </c>
      <c r="I170" s="39" t="str">
        <f t="array" ref="I170">_xlfn.XLOOKUP($B170, DB[samplingPoint], DB[waterType])</f>
        <v>PW</v>
      </c>
      <c r="J170" s="43">
        <f t="shared" si="1"/>
        <v>46057</v>
      </c>
      <c r="K170" s="26">
        <v>46060.0</v>
      </c>
      <c r="L170" s="32">
        <v>0.0</v>
      </c>
      <c r="M170" s="32">
        <v>0.0</v>
      </c>
      <c r="N170" s="32">
        <f t="shared" si="2"/>
        <v>0</v>
      </c>
      <c r="O170" s="49" t="s">
        <v>376</v>
      </c>
      <c r="P170" s="32">
        <f t="array" ref="P170">_xlfn.XLOOKUP($B170, DB[samplingPoint], DB[Criteria])</f>
        <v>100</v>
      </c>
      <c r="Q170" s="50" t="str">
        <f t="shared" si="3"/>
        <v>PASSED</v>
      </c>
      <c r="R170" s="38" t="b">
        <v>0</v>
      </c>
      <c r="S170" s="32" t="s">
        <v>604</v>
      </c>
      <c r="T170" s="39" t="s">
        <v>386</v>
      </c>
      <c r="U170" s="32" t="s">
        <v>381</v>
      </c>
    </row>
    <row r="171" ht="22.5" customHeight="1">
      <c r="A171" s="26">
        <v>46056.0</v>
      </c>
      <c r="B171" s="39" t="s">
        <v>419</v>
      </c>
      <c r="C171" s="32" t="str">
        <f t="array" ref="C171">_xlfn.XLOOKUP(B171, DB[samplingPoint], DB[samplingTag])</f>
        <v>DV136.15</v>
      </c>
      <c r="D171" s="33" t="s">
        <v>375</v>
      </c>
      <c r="E171" s="38" t="b">
        <v>1</v>
      </c>
      <c r="F171" s="39" t="str">
        <f t="array" ref="F171">_xlfn.XLOOKUP($B171, DB[samplingPoint], DB[noLocation])</f>
        <v>12-3-078</v>
      </c>
      <c r="G171" s="59" t="str">
        <f t="array" ref="G171">_xlfn.XLOOKUP($B171, DB[samplingPoint], DB[building])</f>
        <v>Building 12</v>
      </c>
      <c r="H171" s="40" t="str">
        <f t="array" ref="H171">_xlfn.XLOOKUP($B171, DB[samplingPoint], DB[location])</f>
        <v>GLASSWARE WASHING 2</v>
      </c>
      <c r="I171" s="39" t="str">
        <f t="array" ref="I171">_xlfn.XLOOKUP($B171, DB[samplingPoint], DB[waterType])</f>
        <v>PW</v>
      </c>
      <c r="J171" s="43">
        <f t="shared" si="1"/>
        <v>46057</v>
      </c>
      <c r="K171" s="26">
        <v>46060.0</v>
      </c>
      <c r="L171" s="32">
        <v>0.0</v>
      </c>
      <c r="M171" s="32">
        <v>0.0</v>
      </c>
      <c r="N171" s="32">
        <f t="shared" si="2"/>
        <v>0</v>
      </c>
      <c r="O171" s="49" t="s">
        <v>376</v>
      </c>
      <c r="P171" s="32">
        <f t="array" ref="P171">_xlfn.XLOOKUP($B171, DB[samplingPoint], DB[Criteria])</f>
        <v>100</v>
      </c>
      <c r="Q171" s="50" t="str">
        <f t="shared" si="3"/>
        <v>PASSED</v>
      </c>
      <c r="R171" s="38" t="b">
        <v>0</v>
      </c>
      <c r="S171" s="32" t="s">
        <v>604</v>
      </c>
      <c r="T171" s="39" t="s">
        <v>386</v>
      </c>
      <c r="U171" s="32" t="s">
        <v>381</v>
      </c>
    </row>
    <row r="172" ht="22.5" customHeight="1">
      <c r="A172" s="26">
        <v>46056.0</v>
      </c>
      <c r="B172" s="39" t="s">
        <v>422</v>
      </c>
      <c r="C172" s="32" t="str">
        <f t="array" ref="C172">_xlfn.XLOOKUP(B172, DB[samplingPoint], DB[samplingTag])</f>
        <v>DV136.18</v>
      </c>
      <c r="D172" s="33" t="s">
        <v>375</v>
      </c>
      <c r="E172" s="38" t="b">
        <v>1</v>
      </c>
      <c r="F172" s="39" t="str">
        <f t="array" ref="F172">_xlfn.XLOOKUP($B172, DB[samplingPoint], DB[noLocation])</f>
        <v>12-3-037</v>
      </c>
      <c r="G172" s="59" t="str">
        <f t="array" ref="G172">_xlfn.XLOOKUP($B172, DB[samplingPoint], DB[building])</f>
        <v>Building 12</v>
      </c>
      <c r="H172" s="40" t="str">
        <f t="array" ref="H172">_xlfn.XLOOKUP($B172, DB[samplingPoint], DB[location])</f>
        <v>GLASSWARE WASHING 1</v>
      </c>
      <c r="I172" s="39" t="str">
        <f t="array" ref="I172">_xlfn.XLOOKUP($B172, DB[samplingPoint], DB[waterType])</f>
        <v>PW</v>
      </c>
      <c r="J172" s="43">
        <f t="shared" si="1"/>
        <v>46057</v>
      </c>
      <c r="K172" s="26">
        <v>46060.0</v>
      </c>
      <c r="L172" s="32">
        <v>0.0</v>
      </c>
      <c r="M172" s="32">
        <v>0.0</v>
      </c>
      <c r="N172" s="32">
        <f t="shared" si="2"/>
        <v>0</v>
      </c>
      <c r="O172" s="49" t="s">
        <v>376</v>
      </c>
      <c r="P172" s="32">
        <f t="array" ref="P172">_xlfn.XLOOKUP($B172, DB[samplingPoint], DB[Criteria])</f>
        <v>100</v>
      </c>
      <c r="Q172" s="50" t="str">
        <f t="shared" si="3"/>
        <v>PASSED</v>
      </c>
      <c r="R172" s="38" t="b">
        <v>0</v>
      </c>
      <c r="S172" s="32" t="s">
        <v>604</v>
      </c>
      <c r="T172" s="39" t="s">
        <v>386</v>
      </c>
      <c r="U172" s="32" t="s">
        <v>381</v>
      </c>
    </row>
    <row r="173" ht="22.5" customHeight="1">
      <c r="A173" s="26">
        <v>46056.0</v>
      </c>
      <c r="B173" s="39" t="s">
        <v>427</v>
      </c>
      <c r="C173" s="32" t="str">
        <f t="array" ref="C173">_xlfn.XLOOKUP(B173, DB[samplingPoint], DB[samplingTag])</f>
        <v>SV136.18</v>
      </c>
      <c r="D173" s="33" t="s">
        <v>375</v>
      </c>
      <c r="E173" s="38" t="b">
        <v>1</v>
      </c>
      <c r="F173" s="39" t="str">
        <f t="array" ref="F173">_xlfn.XLOOKUP($B173, DB[samplingPoint], DB[noLocation])</f>
        <v>12-3-059</v>
      </c>
      <c r="G173" s="59" t="str">
        <f t="array" ref="G173">_xlfn.XLOOKUP($B173, DB[samplingPoint], DB[building])</f>
        <v>Building 12</v>
      </c>
      <c r="H173" s="40" t="str">
        <f t="array" ref="H173">_xlfn.XLOOKUP($B173, DB[samplingPoint], DB[location])</f>
        <v>AUTOCLAVE</v>
      </c>
      <c r="I173" s="39" t="str">
        <f t="array" ref="I173">_xlfn.XLOOKUP($B173, DB[samplingPoint], DB[waterType])</f>
        <v>PW</v>
      </c>
      <c r="J173" s="43">
        <f t="shared" si="1"/>
        <v>46057</v>
      </c>
      <c r="K173" s="26">
        <v>46060.0</v>
      </c>
      <c r="L173" s="32">
        <v>0.0</v>
      </c>
      <c r="M173" s="32">
        <v>0.0</v>
      </c>
      <c r="N173" s="32">
        <f t="shared" si="2"/>
        <v>0</v>
      </c>
      <c r="O173" s="49" t="s">
        <v>376</v>
      </c>
      <c r="P173" s="32">
        <f t="array" ref="P173">_xlfn.XLOOKUP($B173, DB[samplingPoint], DB[Criteria])</f>
        <v>100</v>
      </c>
      <c r="Q173" s="50" t="str">
        <f t="shared" si="3"/>
        <v>PASSED</v>
      </c>
      <c r="R173" s="38" t="b">
        <v>0</v>
      </c>
      <c r="S173" s="32" t="s">
        <v>604</v>
      </c>
      <c r="T173" s="39" t="s">
        <v>386</v>
      </c>
      <c r="U173" s="32" t="s">
        <v>381</v>
      </c>
    </row>
    <row r="174" ht="22.5" customHeight="1">
      <c r="A174" s="26">
        <v>46056.0</v>
      </c>
      <c r="B174" s="39" t="s">
        <v>430</v>
      </c>
      <c r="C174" s="32" t="str">
        <f t="array" ref="C174">_xlfn.XLOOKUP(B174, DB[samplingPoint], DB[samplingTag])</f>
        <v>SV137.01</v>
      </c>
      <c r="D174" s="33" t="s">
        <v>375</v>
      </c>
      <c r="E174" s="38" t="b">
        <v>1</v>
      </c>
      <c r="F174" s="39" t="str">
        <f t="array" ref="F174">_xlfn.XLOOKUP($B174, DB[samplingPoint], DB[noLocation])</f>
        <v>WATER SYSTEM (B12)</v>
      </c>
      <c r="G174" s="59" t="str">
        <f t="array" ref="G174">_xlfn.XLOOKUP($B174, DB[samplingPoint], DB[building])</f>
        <v>Building 12</v>
      </c>
      <c r="H174" s="40" t="str">
        <f t="array" ref="H174">_xlfn.XLOOKUP($B174, DB[samplingPoint], DB[location])</f>
        <v>Return loop (B12)</v>
      </c>
      <c r="I174" s="39" t="str">
        <f t="array" ref="I174">_xlfn.XLOOKUP($B174, DB[samplingPoint], DB[waterType])</f>
        <v>PW</v>
      </c>
      <c r="J174" s="43">
        <f t="shared" si="1"/>
        <v>46057</v>
      </c>
      <c r="K174" s="26">
        <v>46060.0</v>
      </c>
      <c r="L174" s="32">
        <v>0.0</v>
      </c>
      <c r="M174" s="32">
        <v>0.0</v>
      </c>
      <c r="N174" s="32">
        <f t="shared" si="2"/>
        <v>0</v>
      </c>
      <c r="O174" s="49" t="s">
        <v>376</v>
      </c>
      <c r="P174" s="32">
        <f t="array" ref="P174">_xlfn.XLOOKUP($B174, DB[samplingPoint], DB[Criteria])</f>
        <v>100</v>
      </c>
      <c r="Q174" s="50" t="str">
        <f t="shared" si="3"/>
        <v>PASSED</v>
      </c>
      <c r="R174" s="38" t="b">
        <v>0</v>
      </c>
      <c r="S174" s="32" t="s">
        <v>604</v>
      </c>
      <c r="T174" s="39" t="s">
        <v>386</v>
      </c>
      <c r="U174" s="32" t="s">
        <v>381</v>
      </c>
    </row>
    <row r="175" ht="22.5" customHeight="1">
      <c r="A175" s="26">
        <v>46056.0</v>
      </c>
      <c r="B175" s="39" t="s">
        <v>434</v>
      </c>
      <c r="C175" s="32" t="str">
        <f t="array" ref="C175">_xlfn.XLOOKUP(B175, DB[samplingPoint], DB[samplingTag])</f>
        <v>V50-11C (12)</v>
      </c>
      <c r="D175" s="33" t="s">
        <v>375</v>
      </c>
      <c r="E175" s="38" t="b">
        <v>1</v>
      </c>
      <c r="F175" s="39" t="str">
        <f t="array" ref="F175">_xlfn.XLOOKUP($B175, DB[samplingPoint], DB[noLocation])</f>
        <v>WATER SYSTEM (B12)</v>
      </c>
      <c r="G175" s="59" t="str">
        <f t="array" ref="G175">_xlfn.XLOOKUP($B175, DB[samplingPoint], DB[building])</f>
        <v>Building 12</v>
      </c>
      <c r="H175" s="40" t="str">
        <f t="array" ref="H175">_xlfn.XLOOKUP($B175, DB[samplingPoint], DB[location])</f>
        <v>After RO (Before EDI) (B12)</v>
      </c>
      <c r="I175" s="39" t="str">
        <f t="array" ref="I175">_xlfn.XLOOKUP($B175, DB[samplingPoint], DB[waterType])</f>
        <v>RO water</v>
      </c>
      <c r="J175" s="43">
        <f t="shared" si="1"/>
        <v>46057</v>
      </c>
      <c r="K175" s="26">
        <v>46060.0</v>
      </c>
      <c r="L175" s="32">
        <v>0.0</v>
      </c>
      <c r="M175" s="32">
        <v>0.0</v>
      </c>
      <c r="N175" s="32">
        <f t="shared" si="2"/>
        <v>0</v>
      </c>
      <c r="O175" s="49" t="s">
        <v>376</v>
      </c>
      <c r="P175" s="32">
        <f t="array" ref="P175">_xlfn.XLOOKUP($B175, DB[samplingPoint], DB[Criteria])</f>
        <v>500</v>
      </c>
      <c r="Q175" s="50" t="str">
        <f t="shared" si="3"/>
        <v>PASSED</v>
      </c>
      <c r="R175" s="38" t="b">
        <v>0</v>
      </c>
      <c r="S175" s="32" t="s">
        <v>604</v>
      </c>
      <c r="T175" s="39" t="s">
        <v>386</v>
      </c>
      <c r="U175" s="32" t="s">
        <v>381</v>
      </c>
    </row>
    <row r="176" ht="22.5" customHeight="1">
      <c r="A176" s="26">
        <v>46056.0</v>
      </c>
      <c r="B176" s="39" t="s">
        <v>440</v>
      </c>
      <c r="C176" s="32" t="str">
        <f t="array" ref="C176">_xlfn.XLOOKUP(B176, DB[samplingPoint], DB[samplingTag])</f>
        <v>V50-39 (12)</v>
      </c>
      <c r="D176" s="33" t="s">
        <v>375</v>
      </c>
      <c r="E176" s="38" t="b">
        <v>1</v>
      </c>
      <c r="F176" s="39" t="str">
        <f t="array" ref="F176">_xlfn.XLOOKUP($B176, DB[samplingPoint], DB[noLocation])</f>
        <v>WATER SYSTEM (B12)</v>
      </c>
      <c r="G176" s="59" t="str">
        <f t="array" ref="G176">_xlfn.XLOOKUP($B176, DB[samplingPoint], DB[building])</f>
        <v>Building 12</v>
      </c>
      <c r="H176" s="40" t="str">
        <f t="array" ref="H176">_xlfn.XLOOKUP($B176, DB[samplingPoint], DB[location])</f>
        <v>After EDI (B12)</v>
      </c>
      <c r="I176" s="39" t="str">
        <f t="array" ref="I176">_xlfn.XLOOKUP($B176, DB[samplingPoint], DB[waterType])</f>
        <v>PW</v>
      </c>
      <c r="J176" s="43">
        <f t="shared" si="1"/>
        <v>46057</v>
      </c>
      <c r="K176" s="26">
        <v>46060.0</v>
      </c>
      <c r="L176" s="32">
        <v>0.0</v>
      </c>
      <c r="M176" s="32">
        <v>0.0</v>
      </c>
      <c r="N176" s="32">
        <f t="shared" si="2"/>
        <v>0</v>
      </c>
      <c r="O176" s="49" t="s">
        <v>376</v>
      </c>
      <c r="P176" s="32">
        <f t="array" ref="P176">_xlfn.XLOOKUP($B176, DB[samplingPoint], DB[Criteria])</f>
        <v>100</v>
      </c>
      <c r="Q176" s="50" t="str">
        <f t="shared" si="3"/>
        <v>PASSED</v>
      </c>
      <c r="R176" s="38" t="b">
        <v>0</v>
      </c>
      <c r="S176" s="32" t="s">
        <v>604</v>
      </c>
      <c r="T176" s="39" t="s">
        <v>386</v>
      </c>
      <c r="U176" s="32" t="s">
        <v>381</v>
      </c>
    </row>
    <row r="177" ht="22.5" customHeight="1">
      <c r="A177" s="26">
        <v>46056.0</v>
      </c>
      <c r="B177" s="39" t="s">
        <v>442</v>
      </c>
      <c r="C177" s="32" t="str">
        <f t="array" ref="C177">_xlfn.XLOOKUP(B177, DB[samplingPoint], DB[samplingTag])</f>
        <v>V50-61 (12)</v>
      </c>
      <c r="D177" s="33" t="s">
        <v>375</v>
      </c>
      <c r="E177" s="38" t="b">
        <v>1</v>
      </c>
      <c r="F177" s="39" t="str">
        <f t="array" ref="F177">_xlfn.XLOOKUP($B177, DB[samplingPoint], DB[noLocation])</f>
        <v>WATER SYSTEM (B12)</v>
      </c>
      <c r="G177" s="59" t="str">
        <f t="array" ref="G177">_xlfn.XLOOKUP($B177, DB[samplingPoint], DB[building])</f>
        <v>Building 12</v>
      </c>
      <c r="H177" s="40" t="str">
        <f t="array" ref="H177">_xlfn.XLOOKUP($B177, DB[samplingPoint], DB[location])</f>
        <v>After Cartridge filter 5 µm (B12)</v>
      </c>
      <c r="I177" s="39" t="str">
        <f t="array" ref="I177">_xlfn.XLOOKUP($B177, DB[samplingPoint], DB[waterType])</f>
        <v>PRW</v>
      </c>
      <c r="J177" s="43">
        <f t="shared" si="1"/>
        <v>46057</v>
      </c>
      <c r="K177" s="26">
        <v>46060.0</v>
      </c>
      <c r="L177" s="32">
        <v>15.0</v>
      </c>
      <c r="M177" s="32">
        <v>21.0</v>
      </c>
      <c r="N177" s="32">
        <f t="shared" si="2"/>
        <v>18</v>
      </c>
      <c r="O177" s="49" t="s">
        <v>376</v>
      </c>
      <c r="P177" s="32">
        <f t="array" ref="P177">_xlfn.XLOOKUP($B177, DB[samplingPoint], DB[Criteria])</f>
        <v>500</v>
      </c>
      <c r="Q177" s="50" t="str">
        <f t="shared" si="3"/>
        <v>PASSED</v>
      </c>
      <c r="R177" s="38" t="b">
        <v>0</v>
      </c>
      <c r="S177" s="32" t="s">
        <v>604</v>
      </c>
      <c r="T177" s="39" t="s">
        <v>386</v>
      </c>
      <c r="U177" s="32" t="s">
        <v>381</v>
      </c>
    </row>
    <row r="178" ht="22.5" customHeight="1">
      <c r="A178" s="26">
        <v>46059.0</v>
      </c>
      <c r="B178" s="73" t="s">
        <v>431</v>
      </c>
      <c r="C178" s="32" t="str">
        <f t="array" ref="C178">_xlfn.XLOOKUP(B178, DB[samplingPoint], DB[samplingTag])</f>
        <v>SV-14</v>
      </c>
      <c r="D178" s="33" t="s">
        <v>375</v>
      </c>
      <c r="E178" s="38" t="b">
        <v>1</v>
      </c>
      <c r="F178" s="39" t="str">
        <f t="array" ref="F178">_xlfn.XLOOKUP($B178, DB[samplingPoint], DB[noLocation])</f>
        <v>PROCESS WATER (B19)</v>
      </c>
      <c r="G178" s="59" t="str">
        <f t="array" ref="G178">_xlfn.XLOOKUP($B178, DB[samplingPoint], DB[building])</f>
        <v>Building 19</v>
      </c>
      <c r="H178" s="40" t="str">
        <f t="array" ref="H178">_xlfn.XLOOKUP($B178, DB[samplingPoint], DB[location])</f>
        <v>AFTER RO SYSTEM NO.12 SV14</v>
      </c>
      <c r="I178" s="39" t="str">
        <f t="array" ref="I178">_xlfn.XLOOKUP($B178, DB[samplingPoint], DB[waterType])</f>
        <v>PRW</v>
      </c>
      <c r="J178" s="43">
        <f t="shared" si="1"/>
        <v>46060</v>
      </c>
      <c r="K178" s="26">
        <v>46063.0</v>
      </c>
      <c r="L178" s="32">
        <v>0.0</v>
      </c>
      <c r="M178" s="32">
        <v>0.0</v>
      </c>
      <c r="N178" s="32">
        <f t="shared" si="2"/>
        <v>0</v>
      </c>
      <c r="O178" s="49" t="s">
        <v>376</v>
      </c>
      <c r="P178" s="32">
        <f t="array" ref="P178">_xlfn.XLOOKUP($B178, DB[samplingPoint], DB[Criteria])</f>
        <v>500</v>
      </c>
      <c r="Q178" s="50" t="str">
        <f t="shared" si="3"/>
        <v>PASSED</v>
      </c>
      <c r="R178" s="38" t="b">
        <v>0</v>
      </c>
      <c r="S178" s="32" t="s">
        <v>624</v>
      </c>
      <c r="T178" s="39" t="s">
        <v>386</v>
      </c>
      <c r="U178" s="32" t="s">
        <v>381</v>
      </c>
    </row>
    <row r="179" ht="22.5" customHeight="1">
      <c r="A179" s="26">
        <v>46059.0</v>
      </c>
      <c r="B179" s="138" t="s">
        <v>476</v>
      </c>
      <c r="C179" s="32" t="str">
        <f t="array" ref="C179">_xlfn.XLOOKUP(B179, DB[samplingPoint], DB[samplingTag])</f>
        <v>DV116.12</v>
      </c>
      <c r="D179" s="33" t="s">
        <v>375</v>
      </c>
      <c r="E179" s="38" t="b">
        <v>1</v>
      </c>
      <c r="F179" s="39" t="str">
        <f t="array" ref="F179">_xlfn.XLOOKUP($B179, DB[samplingPoint], DB[noLocation])</f>
        <v>10-3-078</v>
      </c>
      <c r="G179" s="59" t="str">
        <f t="array" ref="G179">_xlfn.XLOOKUP($B179, DB[samplingPoint], DB[building])</f>
        <v>Building 10</v>
      </c>
      <c r="H179" s="40" t="str">
        <f t="array" ref="H179">_xlfn.XLOOKUP($B179, DB[samplingPoint], DB[location])</f>
        <v>WASHING</v>
      </c>
      <c r="I179" s="39" t="str">
        <f t="array" ref="I179">_xlfn.XLOOKUP($B179, DB[samplingPoint], DB[waterType])</f>
        <v>PW</v>
      </c>
      <c r="J179" s="43">
        <f t="shared" si="1"/>
        <v>46060</v>
      </c>
      <c r="K179" s="26">
        <v>46063.0</v>
      </c>
      <c r="L179" s="32">
        <v>0.0</v>
      </c>
      <c r="M179" s="32">
        <v>0.0</v>
      </c>
      <c r="N179" s="32">
        <f t="shared" si="2"/>
        <v>0</v>
      </c>
      <c r="O179" s="49" t="s">
        <v>376</v>
      </c>
      <c r="P179" s="32">
        <f t="array" ref="P179">_xlfn.XLOOKUP($B179, DB[samplingPoint], DB[Criteria])</f>
        <v>100</v>
      </c>
      <c r="Q179" s="50" t="str">
        <f t="shared" si="3"/>
        <v>PASSED</v>
      </c>
      <c r="R179" s="38" t="b">
        <v>0</v>
      </c>
      <c r="S179" s="32" t="s">
        <v>631</v>
      </c>
      <c r="T179" s="39" t="s">
        <v>386</v>
      </c>
      <c r="U179" s="32" t="s">
        <v>381</v>
      </c>
    </row>
    <row r="180" ht="22.5" customHeight="1">
      <c r="A180" s="26">
        <v>46059.0</v>
      </c>
      <c r="B180" s="73" t="s">
        <v>479</v>
      </c>
      <c r="C180" s="32" t="str">
        <f t="array" ref="C180">_xlfn.XLOOKUP(B180, DB[samplingPoint], DB[samplingTag])</f>
        <v>DV116.13</v>
      </c>
      <c r="D180" s="33" t="s">
        <v>375</v>
      </c>
      <c r="E180" s="38" t="b">
        <v>1</v>
      </c>
      <c r="F180" s="39" t="str">
        <f t="array" ref="F180">_xlfn.XLOOKUP($B180, DB[samplingPoint], DB[noLocation])</f>
        <v>10-3-078</v>
      </c>
      <c r="G180" s="59" t="str">
        <f t="array" ref="G180">_xlfn.XLOOKUP($B180, DB[samplingPoint], DB[building])</f>
        <v>Building 10</v>
      </c>
      <c r="H180" s="40" t="str">
        <f t="array" ref="H180">_xlfn.XLOOKUP($B180, DB[samplingPoint], DB[location])</f>
        <v>WASHING</v>
      </c>
      <c r="I180" s="39" t="str">
        <f t="array" ref="I180">_xlfn.XLOOKUP($B180, DB[samplingPoint], DB[waterType])</f>
        <v>PW</v>
      </c>
      <c r="J180" s="43">
        <f t="shared" si="1"/>
        <v>46060</v>
      </c>
      <c r="K180" s="26">
        <v>46063.0</v>
      </c>
      <c r="L180" s="32">
        <v>0.0</v>
      </c>
      <c r="M180" s="32">
        <v>0.0</v>
      </c>
      <c r="N180" s="32">
        <f t="shared" si="2"/>
        <v>0</v>
      </c>
      <c r="O180" s="49" t="s">
        <v>376</v>
      </c>
      <c r="P180" s="32">
        <f t="array" ref="P180">_xlfn.XLOOKUP($B180, DB[samplingPoint], DB[Criteria])</f>
        <v>100</v>
      </c>
      <c r="Q180" s="50" t="str">
        <f t="shared" si="3"/>
        <v>PASSED</v>
      </c>
      <c r="R180" s="38" t="b">
        <v>0</v>
      </c>
      <c r="S180" s="32" t="s">
        <v>631</v>
      </c>
      <c r="T180" s="39" t="s">
        <v>386</v>
      </c>
      <c r="U180" s="32" t="s">
        <v>381</v>
      </c>
    </row>
    <row r="181" ht="22.5" customHeight="1">
      <c r="A181" s="26">
        <v>46059.0</v>
      </c>
      <c r="B181" s="73" t="s">
        <v>482</v>
      </c>
      <c r="C181" s="32" t="str">
        <f t="array" ref="C181">_xlfn.XLOOKUP(B181, DB[samplingPoint], DB[samplingTag])</f>
        <v>DV116.14</v>
      </c>
      <c r="D181" s="33" t="s">
        <v>375</v>
      </c>
      <c r="E181" s="38" t="b">
        <v>1</v>
      </c>
      <c r="F181" s="39" t="str">
        <f t="array" ref="F181">_xlfn.XLOOKUP($B181, DB[samplingPoint], DB[noLocation])</f>
        <v>10-3-086</v>
      </c>
      <c r="G181" s="59" t="str">
        <f t="array" ref="G181">_xlfn.XLOOKUP($B181, DB[samplingPoint], DB[building])</f>
        <v>Building 10</v>
      </c>
      <c r="H181" s="40" t="str">
        <f t="array" ref="H181">_xlfn.XLOOKUP($B181, DB[samplingPoint], DB[location])</f>
        <v>TOOL WASHING</v>
      </c>
      <c r="I181" s="39" t="str">
        <f t="array" ref="I181">_xlfn.XLOOKUP($B181, DB[samplingPoint], DB[waterType])</f>
        <v>PW</v>
      </c>
      <c r="J181" s="43">
        <f t="shared" si="1"/>
        <v>46060</v>
      </c>
      <c r="K181" s="26">
        <v>46063.0</v>
      </c>
      <c r="L181" s="32">
        <v>0.0</v>
      </c>
      <c r="M181" s="32">
        <v>0.0</v>
      </c>
      <c r="N181" s="32">
        <f t="shared" si="2"/>
        <v>0</v>
      </c>
      <c r="O181" s="49" t="s">
        <v>376</v>
      </c>
      <c r="P181" s="32">
        <f t="array" ref="P181">_xlfn.XLOOKUP($B181, DB[samplingPoint], DB[Criteria])</f>
        <v>100</v>
      </c>
      <c r="Q181" s="50" t="str">
        <f t="shared" si="3"/>
        <v>PASSED</v>
      </c>
      <c r="R181" s="38" t="b">
        <v>0</v>
      </c>
      <c r="S181" s="32" t="s">
        <v>631</v>
      </c>
      <c r="T181" s="39" t="s">
        <v>386</v>
      </c>
      <c r="U181" s="32" t="s">
        <v>381</v>
      </c>
    </row>
    <row r="182" ht="22.5" customHeight="1">
      <c r="A182" s="26">
        <v>46059.0</v>
      </c>
      <c r="B182" s="73" t="s">
        <v>119</v>
      </c>
      <c r="C182" s="32" t="str">
        <f t="array" ref="C182">_xlfn.XLOOKUP(B182, DB[samplingPoint], DB[samplingTag])</f>
        <v>DV116.15</v>
      </c>
      <c r="D182" s="33" t="s">
        <v>375</v>
      </c>
      <c r="E182" s="38" t="b">
        <v>1</v>
      </c>
      <c r="F182" s="39" t="str">
        <f t="array" ref="F182">_xlfn.XLOOKUP($B182, DB[samplingPoint], DB[noLocation])</f>
        <v>10-3-104</v>
      </c>
      <c r="G182" s="59" t="str">
        <f t="array" ref="G182">_xlfn.XLOOKUP($B182, DB[samplingPoint], DB[building])</f>
        <v>Building 10</v>
      </c>
      <c r="H182" s="40" t="str">
        <f t="array" ref="H182">_xlfn.XLOOKUP($B182, DB[samplingPoint], DB[location])</f>
        <v>BINDER PREPARATION</v>
      </c>
      <c r="I182" s="39" t="str">
        <f t="array" ref="I182">_xlfn.XLOOKUP($B182, DB[samplingPoint], DB[waterType])</f>
        <v>PW</v>
      </c>
      <c r="J182" s="43">
        <f t="shared" si="1"/>
        <v>46060</v>
      </c>
      <c r="K182" s="26">
        <v>46063.0</v>
      </c>
      <c r="L182" s="32">
        <v>0.0</v>
      </c>
      <c r="M182" s="32">
        <v>0.0</v>
      </c>
      <c r="N182" s="32">
        <f t="shared" si="2"/>
        <v>0</v>
      </c>
      <c r="O182" s="49" t="s">
        <v>376</v>
      </c>
      <c r="P182" s="32">
        <f t="array" ref="P182">_xlfn.XLOOKUP($B182, DB[samplingPoint], DB[Criteria])</f>
        <v>100</v>
      </c>
      <c r="Q182" s="50" t="str">
        <f t="shared" si="3"/>
        <v>PASSED</v>
      </c>
      <c r="R182" s="38" t="b">
        <v>0</v>
      </c>
      <c r="S182" s="32" t="s">
        <v>631</v>
      </c>
      <c r="T182" s="39" t="s">
        <v>386</v>
      </c>
      <c r="U182" s="32" t="s">
        <v>381</v>
      </c>
    </row>
    <row r="183" ht="22.5" customHeight="1">
      <c r="A183" s="26">
        <v>46059.0</v>
      </c>
      <c r="B183" s="73" t="s">
        <v>485</v>
      </c>
      <c r="C183" s="32" t="str">
        <f t="array" ref="C183">_xlfn.XLOOKUP(B183, DB[samplingPoint], DB[samplingTag])</f>
        <v>DV116.16</v>
      </c>
      <c r="D183" s="33" t="s">
        <v>375</v>
      </c>
      <c r="E183" s="38" t="b">
        <v>1</v>
      </c>
      <c r="F183" s="39" t="str">
        <f t="array" ref="F183">_xlfn.XLOOKUP($B183, DB[samplingPoint], DB[noLocation])</f>
        <v>10-3-107</v>
      </c>
      <c r="G183" s="59" t="str">
        <f t="array" ref="G183">_xlfn.XLOOKUP($B183, DB[samplingPoint], DB[building])</f>
        <v>Building 10</v>
      </c>
      <c r="H183" s="40" t="str">
        <f t="array" ref="H183">_xlfn.XLOOKUP($B183, DB[samplingPoint], DB[location])</f>
        <v>WET GRANULATION-2</v>
      </c>
      <c r="I183" s="39" t="str">
        <f t="array" ref="I183">_xlfn.XLOOKUP($B183, DB[samplingPoint], DB[waterType])</f>
        <v>PW</v>
      </c>
      <c r="J183" s="43">
        <f t="shared" si="1"/>
        <v>46060</v>
      </c>
      <c r="K183" s="26">
        <v>46063.0</v>
      </c>
      <c r="L183" s="32">
        <v>0.0</v>
      </c>
      <c r="M183" s="32">
        <v>0.0</v>
      </c>
      <c r="N183" s="32">
        <f t="shared" si="2"/>
        <v>0</v>
      </c>
      <c r="O183" s="49" t="s">
        <v>376</v>
      </c>
      <c r="P183" s="32">
        <f t="array" ref="P183">_xlfn.XLOOKUP($B183, DB[samplingPoint], DB[Criteria])</f>
        <v>100</v>
      </c>
      <c r="Q183" s="50" t="str">
        <f t="shared" si="3"/>
        <v>PASSED</v>
      </c>
      <c r="R183" s="38" t="b">
        <v>0</v>
      </c>
      <c r="S183" s="32" t="s">
        <v>631</v>
      </c>
      <c r="T183" s="39" t="s">
        <v>386</v>
      </c>
      <c r="U183" s="32" t="s">
        <v>381</v>
      </c>
    </row>
    <row r="184" ht="22.5" customHeight="1">
      <c r="A184" s="26">
        <v>46059.0</v>
      </c>
      <c r="B184" s="73" t="s">
        <v>488</v>
      </c>
      <c r="C184" s="32" t="str">
        <f t="array" ref="C184">_xlfn.XLOOKUP(B184, DB[samplingPoint], DB[samplingTag])</f>
        <v>DV116.17</v>
      </c>
      <c r="D184" s="33" t="s">
        <v>375</v>
      </c>
      <c r="E184" s="38" t="b">
        <v>1</v>
      </c>
      <c r="F184" s="39" t="str">
        <f t="array" ref="F184">_xlfn.XLOOKUP($B184, DB[samplingPoint], DB[noLocation])</f>
        <v>10-3-117</v>
      </c>
      <c r="G184" s="59" t="str">
        <f t="array" ref="G184">_xlfn.XLOOKUP($B184, DB[samplingPoint], DB[building])</f>
        <v>Building 10</v>
      </c>
      <c r="H184" s="40" t="str">
        <f t="array" ref="H184">_xlfn.XLOOKUP($B184, DB[samplingPoint], DB[location])</f>
        <v>IPQC-2</v>
      </c>
      <c r="I184" s="39" t="str">
        <f t="array" ref="I184">_xlfn.XLOOKUP($B184, DB[samplingPoint], DB[waterType])</f>
        <v>PW</v>
      </c>
      <c r="J184" s="43">
        <f t="shared" si="1"/>
        <v>46060</v>
      </c>
      <c r="K184" s="26">
        <v>46063.0</v>
      </c>
      <c r="L184" s="32">
        <v>0.0</v>
      </c>
      <c r="M184" s="32">
        <v>0.0</v>
      </c>
      <c r="N184" s="32">
        <f t="shared" si="2"/>
        <v>0</v>
      </c>
      <c r="O184" s="49" t="s">
        <v>376</v>
      </c>
      <c r="P184" s="32">
        <f t="array" ref="P184">_xlfn.XLOOKUP($B184, DB[samplingPoint], DB[Criteria])</f>
        <v>100</v>
      </c>
      <c r="Q184" s="50" t="str">
        <f t="shared" si="3"/>
        <v>PASSED</v>
      </c>
      <c r="R184" s="38" t="b">
        <v>0</v>
      </c>
      <c r="S184" s="32" t="s">
        <v>631</v>
      </c>
      <c r="T184" s="39" t="s">
        <v>386</v>
      </c>
      <c r="U184" s="32" t="s">
        <v>381</v>
      </c>
    </row>
    <row r="185" ht="22.5" customHeight="1">
      <c r="A185" s="26">
        <v>46059.0</v>
      </c>
      <c r="B185" s="73" t="s">
        <v>489</v>
      </c>
      <c r="C185" s="32" t="str">
        <f t="array" ref="C185">_xlfn.XLOOKUP(B185, DB[samplingPoint], DB[samplingTag])</f>
        <v>DV116.18</v>
      </c>
      <c r="D185" s="33" t="s">
        <v>375</v>
      </c>
      <c r="E185" s="38" t="b">
        <v>1</v>
      </c>
      <c r="F185" s="39" t="str">
        <f t="array" ref="F185">_xlfn.XLOOKUP($B185, DB[samplingPoint], DB[noLocation])</f>
        <v>10-3-111</v>
      </c>
      <c r="G185" s="59" t="str">
        <f t="array" ref="G185">_xlfn.XLOOKUP($B185, DB[samplingPoint], DB[building])</f>
        <v>Building 10</v>
      </c>
      <c r="H185" s="40" t="str">
        <f t="array" ref="H185">_xlfn.XLOOKUP($B185, DB[samplingPoint], DB[location])</f>
        <v>WET GRANULATION-5</v>
      </c>
      <c r="I185" s="39" t="str">
        <f t="array" ref="I185">_xlfn.XLOOKUP($B185, DB[samplingPoint], DB[waterType])</f>
        <v>PW</v>
      </c>
      <c r="J185" s="43">
        <f t="shared" si="1"/>
        <v>46060</v>
      </c>
      <c r="K185" s="26">
        <v>46063.0</v>
      </c>
      <c r="L185" s="32">
        <v>0.0</v>
      </c>
      <c r="M185" s="32">
        <v>0.0</v>
      </c>
      <c r="N185" s="32">
        <f t="shared" si="2"/>
        <v>0</v>
      </c>
      <c r="O185" s="49" t="s">
        <v>376</v>
      </c>
      <c r="P185" s="32">
        <f t="array" ref="P185">_xlfn.XLOOKUP($B185, DB[samplingPoint], DB[Criteria])</f>
        <v>100</v>
      </c>
      <c r="Q185" s="50" t="str">
        <f t="shared" si="3"/>
        <v>PASSED</v>
      </c>
      <c r="R185" s="38" t="b">
        <v>0</v>
      </c>
      <c r="S185" s="32" t="s">
        <v>631</v>
      </c>
      <c r="T185" s="39" t="s">
        <v>386</v>
      </c>
      <c r="U185" s="32" t="s">
        <v>381</v>
      </c>
    </row>
    <row r="186" ht="22.5" customHeight="1">
      <c r="A186" s="26">
        <v>46059.0</v>
      </c>
      <c r="B186" s="73" t="s">
        <v>490</v>
      </c>
      <c r="C186" s="32" t="str">
        <f t="array" ref="C186">_xlfn.XLOOKUP(B186, DB[samplingPoint], DB[samplingTag])</f>
        <v>SV116.09</v>
      </c>
      <c r="D186" s="33" t="s">
        <v>375</v>
      </c>
      <c r="E186" s="38" t="b">
        <v>1</v>
      </c>
      <c r="F186" s="39" t="str">
        <f t="array" ref="F186">_xlfn.XLOOKUP($B186, DB[samplingPoint], DB[noLocation])</f>
        <v>10-3-078</v>
      </c>
      <c r="G186" s="59" t="str">
        <f t="array" ref="G186">_xlfn.XLOOKUP($B186, DB[samplingPoint], DB[building])</f>
        <v>Building 10</v>
      </c>
      <c r="H186" s="40" t="str">
        <f t="array" ref="H186">_xlfn.XLOOKUP($B186, DB[samplingPoint], DB[location])</f>
        <v>WASHING</v>
      </c>
      <c r="I186" s="39" t="str">
        <f t="array" ref="I186">_xlfn.XLOOKUP($B186, DB[samplingPoint], DB[waterType])</f>
        <v>PW</v>
      </c>
      <c r="J186" s="43">
        <f t="shared" si="1"/>
        <v>46060</v>
      </c>
      <c r="K186" s="26">
        <v>46063.0</v>
      </c>
      <c r="L186" s="32">
        <v>0.0</v>
      </c>
      <c r="M186" s="32">
        <v>0.0</v>
      </c>
      <c r="N186" s="32">
        <f t="shared" si="2"/>
        <v>0</v>
      </c>
      <c r="O186" s="49" t="s">
        <v>376</v>
      </c>
      <c r="P186" s="32">
        <f t="array" ref="P186">_xlfn.XLOOKUP($B186, DB[samplingPoint], DB[Criteria])</f>
        <v>100</v>
      </c>
      <c r="Q186" s="50" t="str">
        <f t="shared" si="3"/>
        <v>PASSED</v>
      </c>
      <c r="R186" s="38" t="b">
        <v>0</v>
      </c>
      <c r="S186" s="32" t="s">
        <v>631</v>
      </c>
      <c r="T186" s="39" t="s">
        <v>386</v>
      </c>
      <c r="U186" s="32" t="s">
        <v>381</v>
      </c>
    </row>
    <row r="187" ht="22.5" customHeight="1">
      <c r="A187" s="26">
        <v>46059.0</v>
      </c>
      <c r="B187" s="73" t="s">
        <v>492</v>
      </c>
      <c r="C187" s="32" t="str">
        <f t="array" ref="C187">_xlfn.XLOOKUP(B187, DB[samplingPoint], DB[samplingTag])</f>
        <v>SV116.11</v>
      </c>
      <c r="D187" s="33" t="s">
        <v>375</v>
      </c>
      <c r="E187" s="38" t="b">
        <v>1</v>
      </c>
      <c r="F187" s="39" t="str">
        <f t="array" ref="F187">_xlfn.XLOOKUP($B187, DB[samplingPoint], DB[noLocation])</f>
        <v>10-3-107</v>
      </c>
      <c r="G187" s="59" t="str">
        <f t="array" ref="G187">_xlfn.XLOOKUP($B187, DB[samplingPoint], DB[building])</f>
        <v>Building 10</v>
      </c>
      <c r="H187" s="40" t="str">
        <f t="array" ref="H187">_xlfn.XLOOKUP($B187, DB[samplingPoint], DB[location])</f>
        <v>WET GRANULATION-2</v>
      </c>
      <c r="I187" s="39" t="str">
        <f t="array" ref="I187">_xlfn.XLOOKUP($B187, DB[samplingPoint], DB[waterType])</f>
        <v>PW</v>
      </c>
      <c r="J187" s="43">
        <f t="shared" si="1"/>
        <v>46060</v>
      </c>
      <c r="K187" s="26">
        <v>46063.0</v>
      </c>
      <c r="L187" s="32">
        <v>0.0</v>
      </c>
      <c r="M187" s="32">
        <v>0.0</v>
      </c>
      <c r="N187" s="32">
        <f t="shared" si="2"/>
        <v>0</v>
      </c>
      <c r="O187" s="49" t="s">
        <v>376</v>
      </c>
      <c r="P187" s="32">
        <f t="array" ref="P187">_xlfn.XLOOKUP($B187, DB[samplingPoint], DB[Criteria])</f>
        <v>100</v>
      </c>
      <c r="Q187" s="50" t="str">
        <f t="shared" si="3"/>
        <v>PASSED</v>
      </c>
      <c r="R187" s="38" t="b">
        <v>0</v>
      </c>
      <c r="S187" s="32" t="s">
        <v>631</v>
      </c>
      <c r="T187" s="39" t="s">
        <v>386</v>
      </c>
      <c r="U187" s="32" t="s">
        <v>381</v>
      </c>
    </row>
    <row r="188" ht="22.5" customHeight="1">
      <c r="A188" s="26">
        <v>46059.0</v>
      </c>
      <c r="B188" s="73" t="s">
        <v>390</v>
      </c>
      <c r="C188" s="32" t="str">
        <f t="array" ref="C188">_xlfn.XLOOKUP(B188, DB[samplingPoint], DB[samplingTag])</f>
        <v>SV117.01</v>
      </c>
      <c r="D188" s="33" t="s">
        <v>375</v>
      </c>
      <c r="E188" s="38" t="b">
        <v>1</v>
      </c>
      <c r="F188" s="39" t="str">
        <f t="array" ref="F188">_xlfn.XLOOKUP($B188, DB[samplingPoint], DB[noLocation])</f>
        <v>WATER SYSTEM (B10)</v>
      </c>
      <c r="G188" s="59" t="str">
        <f t="array" ref="G188">_xlfn.XLOOKUP($B188, DB[samplingPoint], DB[building])</f>
        <v>Building 10</v>
      </c>
      <c r="H188" s="40" t="str">
        <f t="array" ref="H188">_xlfn.XLOOKUP($B188, DB[samplingPoint], DB[location])</f>
        <v>Return loop (B10)</v>
      </c>
      <c r="I188" s="39" t="str">
        <f t="array" ref="I188">_xlfn.XLOOKUP($B188, DB[samplingPoint], DB[waterType])</f>
        <v>PW</v>
      </c>
      <c r="J188" s="43">
        <f t="shared" si="1"/>
        <v>46060</v>
      </c>
      <c r="K188" s="26">
        <v>46063.0</v>
      </c>
      <c r="L188" s="32">
        <v>0.0</v>
      </c>
      <c r="M188" s="32">
        <v>0.0</v>
      </c>
      <c r="N188" s="32">
        <f t="shared" si="2"/>
        <v>0</v>
      </c>
      <c r="O188" s="49" t="s">
        <v>376</v>
      </c>
      <c r="P188" s="32">
        <f t="array" ref="P188">_xlfn.XLOOKUP($B188, DB[samplingPoint], DB[Criteria])</f>
        <v>100</v>
      </c>
      <c r="Q188" s="50" t="str">
        <f t="shared" si="3"/>
        <v>PASSED</v>
      </c>
      <c r="R188" s="38" t="b">
        <v>0</v>
      </c>
      <c r="S188" s="32" t="s">
        <v>631</v>
      </c>
      <c r="T188" s="39" t="s">
        <v>386</v>
      </c>
      <c r="U188" s="32" t="s">
        <v>381</v>
      </c>
    </row>
    <row r="189" ht="22.5" customHeight="1">
      <c r="A189" s="26">
        <v>46059.0</v>
      </c>
      <c r="B189" s="73" t="s">
        <v>368</v>
      </c>
      <c r="C189" s="32" t="str">
        <f t="array" ref="C189">_xlfn.XLOOKUP(B189, DB[samplingPoint], DB[samplingTag])</f>
        <v>V50-11C(10)</v>
      </c>
      <c r="D189" s="33" t="s">
        <v>375</v>
      </c>
      <c r="E189" s="38" t="b">
        <v>1</v>
      </c>
      <c r="F189" s="39" t="str">
        <f t="array" ref="F189">_xlfn.XLOOKUP($B189, DB[samplingPoint], DB[noLocation])</f>
        <v>WATER SYSTEM (B10)</v>
      </c>
      <c r="G189" s="59" t="str">
        <f t="array" ref="G189">_xlfn.XLOOKUP($B189, DB[samplingPoint], DB[building])</f>
        <v>Building 10</v>
      </c>
      <c r="H189" s="40" t="str">
        <f t="array" ref="H189">_xlfn.XLOOKUP($B189, DB[samplingPoint], DB[location])</f>
        <v>After RO (Before EDI) (B10)</v>
      </c>
      <c r="I189" s="39" t="str">
        <f t="array" ref="I189">_xlfn.XLOOKUP($B189, DB[samplingPoint], DB[waterType])</f>
        <v>RO water</v>
      </c>
      <c r="J189" s="43">
        <f t="shared" si="1"/>
        <v>46060</v>
      </c>
      <c r="K189" s="26">
        <v>46063.0</v>
      </c>
      <c r="L189" s="32">
        <v>0.0</v>
      </c>
      <c r="M189" s="32">
        <v>0.0</v>
      </c>
      <c r="N189" s="32">
        <f t="shared" si="2"/>
        <v>0</v>
      </c>
      <c r="O189" s="49" t="s">
        <v>376</v>
      </c>
      <c r="P189" s="32">
        <f t="array" ref="P189">_xlfn.XLOOKUP($B189, DB[samplingPoint], DB[Criteria])</f>
        <v>500</v>
      </c>
      <c r="Q189" s="50" t="str">
        <f t="shared" si="3"/>
        <v>PASSED</v>
      </c>
      <c r="R189" s="38" t="b">
        <v>0</v>
      </c>
      <c r="S189" s="32" t="s">
        <v>631</v>
      </c>
      <c r="T189" s="39" t="s">
        <v>386</v>
      </c>
      <c r="U189" s="32" t="s">
        <v>381</v>
      </c>
    </row>
    <row r="190" ht="22.5" customHeight="1">
      <c r="A190" s="26">
        <v>46059.0</v>
      </c>
      <c r="B190" s="73" t="s">
        <v>374</v>
      </c>
      <c r="C190" s="32" t="str">
        <f t="array" ref="C190">_xlfn.XLOOKUP(B190, DB[samplingPoint], DB[samplingTag])</f>
        <v>V50-39(10)</v>
      </c>
      <c r="D190" s="33" t="s">
        <v>375</v>
      </c>
      <c r="E190" s="38" t="b">
        <v>1</v>
      </c>
      <c r="F190" s="39" t="str">
        <f t="array" ref="F190">_xlfn.XLOOKUP($B190, DB[samplingPoint], DB[noLocation])</f>
        <v>WATER SYSTEM (B10)</v>
      </c>
      <c r="G190" s="59" t="str">
        <f t="array" ref="G190">_xlfn.XLOOKUP($B190, DB[samplingPoint], DB[building])</f>
        <v>Building 10</v>
      </c>
      <c r="H190" s="40" t="str">
        <f t="array" ref="H190">_xlfn.XLOOKUP($B190, DB[samplingPoint], DB[location])</f>
        <v>After EDI (B10)</v>
      </c>
      <c r="I190" s="39" t="str">
        <f t="array" ref="I190">_xlfn.XLOOKUP($B190, DB[samplingPoint], DB[waterType])</f>
        <v>PW</v>
      </c>
      <c r="J190" s="43">
        <f t="shared" si="1"/>
        <v>46060</v>
      </c>
      <c r="K190" s="26">
        <v>46063.0</v>
      </c>
      <c r="L190" s="32">
        <v>0.0</v>
      </c>
      <c r="M190" s="32">
        <v>0.0</v>
      </c>
      <c r="N190" s="32">
        <f t="shared" si="2"/>
        <v>0</v>
      </c>
      <c r="O190" s="49" t="s">
        <v>376</v>
      </c>
      <c r="P190" s="32">
        <f t="array" ref="P190">_xlfn.XLOOKUP($B190, DB[samplingPoint], DB[Criteria])</f>
        <v>100</v>
      </c>
      <c r="Q190" s="50" t="str">
        <f t="shared" si="3"/>
        <v>PASSED</v>
      </c>
      <c r="R190" s="38" t="b">
        <v>0</v>
      </c>
      <c r="S190" s="32" t="s">
        <v>631</v>
      </c>
      <c r="T190" s="39" t="s">
        <v>386</v>
      </c>
      <c r="U190" s="32" t="s">
        <v>381</v>
      </c>
    </row>
    <row r="191" ht="22.5" customHeight="1">
      <c r="A191" s="26">
        <v>46059.0</v>
      </c>
      <c r="B191" s="73" t="s">
        <v>366</v>
      </c>
      <c r="C191" s="32" t="str">
        <f t="array" ref="C191">_xlfn.XLOOKUP(B191, DB[samplingPoint], DB[samplingTag])</f>
        <v>V50-61(10)</v>
      </c>
      <c r="D191" s="33" t="s">
        <v>375</v>
      </c>
      <c r="E191" s="38" t="b">
        <v>1</v>
      </c>
      <c r="F191" s="39" t="str">
        <f t="array" ref="F191">_xlfn.XLOOKUP($B191, DB[samplingPoint], DB[noLocation])</f>
        <v>WATER SYSTEM (B10)</v>
      </c>
      <c r="G191" s="59" t="str">
        <f t="array" ref="G191">_xlfn.XLOOKUP($B191, DB[samplingPoint], DB[building])</f>
        <v>Building 10</v>
      </c>
      <c r="H191" s="40" t="str">
        <f t="array" ref="H191">_xlfn.XLOOKUP($B191, DB[samplingPoint], DB[location])</f>
        <v>After Cartridge filter 5 µm (B10)</v>
      </c>
      <c r="I191" s="39" t="str">
        <f t="array" ref="I191">_xlfn.XLOOKUP($B191, DB[samplingPoint], DB[waterType])</f>
        <v>PRW</v>
      </c>
      <c r="J191" s="43">
        <f t="shared" si="1"/>
        <v>46060</v>
      </c>
      <c r="K191" s="26">
        <v>46063.0</v>
      </c>
      <c r="L191" s="32">
        <v>25.0</v>
      </c>
      <c r="M191" s="32">
        <v>12.0</v>
      </c>
      <c r="N191" s="32">
        <f t="shared" si="2"/>
        <v>19</v>
      </c>
      <c r="O191" s="49" t="s">
        <v>376</v>
      </c>
      <c r="P191" s="32">
        <f t="array" ref="P191">_xlfn.XLOOKUP($B191, DB[samplingPoint], DB[Criteria])</f>
        <v>500</v>
      </c>
      <c r="Q191" s="50" t="str">
        <f t="shared" si="3"/>
        <v>PASSED</v>
      </c>
      <c r="R191" s="38" t="b">
        <v>0</v>
      </c>
      <c r="S191" s="32" t="s">
        <v>631</v>
      </c>
      <c r="T191" s="39" t="s">
        <v>386</v>
      </c>
      <c r="U191" s="32" t="s">
        <v>381</v>
      </c>
    </row>
    <row r="192" ht="22.5" customHeight="1">
      <c r="A192" s="26">
        <v>46059.0</v>
      </c>
      <c r="B192" s="73" t="s">
        <v>349</v>
      </c>
      <c r="C192" s="32" t="str">
        <f t="array" ref="C192">_xlfn.XLOOKUP(B192, DB[samplingPoint], DB[samplingTag])</f>
        <v>VB-05(10)</v>
      </c>
      <c r="D192" s="33" t="s">
        <v>375</v>
      </c>
      <c r="E192" s="38" t="b">
        <v>1</v>
      </c>
      <c r="F192" s="39" t="str">
        <f t="array" ref="F192">_xlfn.XLOOKUP($B192, DB[samplingPoint], DB[noLocation])</f>
        <v>WATER SYSTEM (B10)</v>
      </c>
      <c r="G192" s="59" t="str">
        <f t="array" ref="G192">_xlfn.XLOOKUP($B192, DB[samplingPoint], DB[building])</f>
        <v>Building 10</v>
      </c>
      <c r="H192" s="40" t="str">
        <f t="array" ref="H192">_xlfn.XLOOKUP($B192, DB[samplingPoint], DB[location])</f>
        <v>After Chlorine circulation tank (B10)</v>
      </c>
      <c r="I192" s="39" t="str">
        <f t="array" ref="I192">_xlfn.XLOOKUP($B192, DB[samplingPoint], DB[waterType])</f>
        <v>PRW</v>
      </c>
      <c r="J192" s="43">
        <f t="shared" si="1"/>
        <v>46060</v>
      </c>
      <c r="K192" s="26">
        <v>46063.0</v>
      </c>
      <c r="L192" s="32">
        <v>0.0</v>
      </c>
      <c r="M192" s="32">
        <v>0.0</v>
      </c>
      <c r="N192" s="32">
        <f t="shared" si="2"/>
        <v>0</v>
      </c>
      <c r="O192" s="49" t="s">
        <v>376</v>
      </c>
      <c r="P192" s="32">
        <f t="array" ref="P192">_xlfn.XLOOKUP($B192, DB[samplingPoint], DB[Criteria])</f>
        <v>500</v>
      </c>
      <c r="Q192" s="50" t="str">
        <f t="shared" si="3"/>
        <v>PASSED</v>
      </c>
      <c r="R192" s="38" t="b">
        <v>0</v>
      </c>
      <c r="S192" s="32" t="s">
        <v>631</v>
      </c>
      <c r="T192" s="39" t="s">
        <v>386</v>
      </c>
      <c r="U192" s="32" t="s">
        <v>381</v>
      </c>
    </row>
    <row r="193" ht="22.5" customHeight="1">
      <c r="A193" s="26">
        <v>46065.0</v>
      </c>
      <c r="B193" s="73" t="s">
        <v>506</v>
      </c>
      <c r="C193" s="32" t="str">
        <f t="array" ref="C193">_xlfn.XLOOKUP(B193, DB[samplingPoint], DB[samplingTag])</f>
        <v>DV136.02</v>
      </c>
      <c r="D193" s="33" t="s">
        <v>500</v>
      </c>
      <c r="E193" s="38" t="b">
        <v>1</v>
      </c>
      <c r="F193" s="39" t="str">
        <f t="array" ref="F193">_xlfn.XLOOKUP($B193, DB[samplingPoint], DB[noLocation])</f>
        <v>12-2-028</v>
      </c>
      <c r="G193" s="59" t="str">
        <f t="array" ref="G193">_xlfn.XLOOKUP($B193, DB[samplingPoint], DB[building])</f>
        <v>Building 12</v>
      </c>
      <c r="H193" s="40" t="str">
        <f t="array" ref="H193">_xlfn.XLOOKUP($B193, DB[samplingPoint], DB[location])</f>
        <v>ALCOHOL STORAGE</v>
      </c>
      <c r="I193" s="39" t="str">
        <f t="array" ref="I193">_xlfn.XLOOKUP($B193, DB[samplingPoint], DB[waterType])</f>
        <v>PW</v>
      </c>
      <c r="J193" s="43">
        <f t="shared" si="1"/>
        <v>46066</v>
      </c>
      <c r="K193" s="26">
        <v>46069.0</v>
      </c>
      <c r="L193" s="32">
        <v>0.0</v>
      </c>
      <c r="M193" s="32">
        <v>0.0</v>
      </c>
      <c r="N193" s="32">
        <f t="shared" si="2"/>
        <v>0</v>
      </c>
      <c r="O193" s="49" t="s">
        <v>376</v>
      </c>
      <c r="P193" s="32">
        <f t="array" ref="P193">_xlfn.XLOOKUP($B193, DB[samplingPoint], DB[Criteria])</f>
        <v>100</v>
      </c>
      <c r="Q193" s="50" t="str">
        <f t="shared" si="3"/>
        <v>PASSED</v>
      </c>
      <c r="R193" s="38" t="b">
        <v>0</v>
      </c>
      <c r="S193" s="32" t="s">
        <v>782</v>
      </c>
      <c r="T193" s="39" t="s">
        <v>386</v>
      </c>
      <c r="U193" s="32" t="s">
        <v>381</v>
      </c>
    </row>
    <row r="194" ht="22.5" customHeight="1">
      <c r="A194" s="26">
        <v>46065.0</v>
      </c>
      <c r="B194" s="73" t="s">
        <v>508</v>
      </c>
      <c r="C194" s="32" t="str">
        <f t="array" ref="C194">_xlfn.XLOOKUP(B194, DB[samplingPoint], DB[samplingTag])</f>
        <v>DV136.07</v>
      </c>
      <c r="D194" s="33" t="s">
        <v>500</v>
      </c>
      <c r="E194" s="38" t="b">
        <v>1</v>
      </c>
      <c r="F194" s="39" t="str">
        <f t="array" ref="F194">_xlfn.XLOOKUP($B194, DB[samplingPoint], DB[noLocation])</f>
        <v>12-3-039</v>
      </c>
      <c r="G194" s="59" t="str">
        <f t="array" ref="G194">_xlfn.XLOOKUP($B194, DB[samplingPoint], DB[building])</f>
        <v>Building 12</v>
      </c>
      <c r="H194" s="40" t="str">
        <f t="array" ref="H194">_xlfn.XLOOKUP($B194, DB[samplingPoint], DB[location])</f>
        <v>INSTRUMENT 7</v>
      </c>
      <c r="I194" s="39" t="str">
        <f t="array" ref="I194">_xlfn.XLOOKUP($B194, DB[samplingPoint], DB[waterType])</f>
        <v>PW</v>
      </c>
      <c r="J194" s="43">
        <f t="shared" si="1"/>
        <v>46066</v>
      </c>
      <c r="K194" s="26">
        <v>46069.0</v>
      </c>
      <c r="L194" s="32">
        <v>0.0</v>
      </c>
      <c r="M194" s="32">
        <v>0.0</v>
      </c>
      <c r="N194" s="32">
        <f t="shared" si="2"/>
        <v>0</v>
      </c>
      <c r="O194" s="49" t="s">
        <v>376</v>
      </c>
      <c r="P194" s="32">
        <f t="array" ref="P194">_xlfn.XLOOKUP($B194, DB[samplingPoint], DB[Criteria])</f>
        <v>100</v>
      </c>
      <c r="Q194" s="50" t="str">
        <f t="shared" si="3"/>
        <v>PASSED</v>
      </c>
      <c r="R194" s="38" t="b">
        <v>0</v>
      </c>
      <c r="S194" s="32" t="s">
        <v>782</v>
      </c>
      <c r="T194" s="39" t="s">
        <v>386</v>
      </c>
      <c r="U194" s="32" t="s">
        <v>381</v>
      </c>
    </row>
    <row r="195" ht="22.5" customHeight="1">
      <c r="A195" s="26">
        <v>46065.0</v>
      </c>
      <c r="B195" s="73" t="s">
        <v>435</v>
      </c>
      <c r="C195" s="32" t="str">
        <f t="array" ref="C195">_xlfn.XLOOKUP(B195, DB[samplingPoint], DB[samplingTag])</f>
        <v>SV133.01</v>
      </c>
      <c r="D195" s="33" t="s">
        <v>500</v>
      </c>
      <c r="E195" s="38" t="b">
        <v>1</v>
      </c>
      <c r="F195" s="39" t="str">
        <f t="array" ref="F195">_xlfn.XLOOKUP($B195, DB[samplingPoint], DB[noLocation])</f>
        <v>WATER SYSTEM (B12)</v>
      </c>
      <c r="G195" s="59" t="str">
        <f t="array" ref="G195">_xlfn.XLOOKUP($B195, DB[samplingPoint], DB[building])</f>
        <v>Building 12</v>
      </c>
      <c r="H195" s="40" t="str">
        <f t="array" ref="H195">_xlfn.XLOOKUP($B195, DB[samplingPoint], DB[location])</f>
        <v>After Storage tank (B12)</v>
      </c>
      <c r="I195" s="39" t="str">
        <f t="array" ref="I195">_xlfn.XLOOKUP($B195, DB[samplingPoint], DB[waterType])</f>
        <v>PW</v>
      </c>
      <c r="J195" s="43">
        <f t="shared" si="1"/>
        <v>46066</v>
      </c>
      <c r="K195" s="26">
        <v>46069.0</v>
      </c>
      <c r="L195" s="32">
        <v>0.0</v>
      </c>
      <c r="M195" s="32">
        <v>0.0</v>
      </c>
      <c r="N195" s="32">
        <f t="shared" si="2"/>
        <v>0</v>
      </c>
      <c r="O195" s="49" t="s">
        <v>376</v>
      </c>
      <c r="P195" s="32">
        <f t="array" ref="P195">_xlfn.XLOOKUP($B195, DB[samplingPoint], DB[Criteria])</f>
        <v>100</v>
      </c>
      <c r="Q195" s="50" t="str">
        <f t="shared" si="3"/>
        <v>PASSED</v>
      </c>
      <c r="R195" s="38" t="b">
        <v>0</v>
      </c>
      <c r="S195" s="32" t="s">
        <v>782</v>
      </c>
      <c r="T195" s="39" t="s">
        <v>386</v>
      </c>
      <c r="U195" s="32" t="s">
        <v>381</v>
      </c>
    </row>
    <row r="196" ht="22.5" customHeight="1">
      <c r="A196" s="26">
        <v>46065.0</v>
      </c>
      <c r="B196" s="73" t="s">
        <v>438</v>
      </c>
      <c r="C196" s="32" t="str">
        <f t="array" ref="C196">_xlfn.XLOOKUP(B196, DB[samplingPoint], DB[samplingTag])</f>
        <v>SV135.02</v>
      </c>
      <c r="D196" s="33" t="s">
        <v>500</v>
      </c>
      <c r="E196" s="38" t="b">
        <v>1</v>
      </c>
      <c r="F196" s="39" t="str">
        <f t="array" ref="F196">_xlfn.XLOOKUP($B196, DB[samplingPoint], DB[noLocation])</f>
        <v>WATER SYSTEM (B12)</v>
      </c>
      <c r="G196" s="59" t="str">
        <f t="array" ref="G196">_xlfn.XLOOKUP($B196, DB[samplingPoint], DB[building])</f>
        <v>Building 12</v>
      </c>
      <c r="H196" s="40" t="str">
        <f t="array" ref="H196">_xlfn.XLOOKUP($B196, DB[samplingPoint], DB[location])</f>
        <v>After UV (B12)</v>
      </c>
      <c r="I196" s="39" t="str">
        <f t="array" ref="I196">_xlfn.XLOOKUP($B196, DB[samplingPoint], DB[waterType])</f>
        <v>PW</v>
      </c>
      <c r="J196" s="43">
        <f t="shared" si="1"/>
        <v>46066</v>
      </c>
      <c r="K196" s="26">
        <v>46069.0</v>
      </c>
      <c r="L196" s="32">
        <v>0.0</v>
      </c>
      <c r="M196" s="32">
        <v>0.0</v>
      </c>
      <c r="N196" s="32">
        <f t="shared" si="2"/>
        <v>0</v>
      </c>
      <c r="O196" s="49" t="s">
        <v>376</v>
      </c>
      <c r="P196" s="32">
        <f t="array" ref="P196">_xlfn.XLOOKUP($B196, DB[samplingPoint], DB[Criteria])</f>
        <v>100</v>
      </c>
      <c r="Q196" s="50" t="str">
        <f t="shared" si="3"/>
        <v>PASSED</v>
      </c>
      <c r="R196" s="38" t="b">
        <v>0</v>
      </c>
      <c r="S196" s="32" t="s">
        <v>782</v>
      </c>
      <c r="T196" s="39" t="s">
        <v>386</v>
      </c>
      <c r="U196" s="32" t="s">
        <v>381</v>
      </c>
    </row>
    <row r="197" ht="22.5" customHeight="1">
      <c r="A197" s="26">
        <v>46065.0</v>
      </c>
      <c r="B197" s="73" t="s">
        <v>510</v>
      </c>
      <c r="C197" s="32" t="str">
        <f t="array" ref="C197">_xlfn.XLOOKUP(B197, DB[samplingPoint], DB[samplingTag])</f>
        <v>SV136.03</v>
      </c>
      <c r="D197" s="33" t="s">
        <v>500</v>
      </c>
      <c r="E197" s="38" t="b">
        <v>1</v>
      </c>
      <c r="F197" s="39" t="str">
        <f t="array" ref="F197">_xlfn.XLOOKUP($B197, DB[samplingPoint], DB[noLocation])</f>
        <v>12-2-032</v>
      </c>
      <c r="G197" s="59" t="str">
        <f t="array" ref="G197">_xlfn.XLOOKUP($B197, DB[samplingPoint], DB[building])</f>
        <v>Building 12</v>
      </c>
      <c r="H197" s="40" t="str">
        <f t="array" ref="H197">_xlfn.XLOOKUP($B197, DB[samplingPoint], DB[location])</f>
        <v>CAMPHORATED OPIUM TINCTURE</v>
      </c>
      <c r="I197" s="39" t="str">
        <f t="array" ref="I197">_xlfn.XLOOKUP($B197, DB[samplingPoint], DB[waterType])</f>
        <v>PW</v>
      </c>
      <c r="J197" s="43">
        <f t="shared" si="1"/>
        <v>46066</v>
      </c>
      <c r="K197" s="26">
        <v>46069.0</v>
      </c>
      <c r="L197" s="32">
        <v>0.0</v>
      </c>
      <c r="M197" s="32">
        <v>0.0</v>
      </c>
      <c r="N197" s="32">
        <f t="shared" si="2"/>
        <v>0</v>
      </c>
      <c r="O197" s="49" t="s">
        <v>376</v>
      </c>
      <c r="P197" s="32">
        <f t="array" ref="P197">_xlfn.XLOOKUP($B197, DB[samplingPoint], DB[Criteria])</f>
        <v>100</v>
      </c>
      <c r="Q197" s="50" t="str">
        <f t="shared" si="3"/>
        <v>PASSED</v>
      </c>
      <c r="R197" s="38" t="b">
        <v>0</v>
      </c>
      <c r="S197" s="32" t="s">
        <v>782</v>
      </c>
      <c r="T197" s="39" t="s">
        <v>386</v>
      </c>
      <c r="U197" s="32" t="s">
        <v>381</v>
      </c>
    </row>
    <row r="198" ht="22.5" customHeight="1">
      <c r="A198" s="26">
        <v>46065.0</v>
      </c>
      <c r="B198" s="73" t="s">
        <v>513</v>
      </c>
      <c r="C198" s="32" t="str">
        <f t="array" ref="C198">_xlfn.XLOOKUP(B198, DB[samplingPoint], DB[samplingTag])</f>
        <v>SV136.04</v>
      </c>
      <c r="D198" s="33" t="s">
        <v>500</v>
      </c>
      <c r="E198" s="38" t="b">
        <v>1</v>
      </c>
      <c r="F198" s="39" t="str">
        <f t="array" ref="F198">_xlfn.XLOOKUP($B198, DB[samplingPoint], DB[noLocation])</f>
        <v>12-2-030</v>
      </c>
      <c r="G198" s="59" t="str">
        <f t="array" ref="G198">_xlfn.XLOOKUP($B198, DB[samplingPoint], DB[building])</f>
        <v>Building 12</v>
      </c>
      <c r="H198" s="40" t="str">
        <f t="array" ref="H198">_xlfn.XLOOKUP($B198, DB[samplingPoint], DB[location])</f>
        <v>OPIUM TINCTURE</v>
      </c>
      <c r="I198" s="39" t="str">
        <f t="array" ref="I198">_xlfn.XLOOKUP($B198, DB[samplingPoint], DB[waterType])</f>
        <v>PW</v>
      </c>
      <c r="J198" s="43">
        <f t="shared" si="1"/>
        <v>46066</v>
      </c>
      <c r="K198" s="26">
        <v>46069.0</v>
      </c>
      <c r="L198" s="32">
        <v>0.0</v>
      </c>
      <c r="M198" s="32">
        <v>0.0</v>
      </c>
      <c r="N198" s="32">
        <f t="shared" si="2"/>
        <v>0</v>
      </c>
      <c r="O198" s="49" t="s">
        <v>376</v>
      </c>
      <c r="P198" s="32">
        <f t="array" ref="P198">_xlfn.XLOOKUP($B198, DB[samplingPoint], DB[Criteria])</f>
        <v>100</v>
      </c>
      <c r="Q198" s="50" t="str">
        <f t="shared" si="3"/>
        <v>PASSED</v>
      </c>
      <c r="R198" s="38" t="b">
        <v>0</v>
      </c>
      <c r="S198" s="32" t="s">
        <v>782</v>
      </c>
      <c r="T198" s="39" t="s">
        <v>386</v>
      </c>
      <c r="U198" s="32" t="s">
        <v>381</v>
      </c>
    </row>
    <row r="199" ht="22.5" customHeight="1">
      <c r="A199" s="26">
        <v>46065.0</v>
      </c>
      <c r="B199" s="73" t="s">
        <v>514</v>
      </c>
      <c r="C199" s="32" t="str">
        <f t="array" ref="C199">_xlfn.XLOOKUP(B199, DB[samplingPoint], DB[samplingTag])</f>
        <v>SV136.05</v>
      </c>
      <c r="D199" s="33" t="s">
        <v>500</v>
      </c>
      <c r="E199" s="38" t="b">
        <v>1</v>
      </c>
      <c r="F199" s="39" t="str">
        <f t="array" ref="F199">_xlfn.XLOOKUP($B199, DB[samplingPoint], DB[noLocation])</f>
        <v>12-2-032</v>
      </c>
      <c r="G199" s="59" t="str">
        <f t="array" ref="G199">_xlfn.XLOOKUP($B199, DB[samplingPoint], DB[building])</f>
        <v>Building 12</v>
      </c>
      <c r="H199" s="40" t="str">
        <f t="array" ref="H199">_xlfn.XLOOKUP($B199, DB[samplingPoint], DB[location])</f>
        <v>CAMPHORATED OPIUM TINCTURE</v>
      </c>
      <c r="I199" s="39" t="str">
        <f t="array" ref="I199">_xlfn.XLOOKUP($B199, DB[samplingPoint], DB[waterType])</f>
        <v>PW</v>
      </c>
      <c r="J199" s="43">
        <f t="shared" si="1"/>
        <v>46066</v>
      </c>
      <c r="K199" s="26">
        <v>46069.0</v>
      </c>
      <c r="L199" s="32">
        <v>1.0</v>
      </c>
      <c r="M199" s="32">
        <v>0.0</v>
      </c>
      <c r="N199" s="32">
        <f t="shared" si="2"/>
        <v>1</v>
      </c>
      <c r="O199" s="49" t="s">
        <v>376</v>
      </c>
      <c r="P199" s="32">
        <f t="array" ref="P199">_xlfn.XLOOKUP($B199, DB[samplingPoint], DB[Criteria])</f>
        <v>100</v>
      </c>
      <c r="Q199" s="50" t="str">
        <f t="shared" si="3"/>
        <v>PASSED</v>
      </c>
      <c r="R199" s="38" t="b">
        <v>0</v>
      </c>
      <c r="S199" s="32" t="s">
        <v>782</v>
      </c>
      <c r="T199" s="39" t="s">
        <v>386</v>
      </c>
      <c r="U199" s="32" t="s">
        <v>381</v>
      </c>
    </row>
    <row r="200" ht="22.5" customHeight="1">
      <c r="A200" s="26">
        <v>46065.0</v>
      </c>
      <c r="B200" s="73" t="s">
        <v>516</v>
      </c>
      <c r="C200" s="32" t="str">
        <f t="array" ref="C200">_xlfn.XLOOKUP(B200, DB[samplingPoint], DB[samplingTag])</f>
        <v>SV136.06</v>
      </c>
      <c r="D200" s="33" t="s">
        <v>500</v>
      </c>
      <c r="E200" s="38" t="b">
        <v>1</v>
      </c>
      <c r="F200" s="39" t="str">
        <f t="array" ref="F200">_xlfn.XLOOKUP($B200, DB[samplingPoint], DB[noLocation])</f>
        <v>12-2-034</v>
      </c>
      <c r="G200" s="59" t="str">
        <f t="array" ref="G200">_xlfn.XLOOKUP($B200, DB[samplingPoint], DB[building])</f>
        <v>Building 12</v>
      </c>
      <c r="H200" s="40" t="str">
        <f t="array" ref="H200">_xlfn.XLOOKUP($B200, DB[samplingPoint], DB[location])</f>
        <v>SYRUP PREPARATION</v>
      </c>
      <c r="I200" s="39" t="str">
        <f t="array" ref="I200">_xlfn.XLOOKUP($B200, DB[samplingPoint], DB[waterType])</f>
        <v>PW</v>
      </c>
      <c r="J200" s="43">
        <f t="shared" si="1"/>
        <v>46066</v>
      </c>
      <c r="K200" s="26">
        <v>46069.0</v>
      </c>
      <c r="L200" s="32">
        <v>0.0</v>
      </c>
      <c r="M200" s="32">
        <v>0.0</v>
      </c>
      <c r="N200" s="32">
        <f t="shared" si="2"/>
        <v>0</v>
      </c>
      <c r="O200" s="49" t="s">
        <v>376</v>
      </c>
      <c r="P200" s="32">
        <f t="array" ref="P200">_xlfn.XLOOKUP($B200, DB[samplingPoint], DB[Criteria])</f>
        <v>100</v>
      </c>
      <c r="Q200" s="50" t="str">
        <f t="shared" si="3"/>
        <v>PASSED</v>
      </c>
      <c r="R200" s="38" t="b">
        <v>0</v>
      </c>
      <c r="S200" s="32" t="s">
        <v>782</v>
      </c>
      <c r="T200" s="39" t="s">
        <v>386</v>
      </c>
      <c r="U200" s="32" t="s">
        <v>381</v>
      </c>
    </row>
    <row r="201" ht="22.5" customHeight="1">
      <c r="A201" s="26">
        <v>46065.0</v>
      </c>
      <c r="B201" s="73" t="s">
        <v>517</v>
      </c>
      <c r="C201" s="32" t="str">
        <f t="array" ref="C201">_xlfn.XLOOKUP(B201, DB[samplingPoint], DB[samplingTag])</f>
        <v>SV136.07</v>
      </c>
      <c r="D201" s="33" t="s">
        <v>500</v>
      </c>
      <c r="E201" s="38" t="b">
        <v>1</v>
      </c>
      <c r="F201" s="39" t="str">
        <f t="array" ref="F201">_xlfn.XLOOKUP($B201, DB[samplingPoint], DB[noLocation])</f>
        <v>12-2-034</v>
      </c>
      <c r="G201" s="59" t="str">
        <f t="array" ref="G201">_xlfn.XLOOKUP($B201, DB[samplingPoint], DB[building])</f>
        <v>Building 12</v>
      </c>
      <c r="H201" s="40" t="str">
        <f t="array" ref="H201">_xlfn.XLOOKUP($B201, DB[samplingPoint], DB[location])</f>
        <v>SYRUP PREPARATION</v>
      </c>
      <c r="I201" s="39" t="str">
        <f t="array" ref="I201">_xlfn.XLOOKUP($B201, DB[samplingPoint], DB[waterType])</f>
        <v>PW</v>
      </c>
      <c r="J201" s="43">
        <f t="shared" si="1"/>
        <v>46066</v>
      </c>
      <c r="K201" s="26">
        <v>46069.0</v>
      </c>
      <c r="L201" s="32">
        <v>0.0</v>
      </c>
      <c r="M201" s="32">
        <v>0.0</v>
      </c>
      <c r="N201" s="32">
        <f t="shared" si="2"/>
        <v>0</v>
      </c>
      <c r="O201" s="49" t="s">
        <v>376</v>
      </c>
      <c r="P201" s="32">
        <f t="array" ref="P201">_xlfn.XLOOKUP($B201, DB[samplingPoint], DB[Criteria])</f>
        <v>100</v>
      </c>
      <c r="Q201" s="50" t="str">
        <f t="shared" si="3"/>
        <v>PASSED</v>
      </c>
      <c r="R201" s="38" t="b">
        <v>0</v>
      </c>
      <c r="S201" s="32" t="s">
        <v>782</v>
      </c>
      <c r="T201" s="39" t="s">
        <v>386</v>
      </c>
      <c r="U201" s="32" t="s">
        <v>381</v>
      </c>
    </row>
    <row r="202" ht="22.5" customHeight="1">
      <c r="A202" s="26">
        <v>46065.0</v>
      </c>
      <c r="B202" s="73" t="s">
        <v>518</v>
      </c>
      <c r="C202" s="32" t="str">
        <f t="array" ref="C202">_xlfn.XLOOKUP(B202, DB[samplingPoint], DB[samplingTag])</f>
        <v>SV136.12</v>
      </c>
      <c r="D202" s="33" t="s">
        <v>500</v>
      </c>
      <c r="E202" s="38" t="b">
        <v>1</v>
      </c>
      <c r="F202" s="39" t="str">
        <f t="array" ref="F202">_xlfn.XLOOKUP($B202, DB[samplingPoint], DB[noLocation])</f>
        <v>12-2-036</v>
      </c>
      <c r="G202" s="59" t="str">
        <f t="array" ref="G202">_xlfn.XLOOKUP($B202, DB[samplingPoint], DB[building])</f>
        <v>Building 12</v>
      </c>
      <c r="H202" s="40" t="str">
        <f t="array" ref="H202">_xlfn.XLOOKUP($B202, DB[samplingPoint], DB[location])</f>
        <v>CIP 1</v>
      </c>
      <c r="I202" s="39" t="str">
        <f t="array" ref="I202">_xlfn.XLOOKUP($B202, DB[samplingPoint], DB[waterType])</f>
        <v>PW</v>
      </c>
      <c r="J202" s="43">
        <f t="shared" si="1"/>
        <v>46066</v>
      </c>
      <c r="K202" s="26">
        <v>46069.0</v>
      </c>
      <c r="L202" s="32">
        <v>0.0</v>
      </c>
      <c r="M202" s="32">
        <v>0.0</v>
      </c>
      <c r="N202" s="32">
        <f t="shared" si="2"/>
        <v>0</v>
      </c>
      <c r="O202" s="49" t="s">
        <v>376</v>
      </c>
      <c r="P202" s="32">
        <f t="array" ref="P202">_xlfn.XLOOKUP($B202, DB[samplingPoint], DB[Criteria])</f>
        <v>100</v>
      </c>
      <c r="Q202" s="50" t="str">
        <f t="shared" si="3"/>
        <v>PASSED</v>
      </c>
      <c r="R202" s="38" t="b">
        <v>0</v>
      </c>
      <c r="S202" s="32" t="s">
        <v>782</v>
      </c>
      <c r="T202" s="39" t="s">
        <v>386</v>
      </c>
      <c r="U202" s="32" t="s">
        <v>381</v>
      </c>
    </row>
    <row r="203" ht="22.5" customHeight="1">
      <c r="A203" s="26">
        <v>46065.0</v>
      </c>
      <c r="B203" s="73" t="s">
        <v>430</v>
      </c>
      <c r="C203" s="32" t="str">
        <f t="array" ref="C203">_xlfn.XLOOKUP(B203, DB[samplingPoint], DB[samplingTag])</f>
        <v>SV137.01</v>
      </c>
      <c r="D203" s="33" t="s">
        <v>500</v>
      </c>
      <c r="E203" s="38" t="b">
        <v>1</v>
      </c>
      <c r="F203" s="39" t="str">
        <f t="array" ref="F203">_xlfn.XLOOKUP($B203, DB[samplingPoint], DB[noLocation])</f>
        <v>WATER SYSTEM (B12)</v>
      </c>
      <c r="G203" s="59" t="str">
        <f t="array" ref="G203">_xlfn.XLOOKUP($B203, DB[samplingPoint], DB[building])</f>
        <v>Building 12</v>
      </c>
      <c r="H203" s="40" t="str">
        <f t="array" ref="H203">_xlfn.XLOOKUP($B203, DB[samplingPoint], DB[location])</f>
        <v>Return loop (B12)</v>
      </c>
      <c r="I203" s="39" t="str">
        <f t="array" ref="I203">_xlfn.XLOOKUP($B203, DB[samplingPoint], DB[waterType])</f>
        <v>PW</v>
      </c>
      <c r="J203" s="43">
        <f t="shared" si="1"/>
        <v>46066</v>
      </c>
      <c r="K203" s="26">
        <v>46069.0</v>
      </c>
      <c r="L203" s="32">
        <v>0.0</v>
      </c>
      <c r="M203" s="32">
        <v>0.0</v>
      </c>
      <c r="N203" s="32">
        <f t="shared" si="2"/>
        <v>0</v>
      </c>
      <c r="O203" s="49" t="s">
        <v>376</v>
      </c>
      <c r="P203" s="32">
        <f t="array" ref="P203">_xlfn.XLOOKUP($B203, DB[samplingPoint], DB[Criteria])</f>
        <v>100</v>
      </c>
      <c r="Q203" s="50" t="str">
        <f t="shared" si="3"/>
        <v>PASSED</v>
      </c>
      <c r="R203" s="38" t="b">
        <v>0</v>
      </c>
      <c r="S203" s="32" t="s">
        <v>782</v>
      </c>
      <c r="T203" s="39" t="s">
        <v>386</v>
      </c>
      <c r="U203" s="32" t="s">
        <v>381</v>
      </c>
    </row>
    <row r="204" ht="22.5" customHeight="1">
      <c r="A204" s="26">
        <v>46065.0</v>
      </c>
      <c r="B204" s="73" t="s">
        <v>483</v>
      </c>
      <c r="C204" s="32" t="str">
        <f t="array" ref="C204">_xlfn.XLOOKUP(B204, DB[samplingPoint], DB[samplingTag])</f>
        <v>DV126.05</v>
      </c>
      <c r="D204" s="33" t="s">
        <v>500</v>
      </c>
      <c r="E204" s="38" t="b">
        <v>1</v>
      </c>
      <c r="F204" s="39" t="str">
        <f t="array" ref="F204">_xlfn.XLOOKUP($B204, DB[samplingPoint], DB[noLocation])</f>
        <v>16-3-054</v>
      </c>
      <c r="G204" s="59" t="str">
        <f t="array" ref="G204">_xlfn.XLOOKUP($B204, DB[samplingPoint], DB[building])</f>
        <v>Building 16</v>
      </c>
      <c r="H204" s="40" t="str">
        <f t="array" ref="H204">_xlfn.XLOOKUP($B204, DB[samplingPoint], DB[location])</f>
        <v>WASHING</v>
      </c>
      <c r="I204" s="39" t="str">
        <f t="array" ref="I204">_xlfn.XLOOKUP($B204, DB[samplingPoint], DB[waterType])</f>
        <v>PW</v>
      </c>
      <c r="J204" s="43">
        <f t="shared" si="1"/>
        <v>46066</v>
      </c>
      <c r="K204" s="26">
        <v>46069.0</v>
      </c>
      <c r="L204" s="32">
        <v>0.0</v>
      </c>
      <c r="M204" s="32">
        <v>0.0</v>
      </c>
      <c r="N204" s="32">
        <f t="shared" si="2"/>
        <v>0</v>
      </c>
      <c r="O204" s="49" t="s">
        <v>376</v>
      </c>
      <c r="P204" s="32">
        <f t="array" ref="P204">_xlfn.XLOOKUP($B204, DB[samplingPoint], DB[Criteria])</f>
        <v>100</v>
      </c>
      <c r="Q204" s="50" t="str">
        <f t="shared" si="3"/>
        <v>PASSED</v>
      </c>
      <c r="R204" s="38" t="b">
        <v>0</v>
      </c>
      <c r="S204" s="32" t="s">
        <v>888</v>
      </c>
      <c r="T204" s="39" t="s">
        <v>386</v>
      </c>
      <c r="U204" s="32" t="s">
        <v>381</v>
      </c>
    </row>
    <row r="205" ht="22.5" customHeight="1">
      <c r="A205" s="26">
        <v>46065.0</v>
      </c>
      <c r="B205" s="73" t="s">
        <v>474</v>
      </c>
      <c r="C205" s="32" t="str">
        <f t="array" ref="C205">_xlfn.XLOOKUP(B205, DB[samplingPoint], DB[samplingTag])</f>
        <v>DV126.11</v>
      </c>
      <c r="D205" s="33" t="s">
        <v>500</v>
      </c>
      <c r="E205" s="38" t="b">
        <v>1</v>
      </c>
      <c r="F205" s="39" t="str">
        <f t="array" ref="F205">_xlfn.XLOOKUP($B205, DB[samplingPoint], DB[noLocation])</f>
        <v>16-3-073</v>
      </c>
      <c r="G205" s="59" t="str">
        <f t="array" ref="G205">_xlfn.XLOOKUP($B205, DB[samplingPoint], DB[building])</f>
        <v>Building 16</v>
      </c>
      <c r="H205" s="40" t="str">
        <f t="array" ref="H205">_xlfn.XLOOKUP($B205, DB[samplingPoint], DB[location])</f>
        <v>MFG 4 (5000L)</v>
      </c>
      <c r="I205" s="39" t="str">
        <f t="array" ref="I205">_xlfn.XLOOKUP($B205, DB[samplingPoint], DB[waterType])</f>
        <v>PW</v>
      </c>
      <c r="J205" s="43">
        <f t="shared" si="1"/>
        <v>46066</v>
      </c>
      <c r="K205" s="26">
        <v>46069.0</v>
      </c>
      <c r="L205" s="32">
        <v>0.0</v>
      </c>
      <c r="M205" s="32">
        <v>0.0</v>
      </c>
      <c r="N205" s="32">
        <f t="shared" si="2"/>
        <v>0</v>
      </c>
      <c r="O205" s="49" t="s">
        <v>376</v>
      </c>
      <c r="P205" s="32">
        <f t="array" ref="P205">_xlfn.XLOOKUP($B205, DB[samplingPoint], DB[Criteria])</f>
        <v>100</v>
      </c>
      <c r="Q205" s="50" t="str">
        <f t="shared" si="3"/>
        <v>PASSED</v>
      </c>
      <c r="R205" s="38" t="b">
        <v>0</v>
      </c>
      <c r="S205" s="32" t="s">
        <v>888</v>
      </c>
      <c r="T205" s="39" t="s">
        <v>386</v>
      </c>
      <c r="U205" s="32" t="s">
        <v>381</v>
      </c>
    </row>
    <row r="206" ht="22.5" customHeight="1">
      <c r="A206" s="26">
        <v>46065.0</v>
      </c>
      <c r="B206" s="73" t="s">
        <v>467</v>
      </c>
      <c r="C206" s="32" t="str">
        <f t="array" ref="C206">_xlfn.XLOOKUP(B206, DB[samplingPoint], DB[samplingTag])</f>
        <v>SV123.01</v>
      </c>
      <c r="D206" s="33" t="s">
        <v>500</v>
      </c>
      <c r="E206" s="38" t="b">
        <v>1</v>
      </c>
      <c r="F206" s="39" t="str">
        <f t="array" ref="F206">_xlfn.XLOOKUP($B206, DB[samplingPoint], DB[noLocation])</f>
        <v>WATER SYSTEM (B16)</v>
      </c>
      <c r="G206" s="59" t="str">
        <f t="array" ref="G206">_xlfn.XLOOKUP($B206, DB[samplingPoint], DB[building])</f>
        <v>Building 16</v>
      </c>
      <c r="H206" s="40" t="str">
        <f t="array" ref="H206">_xlfn.XLOOKUP($B206, DB[samplingPoint], DB[location])</f>
        <v>After Storage tank (B16)</v>
      </c>
      <c r="I206" s="39" t="str">
        <f t="array" ref="I206">_xlfn.XLOOKUP($B206, DB[samplingPoint], DB[waterType])</f>
        <v>PW</v>
      </c>
      <c r="J206" s="43">
        <f t="shared" si="1"/>
        <v>46066</v>
      </c>
      <c r="K206" s="26">
        <v>46069.0</v>
      </c>
      <c r="L206" s="32">
        <v>0.0</v>
      </c>
      <c r="M206" s="32">
        <v>0.0</v>
      </c>
      <c r="N206" s="32">
        <f t="shared" si="2"/>
        <v>0</v>
      </c>
      <c r="O206" s="49" t="s">
        <v>376</v>
      </c>
      <c r="P206" s="32">
        <f t="array" ref="P206">_xlfn.XLOOKUP($B206, DB[samplingPoint], DB[Criteria])</f>
        <v>100</v>
      </c>
      <c r="Q206" s="50" t="str">
        <f t="shared" si="3"/>
        <v>PASSED</v>
      </c>
      <c r="R206" s="38" t="b">
        <v>0</v>
      </c>
      <c r="S206" s="32" t="s">
        <v>888</v>
      </c>
      <c r="T206" s="39" t="s">
        <v>386</v>
      </c>
      <c r="U206" s="32" t="s">
        <v>381</v>
      </c>
    </row>
    <row r="207" ht="22.5" customHeight="1">
      <c r="A207" s="26">
        <v>46065.0</v>
      </c>
      <c r="B207" s="73" t="s">
        <v>469</v>
      </c>
      <c r="C207" s="32" t="str">
        <f t="array" ref="C207">_xlfn.XLOOKUP(B207, DB[samplingPoint], DB[samplingTag])</f>
        <v>SV125.02</v>
      </c>
      <c r="D207" s="33" t="s">
        <v>500</v>
      </c>
      <c r="E207" s="38" t="b">
        <v>1</v>
      </c>
      <c r="F207" s="39" t="str">
        <f t="array" ref="F207">_xlfn.XLOOKUP($B207, DB[samplingPoint], DB[noLocation])</f>
        <v>WATER SYSTEM (B16)</v>
      </c>
      <c r="G207" s="59" t="str">
        <f t="array" ref="G207">_xlfn.XLOOKUP($B207, DB[samplingPoint], DB[building])</f>
        <v>Building 16</v>
      </c>
      <c r="H207" s="40" t="str">
        <f t="array" ref="H207">_xlfn.XLOOKUP($B207, DB[samplingPoint], DB[location])</f>
        <v>After UV (B16)</v>
      </c>
      <c r="I207" s="39" t="str">
        <f t="array" ref="I207">_xlfn.XLOOKUP($B207, DB[samplingPoint], DB[waterType])</f>
        <v>PW</v>
      </c>
      <c r="J207" s="43">
        <f t="shared" si="1"/>
        <v>46066</v>
      </c>
      <c r="K207" s="26">
        <v>46069.0</v>
      </c>
      <c r="L207" s="32">
        <v>10.0</v>
      </c>
      <c r="M207" s="32">
        <v>33.0</v>
      </c>
      <c r="N207" s="32">
        <f t="shared" si="2"/>
        <v>22</v>
      </c>
      <c r="O207" s="49" t="s">
        <v>376</v>
      </c>
      <c r="P207" s="32">
        <f t="array" ref="P207">_xlfn.XLOOKUP($B207, DB[samplingPoint], DB[Criteria])</f>
        <v>100</v>
      </c>
      <c r="Q207" s="50" t="str">
        <f t="shared" si="3"/>
        <v>PASSED</v>
      </c>
      <c r="R207" s="38" t="b">
        <v>0</v>
      </c>
      <c r="S207" s="32" t="s">
        <v>888</v>
      </c>
      <c r="T207" s="39" t="s">
        <v>386</v>
      </c>
      <c r="U207" s="32" t="s">
        <v>381</v>
      </c>
    </row>
    <row r="208" ht="22.5" customHeight="1">
      <c r="A208" s="26">
        <v>46065.0</v>
      </c>
      <c r="B208" s="73" t="s">
        <v>486</v>
      </c>
      <c r="C208" s="32" t="str">
        <f t="array" ref="C208">_xlfn.XLOOKUP(B208, DB[samplingPoint], DB[samplingTag])</f>
        <v>SV126.04</v>
      </c>
      <c r="D208" s="33" t="s">
        <v>500</v>
      </c>
      <c r="E208" s="38" t="b">
        <v>1</v>
      </c>
      <c r="F208" s="39" t="str">
        <f t="array" ref="F208">_xlfn.XLOOKUP($B208, DB[samplingPoint], DB[noLocation])</f>
        <v>16-2-010</v>
      </c>
      <c r="G208" s="59" t="str">
        <f t="array" ref="G208">_xlfn.XLOOKUP($B208, DB[samplingPoint], DB[building])</f>
        <v>Building 16</v>
      </c>
      <c r="H208" s="40" t="str">
        <f t="array" ref="H208">_xlfn.XLOOKUP($B208, DB[samplingPoint], DB[location])</f>
        <v>WATER SYSTEM (PSG)</v>
      </c>
      <c r="I208" s="39" t="str">
        <f t="array" ref="I208">_xlfn.XLOOKUP($B208, DB[samplingPoint], DB[waterType])</f>
        <v>PW</v>
      </c>
      <c r="J208" s="43">
        <f t="shared" si="1"/>
        <v>46066</v>
      </c>
      <c r="K208" s="26">
        <v>46069.0</v>
      </c>
      <c r="L208" s="32">
        <v>0.0</v>
      </c>
      <c r="M208" s="32">
        <v>0.0</v>
      </c>
      <c r="N208" s="32">
        <f t="shared" si="2"/>
        <v>0</v>
      </c>
      <c r="O208" s="49" t="s">
        <v>376</v>
      </c>
      <c r="P208" s="32">
        <f t="array" ref="P208">_xlfn.XLOOKUP($B208, DB[samplingPoint], DB[Criteria])</f>
        <v>100</v>
      </c>
      <c r="Q208" s="50" t="str">
        <f t="shared" si="3"/>
        <v>PASSED</v>
      </c>
      <c r="R208" s="38" t="b">
        <v>0</v>
      </c>
      <c r="S208" s="32" t="s">
        <v>888</v>
      </c>
      <c r="T208" s="39" t="s">
        <v>386</v>
      </c>
      <c r="U208" s="32" t="s">
        <v>381</v>
      </c>
    </row>
    <row r="209" ht="22.5" customHeight="1">
      <c r="A209" s="26">
        <v>46065.0</v>
      </c>
      <c r="B209" s="73" t="s">
        <v>478</v>
      </c>
      <c r="C209" s="32" t="str">
        <f t="array" ref="C209">_xlfn.XLOOKUP(B209, DB[samplingPoint], DB[samplingTag])</f>
        <v>SV126.14</v>
      </c>
      <c r="D209" s="33" t="s">
        <v>500</v>
      </c>
      <c r="E209" s="38" t="b">
        <v>1</v>
      </c>
      <c r="F209" s="39" t="str">
        <f t="array" ref="F209">_xlfn.XLOOKUP($B209, DB[samplingPoint], DB[noLocation])</f>
        <v>16-3-073</v>
      </c>
      <c r="G209" s="59" t="str">
        <f t="array" ref="G209">_xlfn.XLOOKUP($B209, DB[samplingPoint], DB[building])</f>
        <v>Building 16</v>
      </c>
      <c r="H209" s="40" t="str">
        <f t="array" ref="H209">_xlfn.XLOOKUP($B209, DB[samplingPoint], DB[location])</f>
        <v>MFG 4 (400L)</v>
      </c>
      <c r="I209" s="39" t="str">
        <f t="array" ref="I209">_xlfn.XLOOKUP($B209, DB[samplingPoint], DB[waterType])</f>
        <v>PW</v>
      </c>
      <c r="J209" s="43">
        <f t="shared" si="1"/>
        <v>46066</v>
      </c>
      <c r="K209" s="26">
        <v>46069.0</v>
      </c>
      <c r="L209" s="32">
        <v>0.0</v>
      </c>
      <c r="M209" s="32">
        <v>0.0</v>
      </c>
      <c r="N209" s="32">
        <f t="shared" si="2"/>
        <v>0</v>
      </c>
      <c r="O209" s="49" t="s">
        <v>376</v>
      </c>
      <c r="P209" s="32">
        <f t="array" ref="P209">_xlfn.XLOOKUP($B209, DB[samplingPoint], DB[Criteria])</f>
        <v>100</v>
      </c>
      <c r="Q209" s="50" t="str">
        <f t="shared" si="3"/>
        <v>PASSED</v>
      </c>
      <c r="R209" s="38" t="b">
        <v>0</v>
      </c>
      <c r="S209" s="32" t="s">
        <v>888</v>
      </c>
      <c r="T209" s="39" t="s">
        <v>386</v>
      </c>
      <c r="U209" s="32" t="s">
        <v>381</v>
      </c>
    </row>
    <row r="210" ht="22.5" customHeight="1">
      <c r="A210" s="26">
        <v>46065.0</v>
      </c>
      <c r="B210" s="73" t="s">
        <v>481</v>
      </c>
      <c r="C210" s="32" t="str">
        <f t="array" ref="C210">_xlfn.XLOOKUP(B210, DB[samplingPoint], DB[samplingTag])</f>
        <v>SV126.15</v>
      </c>
      <c r="D210" s="33" t="s">
        <v>500</v>
      </c>
      <c r="E210" s="38" t="b">
        <v>1</v>
      </c>
      <c r="F210" s="39" t="str">
        <f t="array" ref="F210">_xlfn.XLOOKUP($B210, DB[samplingPoint], DB[noLocation])</f>
        <v>16-3-075</v>
      </c>
      <c r="G210" s="59" t="str">
        <f t="array" ref="G210">_xlfn.XLOOKUP($B210, DB[samplingPoint], DB[building])</f>
        <v>Building 16</v>
      </c>
      <c r="H210" s="40" t="str">
        <f t="array" ref="H210">_xlfn.XLOOKUP($B210, DB[samplingPoint], DB[location])</f>
        <v>MFG 5 PROCESS (2000L)</v>
      </c>
      <c r="I210" s="39" t="str">
        <f t="array" ref="I210">_xlfn.XLOOKUP($B210, DB[samplingPoint], DB[waterType])</f>
        <v>PW</v>
      </c>
      <c r="J210" s="43">
        <f t="shared" si="1"/>
        <v>46066</v>
      </c>
      <c r="K210" s="26">
        <v>46069.0</v>
      </c>
      <c r="L210" s="32">
        <v>25.0</v>
      </c>
      <c r="M210" s="32">
        <v>16.0</v>
      </c>
      <c r="N210" s="32">
        <f t="shared" si="2"/>
        <v>21</v>
      </c>
      <c r="O210" s="49" t="s">
        <v>376</v>
      </c>
      <c r="P210" s="32">
        <f t="array" ref="P210">_xlfn.XLOOKUP($B210, DB[samplingPoint], DB[Criteria])</f>
        <v>100</v>
      </c>
      <c r="Q210" s="50" t="str">
        <f t="shared" si="3"/>
        <v>PASSED</v>
      </c>
      <c r="R210" s="38" t="b">
        <v>0</v>
      </c>
      <c r="S210" s="32" t="s">
        <v>888</v>
      </c>
      <c r="T210" s="39" t="s">
        <v>386</v>
      </c>
      <c r="U210" s="32" t="s">
        <v>381</v>
      </c>
    </row>
    <row r="211" ht="22.5" customHeight="1">
      <c r="A211" s="26">
        <v>46065.0</v>
      </c>
      <c r="B211" s="73" t="s">
        <v>472</v>
      </c>
      <c r="C211" s="32" t="str">
        <f t="array" ref="C211">_xlfn.XLOOKUP(B211, DB[samplingPoint], DB[samplingTag])</f>
        <v>SV126.19</v>
      </c>
      <c r="D211" s="33" t="s">
        <v>500</v>
      </c>
      <c r="E211" s="38" t="b">
        <v>1</v>
      </c>
      <c r="F211" s="39" t="str">
        <f t="array" ref="F211">_xlfn.XLOOKUP($B211, DB[samplingPoint], DB[noLocation])</f>
        <v>16-3-087</v>
      </c>
      <c r="G211" s="59" t="str">
        <f t="array" ref="G211">_xlfn.XLOOKUP($B211, DB[samplingPoint], DB[building])</f>
        <v>Building 16</v>
      </c>
      <c r="H211" s="40" t="str">
        <f t="array" ref="H211">_xlfn.XLOOKUP($B211, DB[samplingPoint], DB[location])</f>
        <v>CIP 2 (EQUIPMENT REQUIREMENT)</v>
      </c>
      <c r="I211" s="39" t="str">
        <f t="array" ref="I211">_xlfn.XLOOKUP($B211, DB[samplingPoint], DB[waterType])</f>
        <v>PW</v>
      </c>
      <c r="J211" s="43">
        <f t="shared" si="1"/>
        <v>46066</v>
      </c>
      <c r="K211" s="26">
        <v>46069.0</v>
      </c>
      <c r="L211" s="32">
        <v>0.0</v>
      </c>
      <c r="M211" s="32">
        <v>0.0</v>
      </c>
      <c r="N211" s="32">
        <f t="shared" si="2"/>
        <v>0</v>
      </c>
      <c r="O211" s="49" t="s">
        <v>376</v>
      </c>
      <c r="P211" s="32">
        <f t="array" ref="P211">_xlfn.XLOOKUP($B211, DB[samplingPoint], DB[Criteria])</f>
        <v>100</v>
      </c>
      <c r="Q211" s="50" t="str">
        <f t="shared" si="3"/>
        <v>PASSED</v>
      </c>
      <c r="R211" s="38" t="b">
        <v>0</v>
      </c>
      <c r="S211" s="32" t="s">
        <v>888</v>
      </c>
      <c r="T211" s="39" t="s">
        <v>386</v>
      </c>
      <c r="U211" s="32" t="s">
        <v>381</v>
      </c>
    </row>
    <row r="212" ht="22.5" customHeight="1">
      <c r="A212" s="26">
        <v>46065.0</v>
      </c>
      <c r="B212" s="73" t="s">
        <v>464</v>
      </c>
      <c r="C212" s="32" t="str">
        <f t="array" ref="C212">_xlfn.XLOOKUP(B212, DB[samplingPoint], DB[samplingTag])</f>
        <v>SV127.01</v>
      </c>
      <c r="D212" s="33" t="s">
        <v>500</v>
      </c>
      <c r="E212" s="38" t="b">
        <v>1</v>
      </c>
      <c r="F212" s="39" t="str">
        <f t="array" ref="F212">_xlfn.XLOOKUP($B212, DB[samplingPoint], DB[noLocation])</f>
        <v>WATER SYSTEM (B16)</v>
      </c>
      <c r="G212" s="59" t="str">
        <f t="array" ref="G212">_xlfn.XLOOKUP($B212, DB[samplingPoint], DB[building])</f>
        <v>Building 16</v>
      </c>
      <c r="H212" s="40" t="str">
        <f t="array" ref="H212">_xlfn.XLOOKUP($B212, DB[samplingPoint], DB[location])</f>
        <v>Return loop (B16)</v>
      </c>
      <c r="I212" s="39" t="str">
        <f t="array" ref="I212">_xlfn.XLOOKUP($B212, DB[samplingPoint], DB[waterType])</f>
        <v>PW</v>
      </c>
      <c r="J212" s="43">
        <f t="shared" si="1"/>
        <v>46066</v>
      </c>
      <c r="K212" s="26">
        <v>46069.0</v>
      </c>
      <c r="L212" s="32">
        <v>0.0</v>
      </c>
      <c r="M212" s="32">
        <v>0.0</v>
      </c>
      <c r="N212" s="32">
        <f t="shared" si="2"/>
        <v>0</v>
      </c>
      <c r="O212" s="49" t="s">
        <v>376</v>
      </c>
      <c r="P212" s="32">
        <f t="array" ref="P212">_xlfn.XLOOKUP($B212, DB[samplingPoint], DB[Criteria])</f>
        <v>100</v>
      </c>
      <c r="Q212" s="50" t="str">
        <f t="shared" si="3"/>
        <v>PASSED</v>
      </c>
      <c r="R212" s="38" t="b">
        <v>0</v>
      </c>
      <c r="S212" s="32" t="s">
        <v>888</v>
      </c>
      <c r="T212" s="39" t="s">
        <v>386</v>
      </c>
      <c r="U212" s="32" t="s">
        <v>381</v>
      </c>
    </row>
    <row r="213" ht="22.5" customHeight="1">
      <c r="A213" s="26">
        <v>46066.0</v>
      </c>
      <c r="B213" s="73" t="s">
        <v>520</v>
      </c>
      <c r="C213" s="32" t="str">
        <f t="array" ref="C213">_xlfn.XLOOKUP(B213, DB[samplingPoint], DB[samplingTag])</f>
        <v>DV116.03</v>
      </c>
      <c r="D213" s="33" t="s">
        <v>500</v>
      </c>
      <c r="E213" s="38" t="b">
        <v>1</v>
      </c>
      <c r="F213" s="39" t="str">
        <f t="array" ref="F213">_xlfn.XLOOKUP($B213, DB[samplingPoint], DB[noLocation])</f>
        <v>10-2-034</v>
      </c>
      <c r="G213" s="59" t="str">
        <f t="array" ref="G213">_xlfn.XLOOKUP($B213, DB[samplingPoint], DB[building])</f>
        <v>Building 10</v>
      </c>
      <c r="H213" s="40" t="str">
        <f t="array" ref="H213">_xlfn.XLOOKUP($B213, DB[samplingPoint], DB[location])</f>
        <v>SAMPLE PREPARATION</v>
      </c>
      <c r="I213" s="39" t="str">
        <f t="array" ref="I213">_xlfn.XLOOKUP($B213, DB[samplingPoint], DB[waterType])</f>
        <v>PW</v>
      </c>
      <c r="J213" s="43">
        <f t="shared" si="1"/>
        <v>46067</v>
      </c>
      <c r="K213" s="26">
        <v>46070.0</v>
      </c>
      <c r="L213" s="32">
        <v>0.0</v>
      </c>
      <c r="M213" s="32">
        <v>0.0</v>
      </c>
      <c r="N213" s="32">
        <f t="shared" si="2"/>
        <v>0</v>
      </c>
      <c r="O213" s="49" t="s">
        <v>376</v>
      </c>
      <c r="P213" s="32">
        <f t="array" ref="P213">_xlfn.XLOOKUP($B213, DB[samplingPoint], DB[Criteria])</f>
        <v>100</v>
      </c>
      <c r="Q213" s="50" t="str">
        <f t="shared" si="3"/>
        <v>PASSED</v>
      </c>
      <c r="R213" s="38" t="b">
        <v>0</v>
      </c>
      <c r="S213" s="32" t="s">
        <v>955</v>
      </c>
      <c r="T213" s="39" t="s">
        <v>386</v>
      </c>
      <c r="U213" s="32" t="s">
        <v>381</v>
      </c>
    </row>
    <row r="214" ht="22.5" customHeight="1">
      <c r="A214" s="26">
        <v>46066.0</v>
      </c>
      <c r="B214" s="73" t="s">
        <v>522</v>
      </c>
      <c r="C214" s="32" t="str">
        <f t="array" ref="C214">_xlfn.XLOOKUP(B214, DB[samplingPoint], DB[samplingTag])</f>
        <v>DV116.04</v>
      </c>
      <c r="D214" s="33" t="s">
        <v>500</v>
      </c>
      <c r="E214" s="38" t="b">
        <v>1</v>
      </c>
      <c r="F214" s="39" t="str">
        <f t="array" ref="F214">_xlfn.XLOOKUP($B214, DB[samplingPoint], DB[noLocation])</f>
        <v>10-2-037</v>
      </c>
      <c r="G214" s="59" t="str">
        <f t="array" ref="G214">_xlfn.XLOOKUP($B214, DB[samplingPoint], DB[building])</f>
        <v>Building 10</v>
      </c>
      <c r="H214" s="40" t="str">
        <f t="array" ref="H214">_xlfn.XLOOKUP($B214, DB[samplingPoint], DB[location])</f>
        <v>SKID FOR BIN WASHING-1</v>
      </c>
      <c r="I214" s="39" t="str">
        <f t="array" ref="I214">_xlfn.XLOOKUP($B214, DB[samplingPoint], DB[waterType])</f>
        <v>PW</v>
      </c>
      <c r="J214" s="43">
        <f t="shared" si="1"/>
        <v>46067</v>
      </c>
      <c r="K214" s="26">
        <v>46070.0</v>
      </c>
      <c r="L214" s="32">
        <v>0.0</v>
      </c>
      <c r="M214" s="32">
        <v>0.0</v>
      </c>
      <c r="N214" s="32">
        <f t="shared" si="2"/>
        <v>0</v>
      </c>
      <c r="O214" s="49" t="s">
        <v>376</v>
      </c>
      <c r="P214" s="32">
        <f t="array" ref="P214">_xlfn.XLOOKUP($B214, DB[samplingPoint], DB[Criteria])</f>
        <v>100</v>
      </c>
      <c r="Q214" s="50" t="str">
        <f t="shared" si="3"/>
        <v>PASSED</v>
      </c>
      <c r="R214" s="38" t="b">
        <v>0</v>
      </c>
      <c r="S214" s="32" t="s">
        <v>955</v>
      </c>
      <c r="T214" s="39" t="s">
        <v>386</v>
      </c>
      <c r="U214" s="32" t="s">
        <v>381</v>
      </c>
    </row>
    <row r="215" ht="22.5" customHeight="1">
      <c r="A215" s="26">
        <v>46066.0</v>
      </c>
      <c r="B215" s="73" t="s">
        <v>524</v>
      </c>
      <c r="C215" s="32" t="str">
        <f t="array" ref="C215">_xlfn.XLOOKUP(B215, DB[samplingPoint], DB[samplingTag])</f>
        <v>DV116.05</v>
      </c>
      <c r="D215" s="33" t="s">
        <v>500</v>
      </c>
      <c r="E215" s="38" t="b">
        <v>1</v>
      </c>
      <c r="F215" s="39" t="str">
        <f t="array" ref="F215">_xlfn.XLOOKUP($B215, DB[samplingPoint], DB[noLocation])</f>
        <v>10-2-032</v>
      </c>
      <c r="G215" s="59" t="str">
        <f t="array" ref="G215">_xlfn.XLOOKUP($B215, DB[samplingPoint], DB[building])</f>
        <v>Building 10</v>
      </c>
      <c r="H215" s="40" t="str">
        <f t="array" ref="H215">_xlfn.XLOOKUP($B215, DB[samplingPoint], DB[location])</f>
        <v>GLASS-WARE WASHING</v>
      </c>
      <c r="I215" s="39" t="str">
        <f t="array" ref="I215">_xlfn.XLOOKUP($B215, DB[samplingPoint], DB[waterType])</f>
        <v>PW</v>
      </c>
      <c r="J215" s="43">
        <f t="shared" si="1"/>
        <v>46067</v>
      </c>
      <c r="K215" s="26">
        <v>46070.0</v>
      </c>
      <c r="L215" s="32">
        <v>0.0</v>
      </c>
      <c r="M215" s="32">
        <v>0.0</v>
      </c>
      <c r="N215" s="32">
        <f t="shared" si="2"/>
        <v>0</v>
      </c>
      <c r="O215" s="49" t="s">
        <v>376</v>
      </c>
      <c r="P215" s="32">
        <f t="array" ref="P215">_xlfn.XLOOKUP($B215, DB[samplingPoint], DB[Criteria])</f>
        <v>100</v>
      </c>
      <c r="Q215" s="50" t="str">
        <f t="shared" si="3"/>
        <v>PASSED</v>
      </c>
      <c r="R215" s="38" t="b">
        <v>0</v>
      </c>
      <c r="S215" s="32" t="s">
        <v>955</v>
      </c>
      <c r="T215" s="39" t="s">
        <v>386</v>
      </c>
      <c r="U215" s="32" t="s">
        <v>381</v>
      </c>
    </row>
    <row r="216" ht="22.5" customHeight="1">
      <c r="A216" s="26">
        <v>46066.0</v>
      </c>
      <c r="B216" s="73" t="s">
        <v>526</v>
      </c>
      <c r="C216" s="32" t="str">
        <f t="array" ref="C216">_xlfn.XLOOKUP(B216, DB[samplingPoint], DB[samplingTag])</f>
        <v>DV116.06</v>
      </c>
      <c r="D216" s="33" t="s">
        <v>500</v>
      </c>
      <c r="E216" s="38" t="b">
        <v>1</v>
      </c>
      <c r="F216" s="39" t="str">
        <f t="array" ref="F216">_xlfn.XLOOKUP($B216, DB[samplingPoint], DB[noLocation])</f>
        <v>10-2-034</v>
      </c>
      <c r="G216" s="59" t="str">
        <f t="array" ref="G216">_xlfn.XLOOKUP($B216, DB[samplingPoint], DB[building])</f>
        <v>Building 10</v>
      </c>
      <c r="H216" s="40" t="str">
        <f t="array" ref="H216">_xlfn.XLOOKUP($B216, DB[samplingPoint], DB[location])</f>
        <v>SAMPLE PREPARATION</v>
      </c>
      <c r="I216" s="39" t="str">
        <f t="array" ref="I216">_xlfn.XLOOKUP($B216, DB[samplingPoint], DB[waterType])</f>
        <v>PW</v>
      </c>
      <c r="J216" s="43">
        <f t="shared" si="1"/>
        <v>46067</v>
      </c>
      <c r="K216" s="26">
        <v>46070.0</v>
      </c>
      <c r="L216" s="32">
        <v>0.0</v>
      </c>
      <c r="M216" s="32">
        <v>0.0</v>
      </c>
      <c r="N216" s="32">
        <f t="shared" si="2"/>
        <v>0</v>
      </c>
      <c r="O216" s="49" t="s">
        <v>376</v>
      </c>
      <c r="P216" s="32">
        <f t="array" ref="P216">_xlfn.XLOOKUP($B216, DB[samplingPoint], DB[Criteria])</f>
        <v>100</v>
      </c>
      <c r="Q216" s="50" t="str">
        <f t="shared" si="3"/>
        <v>PASSED</v>
      </c>
      <c r="R216" s="38" t="b">
        <v>0</v>
      </c>
      <c r="S216" s="32" t="s">
        <v>955</v>
      </c>
      <c r="T216" s="39" t="s">
        <v>386</v>
      </c>
      <c r="U216" s="32" t="s">
        <v>381</v>
      </c>
    </row>
    <row r="217" ht="22.5" customHeight="1">
      <c r="A217" s="26">
        <v>46066.0</v>
      </c>
      <c r="B217" s="73" t="s">
        <v>527</v>
      </c>
      <c r="C217" s="32" t="str">
        <f t="array" ref="C217">_xlfn.XLOOKUP(B217, DB[samplingPoint], DB[samplingTag])</f>
        <v>DV116.07</v>
      </c>
      <c r="D217" s="33" t="s">
        <v>500</v>
      </c>
      <c r="E217" s="38" t="b">
        <v>1</v>
      </c>
      <c r="F217" s="39" t="str">
        <f t="array" ref="F217">_xlfn.XLOOKUP($B217, DB[samplingPoint], DB[noLocation])</f>
        <v>10-2-032</v>
      </c>
      <c r="G217" s="59" t="str">
        <f t="array" ref="G217">_xlfn.XLOOKUP($B217, DB[samplingPoint], DB[building])</f>
        <v>Building 10</v>
      </c>
      <c r="H217" s="40" t="str">
        <f t="array" ref="H217">_xlfn.XLOOKUP($B217, DB[samplingPoint], DB[location])</f>
        <v>GLASS-WARE WASHING</v>
      </c>
      <c r="I217" s="39" t="str">
        <f t="array" ref="I217">_xlfn.XLOOKUP($B217, DB[samplingPoint], DB[waterType])</f>
        <v>PW</v>
      </c>
      <c r="J217" s="43">
        <f t="shared" si="1"/>
        <v>46067</v>
      </c>
      <c r="K217" s="26">
        <v>46070.0</v>
      </c>
      <c r="L217" s="32">
        <v>0.0</v>
      </c>
      <c r="M217" s="32">
        <v>0.0</v>
      </c>
      <c r="N217" s="32">
        <f t="shared" si="2"/>
        <v>0</v>
      </c>
      <c r="O217" s="49" t="s">
        <v>376</v>
      </c>
      <c r="P217" s="32">
        <f t="array" ref="P217">_xlfn.XLOOKUP($B217, DB[samplingPoint], DB[Criteria])</f>
        <v>100</v>
      </c>
      <c r="Q217" s="50" t="str">
        <f t="shared" si="3"/>
        <v>PASSED</v>
      </c>
      <c r="R217" s="38" t="b">
        <v>0</v>
      </c>
      <c r="S217" s="32" t="s">
        <v>955</v>
      </c>
      <c r="T217" s="39" t="s">
        <v>386</v>
      </c>
      <c r="U217" s="32" t="s">
        <v>381</v>
      </c>
    </row>
    <row r="218" ht="22.5" customHeight="1">
      <c r="A218" s="26">
        <v>46066.0</v>
      </c>
      <c r="B218" s="73" t="s">
        <v>528</v>
      </c>
      <c r="C218" s="32" t="str">
        <f t="array" ref="C218">_xlfn.XLOOKUP(B218, DB[samplingPoint], DB[samplingTag])</f>
        <v>DV116.08</v>
      </c>
      <c r="D218" s="33" t="s">
        <v>500</v>
      </c>
      <c r="E218" s="38" t="b">
        <v>1</v>
      </c>
      <c r="F218" s="39" t="str">
        <f t="array" ref="F218">_xlfn.XLOOKUP($B218, DB[samplingPoint], DB[noLocation])</f>
        <v>10-3-059</v>
      </c>
      <c r="G218" s="59" t="str">
        <f t="array" ref="G218">_xlfn.XLOOKUP($B218, DB[samplingPoint], DB[building])</f>
        <v>Building 10</v>
      </c>
      <c r="H218" s="40" t="str">
        <f t="array" ref="H218">_xlfn.XLOOKUP($B218, DB[samplingPoint], DB[location])</f>
        <v>COATING SOLUTION PREP.-1</v>
      </c>
      <c r="I218" s="39" t="str">
        <f t="array" ref="I218">_xlfn.XLOOKUP($B218, DB[samplingPoint], DB[waterType])</f>
        <v>PW</v>
      </c>
      <c r="J218" s="43">
        <f t="shared" si="1"/>
        <v>46067</v>
      </c>
      <c r="K218" s="26">
        <v>46070.0</v>
      </c>
      <c r="L218" s="32">
        <v>0.0</v>
      </c>
      <c r="M218" s="32">
        <v>0.0</v>
      </c>
      <c r="N218" s="32">
        <f t="shared" si="2"/>
        <v>0</v>
      </c>
      <c r="O218" s="49" t="s">
        <v>376</v>
      </c>
      <c r="P218" s="32">
        <f t="array" ref="P218">_xlfn.XLOOKUP($B218, DB[samplingPoint], DB[Criteria])</f>
        <v>100</v>
      </c>
      <c r="Q218" s="50" t="str">
        <f t="shared" si="3"/>
        <v>PASSED</v>
      </c>
      <c r="R218" s="38" t="b">
        <v>0</v>
      </c>
      <c r="S218" s="32" t="s">
        <v>955</v>
      </c>
      <c r="T218" s="39" t="s">
        <v>386</v>
      </c>
      <c r="U218" s="32" t="s">
        <v>381</v>
      </c>
    </row>
    <row r="219" ht="22.5" customHeight="1">
      <c r="A219" s="26">
        <v>46066.0</v>
      </c>
      <c r="B219" s="73" t="s">
        <v>529</v>
      </c>
      <c r="C219" s="32" t="str">
        <f t="array" ref="C219">_xlfn.XLOOKUP(B219, DB[samplingPoint], DB[samplingTag])</f>
        <v>DV116.09</v>
      </c>
      <c r="D219" s="33" t="s">
        <v>500</v>
      </c>
      <c r="E219" s="38" t="b">
        <v>1</v>
      </c>
      <c r="F219" s="39" t="str">
        <f t="array" ref="F219">_xlfn.XLOOKUP($B219, DB[samplingPoint], DB[noLocation])</f>
        <v>10-3-060</v>
      </c>
      <c r="G219" s="59" t="str">
        <f t="array" ref="G219">_xlfn.XLOOKUP($B219, DB[samplingPoint], DB[building])</f>
        <v>Building 10</v>
      </c>
      <c r="H219" s="40" t="str">
        <f t="array" ref="H219">_xlfn.XLOOKUP($B219, DB[samplingPoint], DB[location])</f>
        <v>COATING SOLUTION PREP.-2</v>
      </c>
      <c r="I219" s="39" t="str">
        <f t="array" ref="I219">_xlfn.XLOOKUP($B219, DB[samplingPoint], DB[waterType])</f>
        <v>PW</v>
      </c>
      <c r="J219" s="43">
        <f t="shared" si="1"/>
        <v>46067</v>
      </c>
      <c r="K219" s="26">
        <v>46070.0</v>
      </c>
      <c r="L219" s="32">
        <v>0.0</v>
      </c>
      <c r="M219" s="32">
        <v>0.0</v>
      </c>
      <c r="N219" s="32">
        <f t="shared" si="2"/>
        <v>0</v>
      </c>
      <c r="O219" s="49" t="s">
        <v>376</v>
      </c>
      <c r="P219" s="32">
        <f t="array" ref="P219">_xlfn.XLOOKUP($B219, DB[samplingPoint], DB[Criteria])</f>
        <v>100</v>
      </c>
      <c r="Q219" s="50" t="str">
        <f t="shared" si="3"/>
        <v>PASSED</v>
      </c>
      <c r="R219" s="38" t="b">
        <v>0</v>
      </c>
      <c r="S219" s="32" t="s">
        <v>955</v>
      </c>
      <c r="T219" s="39" t="s">
        <v>386</v>
      </c>
      <c r="U219" s="32" t="s">
        <v>381</v>
      </c>
    </row>
    <row r="220" ht="22.5" customHeight="1">
      <c r="A220" s="26">
        <v>46066.0</v>
      </c>
      <c r="B220" s="73" t="s">
        <v>531</v>
      </c>
      <c r="C220" s="32" t="str">
        <f t="array" ref="C220">_xlfn.XLOOKUP(B220, DB[samplingPoint], DB[samplingTag])</f>
        <v>DV116.10</v>
      </c>
      <c r="D220" s="33" t="s">
        <v>500</v>
      </c>
      <c r="E220" s="38" t="b">
        <v>1</v>
      </c>
      <c r="F220" s="39" t="str">
        <f t="array" ref="F220">_xlfn.XLOOKUP($B220, DB[samplingPoint], DB[noLocation])</f>
        <v>10-3-065</v>
      </c>
      <c r="G220" s="59" t="str">
        <f t="array" ref="G220">_xlfn.XLOOKUP($B220, DB[samplingPoint], DB[building])</f>
        <v>Building 10</v>
      </c>
      <c r="H220" s="40" t="str">
        <f t="array" ref="H220">_xlfn.XLOOKUP($B220, DB[samplingPoint], DB[location])</f>
        <v>COATING SOLUTION PREP.-3</v>
      </c>
      <c r="I220" s="39" t="str">
        <f t="array" ref="I220">_xlfn.XLOOKUP($B220, DB[samplingPoint], DB[waterType])</f>
        <v>PW</v>
      </c>
      <c r="J220" s="43">
        <f t="shared" si="1"/>
        <v>46067</v>
      </c>
      <c r="K220" s="26">
        <v>46070.0</v>
      </c>
      <c r="L220" s="32">
        <v>0.0</v>
      </c>
      <c r="M220" s="32">
        <v>0.0</v>
      </c>
      <c r="N220" s="32">
        <f t="shared" si="2"/>
        <v>0</v>
      </c>
      <c r="O220" s="49" t="s">
        <v>376</v>
      </c>
      <c r="P220" s="32">
        <f t="array" ref="P220">_xlfn.XLOOKUP($B220, DB[samplingPoint], DB[Criteria])</f>
        <v>100</v>
      </c>
      <c r="Q220" s="50" t="str">
        <f t="shared" si="3"/>
        <v>PASSED</v>
      </c>
      <c r="R220" s="38" t="b">
        <v>0</v>
      </c>
      <c r="S220" s="32" t="s">
        <v>955</v>
      </c>
      <c r="T220" s="39" t="s">
        <v>386</v>
      </c>
      <c r="U220" s="32" t="s">
        <v>381</v>
      </c>
    </row>
    <row r="221" ht="22.5" customHeight="1">
      <c r="A221" s="26">
        <v>46066.0</v>
      </c>
      <c r="B221" s="73" t="s">
        <v>532</v>
      </c>
      <c r="C221" s="32" t="str">
        <f t="array" ref="C221">_xlfn.XLOOKUP(B221, DB[samplingPoint], DB[samplingTag])</f>
        <v>DV116.11</v>
      </c>
      <c r="D221" s="33" t="s">
        <v>500</v>
      </c>
      <c r="E221" s="38" t="b">
        <v>1</v>
      </c>
      <c r="F221" s="39" t="str">
        <f t="array" ref="F221">_xlfn.XLOOKUP($B221, DB[samplingPoint], DB[noLocation])</f>
        <v>10-3-066</v>
      </c>
      <c r="G221" s="59" t="str">
        <f t="array" ref="G221">_xlfn.XLOOKUP($B221, DB[samplingPoint], DB[building])</f>
        <v>Building 10</v>
      </c>
      <c r="H221" s="40" t="str">
        <f t="array" ref="H221">_xlfn.XLOOKUP($B221, DB[samplingPoint], DB[location])</f>
        <v>COATING SOLUTION PREP.-4</v>
      </c>
      <c r="I221" s="39" t="str">
        <f t="array" ref="I221">_xlfn.XLOOKUP($B221, DB[samplingPoint], DB[waterType])</f>
        <v>PW</v>
      </c>
      <c r="J221" s="43">
        <f t="shared" si="1"/>
        <v>46067</v>
      </c>
      <c r="K221" s="26">
        <v>46070.0</v>
      </c>
      <c r="L221" s="32">
        <v>0.0</v>
      </c>
      <c r="M221" s="32">
        <v>0.0</v>
      </c>
      <c r="N221" s="32">
        <f t="shared" si="2"/>
        <v>0</v>
      </c>
      <c r="O221" s="49" t="s">
        <v>376</v>
      </c>
      <c r="P221" s="32">
        <f t="array" ref="P221">_xlfn.XLOOKUP($B221, DB[samplingPoint], DB[Criteria])</f>
        <v>100</v>
      </c>
      <c r="Q221" s="50" t="str">
        <f t="shared" si="3"/>
        <v>PASSED</v>
      </c>
      <c r="R221" s="38" t="b">
        <v>0</v>
      </c>
      <c r="S221" s="32" t="s">
        <v>955</v>
      </c>
      <c r="T221" s="39" t="s">
        <v>386</v>
      </c>
      <c r="U221" s="32" t="s">
        <v>381</v>
      </c>
    </row>
    <row r="222" ht="22.5" customHeight="1">
      <c r="A222" s="26">
        <v>46066.0</v>
      </c>
      <c r="B222" s="73" t="s">
        <v>380</v>
      </c>
      <c r="C222" s="32" t="str">
        <f t="array" ref="C222">_xlfn.XLOOKUP(B222, DB[samplingPoint], DB[samplingTag])</f>
        <v>SV113.01</v>
      </c>
      <c r="D222" s="33" t="s">
        <v>500</v>
      </c>
      <c r="E222" s="38" t="b">
        <v>1</v>
      </c>
      <c r="F222" s="39" t="str">
        <f t="array" ref="F222">_xlfn.XLOOKUP($B222, DB[samplingPoint], DB[noLocation])</f>
        <v>WATER SYSTEM (B10)</v>
      </c>
      <c r="G222" s="59" t="str">
        <f t="array" ref="G222">_xlfn.XLOOKUP($B222, DB[samplingPoint], DB[building])</f>
        <v>Building 10</v>
      </c>
      <c r="H222" s="40" t="str">
        <f t="array" ref="H222">_xlfn.XLOOKUP($B222, DB[samplingPoint], DB[location])</f>
        <v>After Storage tank (B10)</v>
      </c>
      <c r="I222" s="39" t="str">
        <f t="array" ref="I222">_xlfn.XLOOKUP($B222, DB[samplingPoint], DB[waterType])</f>
        <v>PW</v>
      </c>
      <c r="J222" s="43">
        <f t="shared" si="1"/>
        <v>46067</v>
      </c>
      <c r="K222" s="26">
        <v>46070.0</v>
      </c>
      <c r="L222" s="32">
        <v>0.0</v>
      </c>
      <c r="M222" s="32">
        <v>0.0</v>
      </c>
      <c r="N222" s="32">
        <f t="shared" si="2"/>
        <v>0</v>
      </c>
      <c r="O222" s="49" t="s">
        <v>376</v>
      </c>
      <c r="P222" s="32">
        <f t="array" ref="P222">_xlfn.XLOOKUP($B222, DB[samplingPoint], DB[Criteria])</f>
        <v>100</v>
      </c>
      <c r="Q222" s="50" t="str">
        <f t="shared" si="3"/>
        <v>PASSED</v>
      </c>
      <c r="R222" s="38" t="b">
        <v>0</v>
      </c>
      <c r="S222" s="32" t="s">
        <v>955</v>
      </c>
      <c r="T222" s="39" t="s">
        <v>386</v>
      </c>
      <c r="U222" s="32" t="s">
        <v>381</v>
      </c>
    </row>
    <row r="223" ht="22.5" customHeight="1">
      <c r="A223" s="26">
        <v>46066.0</v>
      </c>
      <c r="B223" s="73" t="s">
        <v>385</v>
      </c>
      <c r="C223" s="32" t="str">
        <f t="array" ref="C223">_xlfn.XLOOKUP(B223, DB[samplingPoint], DB[samplingTag])</f>
        <v>SV115.02</v>
      </c>
      <c r="D223" s="33" t="s">
        <v>500</v>
      </c>
      <c r="E223" s="38" t="b">
        <v>1</v>
      </c>
      <c r="F223" s="39" t="str">
        <f t="array" ref="F223">_xlfn.XLOOKUP($B223, DB[samplingPoint], DB[noLocation])</f>
        <v>WATER SYSTEM (B10)</v>
      </c>
      <c r="G223" s="59" t="str">
        <f t="array" ref="G223">_xlfn.XLOOKUP($B223, DB[samplingPoint], DB[building])</f>
        <v>Building 10</v>
      </c>
      <c r="H223" s="40" t="str">
        <f t="array" ref="H223">_xlfn.XLOOKUP($B223, DB[samplingPoint], DB[location])</f>
        <v>After UV (B10)</v>
      </c>
      <c r="I223" s="39" t="str">
        <f t="array" ref="I223">_xlfn.XLOOKUP($B223, DB[samplingPoint], DB[waterType])</f>
        <v>PW</v>
      </c>
      <c r="J223" s="43">
        <f t="shared" si="1"/>
        <v>46067</v>
      </c>
      <c r="K223" s="26">
        <v>46070.0</v>
      </c>
      <c r="L223" s="32">
        <v>0.0</v>
      </c>
      <c r="M223" s="32">
        <v>0.0</v>
      </c>
      <c r="N223" s="32">
        <f t="shared" si="2"/>
        <v>0</v>
      </c>
      <c r="O223" s="49" t="s">
        <v>376</v>
      </c>
      <c r="P223" s="32">
        <f t="array" ref="P223">_xlfn.XLOOKUP($B223, DB[samplingPoint], DB[Criteria])</f>
        <v>100</v>
      </c>
      <c r="Q223" s="50" t="str">
        <f t="shared" si="3"/>
        <v>PASSED</v>
      </c>
      <c r="R223" s="38" t="b">
        <v>0</v>
      </c>
      <c r="S223" s="32" t="s">
        <v>955</v>
      </c>
      <c r="T223" s="39" t="s">
        <v>386</v>
      </c>
      <c r="U223" s="32" t="s">
        <v>381</v>
      </c>
    </row>
    <row r="224" ht="22.5" customHeight="1">
      <c r="A224" s="26">
        <v>46066.0</v>
      </c>
      <c r="B224" s="73" t="s">
        <v>534</v>
      </c>
      <c r="C224" s="32" t="str">
        <f t="array" ref="C224">_xlfn.XLOOKUP(B224, DB[samplingPoint], DB[samplingTag])</f>
        <v>SV116.03</v>
      </c>
      <c r="D224" s="33" t="s">
        <v>500</v>
      </c>
      <c r="E224" s="38" t="b">
        <v>1</v>
      </c>
      <c r="F224" s="39" t="str">
        <f t="array" ref="F224">_xlfn.XLOOKUP($B224, DB[samplingPoint], DB[noLocation])</f>
        <v>10-3-058</v>
      </c>
      <c r="G224" s="59" t="str">
        <f t="array" ref="G224">_xlfn.XLOOKUP($B224, DB[samplingPoint], DB[building])</f>
        <v>Building 10</v>
      </c>
      <c r="H224" s="40" t="str">
        <f t="array" ref="H224">_xlfn.XLOOKUP($B224, DB[samplingPoint], DB[location])</f>
        <v>COATING ROOM-1</v>
      </c>
      <c r="I224" s="39" t="str">
        <f t="array" ref="I224">_xlfn.XLOOKUP($B224, DB[samplingPoint], DB[waterType])</f>
        <v>PW</v>
      </c>
      <c r="J224" s="43">
        <f t="shared" si="1"/>
        <v>46067</v>
      </c>
      <c r="K224" s="26">
        <v>46070.0</v>
      </c>
      <c r="L224" s="32">
        <v>0.0</v>
      </c>
      <c r="M224" s="32">
        <v>0.0</v>
      </c>
      <c r="N224" s="32">
        <f t="shared" si="2"/>
        <v>0</v>
      </c>
      <c r="O224" s="49" t="s">
        <v>376</v>
      </c>
      <c r="P224" s="32">
        <f t="array" ref="P224">_xlfn.XLOOKUP($B224, DB[samplingPoint], DB[Criteria])</f>
        <v>100</v>
      </c>
      <c r="Q224" s="50" t="str">
        <f t="shared" si="3"/>
        <v>PASSED</v>
      </c>
      <c r="R224" s="38" t="b">
        <v>0</v>
      </c>
      <c r="S224" s="32" t="s">
        <v>955</v>
      </c>
      <c r="T224" s="39" t="s">
        <v>386</v>
      </c>
      <c r="U224" s="32" t="s">
        <v>381</v>
      </c>
    </row>
    <row r="225" ht="22.5" customHeight="1">
      <c r="A225" s="26">
        <v>46066.0</v>
      </c>
      <c r="B225" s="73" t="s">
        <v>535</v>
      </c>
      <c r="C225" s="32" t="str">
        <f t="array" ref="C225">_xlfn.XLOOKUP(B225, DB[samplingPoint], DB[samplingTag])</f>
        <v>SV116.04</v>
      </c>
      <c r="D225" s="33" t="s">
        <v>500</v>
      </c>
      <c r="E225" s="38" t="b">
        <v>1</v>
      </c>
      <c r="F225" s="39" t="str">
        <f t="array" ref="F225">_xlfn.XLOOKUP($B225, DB[samplingPoint], DB[noLocation])</f>
        <v>10-3-061</v>
      </c>
      <c r="G225" s="59" t="str">
        <f t="array" ref="G225">_xlfn.XLOOKUP($B225, DB[samplingPoint], DB[building])</f>
        <v>Building 10</v>
      </c>
      <c r="H225" s="40" t="str">
        <f t="array" ref="H225">_xlfn.XLOOKUP($B225, DB[samplingPoint], DB[location])</f>
        <v>COATING ROOM-2</v>
      </c>
      <c r="I225" s="39" t="str">
        <f t="array" ref="I225">_xlfn.XLOOKUP($B225, DB[samplingPoint], DB[waterType])</f>
        <v>PW</v>
      </c>
      <c r="J225" s="43">
        <f t="shared" si="1"/>
        <v>46067</v>
      </c>
      <c r="K225" s="26">
        <v>46070.0</v>
      </c>
      <c r="L225" s="32">
        <v>0.0</v>
      </c>
      <c r="M225" s="32">
        <v>0.0</v>
      </c>
      <c r="N225" s="32">
        <f t="shared" si="2"/>
        <v>0</v>
      </c>
      <c r="O225" s="49" t="s">
        <v>376</v>
      </c>
      <c r="P225" s="32">
        <f t="array" ref="P225">_xlfn.XLOOKUP($B225, DB[samplingPoint], DB[Criteria])</f>
        <v>100</v>
      </c>
      <c r="Q225" s="50" t="str">
        <f t="shared" si="3"/>
        <v>PASSED</v>
      </c>
      <c r="R225" s="38" t="b">
        <v>0</v>
      </c>
      <c r="S225" s="32" t="s">
        <v>955</v>
      </c>
      <c r="T225" s="39" t="s">
        <v>386</v>
      </c>
      <c r="U225" s="32" t="s">
        <v>381</v>
      </c>
    </row>
    <row r="226" ht="22.5" customHeight="1">
      <c r="A226" s="26">
        <v>46066.0</v>
      </c>
      <c r="B226" s="73" t="s">
        <v>536</v>
      </c>
      <c r="C226" s="32" t="str">
        <f t="array" ref="C226">_xlfn.XLOOKUP(B226, DB[samplingPoint], DB[samplingTag])</f>
        <v>SV116.05</v>
      </c>
      <c r="D226" s="33" t="s">
        <v>500</v>
      </c>
      <c r="E226" s="38" t="b">
        <v>1</v>
      </c>
      <c r="F226" s="39" t="str">
        <f t="array" ref="F226">_xlfn.XLOOKUP($B226, DB[samplingPoint], DB[noLocation])</f>
        <v>10-3-062</v>
      </c>
      <c r="G226" s="59" t="str">
        <f t="array" ref="G226">_xlfn.XLOOKUP($B226, DB[samplingPoint], DB[building])</f>
        <v>Building 10</v>
      </c>
      <c r="H226" s="40" t="str">
        <f t="array" ref="H226">_xlfn.XLOOKUP($B226, DB[samplingPoint], DB[location])</f>
        <v>COATING ROOM-3</v>
      </c>
      <c r="I226" s="39" t="str">
        <f t="array" ref="I226">_xlfn.XLOOKUP($B226, DB[samplingPoint], DB[waterType])</f>
        <v>PW</v>
      </c>
      <c r="J226" s="43">
        <f t="shared" si="1"/>
        <v>46067</v>
      </c>
      <c r="K226" s="26">
        <v>46070.0</v>
      </c>
      <c r="L226" s="32">
        <v>0.0</v>
      </c>
      <c r="M226" s="32">
        <v>0.0</v>
      </c>
      <c r="N226" s="32">
        <f t="shared" si="2"/>
        <v>0</v>
      </c>
      <c r="O226" s="49" t="s">
        <v>376</v>
      </c>
      <c r="P226" s="32">
        <f t="array" ref="P226">_xlfn.XLOOKUP($B226, DB[samplingPoint], DB[Criteria])</f>
        <v>100</v>
      </c>
      <c r="Q226" s="50" t="str">
        <f t="shared" si="3"/>
        <v>PASSED</v>
      </c>
      <c r="R226" s="38" t="b">
        <v>0</v>
      </c>
      <c r="S226" s="32" t="s">
        <v>955</v>
      </c>
      <c r="T226" s="39" t="s">
        <v>386</v>
      </c>
      <c r="U226" s="32" t="s">
        <v>381</v>
      </c>
    </row>
    <row r="227" ht="22.5" customHeight="1">
      <c r="A227" s="26">
        <v>46066.0</v>
      </c>
      <c r="B227" s="73" t="s">
        <v>538</v>
      </c>
      <c r="C227" s="32" t="str">
        <f t="array" ref="C227">_xlfn.XLOOKUP(B227, DB[samplingPoint], DB[samplingTag])</f>
        <v>SV116.06</v>
      </c>
      <c r="D227" s="33" t="s">
        <v>500</v>
      </c>
      <c r="E227" s="38" t="b">
        <v>1</v>
      </c>
      <c r="F227" s="39" t="str">
        <f t="array" ref="F227">_xlfn.XLOOKUP($B227, DB[samplingPoint], DB[noLocation])</f>
        <v>10-3-063</v>
      </c>
      <c r="G227" s="59" t="str">
        <f t="array" ref="G227">_xlfn.XLOOKUP($B227, DB[samplingPoint], DB[building])</f>
        <v>Building 10</v>
      </c>
      <c r="H227" s="40" t="str">
        <f t="array" ref="H227">_xlfn.XLOOKUP($B227, DB[samplingPoint], DB[location])</f>
        <v>COATING ROOM-4</v>
      </c>
      <c r="I227" s="39" t="str">
        <f t="array" ref="I227">_xlfn.XLOOKUP($B227, DB[samplingPoint], DB[waterType])</f>
        <v>PW</v>
      </c>
      <c r="J227" s="43">
        <f t="shared" si="1"/>
        <v>46067</v>
      </c>
      <c r="K227" s="26">
        <v>46070.0</v>
      </c>
      <c r="L227" s="32">
        <v>0.0</v>
      </c>
      <c r="M227" s="32">
        <v>0.0</v>
      </c>
      <c r="N227" s="32">
        <f t="shared" si="2"/>
        <v>0</v>
      </c>
      <c r="O227" s="49" t="s">
        <v>376</v>
      </c>
      <c r="P227" s="32">
        <f t="array" ref="P227">_xlfn.XLOOKUP($B227, DB[samplingPoint], DB[Criteria])</f>
        <v>100</v>
      </c>
      <c r="Q227" s="50" t="str">
        <f t="shared" si="3"/>
        <v>PASSED</v>
      </c>
      <c r="R227" s="38" t="b">
        <v>0</v>
      </c>
      <c r="S227" s="32" t="s">
        <v>955</v>
      </c>
      <c r="T227" s="39" t="s">
        <v>386</v>
      </c>
      <c r="U227" s="32" t="s">
        <v>381</v>
      </c>
    </row>
    <row r="228" ht="22.5" customHeight="1">
      <c r="A228" s="26">
        <v>46066.0</v>
      </c>
      <c r="B228" s="73" t="s">
        <v>539</v>
      </c>
      <c r="C228" s="32" t="str">
        <f t="array" ref="C228">_xlfn.XLOOKUP(B228, DB[samplingPoint], DB[samplingTag])</f>
        <v>SV116.07</v>
      </c>
      <c r="D228" s="33" t="s">
        <v>500</v>
      </c>
      <c r="E228" s="38" t="b">
        <v>1</v>
      </c>
      <c r="F228" s="39" t="str">
        <f t="array" ref="F228">_xlfn.XLOOKUP($B228, DB[samplingPoint], DB[noLocation])</f>
        <v>10-3-064</v>
      </c>
      <c r="G228" s="59" t="str">
        <f t="array" ref="G228">_xlfn.XLOOKUP($B228, DB[samplingPoint], DB[building])</f>
        <v>Building 10</v>
      </c>
      <c r="H228" s="40" t="str">
        <f t="array" ref="H228">_xlfn.XLOOKUP($B228, DB[samplingPoint], DB[location])</f>
        <v>COATING ROOM-5</v>
      </c>
      <c r="I228" s="39" t="str">
        <f t="array" ref="I228">_xlfn.XLOOKUP($B228, DB[samplingPoint], DB[waterType])</f>
        <v>PW</v>
      </c>
      <c r="J228" s="43">
        <f t="shared" si="1"/>
        <v>46067</v>
      </c>
      <c r="K228" s="26">
        <v>46070.0</v>
      </c>
      <c r="L228" s="32">
        <v>0.0</v>
      </c>
      <c r="M228" s="32">
        <v>0.0</v>
      </c>
      <c r="N228" s="32">
        <f t="shared" si="2"/>
        <v>0</v>
      </c>
      <c r="O228" s="49" t="s">
        <v>376</v>
      </c>
      <c r="P228" s="32">
        <f t="array" ref="P228">_xlfn.XLOOKUP($B228, DB[samplingPoint], DB[Criteria])</f>
        <v>100</v>
      </c>
      <c r="Q228" s="50" t="str">
        <f t="shared" si="3"/>
        <v>PASSED</v>
      </c>
      <c r="R228" s="38" t="b">
        <v>0</v>
      </c>
      <c r="S228" s="32" t="s">
        <v>955</v>
      </c>
      <c r="T228" s="39" t="s">
        <v>386</v>
      </c>
      <c r="U228" s="32" t="s">
        <v>381</v>
      </c>
    </row>
    <row r="229" ht="22.5" customHeight="1">
      <c r="A229" s="26">
        <v>46066.0</v>
      </c>
      <c r="B229" s="73" t="s">
        <v>541</v>
      </c>
      <c r="C229" s="32" t="str">
        <f t="array" ref="C229">_xlfn.XLOOKUP(B229, DB[samplingPoint], DB[samplingTag])</f>
        <v>SV116.08</v>
      </c>
      <c r="D229" s="33" t="s">
        <v>500</v>
      </c>
      <c r="E229" s="38" t="b">
        <v>1</v>
      </c>
      <c r="F229" s="39" t="str">
        <f t="array" ref="F229">_xlfn.XLOOKUP($B229, DB[samplingPoint], DB[noLocation])</f>
        <v>10-3-067</v>
      </c>
      <c r="G229" s="59" t="str">
        <f t="array" ref="G229">_xlfn.XLOOKUP($B229, DB[samplingPoint], DB[building])</f>
        <v>Building 10</v>
      </c>
      <c r="H229" s="40" t="str">
        <f t="array" ref="H229">_xlfn.XLOOKUP($B229, DB[samplingPoint], DB[location])</f>
        <v>COATING ROOM-6</v>
      </c>
      <c r="I229" s="39" t="str">
        <f t="array" ref="I229">_xlfn.XLOOKUP($B229, DB[samplingPoint], DB[waterType])</f>
        <v>PW</v>
      </c>
      <c r="J229" s="43">
        <f t="shared" si="1"/>
        <v>46067</v>
      </c>
      <c r="K229" s="26">
        <v>46070.0</v>
      </c>
      <c r="L229" s="32">
        <v>0.0</v>
      </c>
      <c r="M229" s="32">
        <v>0.0</v>
      </c>
      <c r="N229" s="32">
        <f t="shared" si="2"/>
        <v>0</v>
      </c>
      <c r="O229" s="49" t="s">
        <v>376</v>
      </c>
      <c r="P229" s="32">
        <f t="array" ref="P229">_xlfn.XLOOKUP($B229, DB[samplingPoint], DB[Criteria])</f>
        <v>100</v>
      </c>
      <c r="Q229" s="50" t="str">
        <f t="shared" si="3"/>
        <v>PASSED</v>
      </c>
      <c r="R229" s="38" t="b">
        <v>0</v>
      </c>
      <c r="S229" s="32" t="s">
        <v>955</v>
      </c>
      <c r="T229" s="39" t="s">
        <v>386</v>
      </c>
      <c r="U229" s="32" t="s">
        <v>381</v>
      </c>
    </row>
    <row r="230" ht="22.5" customHeight="1">
      <c r="A230" s="26">
        <v>46066.0</v>
      </c>
      <c r="B230" s="73" t="s">
        <v>390</v>
      </c>
      <c r="C230" s="32" t="str">
        <f t="array" ref="C230">_xlfn.XLOOKUP(B230, DB[samplingPoint], DB[samplingTag])</f>
        <v>SV117.01</v>
      </c>
      <c r="D230" s="33" t="s">
        <v>500</v>
      </c>
      <c r="E230" s="38" t="b">
        <v>1</v>
      </c>
      <c r="F230" s="39" t="str">
        <f t="array" ref="F230">_xlfn.XLOOKUP($B230, DB[samplingPoint], DB[noLocation])</f>
        <v>WATER SYSTEM (B10)</v>
      </c>
      <c r="G230" s="59" t="str">
        <f t="array" ref="G230">_xlfn.XLOOKUP($B230, DB[samplingPoint], DB[building])</f>
        <v>Building 10</v>
      </c>
      <c r="H230" s="40" t="str">
        <f t="array" ref="H230">_xlfn.XLOOKUP($B230, DB[samplingPoint], DB[location])</f>
        <v>Return loop (B10)</v>
      </c>
      <c r="I230" s="39" t="str">
        <f t="array" ref="I230">_xlfn.XLOOKUP($B230, DB[samplingPoint], DB[waterType])</f>
        <v>PW</v>
      </c>
      <c r="J230" s="43">
        <f t="shared" si="1"/>
        <v>46067</v>
      </c>
      <c r="K230" s="26">
        <v>46070.0</v>
      </c>
      <c r="L230" s="32">
        <v>0.0</v>
      </c>
      <c r="M230" s="32">
        <v>0.0</v>
      </c>
      <c r="N230" s="32">
        <f t="shared" si="2"/>
        <v>0</v>
      </c>
      <c r="O230" s="49" t="s">
        <v>376</v>
      </c>
      <c r="P230" s="32">
        <f t="array" ref="P230">_xlfn.XLOOKUP($B230, DB[samplingPoint], DB[Criteria])</f>
        <v>100</v>
      </c>
      <c r="Q230" s="50" t="str">
        <f t="shared" si="3"/>
        <v>PASSED</v>
      </c>
      <c r="R230" s="38" t="b">
        <v>0</v>
      </c>
      <c r="S230" s="32" t="s">
        <v>955</v>
      </c>
      <c r="T230" s="39" t="s">
        <v>386</v>
      </c>
      <c r="U230" s="32" t="s">
        <v>381</v>
      </c>
    </row>
    <row r="231" ht="22.5" customHeight="1">
      <c r="A231" s="26">
        <v>46070.0</v>
      </c>
      <c r="B231" s="73" t="s">
        <v>558</v>
      </c>
      <c r="C231" s="32" t="str">
        <f t="array" ref="C231">_xlfn.XLOOKUP(B231, DB[samplingPoint], DB[samplingTag])</f>
        <v>DV126.04</v>
      </c>
      <c r="D231" s="33" t="s">
        <v>364</v>
      </c>
      <c r="E231" s="38" t="b">
        <v>1</v>
      </c>
      <c r="F231" s="39" t="str">
        <f t="array" ref="F231">_xlfn.XLOOKUP($B231, DB[samplingPoint], DB[noLocation])</f>
        <v>16-2-010</v>
      </c>
      <c r="G231" s="33" t="s">
        <v>327</v>
      </c>
      <c r="H231" s="40" t="str">
        <f t="array" ref="H231">_xlfn.XLOOKUP($B231, DB[samplingPoint], DB[location])</f>
        <v>WATER SYSTEM (PW)</v>
      </c>
      <c r="I231" s="39" t="str">
        <f t="array" ref="I231">_xlfn.XLOOKUP($B231, DB[samplingPoint], DB[waterType])</f>
        <v>PW</v>
      </c>
      <c r="J231" s="43">
        <f t="shared" si="1"/>
        <v>46071</v>
      </c>
      <c r="K231" s="26">
        <v>46074.0</v>
      </c>
      <c r="L231" s="32">
        <v>0.0</v>
      </c>
      <c r="M231" s="32">
        <v>0.0</v>
      </c>
      <c r="N231" s="32">
        <f t="shared" si="2"/>
        <v>0</v>
      </c>
      <c r="O231" s="49"/>
      <c r="P231" s="32">
        <f t="array" ref="P231">_xlfn.XLOOKUP($B231, DB[samplingPoint], DB[Criteria])</f>
        <v>100</v>
      </c>
      <c r="Q231" s="50" t="str">
        <f t="shared" si="3"/>
        <v>PASSED</v>
      </c>
      <c r="R231" s="38" t="b">
        <v>0</v>
      </c>
      <c r="S231" s="32" t="s">
        <v>964</v>
      </c>
      <c r="T231" s="39" t="s">
        <v>386</v>
      </c>
      <c r="U231" s="32" t="s">
        <v>381</v>
      </c>
    </row>
    <row r="232" ht="22.5" customHeight="1">
      <c r="A232" s="26">
        <v>46070.0</v>
      </c>
      <c r="B232" s="73" t="s">
        <v>562</v>
      </c>
      <c r="C232" s="32" t="str">
        <f t="array" ref="C232">_xlfn.XLOOKUP(B232, DB[samplingPoint], DB[samplingTag])</f>
        <v>DV126.09</v>
      </c>
      <c r="D232" s="33" t="s">
        <v>364</v>
      </c>
      <c r="E232" s="38" t="b">
        <v>1</v>
      </c>
      <c r="F232" s="39" t="str">
        <f t="array" ref="F232">_xlfn.XLOOKUP($B232, DB[samplingPoint], DB[noLocation])</f>
        <v>16-3-090</v>
      </c>
      <c r="G232" s="33" t="s">
        <v>327</v>
      </c>
      <c r="H232" s="40" t="str">
        <f t="array" ref="H232">_xlfn.XLOOKUP($B232, DB[samplingPoint], DB[location])</f>
        <v>CIP 1 (ZINK WASHING)</v>
      </c>
      <c r="I232" s="39" t="str">
        <f t="array" ref="I232">_xlfn.XLOOKUP($B232, DB[samplingPoint], DB[waterType])</f>
        <v>PW</v>
      </c>
      <c r="J232" s="43">
        <f t="shared" si="1"/>
        <v>46071</v>
      </c>
      <c r="K232" s="26">
        <v>46074.0</v>
      </c>
      <c r="L232" s="32">
        <v>0.0</v>
      </c>
      <c r="M232" s="32">
        <v>0.0</v>
      </c>
      <c r="N232" s="32">
        <f t="shared" si="2"/>
        <v>0</v>
      </c>
      <c r="O232" s="49"/>
      <c r="P232" s="32">
        <f t="array" ref="P232">_xlfn.XLOOKUP($B232, DB[samplingPoint], DB[Criteria])</f>
        <v>100</v>
      </c>
      <c r="Q232" s="50" t="str">
        <f t="shared" si="3"/>
        <v>PASSED</v>
      </c>
      <c r="R232" s="38" t="b">
        <v>0</v>
      </c>
      <c r="S232" s="32" t="s">
        <v>964</v>
      </c>
      <c r="T232" s="39" t="s">
        <v>386</v>
      </c>
      <c r="U232" s="32" t="s">
        <v>381</v>
      </c>
    </row>
    <row r="233" ht="22.5" customHeight="1">
      <c r="A233" s="26">
        <v>46070.0</v>
      </c>
      <c r="B233" s="73" t="s">
        <v>564</v>
      </c>
      <c r="C233" s="32" t="str">
        <f t="array" ref="C233">_xlfn.XLOOKUP(B233, DB[samplingPoint], DB[samplingTag])</f>
        <v>SV126.05</v>
      </c>
      <c r="D233" s="33" t="s">
        <v>364</v>
      </c>
      <c r="E233" s="38" t="b">
        <v>1</v>
      </c>
      <c r="F233" s="39" t="str">
        <f t="array" ref="F233">_xlfn.XLOOKUP($B233, DB[samplingPoint], DB[noLocation])</f>
        <v>16-3-049</v>
      </c>
      <c r="G233" s="33" t="s">
        <v>327</v>
      </c>
      <c r="H233" s="40" t="str">
        <f t="array" ref="H233">_xlfn.XLOOKUP($B233, DB[samplingPoint], DB[location])</f>
        <v>LINEN WASHING</v>
      </c>
      <c r="I233" s="39" t="str">
        <f t="array" ref="I233">_xlfn.XLOOKUP($B233, DB[samplingPoint], DB[waterType])</f>
        <v>PW</v>
      </c>
      <c r="J233" s="43">
        <f t="shared" si="1"/>
        <v>46071</v>
      </c>
      <c r="K233" s="26">
        <v>46074.0</v>
      </c>
      <c r="L233" s="32">
        <v>0.0</v>
      </c>
      <c r="M233" s="32">
        <v>0.0</v>
      </c>
      <c r="N233" s="32">
        <f t="shared" si="2"/>
        <v>0</v>
      </c>
      <c r="O233" s="49"/>
      <c r="P233" s="32">
        <f t="array" ref="P233">_xlfn.XLOOKUP($B233, DB[samplingPoint], DB[Criteria])</f>
        <v>100</v>
      </c>
      <c r="Q233" s="50" t="str">
        <f t="shared" si="3"/>
        <v>PASSED</v>
      </c>
      <c r="R233" s="38" t="b">
        <v>0</v>
      </c>
      <c r="S233" s="32" t="s">
        <v>964</v>
      </c>
      <c r="T233" s="39" t="s">
        <v>386</v>
      </c>
      <c r="U233" s="32" t="s">
        <v>381</v>
      </c>
    </row>
    <row r="234" ht="22.5" customHeight="1">
      <c r="A234" s="26">
        <v>46070.0</v>
      </c>
      <c r="B234" s="73" t="s">
        <v>567</v>
      </c>
      <c r="C234" s="32" t="str">
        <f t="array" ref="C234">_xlfn.XLOOKUP(B234, DB[samplingPoint], DB[samplingTag])</f>
        <v>SV126.06</v>
      </c>
      <c r="D234" s="33" t="s">
        <v>364</v>
      </c>
      <c r="E234" s="38" t="b">
        <v>1</v>
      </c>
      <c r="F234" s="39" t="str">
        <f t="array" ref="F234">_xlfn.XLOOKUP($B234, DB[samplingPoint], DB[noLocation])</f>
        <v>16-3-067</v>
      </c>
      <c r="G234" s="33" t="s">
        <v>327</v>
      </c>
      <c r="H234" s="40" t="str">
        <f t="array" ref="H234">_xlfn.XLOOKUP($B234, DB[samplingPoint], DB[location])</f>
        <v>MFG 1</v>
      </c>
      <c r="I234" s="39" t="str">
        <f t="array" ref="I234">_xlfn.XLOOKUP($B234, DB[samplingPoint], DB[waterType])</f>
        <v>PW</v>
      </c>
      <c r="J234" s="43">
        <f t="shared" si="1"/>
        <v>46071</v>
      </c>
      <c r="K234" s="26">
        <v>46074.0</v>
      </c>
      <c r="L234" s="32">
        <v>0.0</v>
      </c>
      <c r="M234" s="32">
        <v>0.0</v>
      </c>
      <c r="N234" s="32">
        <f t="shared" si="2"/>
        <v>0</v>
      </c>
      <c r="O234" s="49"/>
      <c r="P234" s="32">
        <f t="array" ref="P234">_xlfn.XLOOKUP($B234, DB[samplingPoint], DB[Criteria])</f>
        <v>100</v>
      </c>
      <c r="Q234" s="50" t="str">
        <f t="shared" si="3"/>
        <v>PASSED</v>
      </c>
      <c r="R234" s="38" t="b">
        <v>0</v>
      </c>
      <c r="S234" s="32" t="s">
        <v>964</v>
      </c>
      <c r="T234" s="39" t="s">
        <v>386</v>
      </c>
      <c r="U234" s="32" t="s">
        <v>381</v>
      </c>
    </row>
    <row r="235" ht="22.5" customHeight="1">
      <c r="A235" s="26">
        <v>46070.0</v>
      </c>
      <c r="B235" s="73" t="s">
        <v>568</v>
      </c>
      <c r="C235" s="32" t="str">
        <f t="array" ref="C235">_xlfn.XLOOKUP(B235, DB[samplingPoint], DB[samplingTag])</f>
        <v>SV126.18</v>
      </c>
      <c r="D235" s="33" t="s">
        <v>364</v>
      </c>
      <c r="E235" s="38" t="b">
        <v>1</v>
      </c>
      <c r="F235" s="39" t="str">
        <f t="array" ref="F235">_xlfn.XLOOKUP($B235, DB[samplingPoint], DB[noLocation])</f>
        <v>16-3-085</v>
      </c>
      <c r="G235" s="33" t="s">
        <v>327</v>
      </c>
      <c r="H235" s="40" t="str">
        <f t="array" ref="H235">_xlfn.XLOOKUP($B235, DB[samplingPoint], DB[location])</f>
        <v>CIP 3 (EQUIPMENT REQUIREMENT)</v>
      </c>
      <c r="I235" s="39" t="str">
        <f t="array" ref="I235">_xlfn.XLOOKUP($B235, DB[samplingPoint], DB[waterType])</f>
        <v>PW</v>
      </c>
      <c r="J235" s="43">
        <f t="shared" si="1"/>
        <v>46071</v>
      </c>
      <c r="K235" s="26">
        <v>46074.0</v>
      </c>
      <c r="L235" s="32">
        <v>0.0</v>
      </c>
      <c r="M235" s="32">
        <v>0.0</v>
      </c>
      <c r="N235" s="32">
        <f t="shared" si="2"/>
        <v>0</v>
      </c>
      <c r="O235" s="49"/>
      <c r="P235" s="32">
        <f t="array" ref="P235">_xlfn.XLOOKUP($B235, DB[samplingPoint], DB[Criteria])</f>
        <v>100</v>
      </c>
      <c r="Q235" s="50" t="str">
        <f t="shared" si="3"/>
        <v>PASSED</v>
      </c>
      <c r="R235" s="38" t="b">
        <v>0</v>
      </c>
      <c r="S235" s="32" t="s">
        <v>964</v>
      </c>
      <c r="T235" s="39" t="s">
        <v>386</v>
      </c>
      <c r="U235" s="32" t="s">
        <v>381</v>
      </c>
    </row>
    <row r="236" ht="22.5" customHeight="1">
      <c r="A236" s="26">
        <v>46070.0</v>
      </c>
      <c r="B236" s="73" t="s">
        <v>569</v>
      </c>
      <c r="C236" s="32" t="str">
        <f t="array" ref="C236">_xlfn.XLOOKUP(B236, DB[samplingPoint], DB[samplingTag])</f>
        <v>SV126.21</v>
      </c>
      <c r="D236" s="33" t="s">
        <v>364</v>
      </c>
      <c r="E236" s="38" t="b">
        <v>1</v>
      </c>
      <c r="F236" s="39" t="str">
        <f t="array" ref="F236">_xlfn.XLOOKUP($B236, DB[samplingPoint], DB[noLocation])</f>
        <v>16-3-090</v>
      </c>
      <c r="G236" s="33" t="s">
        <v>327</v>
      </c>
      <c r="H236" s="40" t="str">
        <f t="array" ref="H236">_xlfn.XLOOKUP($B236, DB[samplingPoint], DB[location])</f>
        <v>CIP 1 (EQUIPMENT REQUIREMENT)</v>
      </c>
      <c r="I236" s="39" t="str">
        <f t="array" ref="I236">_xlfn.XLOOKUP($B236, DB[samplingPoint], DB[waterType])</f>
        <v>PW</v>
      </c>
      <c r="J236" s="43">
        <f t="shared" si="1"/>
        <v>46071</v>
      </c>
      <c r="K236" s="26">
        <v>46074.0</v>
      </c>
      <c r="L236" s="32">
        <v>0.0</v>
      </c>
      <c r="M236" s="32">
        <v>0.0</v>
      </c>
      <c r="N236" s="32">
        <f t="shared" si="2"/>
        <v>0</v>
      </c>
      <c r="O236" s="49"/>
      <c r="P236" s="32">
        <f t="array" ref="P236">_xlfn.XLOOKUP($B236, DB[samplingPoint], DB[Criteria])</f>
        <v>100</v>
      </c>
      <c r="Q236" s="50" t="str">
        <f t="shared" si="3"/>
        <v>PASSED</v>
      </c>
      <c r="R236" s="38" t="b">
        <v>0</v>
      </c>
      <c r="S236" s="32" t="s">
        <v>964</v>
      </c>
      <c r="T236" s="39" t="s">
        <v>386</v>
      </c>
      <c r="U236" s="32" t="s">
        <v>381</v>
      </c>
    </row>
    <row r="237" ht="22.5" customHeight="1">
      <c r="A237" s="26">
        <v>46070.0</v>
      </c>
      <c r="B237" s="73" t="s">
        <v>464</v>
      </c>
      <c r="C237" s="32" t="str">
        <f t="array" ref="C237">_xlfn.XLOOKUP(B237, DB[samplingPoint], DB[samplingTag])</f>
        <v>SV127.01</v>
      </c>
      <c r="D237" s="33" t="s">
        <v>364</v>
      </c>
      <c r="E237" s="38" t="b">
        <v>1</v>
      </c>
      <c r="F237" s="39" t="str">
        <f t="array" ref="F237">_xlfn.XLOOKUP($B237, DB[samplingPoint], DB[noLocation])</f>
        <v>WATER SYSTEM (B16)</v>
      </c>
      <c r="G237" s="33" t="s">
        <v>327</v>
      </c>
      <c r="H237" s="40" t="str">
        <f t="array" ref="H237">_xlfn.XLOOKUP($B237, DB[samplingPoint], DB[location])</f>
        <v>Return loop (B16)</v>
      </c>
      <c r="I237" s="39" t="str">
        <f t="array" ref="I237">_xlfn.XLOOKUP($B237, DB[samplingPoint], DB[waterType])</f>
        <v>PW</v>
      </c>
      <c r="J237" s="43">
        <f t="shared" si="1"/>
        <v>46071</v>
      </c>
      <c r="K237" s="26">
        <v>46074.0</v>
      </c>
      <c r="L237" s="32">
        <v>0.0</v>
      </c>
      <c r="M237" s="32">
        <v>0.0</v>
      </c>
      <c r="N237" s="32">
        <f t="shared" si="2"/>
        <v>0</v>
      </c>
      <c r="O237" s="49"/>
      <c r="P237" s="32">
        <f t="array" ref="P237">_xlfn.XLOOKUP($B237, DB[samplingPoint], DB[Criteria])</f>
        <v>100</v>
      </c>
      <c r="Q237" s="50" t="str">
        <f t="shared" si="3"/>
        <v>PASSED</v>
      </c>
      <c r="R237" s="38" t="b">
        <v>0</v>
      </c>
      <c r="S237" s="32" t="s">
        <v>964</v>
      </c>
      <c r="T237" s="39" t="s">
        <v>386</v>
      </c>
      <c r="U237" s="32" t="s">
        <v>381</v>
      </c>
    </row>
    <row r="238" ht="22.5" customHeight="1">
      <c r="A238" s="26">
        <v>46070.0</v>
      </c>
      <c r="B238" s="73" t="s">
        <v>466</v>
      </c>
      <c r="C238" s="32" t="str">
        <f t="array" ref="C238">_xlfn.XLOOKUP(B238, DB[samplingPoint], DB[samplingTag])</f>
        <v>V50-11C (16)</v>
      </c>
      <c r="D238" s="33" t="s">
        <v>364</v>
      </c>
      <c r="E238" s="38" t="b">
        <v>1</v>
      </c>
      <c r="F238" s="39" t="str">
        <f t="array" ref="F238">_xlfn.XLOOKUP($B238, DB[samplingPoint], DB[noLocation])</f>
        <v>WATER SYSTEM (B16)</v>
      </c>
      <c r="G238" s="33" t="s">
        <v>327</v>
      </c>
      <c r="H238" s="40" t="str">
        <f t="array" ref="H238">_xlfn.XLOOKUP($B238, DB[samplingPoint], DB[location])</f>
        <v>After RO (Before EDI) (B16)</v>
      </c>
      <c r="I238" s="39" t="str">
        <f t="array" ref="I238">_xlfn.XLOOKUP($B238, DB[samplingPoint], DB[waterType])</f>
        <v>RO water</v>
      </c>
      <c r="J238" s="43">
        <f t="shared" si="1"/>
        <v>46071</v>
      </c>
      <c r="K238" s="26">
        <v>46074.0</v>
      </c>
      <c r="L238" s="32">
        <v>0.0</v>
      </c>
      <c r="M238" s="32">
        <v>0.0</v>
      </c>
      <c r="N238" s="32">
        <f t="shared" si="2"/>
        <v>0</v>
      </c>
      <c r="O238" s="49"/>
      <c r="P238" s="32">
        <f t="array" ref="P238">_xlfn.XLOOKUP($B238, DB[samplingPoint], DB[Criteria])</f>
        <v>500</v>
      </c>
      <c r="Q238" s="50" t="str">
        <f t="shared" si="3"/>
        <v>PASSED</v>
      </c>
      <c r="R238" s="38" t="b">
        <v>0</v>
      </c>
      <c r="S238" s="32" t="s">
        <v>964</v>
      </c>
      <c r="T238" s="39" t="s">
        <v>386</v>
      </c>
      <c r="U238" s="32" t="s">
        <v>381</v>
      </c>
    </row>
    <row r="239" ht="22.5" customHeight="1">
      <c r="A239" s="26">
        <v>46070.0</v>
      </c>
      <c r="B239" s="73" t="s">
        <v>468</v>
      </c>
      <c r="C239" s="32" t="str">
        <f t="array" ref="C239">_xlfn.XLOOKUP(B239, DB[samplingPoint], DB[samplingTag])</f>
        <v>V50-39 (16)</v>
      </c>
      <c r="D239" s="33" t="s">
        <v>364</v>
      </c>
      <c r="E239" s="38" t="b">
        <v>1</v>
      </c>
      <c r="F239" s="39" t="str">
        <f t="array" ref="F239">_xlfn.XLOOKUP($B239, DB[samplingPoint], DB[noLocation])</f>
        <v>WATER SYSTEM (B16)</v>
      </c>
      <c r="G239" s="33" t="s">
        <v>327</v>
      </c>
      <c r="H239" s="40" t="str">
        <f t="array" ref="H239">_xlfn.XLOOKUP($B239, DB[samplingPoint], DB[location])</f>
        <v>After EDI (B16)</v>
      </c>
      <c r="I239" s="39" t="str">
        <f t="array" ref="I239">_xlfn.XLOOKUP($B239, DB[samplingPoint], DB[waterType])</f>
        <v>PW</v>
      </c>
      <c r="J239" s="43">
        <f t="shared" si="1"/>
        <v>46071</v>
      </c>
      <c r="K239" s="26">
        <v>46074.0</v>
      </c>
      <c r="L239" s="32">
        <v>0.0</v>
      </c>
      <c r="M239" s="32">
        <v>0.0</v>
      </c>
      <c r="N239" s="32">
        <f t="shared" si="2"/>
        <v>0</v>
      </c>
      <c r="O239" s="49"/>
      <c r="P239" s="32">
        <f t="array" ref="P239">_xlfn.XLOOKUP($B239, DB[samplingPoint], DB[Criteria])</f>
        <v>100</v>
      </c>
      <c r="Q239" s="50" t="str">
        <f t="shared" si="3"/>
        <v>PASSED</v>
      </c>
      <c r="R239" s="38" t="b">
        <v>0</v>
      </c>
      <c r="S239" s="32" t="s">
        <v>964</v>
      </c>
      <c r="T239" s="39" t="s">
        <v>386</v>
      </c>
      <c r="U239" s="32" t="s">
        <v>381</v>
      </c>
    </row>
    <row r="240" ht="22.5" customHeight="1">
      <c r="A240" s="26">
        <v>46070.0</v>
      </c>
      <c r="B240" s="73" t="s">
        <v>470</v>
      </c>
      <c r="C240" s="32" t="str">
        <f t="array" ref="C240">_xlfn.XLOOKUP(B240, DB[samplingPoint], DB[samplingTag])</f>
        <v>V50-61 (16)</v>
      </c>
      <c r="D240" s="33" t="s">
        <v>364</v>
      </c>
      <c r="E240" s="38" t="b">
        <v>1</v>
      </c>
      <c r="F240" s="39" t="str">
        <f t="array" ref="F240">_xlfn.XLOOKUP($B240, DB[samplingPoint], DB[noLocation])</f>
        <v>WATER SYSTEM (B16)</v>
      </c>
      <c r="G240" s="33" t="s">
        <v>327</v>
      </c>
      <c r="H240" s="40" t="str">
        <f t="array" ref="H240">_xlfn.XLOOKUP($B240, DB[samplingPoint], DB[location])</f>
        <v>After Cartridge filter 5 µm (B16)</v>
      </c>
      <c r="I240" s="39" t="str">
        <f t="array" ref="I240">_xlfn.XLOOKUP($B240, DB[samplingPoint], DB[waterType])</f>
        <v>PRW</v>
      </c>
      <c r="J240" s="43">
        <f t="shared" si="1"/>
        <v>46071</v>
      </c>
      <c r="K240" s="26">
        <v>46074.0</v>
      </c>
      <c r="L240" s="32">
        <v>0.0</v>
      </c>
      <c r="M240" s="32">
        <v>0.0</v>
      </c>
      <c r="N240" s="32">
        <f t="shared" si="2"/>
        <v>0</v>
      </c>
      <c r="O240" s="49"/>
      <c r="P240" s="32">
        <f t="array" ref="P240">_xlfn.XLOOKUP($B240, DB[samplingPoint], DB[Criteria])</f>
        <v>500</v>
      </c>
      <c r="Q240" s="50" t="str">
        <f t="shared" si="3"/>
        <v>PASSED</v>
      </c>
      <c r="R240" s="38" t="b">
        <v>0</v>
      </c>
      <c r="S240" s="32" t="s">
        <v>964</v>
      </c>
      <c r="T240" s="39" t="s">
        <v>386</v>
      </c>
      <c r="U240" s="32" t="s">
        <v>381</v>
      </c>
    </row>
    <row r="241" ht="22.5" customHeight="1">
      <c r="A241" s="26">
        <v>46070.0</v>
      </c>
      <c r="B241" s="73" t="s">
        <v>471</v>
      </c>
      <c r="C241" s="32" t="str">
        <f t="array" ref="C241">_xlfn.XLOOKUP(B241, DB[samplingPoint], DB[samplingTag])</f>
        <v>VB-05 (16)</v>
      </c>
      <c r="D241" s="33" t="s">
        <v>364</v>
      </c>
      <c r="E241" s="38" t="b">
        <v>1</v>
      </c>
      <c r="F241" s="39" t="str">
        <f t="array" ref="F241">_xlfn.XLOOKUP($B241, DB[samplingPoint], DB[noLocation])</f>
        <v>WATER SYSTEM (B16)</v>
      </c>
      <c r="G241" s="33" t="s">
        <v>327</v>
      </c>
      <c r="H241" s="40" t="str">
        <f t="array" ref="H241">_xlfn.XLOOKUP($B241, DB[samplingPoint], DB[location])</f>
        <v>After Chlorine circulation tank (B16)</v>
      </c>
      <c r="I241" s="39" t="str">
        <f t="array" ref="I241">_xlfn.XLOOKUP($B241, DB[samplingPoint], DB[waterType])</f>
        <v>PRW</v>
      </c>
      <c r="J241" s="43">
        <f t="shared" si="1"/>
        <v>46071</v>
      </c>
      <c r="K241" s="26">
        <v>46074.0</v>
      </c>
      <c r="L241" s="32">
        <v>1.0</v>
      </c>
      <c r="M241" s="32">
        <v>1.0</v>
      </c>
      <c r="N241" s="32">
        <f t="shared" si="2"/>
        <v>1</v>
      </c>
      <c r="O241" s="49"/>
      <c r="P241" s="32">
        <f t="array" ref="P241">_xlfn.XLOOKUP($B241, DB[samplingPoint], DB[Criteria])</f>
        <v>500</v>
      </c>
      <c r="Q241" s="50" t="str">
        <f t="shared" si="3"/>
        <v>PASSED</v>
      </c>
      <c r="R241" s="38" t="b">
        <v>0</v>
      </c>
      <c r="S241" s="32" t="s">
        <v>964</v>
      </c>
      <c r="T241" s="39" t="s">
        <v>386</v>
      </c>
      <c r="U241" s="32" t="s">
        <v>381</v>
      </c>
    </row>
    <row r="242" ht="22.5" customHeight="1">
      <c r="A242" s="26">
        <v>46070.0</v>
      </c>
      <c r="B242" s="73" t="s">
        <v>543</v>
      </c>
      <c r="C242" s="32" t="str">
        <f t="array" ref="C242">_xlfn.XLOOKUP(B242, DB[samplingPoint], DB[samplingTag])</f>
        <v>DV136.01</v>
      </c>
      <c r="D242" s="33" t="s">
        <v>364</v>
      </c>
      <c r="E242" s="38" t="b">
        <v>1</v>
      </c>
      <c r="F242" s="39" t="str">
        <f t="array" ref="F242">_xlfn.XLOOKUP($B242, DB[samplingPoint], DB[noLocation])</f>
        <v>12-1-035</v>
      </c>
      <c r="G242" s="33" t="s">
        <v>437</v>
      </c>
      <c r="H242" s="40" t="str">
        <f t="array" ref="H242">_xlfn.XLOOKUP($B242, DB[samplingPoint], DB[location])</f>
        <v>SUGAR TRANSFERRING</v>
      </c>
      <c r="I242" s="39" t="str">
        <f t="array" ref="I242">_xlfn.XLOOKUP($B242, DB[samplingPoint], DB[waterType])</f>
        <v>PW</v>
      </c>
      <c r="J242" s="43">
        <f t="shared" si="1"/>
        <v>46071</v>
      </c>
      <c r="K242" s="26">
        <v>46074.0</v>
      </c>
      <c r="L242" s="32">
        <v>0.0</v>
      </c>
      <c r="M242" s="32">
        <v>0.0</v>
      </c>
      <c r="N242" s="32">
        <f t="shared" si="2"/>
        <v>0</v>
      </c>
      <c r="O242" s="49"/>
      <c r="P242" s="32">
        <f t="array" ref="P242">_xlfn.XLOOKUP($B242, DB[samplingPoint], DB[Criteria])</f>
        <v>100</v>
      </c>
      <c r="Q242" s="50" t="str">
        <f t="shared" si="3"/>
        <v>PASSED</v>
      </c>
      <c r="R242" s="38" t="b">
        <v>0</v>
      </c>
      <c r="S242" s="32" t="s">
        <v>970</v>
      </c>
      <c r="T242" s="39" t="s">
        <v>386</v>
      </c>
      <c r="U242" s="32" t="s">
        <v>381</v>
      </c>
    </row>
    <row r="243" ht="22.5" customHeight="1">
      <c r="A243" s="26">
        <v>46070.0</v>
      </c>
      <c r="B243" s="73" t="s">
        <v>545</v>
      </c>
      <c r="C243" s="32" t="str">
        <f t="array" ref="C243">_xlfn.XLOOKUP(B243, DB[samplingPoint], DB[samplingTag])</f>
        <v>DV136.03</v>
      </c>
      <c r="D243" s="33" t="s">
        <v>364</v>
      </c>
      <c r="E243" s="38" t="b">
        <v>1</v>
      </c>
      <c r="F243" s="39" t="str">
        <f t="array" ref="F243">_xlfn.XLOOKUP($B243, DB[samplingPoint], DB[noLocation])</f>
        <v>12-2-053</v>
      </c>
      <c r="G243" s="33" t="s">
        <v>437</v>
      </c>
      <c r="H243" s="40" t="str">
        <f t="array" ref="H243">_xlfn.XLOOKUP($B243, DB[samplingPoint], DB[location])</f>
        <v>IPQC</v>
      </c>
      <c r="I243" s="39" t="str">
        <f t="array" ref="I243">_xlfn.XLOOKUP($B243, DB[samplingPoint], DB[waterType])</f>
        <v>PW</v>
      </c>
      <c r="J243" s="43">
        <f t="shared" si="1"/>
        <v>46071</v>
      </c>
      <c r="K243" s="26">
        <v>46074.0</v>
      </c>
      <c r="L243" s="32">
        <v>0.0</v>
      </c>
      <c r="M243" s="32">
        <v>0.0</v>
      </c>
      <c r="N243" s="32">
        <f t="shared" si="2"/>
        <v>0</v>
      </c>
      <c r="O243" s="49"/>
      <c r="P243" s="32">
        <f t="array" ref="P243">_xlfn.XLOOKUP($B243, DB[samplingPoint], DB[Criteria])</f>
        <v>100</v>
      </c>
      <c r="Q243" s="50" t="str">
        <f t="shared" si="3"/>
        <v>PASSED</v>
      </c>
      <c r="R243" s="38" t="b">
        <v>0</v>
      </c>
      <c r="S243" s="32" t="s">
        <v>970</v>
      </c>
      <c r="T243" s="39" t="s">
        <v>386</v>
      </c>
      <c r="U243" s="32" t="s">
        <v>381</v>
      </c>
    </row>
    <row r="244" ht="22.5" customHeight="1">
      <c r="A244" s="26">
        <v>46070.0</v>
      </c>
      <c r="B244" s="73" t="s">
        <v>546</v>
      </c>
      <c r="C244" s="32" t="str">
        <f t="array" ref="C244">_xlfn.XLOOKUP(B244, DB[samplingPoint], DB[samplingTag])</f>
        <v>DV136.04</v>
      </c>
      <c r="D244" s="33" t="s">
        <v>364</v>
      </c>
      <c r="E244" s="38" t="b">
        <v>1</v>
      </c>
      <c r="F244" s="39" t="str">
        <f t="array" ref="F244">_xlfn.XLOOKUP($B244, DB[samplingPoint], DB[noLocation])</f>
        <v>12-2-077</v>
      </c>
      <c r="G244" s="33" t="s">
        <v>437</v>
      </c>
      <c r="H244" s="40" t="str">
        <f t="array" ref="H244">_xlfn.XLOOKUP($B244, DB[samplingPoint], DB[location])</f>
        <v>WATER SYSTEM ROOM</v>
      </c>
      <c r="I244" s="39" t="str">
        <f t="array" ref="I244">_xlfn.XLOOKUP($B244, DB[samplingPoint], DB[waterType])</f>
        <v>PW</v>
      </c>
      <c r="J244" s="43">
        <f t="shared" si="1"/>
        <v>46071</v>
      </c>
      <c r="K244" s="26">
        <v>46074.0</v>
      </c>
      <c r="L244" s="32">
        <v>0.0</v>
      </c>
      <c r="M244" s="32">
        <v>0.0</v>
      </c>
      <c r="N244" s="32">
        <f t="shared" si="2"/>
        <v>0</v>
      </c>
      <c r="O244" s="49"/>
      <c r="P244" s="32">
        <f t="array" ref="P244">_xlfn.XLOOKUP($B244, DB[samplingPoint], DB[Criteria])</f>
        <v>100</v>
      </c>
      <c r="Q244" s="50" t="str">
        <f t="shared" si="3"/>
        <v>PASSED</v>
      </c>
      <c r="R244" s="38" t="b">
        <v>0</v>
      </c>
      <c r="S244" s="32" t="s">
        <v>970</v>
      </c>
      <c r="T244" s="39" t="s">
        <v>386</v>
      </c>
      <c r="U244" s="32" t="s">
        <v>381</v>
      </c>
    </row>
    <row r="245" ht="22.5" customHeight="1">
      <c r="A245" s="26">
        <v>46070.0</v>
      </c>
      <c r="B245" s="73" t="s">
        <v>547</v>
      </c>
      <c r="C245" s="32" t="str">
        <f t="array" ref="C245">_xlfn.XLOOKUP(B245, DB[samplingPoint], DB[samplingTag])</f>
        <v>DV136.16</v>
      </c>
      <c r="D245" s="33" t="s">
        <v>364</v>
      </c>
      <c r="E245" s="38" t="b">
        <v>1</v>
      </c>
      <c r="F245" s="39" t="str">
        <f t="array" ref="F245">_xlfn.XLOOKUP($B245, DB[samplingPoint], DB[noLocation])</f>
        <v>12-1-064</v>
      </c>
      <c r="G245" s="33" t="s">
        <v>437</v>
      </c>
      <c r="H245" s="40" t="str">
        <f t="array" ref="H245">_xlfn.XLOOKUP($B245, DB[samplingPoint], DB[location])</f>
        <v>WASHING</v>
      </c>
      <c r="I245" s="39" t="str">
        <f t="array" ref="I245">_xlfn.XLOOKUP($B245, DB[samplingPoint], DB[waterType])</f>
        <v>PW</v>
      </c>
      <c r="J245" s="43">
        <f t="shared" si="1"/>
        <v>46071</v>
      </c>
      <c r="K245" s="26">
        <v>46074.0</v>
      </c>
      <c r="L245" s="32">
        <v>0.0</v>
      </c>
      <c r="M245" s="32">
        <v>0.0</v>
      </c>
      <c r="N245" s="32">
        <f t="shared" si="2"/>
        <v>0</v>
      </c>
      <c r="O245" s="49"/>
      <c r="P245" s="32">
        <f t="array" ref="P245">_xlfn.XLOOKUP($B245, DB[samplingPoint], DB[Criteria])</f>
        <v>100</v>
      </c>
      <c r="Q245" s="50" t="str">
        <f t="shared" si="3"/>
        <v>PASSED</v>
      </c>
      <c r="R245" s="38" t="b">
        <v>0</v>
      </c>
      <c r="S245" s="32" t="s">
        <v>970</v>
      </c>
      <c r="T245" s="39" t="s">
        <v>386</v>
      </c>
      <c r="U245" s="32" t="s">
        <v>381</v>
      </c>
    </row>
    <row r="246" ht="22.5" customHeight="1">
      <c r="A246" s="26">
        <v>46070.0</v>
      </c>
      <c r="B246" s="73" t="s">
        <v>548</v>
      </c>
      <c r="C246" s="32" t="str">
        <f t="array" ref="C246">_xlfn.XLOOKUP(B246, DB[samplingPoint], DB[samplingTag])</f>
        <v>DV136.17</v>
      </c>
      <c r="D246" s="33" t="s">
        <v>364</v>
      </c>
      <c r="E246" s="38" t="b">
        <v>1</v>
      </c>
      <c r="F246" s="39" t="str">
        <f t="array" ref="F246">_xlfn.XLOOKUP($B246, DB[samplingPoint], DB[noLocation])</f>
        <v>12-2-065</v>
      </c>
      <c r="G246" s="33" t="s">
        <v>437</v>
      </c>
      <c r="H246" s="40" t="str">
        <f t="array" ref="H246">_xlfn.XLOOKUP($B246, DB[samplingPoint], DB[location])</f>
        <v>WASHING</v>
      </c>
      <c r="I246" s="39" t="str">
        <f t="array" ref="I246">_xlfn.XLOOKUP($B246, DB[samplingPoint], DB[waterType])</f>
        <v>PW</v>
      </c>
      <c r="J246" s="43">
        <f t="shared" si="1"/>
        <v>46071</v>
      </c>
      <c r="K246" s="26">
        <v>46074.0</v>
      </c>
      <c r="L246" s="32">
        <v>0.0</v>
      </c>
      <c r="M246" s="32">
        <v>0.0</v>
      </c>
      <c r="N246" s="32">
        <f t="shared" si="2"/>
        <v>0</v>
      </c>
      <c r="O246" s="49"/>
      <c r="P246" s="32">
        <f t="array" ref="P246">_xlfn.XLOOKUP($B246, DB[samplingPoint], DB[Criteria])</f>
        <v>100</v>
      </c>
      <c r="Q246" s="50" t="str">
        <f t="shared" si="3"/>
        <v>PASSED</v>
      </c>
      <c r="R246" s="38" t="b">
        <v>0</v>
      </c>
      <c r="S246" s="32" t="s">
        <v>970</v>
      </c>
      <c r="T246" s="39" t="s">
        <v>386</v>
      </c>
      <c r="U246" s="32" t="s">
        <v>381</v>
      </c>
    </row>
    <row r="247" ht="22.5" customHeight="1">
      <c r="A247" s="26">
        <v>46070.0</v>
      </c>
      <c r="B247" s="73" t="s">
        <v>549</v>
      </c>
      <c r="C247" s="32" t="str">
        <f t="array" ref="C247">_xlfn.XLOOKUP(B247, DB[samplingPoint], DB[samplingTag])</f>
        <v>SV136.15</v>
      </c>
      <c r="D247" s="33" t="s">
        <v>364</v>
      </c>
      <c r="E247" s="38" t="b">
        <v>1</v>
      </c>
      <c r="F247" s="39" t="str">
        <f t="array" ref="F247">_xlfn.XLOOKUP($B247, DB[samplingPoint], DB[noLocation])</f>
        <v>12-2-055</v>
      </c>
      <c r="G247" s="33" t="s">
        <v>437</v>
      </c>
      <c r="H247" s="40" t="str">
        <f t="array" ref="H247">_xlfn.XLOOKUP($B247, DB[samplingPoint], DB[location])</f>
        <v>CIP 3</v>
      </c>
      <c r="I247" s="39" t="str">
        <f t="array" ref="I247">_xlfn.XLOOKUP($B247, DB[samplingPoint], DB[waterType])</f>
        <v>PW</v>
      </c>
      <c r="J247" s="43">
        <f t="shared" si="1"/>
        <v>46071</v>
      </c>
      <c r="K247" s="26">
        <v>46074.0</v>
      </c>
      <c r="L247" s="32">
        <v>0.0</v>
      </c>
      <c r="M247" s="32">
        <v>0.0</v>
      </c>
      <c r="N247" s="32">
        <f t="shared" si="2"/>
        <v>0</v>
      </c>
      <c r="O247" s="49"/>
      <c r="P247" s="32">
        <f t="array" ref="P247">_xlfn.XLOOKUP($B247, DB[samplingPoint], DB[Criteria])</f>
        <v>100</v>
      </c>
      <c r="Q247" s="50" t="str">
        <f t="shared" si="3"/>
        <v>PASSED</v>
      </c>
      <c r="R247" s="38" t="b">
        <v>0</v>
      </c>
      <c r="S247" s="32" t="s">
        <v>970</v>
      </c>
      <c r="T247" s="39" t="s">
        <v>386</v>
      </c>
      <c r="U247" s="32" t="s">
        <v>381</v>
      </c>
    </row>
    <row r="248" ht="22.5" customHeight="1">
      <c r="A248" s="26">
        <v>46070.0</v>
      </c>
      <c r="B248" s="73" t="s">
        <v>551</v>
      </c>
      <c r="C248" s="32" t="str">
        <f t="array" ref="C248">_xlfn.XLOOKUP(B248, DB[samplingPoint], DB[samplingTag])</f>
        <v>SV136.16</v>
      </c>
      <c r="D248" s="33" t="s">
        <v>364</v>
      </c>
      <c r="E248" s="38" t="b">
        <v>1</v>
      </c>
      <c r="F248" s="39" t="str">
        <f t="array" ref="F248">_xlfn.XLOOKUP($B248, DB[samplingPoint], DB[noLocation])</f>
        <v>12-2-057</v>
      </c>
      <c r="G248" s="33" t="s">
        <v>437</v>
      </c>
      <c r="H248" s="40" t="str">
        <f t="array" ref="H248">_xlfn.XLOOKUP($B248, DB[samplingPoint], DB[location])</f>
        <v>CIP 2</v>
      </c>
      <c r="I248" s="39" t="str">
        <f t="array" ref="I248">_xlfn.XLOOKUP($B248, DB[samplingPoint], DB[waterType])</f>
        <v>PW</v>
      </c>
      <c r="J248" s="43">
        <f t="shared" si="1"/>
        <v>46071</v>
      </c>
      <c r="K248" s="26">
        <v>46074.0</v>
      </c>
      <c r="L248" s="32">
        <v>0.0</v>
      </c>
      <c r="M248" s="32">
        <v>0.0</v>
      </c>
      <c r="N248" s="32">
        <f t="shared" si="2"/>
        <v>0</v>
      </c>
      <c r="O248" s="49"/>
      <c r="P248" s="32">
        <f t="array" ref="P248">_xlfn.XLOOKUP($B248, DB[samplingPoint], DB[Criteria])</f>
        <v>100</v>
      </c>
      <c r="Q248" s="50" t="str">
        <f t="shared" si="3"/>
        <v>PASSED</v>
      </c>
      <c r="R248" s="38" t="b">
        <v>0</v>
      </c>
      <c r="S248" s="32" t="s">
        <v>970</v>
      </c>
      <c r="T248" s="39" t="s">
        <v>386</v>
      </c>
      <c r="U248" s="32" t="s">
        <v>381</v>
      </c>
    </row>
    <row r="249" ht="22.5" customHeight="1">
      <c r="A249" s="26">
        <v>46070.0</v>
      </c>
      <c r="B249" s="73" t="s">
        <v>430</v>
      </c>
      <c r="C249" s="32" t="str">
        <f t="array" ref="C249">_xlfn.XLOOKUP(B249, DB[samplingPoint], DB[samplingTag])</f>
        <v>SV137.01</v>
      </c>
      <c r="D249" s="33" t="s">
        <v>364</v>
      </c>
      <c r="E249" s="38" t="b">
        <v>1</v>
      </c>
      <c r="F249" s="39" t="str">
        <f t="array" ref="F249">_xlfn.XLOOKUP($B249, DB[samplingPoint], DB[noLocation])</f>
        <v>WATER SYSTEM (B12)</v>
      </c>
      <c r="G249" s="33" t="s">
        <v>437</v>
      </c>
      <c r="H249" s="40" t="str">
        <f t="array" ref="H249">_xlfn.XLOOKUP($B249, DB[samplingPoint], DB[location])</f>
        <v>Return loop (B12)</v>
      </c>
      <c r="I249" s="39" t="str">
        <f t="array" ref="I249">_xlfn.XLOOKUP($B249, DB[samplingPoint], DB[waterType])</f>
        <v>PW</v>
      </c>
      <c r="J249" s="43">
        <f t="shared" si="1"/>
        <v>46071</v>
      </c>
      <c r="K249" s="26">
        <v>46074.0</v>
      </c>
      <c r="L249" s="32">
        <v>0.0</v>
      </c>
      <c r="M249" s="32">
        <v>0.0</v>
      </c>
      <c r="N249" s="32">
        <f t="shared" si="2"/>
        <v>0</v>
      </c>
      <c r="O249" s="49"/>
      <c r="P249" s="32">
        <f t="array" ref="P249">_xlfn.XLOOKUP($B249, DB[samplingPoint], DB[Criteria])</f>
        <v>100</v>
      </c>
      <c r="Q249" s="50" t="str">
        <f t="shared" si="3"/>
        <v>PASSED</v>
      </c>
      <c r="R249" s="38" t="b">
        <v>0</v>
      </c>
      <c r="S249" s="32" t="s">
        <v>970</v>
      </c>
      <c r="T249" s="39" t="s">
        <v>386</v>
      </c>
      <c r="U249" s="32" t="s">
        <v>381</v>
      </c>
    </row>
    <row r="250" ht="22.5" customHeight="1">
      <c r="A250" s="26">
        <v>46070.0</v>
      </c>
      <c r="B250" s="73" t="s">
        <v>434</v>
      </c>
      <c r="C250" s="32" t="str">
        <f t="array" ref="C250">_xlfn.XLOOKUP(B250, DB[samplingPoint], DB[samplingTag])</f>
        <v>V50-11C (12)</v>
      </c>
      <c r="D250" s="33" t="s">
        <v>364</v>
      </c>
      <c r="E250" s="38" t="b">
        <v>1</v>
      </c>
      <c r="F250" s="39" t="str">
        <f t="array" ref="F250">_xlfn.XLOOKUP($B250, DB[samplingPoint], DB[noLocation])</f>
        <v>WATER SYSTEM (B12)</v>
      </c>
      <c r="G250" s="33" t="s">
        <v>437</v>
      </c>
      <c r="H250" s="40" t="str">
        <f t="array" ref="H250">_xlfn.XLOOKUP($B250, DB[samplingPoint], DB[location])</f>
        <v>After RO (Before EDI) (B12)</v>
      </c>
      <c r="I250" s="39" t="str">
        <f t="array" ref="I250">_xlfn.XLOOKUP($B250, DB[samplingPoint], DB[waterType])</f>
        <v>RO water</v>
      </c>
      <c r="J250" s="43">
        <f t="shared" si="1"/>
        <v>46071</v>
      </c>
      <c r="K250" s="26">
        <v>46074.0</v>
      </c>
      <c r="L250" s="32">
        <v>0.0</v>
      </c>
      <c r="M250" s="32">
        <v>0.0</v>
      </c>
      <c r="N250" s="32">
        <f t="shared" si="2"/>
        <v>0</v>
      </c>
      <c r="O250" s="49"/>
      <c r="P250" s="32">
        <f t="array" ref="P250">_xlfn.XLOOKUP($B250, DB[samplingPoint], DB[Criteria])</f>
        <v>500</v>
      </c>
      <c r="Q250" s="50" t="str">
        <f t="shared" si="3"/>
        <v>PASSED</v>
      </c>
      <c r="R250" s="38" t="b">
        <v>0</v>
      </c>
      <c r="S250" s="32" t="s">
        <v>970</v>
      </c>
      <c r="T250" s="39" t="s">
        <v>386</v>
      </c>
      <c r="U250" s="32" t="s">
        <v>381</v>
      </c>
    </row>
    <row r="251" ht="22.5" customHeight="1">
      <c r="A251" s="26">
        <v>46070.0</v>
      </c>
      <c r="B251" s="73" t="s">
        <v>440</v>
      </c>
      <c r="C251" s="32" t="str">
        <f t="array" ref="C251">_xlfn.XLOOKUP(B251, DB[samplingPoint], DB[samplingTag])</f>
        <v>V50-39 (12)</v>
      </c>
      <c r="D251" s="33" t="s">
        <v>364</v>
      </c>
      <c r="E251" s="38" t="b">
        <v>1</v>
      </c>
      <c r="F251" s="39" t="str">
        <f t="array" ref="F251">_xlfn.XLOOKUP($B251, DB[samplingPoint], DB[noLocation])</f>
        <v>WATER SYSTEM (B12)</v>
      </c>
      <c r="G251" s="33" t="s">
        <v>437</v>
      </c>
      <c r="H251" s="40" t="str">
        <f t="array" ref="H251">_xlfn.XLOOKUP($B251, DB[samplingPoint], DB[location])</f>
        <v>After EDI (B12)</v>
      </c>
      <c r="I251" s="39" t="str">
        <f t="array" ref="I251">_xlfn.XLOOKUP($B251, DB[samplingPoint], DB[waterType])</f>
        <v>PW</v>
      </c>
      <c r="J251" s="43">
        <f t="shared" si="1"/>
        <v>46071</v>
      </c>
      <c r="K251" s="26">
        <v>46074.0</v>
      </c>
      <c r="L251" s="32">
        <v>0.0</v>
      </c>
      <c r="M251" s="32">
        <v>0.0</v>
      </c>
      <c r="N251" s="32">
        <f t="shared" si="2"/>
        <v>0</v>
      </c>
      <c r="O251" s="49"/>
      <c r="P251" s="32">
        <f t="array" ref="P251">_xlfn.XLOOKUP($B251, DB[samplingPoint], DB[Criteria])</f>
        <v>100</v>
      </c>
      <c r="Q251" s="50" t="str">
        <f t="shared" si="3"/>
        <v>PASSED</v>
      </c>
      <c r="R251" s="38" t="b">
        <v>0</v>
      </c>
      <c r="S251" s="32" t="s">
        <v>970</v>
      </c>
      <c r="T251" s="39" t="s">
        <v>386</v>
      </c>
      <c r="U251" s="32" t="s">
        <v>381</v>
      </c>
    </row>
    <row r="252" ht="22.5" customHeight="1">
      <c r="A252" s="26">
        <v>46070.0</v>
      </c>
      <c r="B252" s="73" t="s">
        <v>442</v>
      </c>
      <c r="C252" s="32" t="str">
        <f t="array" ref="C252">_xlfn.XLOOKUP(B252, DB[samplingPoint], DB[samplingTag])</f>
        <v>V50-61 (12)</v>
      </c>
      <c r="D252" s="33" t="s">
        <v>364</v>
      </c>
      <c r="E252" s="38" t="b">
        <v>1</v>
      </c>
      <c r="F252" s="39" t="str">
        <f t="array" ref="F252">_xlfn.XLOOKUP($B252, DB[samplingPoint], DB[noLocation])</f>
        <v>WATER SYSTEM (B12)</v>
      </c>
      <c r="G252" s="33" t="s">
        <v>437</v>
      </c>
      <c r="H252" s="40" t="str">
        <f t="array" ref="H252">_xlfn.XLOOKUP($B252, DB[samplingPoint], DB[location])</f>
        <v>After Cartridge filter 5 µm (B12)</v>
      </c>
      <c r="I252" s="39" t="str">
        <f t="array" ref="I252">_xlfn.XLOOKUP($B252, DB[samplingPoint], DB[waterType])</f>
        <v>PRW</v>
      </c>
      <c r="J252" s="43">
        <f t="shared" si="1"/>
        <v>46071</v>
      </c>
      <c r="K252" s="26">
        <v>46074.0</v>
      </c>
      <c r="L252" s="32">
        <v>0.0</v>
      </c>
      <c r="M252" s="32">
        <v>0.0</v>
      </c>
      <c r="N252" s="32">
        <f t="shared" si="2"/>
        <v>0</v>
      </c>
      <c r="O252" s="49"/>
      <c r="P252" s="32">
        <f t="array" ref="P252">_xlfn.XLOOKUP($B252, DB[samplingPoint], DB[Criteria])</f>
        <v>500</v>
      </c>
      <c r="Q252" s="50" t="str">
        <f t="shared" si="3"/>
        <v>PASSED</v>
      </c>
      <c r="R252" s="38" t="b">
        <v>0</v>
      </c>
      <c r="S252" s="32" t="s">
        <v>970</v>
      </c>
      <c r="T252" s="39" t="s">
        <v>386</v>
      </c>
      <c r="U252" s="32" t="s">
        <v>381</v>
      </c>
    </row>
    <row r="253" ht="22.5" customHeight="1">
      <c r="A253" s="26">
        <v>46073.0</v>
      </c>
      <c r="B253" s="73" t="s">
        <v>431</v>
      </c>
      <c r="C253" s="32" t="str">
        <f t="array" ref="C253">_xlfn.XLOOKUP(B253, DB[samplingPoint], DB[samplingTag])</f>
        <v>SV-14</v>
      </c>
      <c r="D253" s="33" t="s">
        <v>364</v>
      </c>
      <c r="E253" s="38" t="b">
        <v>1</v>
      </c>
      <c r="F253" s="39" t="str">
        <f t="array" ref="F253">_xlfn.XLOOKUP($B253, DB[samplingPoint], DB[noLocation])</f>
        <v>PROCESS WATER (B19)</v>
      </c>
      <c r="G253" s="33" t="s">
        <v>432</v>
      </c>
      <c r="H253" s="40" t="str">
        <f t="array" ref="H253">_xlfn.XLOOKUP($B253, DB[samplingPoint], DB[location])</f>
        <v>AFTER RO SYSTEM NO.12 SV14</v>
      </c>
      <c r="I253" s="39" t="str">
        <f t="array" ref="I253">_xlfn.XLOOKUP($B253, DB[samplingPoint], DB[waterType])</f>
        <v>PRW</v>
      </c>
      <c r="J253" s="43">
        <f t="shared" si="1"/>
        <v>46074</v>
      </c>
      <c r="K253" s="26">
        <v>46077.0</v>
      </c>
      <c r="L253" s="32">
        <v>0.0</v>
      </c>
      <c r="M253" s="32">
        <v>0.0</v>
      </c>
      <c r="N253" s="32">
        <f t="shared" si="2"/>
        <v>0</v>
      </c>
      <c r="O253" s="49"/>
      <c r="P253" s="32">
        <f t="array" ref="P253">_xlfn.XLOOKUP($B253, DB[samplingPoint], DB[Criteria])</f>
        <v>500</v>
      </c>
      <c r="Q253" s="50" t="str">
        <f t="shared" si="3"/>
        <v>PASSED</v>
      </c>
      <c r="R253" s="38" t="b">
        <v>0</v>
      </c>
      <c r="S253" s="32" t="s">
        <v>973</v>
      </c>
      <c r="T253" s="39" t="s">
        <v>386</v>
      </c>
      <c r="U253" s="32" t="s">
        <v>381</v>
      </c>
    </row>
    <row r="254" ht="22.5" customHeight="1">
      <c r="A254" s="26">
        <v>46073.0</v>
      </c>
      <c r="B254" s="73" t="s">
        <v>428</v>
      </c>
      <c r="C254" s="32" t="str">
        <f t="array" ref="C254">_xlfn.XLOOKUP(B254, DB[samplingPoint], DB[samplingTag])</f>
        <v>DV116.01</v>
      </c>
      <c r="D254" s="33" t="s">
        <v>364</v>
      </c>
      <c r="E254" s="38" t="b">
        <v>1</v>
      </c>
      <c r="F254" s="39" t="str">
        <f t="array" ref="F254">_xlfn.XLOOKUP($B254, DB[samplingPoint], DB[noLocation])</f>
        <v>10-1-057</v>
      </c>
      <c r="G254" s="33" t="s">
        <v>180</v>
      </c>
      <c r="H254" s="40" t="str">
        <f t="array" ref="H254">_xlfn.XLOOKUP($B254, DB[samplingPoint], DB[location])</f>
        <v>WASHING-P</v>
      </c>
      <c r="I254" s="39" t="str">
        <f t="array" ref="I254">_xlfn.XLOOKUP($B254, DB[samplingPoint], DB[waterType])</f>
        <v>PW</v>
      </c>
      <c r="J254" s="43">
        <f t="shared" si="1"/>
        <v>46074</v>
      </c>
      <c r="K254" s="26">
        <v>46077.0</v>
      </c>
      <c r="L254" s="32">
        <v>0.0</v>
      </c>
      <c r="M254" s="32">
        <v>0.0</v>
      </c>
      <c r="N254" s="32">
        <f t="shared" si="2"/>
        <v>0</v>
      </c>
      <c r="O254" s="49"/>
      <c r="P254" s="32">
        <f t="array" ref="P254">_xlfn.XLOOKUP($B254, DB[samplingPoint], DB[Criteria])</f>
        <v>100</v>
      </c>
      <c r="Q254" s="50" t="str">
        <f t="shared" si="3"/>
        <v>PASSED</v>
      </c>
      <c r="R254" s="38" t="b">
        <v>0</v>
      </c>
      <c r="S254" s="32" t="s">
        <v>974</v>
      </c>
      <c r="T254" s="39" t="s">
        <v>386</v>
      </c>
      <c r="U254" s="32" t="s">
        <v>381</v>
      </c>
    </row>
    <row r="255" ht="22.5" customHeight="1">
      <c r="A255" s="26">
        <v>46073.0</v>
      </c>
      <c r="B255" s="73" t="s">
        <v>425</v>
      </c>
      <c r="C255" s="32" t="str">
        <f t="array" ref="C255">_xlfn.XLOOKUP(B255, DB[samplingPoint], DB[samplingTag])</f>
        <v>DV116.02</v>
      </c>
      <c r="D255" s="33" t="s">
        <v>364</v>
      </c>
      <c r="E255" s="38" t="b">
        <v>1</v>
      </c>
      <c r="F255" s="39" t="str">
        <f t="array" ref="F255">_xlfn.XLOOKUP($B255, DB[samplingPoint], DB[noLocation])</f>
        <v>10-1-115</v>
      </c>
      <c r="G255" s="33" t="s">
        <v>180</v>
      </c>
      <c r="H255" s="40" t="str">
        <f t="array" ref="H255">_xlfn.XLOOKUP($B255, DB[samplingPoint], DB[location])</f>
        <v>WASHING</v>
      </c>
      <c r="I255" s="39" t="str">
        <f t="array" ref="I255">_xlfn.XLOOKUP($B255, DB[samplingPoint], DB[waterType])</f>
        <v>PW</v>
      </c>
      <c r="J255" s="43">
        <f t="shared" si="1"/>
        <v>46074</v>
      </c>
      <c r="K255" s="26">
        <v>46077.0</v>
      </c>
      <c r="L255" s="32">
        <v>0.0</v>
      </c>
      <c r="M255" s="32">
        <v>0.0</v>
      </c>
      <c r="N255" s="32">
        <f t="shared" si="2"/>
        <v>0</v>
      </c>
      <c r="O255" s="49"/>
      <c r="P255" s="32">
        <f t="array" ref="P255">_xlfn.XLOOKUP($B255, DB[samplingPoint], DB[Criteria])</f>
        <v>100</v>
      </c>
      <c r="Q255" s="50" t="str">
        <f t="shared" si="3"/>
        <v>PASSED</v>
      </c>
      <c r="R255" s="38" t="b">
        <v>0</v>
      </c>
      <c r="S255" s="32" t="s">
        <v>974</v>
      </c>
      <c r="T255" s="39" t="s">
        <v>386</v>
      </c>
      <c r="U255" s="32" t="s">
        <v>381</v>
      </c>
    </row>
    <row r="256" ht="22.5" customHeight="1">
      <c r="A256" s="26">
        <v>46073.0</v>
      </c>
      <c r="B256" s="73" t="s">
        <v>421</v>
      </c>
      <c r="C256" s="32" t="str">
        <f t="array" ref="C256">_xlfn.XLOOKUP(B256, DB[samplingPoint], DB[samplingTag])</f>
        <v>DV116.19</v>
      </c>
      <c r="D256" s="33" t="s">
        <v>364</v>
      </c>
      <c r="E256" s="38" t="b">
        <v>1</v>
      </c>
      <c r="F256" s="39" t="str">
        <f t="array" ref="F256">_xlfn.XLOOKUP($B256, DB[samplingPoint], DB[noLocation])</f>
        <v>10-3-143</v>
      </c>
      <c r="G256" s="33" t="s">
        <v>180</v>
      </c>
      <c r="H256" s="40" t="str">
        <f t="array" ref="H256">_xlfn.XLOOKUP($B256, DB[samplingPoint], DB[location])</f>
        <v>COATING SOLUTION PREP.-P</v>
      </c>
      <c r="I256" s="39" t="str">
        <f t="array" ref="I256">_xlfn.XLOOKUP($B256, DB[samplingPoint], DB[waterType])</f>
        <v>PW</v>
      </c>
      <c r="J256" s="43">
        <f t="shared" si="1"/>
        <v>46074</v>
      </c>
      <c r="K256" s="26">
        <v>46077.0</v>
      </c>
      <c r="L256" s="32">
        <v>0.0</v>
      </c>
      <c r="M256" s="32">
        <v>0.0</v>
      </c>
      <c r="N256" s="32">
        <f t="shared" si="2"/>
        <v>0</v>
      </c>
      <c r="O256" s="49"/>
      <c r="P256" s="32">
        <f t="array" ref="P256">_xlfn.XLOOKUP($B256, DB[samplingPoint], DB[Criteria])</f>
        <v>100</v>
      </c>
      <c r="Q256" s="50" t="str">
        <f t="shared" si="3"/>
        <v>PASSED</v>
      </c>
      <c r="R256" s="38" t="b">
        <v>0</v>
      </c>
      <c r="S256" s="32" t="s">
        <v>974</v>
      </c>
      <c r="T256" s="39" t="s">
        <v>386</v>
      </c>
      <c r="U256" s="32" t="s">
        <v>381</v>
      </c>
    </row>
    <row r="257" ht="22.5" customHeight="1">
      <c r="A257" s="26">
        <v>46073.0</v>
      </c>
      <c r="B257" s="73" t="s">
        <v>417</v>
      </c>
      <c r="C257" s="32" t="str">
        <f t="array" ref="C257">_xlfn.XLOOKUP(B257, DB[samplingPoint], DB[samplingTag])</f>
        <v>DV116.20</v>
      </c>
      <c r="D257" s="33" t="s">
        <v>364</v>
      </c>
      <c r="E257" s="38" t="b">
        <v>1</v>
      </c>
      <c r="F257" s="39" t="str">
        <f t="array" ref="F257">_xlfn.XLOOKUP($B257, DB[samplingPoint], DB[noLocation])</f>
        <v>10-3-149</v>
      </c>
      <c r="G257" s="33" t="s">
        <v>180</v>
      </c>
      <c r="H257" s="40" t="str">
        <f t="array" ref="H257">_xlfn.XLOOKUP($B257, DB[samplingPoint], DB[location])</f>
        <v>IPQC-1-P</v>
      </c>
      <c r="I257" s="39" t="str">
        <f t="array" ref="I257">_xlfn.XLOOKUP($B257, DB[samplingPoint], DB[waterType])</f>
        <v>PW</v>
      </c>
      <c r="J257" s="43">
        <f t="shared" si="1"/>
        <v>46074</v>
      </c>
      <c r="K257" s="26">
        <v>46077.0</v>
      </c>
      <c r="L257" s="32">
        <v>0.0</v>
      </c>
      <c r="M257" s="32">
        <v>0.0</v>
      </c>
      <c r="N257" s="32">
        <f t="shared" si="2"/>
        <v>0</v>
      </c>
      <c r="O257" s="49"/>
      <c r="P257" s="32">
        <f t="array" ref="P257">_xlfn.XLOOKUP($B257, DB[samplingPoint], DB[Criteria])</f>
        <v>100</v>
      </c>
      <c r="Q257" s="50" t="str">
        <f t="shared" si="3"/>
        <v>PASSED</v>
      </c>
      <c r="R257" s="38" t="b">
        <v>0</v>
      </c>
      <c r="S257" s="32" t="s">
        <v>974</v>
      </c>
      <c r="T257" s="39" t="s">
        <v>386</v>
      </c>
      <c r="U257" s="32" t="s">
        <v>381</v>
      </c>
    </row>
    <row r="258" ht="22.5" customHeight="1">
      <c r="A258" s="26">
        <v>46073.0</v>
      </c>
      <c r="B258" s="73" t="s">
        <v>406</v>
      </c>
      <c r="C258" s="32" t="str">
        <f t="array" ref="C258">_xlfn.XLOOKUP(B258, DB[samplingPoint], DB[samplingTag])</f>
        <v>DV116.21</v>
      </c>
      <c r="D258" s="33" t="s">
        <v>364</v>
      </c>
      <c r="E258" s="38" t="b">
        <v>1</v>
      </c>
      <c r="F258" s="39" t="str">
        <f t="array" ref="F258">_xlfn.XLOOKUP($B258, DB[samplingPoint], DB[noLocation])</f>
        <v>10-3-152</v>
      </c>
      <c r="G258" s="33" t="s">
        <v>180</v>
      </c>
      <c r="H258" s="40" t="str">
        <f t="array" ref="H258">_xlfn.XLOOKUP($B258, DB[samplingPoint], DB[location])</f>
        <v>WASHING-P</v>
      </c>
      <c r="I258" s="39" t="str">
        <f t="array" ref="I258">_xlfn.XLOOKUP($B258, DB[samplingPoint], DB[waterType])</f>
        <v>PW</v>
      </c>
      <c r="J258" s="43">
        <f t="shared" si="1"/>
        <v>46074</v>
      </c>
      <c r="K258" s="26">
        <v>46077.0</v>
      </c>
      <c r="L258" s="32">
        <v>0.0</v>
      </c>
      <c r="M258" s="32">
        <v>0.0</v>
      </c>
      <c r="N258" s="32">
        <f t="shared" si="2"/>
        <v>0</v>
      </c>
      <c r="O258" s="49"/>
      <c r="P258" s="32">
        <f t="array" ref="P258">_xlfn.XLOOKUP($B258, DB[samplingPoint], DB[Criteria])</f>
        <v>100</v>
      </c>
      <c r="Q258" s="50" t="str">
        <f t="shared" si="3"/>
        <v>PASSED</v>
      </c>
      <c r="R258" s="38" t="b">
        <v>0</v>
      </c>
      <c r="S258" s="32" t="s">
        <v>974</v>
      </c>
      <c r="T258" s="39" t="s">
        <v>386</v>
      </c>
      <c r="U258" s="32" t="s">
        <v>381</v>
      </c>
    </row>
    <row r="259" ht="22.5" customHeight="1">
      <c r="A259" s="26">
        <v>46073.0</v>
      </c>
      <c r="B259" s="73" t="s">
        <v>410</v>
      </c>
      <c r="C259" s="32" t="str">
        <f t="array" ref="C259">_xlfn.XLOOKUP(B259, DB[samplingPoint], DB[samplingTag])</f>
        <v>DV116.22</v>
      </c>
      <c r="D259" s="33" t="s">
        <v>364</v>
      </c>
      <c r="E259" s="38" t="b">
        <v>1</v>
      </c>
      <c r="F259" s="39" t="str">
        <f t="array" ref="F259">_xlfn.XLOOKUP($B259, DB[samplingPoint], DB[noLocation])</f>
        <v>10-3-152</v>
      </c>
      <c r="G259" s="33" t="s">
        <v>180</v>
      </c>
      <c r="H259" s="40" t="str">
        <f t="array" ref="H259">_xlfn.XLOOKUP($B259, DB[samplingPoint], DB[location])</f>
        <v>WASHING-P</v>
      </c>
      <c r="I259" s="39" t="str">
        <f t="array" ref="I259">_xlfn.XLOOKUP($B259, DB[samplingPoint], DB[waterType])</f>
        <v>PW</v>
      </c>
      <c r="J259" s="43">
        <f t="shared" si="1"/>
        <v>46074</v>
      </c>
      <c r="K259" s="26">
        <v>46077.0</v>
      </c>
      <c r="L259" s="32">
        <v>0.0</v>
      </c>
      <c r="M259" s="32">
        <v>0.0</v>
      </c>
      <c r="N259" s="32">
        <f t="shared" si="2"/>
        <v>0</v>
      </c>
      <c r="O259" s="49"/>
      <c r="P259" s="32">
        <f t="array" ref="P259">_xlfn.XLOOKUP($B259, DB[samplingPoint], DB[Criteria])</f>
        <v>100</v>
      </c>
      <c r="Q259" s="50" t="str">
        <f t="shared" si="3"/>
        <v>PASSED</v>
      </c>
      <c r="R259" s="38" t="b">
        <v>0</v>
      </c>
      <c r="S259" s="32" t="s">
        <v>974</v>
      </c>
      <c r="T259" s="39" t="s">
        <v>386</v>
      </c>
      <c r="U259" s="32" t="s">
        <v>381</v>
      </c>
    </row>
    <row r="260" ht="22.5" customHeight="1">
      <c r="A260" s="26">
        <v>46073.0</v>
      </c>
      <c r="B260" s="73" t="s">
        <v>401</v>
      </c>
      <c r="C260" s="32" t="str">
        <f t="array" ref="C260">_xlfn.XLOOKUP(B260, DB[samplingPoint], DB[samplingTag])</f>
        <v>DV116.23</v>
      </c>
      <c r="D260" s="33" t="s">
        <v>364</v>
      </c>
      <c r="E260" s="38" t="b">
        <v>1</v>
      </c>
      <c r="F260" s="39" t="str">
        <f t="array" ref="F260">_xlfn.XLOOKUP($B260, DB[samplingPoint], DB[noLocation])</f>
        <v>10-3-159</v>
      </c>
      <c r="G260" s="33" t="s">
        <v>180</v>
      </c>
      <c r="H260" s="40" t="str">
        <f t="array" ref="H260">_xlfn.XLOOKUP($B260, DB[samplingPoint], DB[location])</f>
        <v>BINDER PREPARATION-P</v>
      </c>
      <c r="I260" s="39" t="str">
        <f t="array" ref="I260">_xlfn.XLOOKUP($B260, DB[samplingPoint], DB[waterType])</f>
        <v>PW</v>
      </c>
      <c r="J260" s="43">
        <f t="shared" si="1"/>
        <v>46074</v>
      </c>
      <c r="K260" s="26">
        <v>46077.0</v>
      </c>
      <c r="L260" s="32">
        <v>0.0</v>
      </c>
      <c r="M260" s="32">
        <v>0.0</v>
      </c>
      <c r="N260" s="32">
        <f t="shared" si="2"/>
        <v>0</v>
      </c>
      <c r="O260" s="49"/>
      <c r="P260" s="32">
        <f t="array" ref="P260">_xlfn.XLOOKUP($B260, DB[samplingPoint], DB[Criteria])</f>
        <v>100</v>
      </c>
      <c r="Q260" s="50" t="str">
        <f t="shared" si="3"/>
        <v>PASSED</v>
      </c>
      <c r="R260" s="38" t="b">
        <v>0</v>
      </c>
      <c r="S260" s="32" t="s">
        <v>974</v>
      </c>
      <c r="T260" s="39" t="s">
        <v>386</v>
      </c>
      <c r="U260" s="32" t="s">
        <v>381</v>
      </c>
    </row>
    <row r="261" ht="22.5" customHeight="1">
      <c r="A261" s="26">
        <v>46073.0</v>
      </c>
      <c r="B261" s="73" t="s">
        <v>398</v>
      </c>
      <c r="C261" s="32" t="str">
        <f t="array" ref="C261">_xlfn.XLOOKUP(B261, DB[samplingPoint], DB[samplingTag])</f>
        <v>DV116.24</v>
      </c>
      <c r="D261" s="33" t="s">
        <v>364</v>
      </c>
      <c r="E261" s="38" t="b">
        <v>1</v>
      </c>
      <c r="F261" s="39" t="str">
        <f t="array" ref="F261">_xlfn.XLOOKUP($B261, DB[samplingPoint], DB[noLocation])</f>
        <v>10-3-163</v>
      </c>
      <c r="G261" s="33" t="s">
        <v>180</v>
      </c>
      <c r="H261" s="40" t="str">
        <f t="array" ref="H261">_xlfn.XLOOKUP($B261, DB[samplingPoint], DB[location])</f>
        <v>WET GRANULATION 1-P</v>
      </c>
      <c r="I261" s="39" t="str">
        <f t="array" ref="I261">_xlfn.XLOOKUP($B261, DB[samplingPoint], DB[waterType])</f>
        <v>PW</v>
      </c>
      <c r="J261" s="43">
        <f t="shared" si="1"/>
        <v>46074</v>
      </c>
      <c r="K261" s="26">
        <v>46077.0</v>
      </c>
      <c r="L261" s="32">
        <v>0.0</v>
      </c>
      <c r="M261" s="32">
        <v>0.0</v>
      </c>
      <c r="N261" s="32">
        <f t="shared" si="2"/>
        <v>0</v>
      </c>
      <c r="O261" s="49"/>
      <c r="P261" s="32">
        <f t="array" ref="P261">_xlfn.XLOOKUP($B261, DB[samplingPoint], DB[Criteria])</f>
        <v>100</v>
      </c>
      <c r="Q261" s="50" t="str">
        <f t="shared" si="3"/>
        <v>PASSED</v>
      </c>
      <c r="R261" s="38" t="b">
        <v>0</v>
      </c>
      <c r="S261" s="32" t="s">
        <v>974</v>
      </c>
      <c r="T261" s="39" t="s">
        <v>386</v>
      </c>
      <c r="U261" s="32" t="s">
        <v>381</v>
      </c>
    </row>
    <row r="262" ht="22.5" customHeight="1">
      <c r="A262" s="26">
        <v>46073.0</v>
      </c>
      <c r="B262" s="73" t="s">
        <v>394</v>
      </c>
      <c r="C262" s="32" t="str">
        <f t="array" ref="C262">_xlfn.XLOOKUP(B262, DB[samplingPoint], DB[samplingTag])</f>
        <v>DV116.25</v>
      </c>
      <c r="D262" s="33" t="s">
        <v>364</v>
      </c>
      <c r="E262" s="38" t="b">
        <v>1</v>
      </c>
      <c r="F262" s="39" t="str">
        <f t="array" ref="F262">_xlfn.XLOOKUP($B262, DB[samplingPoint], DB[noLocation])</f>
        <v>10-3-171</v>
      </c>
      <c r="G262" s="33" t="s">
        <v>180</v>
      </c>
      <c r="H262" s="40" t="str">
        <f t="array" ref="H262">_xlfn.XLOOKUP($B262, DB[samplingPoint], DB[location])</f>
        <v>TOOL WASHING-P</v>
      </c>
      <c r="I262" s="39" t="str">
        <f t="array" ref="I262">_xlfn.XLOOKUP($B262, DB[samplingPoint], DB[waterType])</f>
        <v>PW</v>
      </c>
      <c r="J262" s="43">
        <f t="shared" si="1"/>
        <v>46074</v>
      </c>
      <c r="K262" s="26">
        <v>46077.0</v>
      </c>
      <c r="L262" s="32">
        <v>0.0</v>
      </c>
      <c r="M262" s="32">
        <v>0.0</v>
      </c>
      <c r="N262" s="32">
        <f t="shared" si="2"/>
        <v>0</v>
      </c>
      <c r="O262" s="49"/>
      <c r="P262" s="32">
        <f t="array" ref="P262">_xlfn.XLOOKUP($B262, DB[samplingPoint], DB[Criteria])</f>
        <v>100</v>
      </c>
      <c r="Q262" s="50" t="str">
        <f t="shared" si="3"/>
        <v>PASSED</v>
      </c>
      <c r="R262" s="38" t="b">
        <v>0</v>
      </c>
      <c r="S262" s="32" t="s">
        <v>974</v>
      </c>
      <c r="T262" s="39" t="s">
        <v>386</v>
      </c>
      <c r="U262" s="32" t="s">
        <v>381</v>
      </c>
    </row>
    <row r="263" ht="22.5" customHeight="1">
      <c r="A263" s="26">
        <v>46073.0</v>
      </c>
      <c r="B263" s="73" t="s">
        <v>423</v>
      </c>
      <c r="C263" s="32" t="str">
        <f t="array" ref="C263">_xlfn.XLOOKUP(B263, DB[samplingPoint], DB[samplingTag])</f>
        <v>SV116.12</v>
      </c>
      <c r="D263" s="33" t="s">
        <v>364</v>
      </c>
      <c r="E263" s="38" t="b">
        <v>1</v>
      </c>
      <c r="F263" s="39" t="str">
        <f t="array" ref="F263">_xlfn.XLOOKUP($B263, DB[samplingPoint], DB[noLocation])</f>
        <v>10-3-144</v>
      </c>
      <c r="G263" s="33" t="s">
        <v>180</v>
      </c>
      <c r="H263" s="40" t="str">
        <f t="array" ref="H263">_xlfn.XLOOKUP($B263, DB[samplingPoint], DB[location])</f>
        <v>COATING-P</v>
      </c>
      <c r="I263" s="39" t="str">
        <f t="array" ref="I263">_xlfn.XLOOKUP($B263, DB[samplingPoint], DB[waterType])</f>
        <v>PW</v>
      </c>
      <c r="J263" s="43">
        <f t="shared" si="1"/>
        <v>46074</v>
      </c>
      <c r="K263" s="26">
        <v>46077.0</v>
      </c>
      <c r="L263" s="32">
        <v>0.0</v>
      </c>
      <c r="M263" s="32">
        <v>0.0</v>
      </c>
      <c r="N263" s="32">
        <f t="shared" si="2"/>
        <v>0</v>
      </c>
      <c r="O263" s="49"/>
      <c r="P263" s="32">
        <f t="array" ref="P263">_xlfn.XLOOKUP($B263, DB[samplingPoint], DB[Criteria])</f>
        <v>100</v>
      </c>
      <c r="Q263" s="50" t="str">
        <f t="shared" si="3"/>
        <v>PASSED</v>
      </c>
      <c r="R263" s="38" t="b">
        <v>0</v>
      </c>
      <c r="S263" s="32" t="s">
        <v>974</v>
      </c>
      <c r="T263" s="39" t="s">
        <v>386</v>
      </c>
      <c r="U263" s="32" t="s">
        <v>381</v>
      </c>
    </row>
    <row r="264" ht="22.5" customHeight="1">
      <c r="A264" s="26">
        <v>46073.0</v>
      </c>
      <c r="B264" s="73" t="s">
        <v>414</v>
      </c>
      <c r="C264" s="32" t="str">
        <f t="array" ref="C264">_xlfn.XLOOKUP(B264, DB[samplingPoint], DB[samplingTag])</f>
        <v>SV116.13</v>
      </c>
      <c r="D264" s="33" t="s">
        <v>364</v>
      </c>
      <c r="E264" s="38" t="b">
        <v>1</v>
      </c>
      <c r="F264" s="39" t="str">
        <f t="array" ref="F264">_xlfn.XLOOKUP($B264, DB[samplingPoint], DB[noLocation])</f>
        <v>10-3-152</v>
      </c>
      <c r="G264" s="33" t="s">
        <v>180</v>
      </c>
      <c r="H264" s="40" t="str">
        <f t="array" ref="H264">_xlfn.XLOOKUP($B264, DB[samplingPoint], DB[location])</f>
        <v>WASHING-P</v>
      </c>
      <c r="I264" s="39" t="str">
        <f t="array" ref="I264">_xlfn.XLOOKUP($B264, DB[samplingPoint], DB[waterType])</f>
        <v>PW</v>
      </c>
      <c r="J264" s="43">
        <f t="shared" si="1"/>
        <v>46074</v>
      </c>
      <c r="K264" s="26">
        <v>46077.0</v>
      </c>
      <c r="L264" s="32">
        <v>0.0</v>
      </c>
      <c r="M264" s="32">
        <v>0.0</v>
      </c>
      <c r="N264" s="32">
        <f t="shared" si="2"/>
        <v>0</v>
      </c>
      <c r="O264" s="49"/>
      <c r="P264" s="32">
        <f t="array" ref="P264">_xlfn.XLOOKUP($B264, DB[samplingPoint], DB[Criteria])</f>
        <v>100</v>
      </c>
      <c r="Q264" s="50" t="str">
        <f t="shared" si="3"/>
        <v>PASSED</v>
      </c>
      <c r="R264" s="38" t="b">
        <v>0</v>
      </c>
      <c r="S264" s="32" t="s">
        <v>974</v>
      </c>
      <c r="T264" s="39" t="s">
        <v>386</v>
      </c>
      <c r="U264" s="32" t="s">
        <v>381</v>
      </c>
    </row>
    <row r="265" ht="22.5" customHeight="1">
      <c r="A265" s="26">
        <v>46073.0</v>
      </c>
      <c r="B265" s="73" t="s">
        <v>390</v>
      </c>
      <c r="C265" s="32" t="str">
        <f t="array" ref="C265">_xlfn.XLOOKUP(B265, DB[samplingPoint], DB[samplingTag])</f>
        <v>SV117.01</v>
      </c>
      <c r="D265" s="33" t="s">
        <v>364</v>
      </c>
      <c r="E265" s="38" t="b">
        <v>1</v>
      </c>
      <c r="F265" s="39" t="str">
        <f t="array" ref="F265">_xlfn.XLOOKUP($B265, DB[samplingPoint], DB[noLocation])</f>
        <v>WATER SYSTEM (B10)</v>
      </c>
      <c r="G265" s="33" t="s">
        <v>180</v>
      </c>
      <c r="H265" s="40" t="str">
        <f t="array" ref="H265">_xlfn.XLOOKUP($B265, DB[samplingPoint], DB[location])</f>
        <v>Return loop (B10)</v>
      </c>
      <c r="I265" s="39" t="str">
        <f t="array" ref="I265">_xlfn.XLOOKUP($B265, DB[samplingPoint], DB[waterType])</f>
        <v>PW</v>
      </c>
      <c r="J265" s="43">
        <f t="shared" si="1"/>
        <v>46074</v>
      </c>
      <c r="K265" s="26">
        <v>46077.0</v>
      </c>
      <c r="L265" s="32">
        <v>0.0</v>
      </c>
      <c r="M265" s="32">
        <v>0.0</v>
      </c>
      <c r="N265" s="32">
        <f t="shared" si="2"/>
        <v>0</v>
      </c>
      <c r="O265" s="49"/>
      <c r="P265" s="32">
        <f t="array" ref="P265">_xlfn.XLOOKUP($B265, DB[samplingPoint], DB[Criteria])</f>
        <v>100</v>
      </c>
      <c r="Q265" s="50" t="str">
        <f t="shared" si="3"/>
        <v>PASSED</v>
      </c>
      <c r="R265" s="38" t="b">
        <v>0</v>
      </c>
      <c r="S265" s="32" t="s">
        <v>974</v>
      </c>
      <c r="T265" s="39" t="s">
        <v>386</v>
      </c>
      <c r="U265" s="32" t="s">
        <v>381</v>
      </c>
    </row>
    <row r="266" ht="22.5" customHeight="1">
      <c r="A266" s="26">
        <v>46073.0</v>
      </c>
      <c r="B266" s="73" t="s">
        <v>368</v>
      </c>
      <c r="C266" s="32" t="str">
        <f t="array" ref="C266">_xlfn.XLOOKUP(B266, DB[samplingPoint], DB[samplingTag])</f>
        <v>V50-11C(10)</v>
      </c>
      <c r="D266" s="33" t="s">
        <v>364</v>
      </c>
      <c r="E266" s="38" t="b">
        <v>1</v>
      </c>
      <c r="F266" s="39" t="str">
        <f t="array" ref="F266">_xlfn.XLOOKUP($B266, DB[samplingPoint], DB[noLocation])</f>
        <v>WATER SYSTEM (B10)</v>
      </c>
      <c r="G266" s="33" t="s">
        <v>180</v>
      </c>
      <c r="H266" s="40" t="str">
        <f t="array" ref="H266">_xlfn.XLOOKUP($B266, DB[samplingPoint], DB[location])</f>
        <v>After RO (Before EDI) (B10)</v>
      </c>
      <c r="I266" s="39" t="str">
        <f t="array" ref="I266">_xlfn.XLOOKUP($B266, DB[samplingPoint], DB[waterType])</f>
        <v>RO water</v>
      </c>
      <c r="J266" s="43">
        <f t="shared" si="1"/>
        <v>46074</v>
      </c>
      <c r="K266" s="26">
        <v>46077.0</v>
      </c>
      <c r="L266" s="32">
        <v>0.0</v>
      </c>
      <c r="M266" s="32">
        <v>0.0</v>
      </c>
      <c r="N266" s="32">
        <f t="shared" si="2"/>
        <v>0</v>
      </c>
      <c r="O266" s="49"/>
      <c r="P266" s="32">
        <f t="array" ref="P266">_xlfn.XLOOKUP($B266, DB[samplingPoint], DB[Criteria])</f>
        <v>500</v>
      </c>
      <c r="Q266" s="50" t="str">
        <f t="shared" si="3"/>
        <v>PASSED</v>
      </c>
      <c r="R266" s="38" t="b">
        <v>0</v>
      </c>
      <c r="S266" s="32" t="s">
        <v>974</v>
      </c>
      <c r="T266" s="39" t="s">
        <v>386</v>
      </c>
      <c r="U266" s="32" t="s">
        <v>381</v>
      </c>
    </row>
    <row r="267" ht="22.5" customHeight="1">
      <c r="A267" s="26">
        <v>46073.0</v>
      </c>
      <c r="B267" s="73" t="s">
        <v>579</v>
      </c>
      <c r="C267" s="39" t="str">
        <f t="array" ref="C267">_xlfn.XLOOKUP(B267, DB[samplingPoint], DB[samplingTag])</f>
        <v>V50-60(10)</v>
      </c>
      <c r="D267" s="33" t="s">
        <v>364</v>
      </c>
      <c r="E267" s="38" t="b">
        <v>1</v>
      </c>
      <c r="F267" s="39" t="str">
        <f t="array" ref="F267">_xlfn.XLOOKUP($B267, DB[samplingPoint], DB[noLocation])</f>
        <v>WATER SYSTEM (B10)</v>
      </c>
      <c r="G267" s="33" t="s">
        <v>180</v>
      </c>
      <c r="H267" s="40" t="str">
        <f t="array" ref="H267">_xlfn.XLOOKUP($B267, DB[samplingPoint], DB[location])</f>
        <v>Before Cartridge filter 5 µm (B10)</v>
      </c>
      <c r="I267" s="39" t="str">
        <f t="array" ref="I267">_xlfn.XLOOKUP($B267, DB[samplingPoint], DB[waterType])</f>
        <v>PRW</v>
      </c>
      <c r="J267" s="43">
        <f t="shared" si="1"/>
        <v>46074</v>
      </c>
      <c r="K267" s="26">
        <v>46077.0</v>
      </c>
      <c r="L267" s="32">
        <v>0.0</v>
      </c>
      <c r="M267" s="32">
        <v>0.0</v>
      </c>
      <c r="N267" s="32">
        <f t="shared" si="2"/>
        <v>0</v>
      </c>
      <c r="O267" s="49"/>
      <c r="P267" s="32">
        <f t="array" ref="P267">_xlfn.XLOOKUP($B267, DB[samplingPoint], DB[Criteria])</f>
        <v>500</v>
      </c>
      <c r="Q267" s="50" t="str">
        <f t="shared" si="3"/>
        <v>PASSED</v>
      </c>
      <c r="R267" s="38" t="b">
        <v>0</v>
      </c>
      <c r="S267" s="32" t="s">
        <v>974</v>
      </c>
      <c r="T267" s="39" t="s">
        <v>386</v>
      </c>
      <c r="U267" s="32" t="s">
        <v>381</v>
      </c>
    </row>
    <row r="268" ht="22.5" customHeight="1">
      <c r="A268" s="26">
        <v>46073.0</v>
      </c>
      <c r="B268" s="73" t="s">
        <v>366</v>
      </c>
      <c r="C268" s="32" t="str">
        <f t="array" ref="C268">_xlfn.XLOOKUP(B268, DB[samplingPoint], DB[samplingTag])</f>
        <v>V50-61(10)</v>
      </c>
      <c r="D268" s="33" t="s">
        <v>364</v>
      </c>
      <c r="E268" s="38" t="b">
        <v>1</v>
      </c>
      <c r="F268" s="39" t="str">
        <f t="array" ref="F268">_xlfn.XLOOKUP($B268, DB[samplingPoint], DB[noLocation])</f>
        <v>WATER SYSTEM (B10)</v>
      </c>
      <c r="G268" s="33" t="s">
        <v>180</v>
      </c>
      <c r="H268" s="40" t="str">
        <f t="array" ref="H268">_xlfn.XLOOKUP($B268, DB[samplingPoint], DB[location])</f>
        <v>After Cartridge filter 5 µm (B10)</v>
      </c>
      <c r="I268" s="39" t="str">
        <f t="array" ref="I268">_xlfn.XLOOKUP($B268, DB[samplingPoint], DB[waterType])</f>
        <v>PRW</v>
      </c>
      <c r="J268" s="43">
        <f t="shared" si="1"/>
        <v>46074</v>
      </c>
      <c r="K268" s="26">
        <v>46077.0</v>
      </c>
      <c r="L268" s="32">
        <v>0.0</v>
      </c>
      <c r="M268" s="32">
        <v>0.0</v>
      </c>
      <c r="N268" s="32">
        <f t="shared" si="2"/>
        <v>0</v>
      </c>
      <c r="O268" s="49"/>
      <c r="P268" s="32">
        <f t="array" ref="P268">_xlfn.XLOOKUP($B268, DB[samplingPoint], DB[Criteria])</f>
        <v>500</v>
      </c>
      <c r="Q268" s="50" t="str">
        <f t="shared" si="3"/>
        <v>PASSED</v>
      </c>
      <c r="R268" s="38" t="b">
        <v>0</v>
      </c>
      <c r="S268" s="32" t="s">
        <v>974</v>
      </c>
      <c r="T268" s="39" t="s">
        <v>386</v>
      </c>
      <c r="U268" s="32" t="s">
        <v>381</v>
      </c>
    </row>
    <row r="269" ht="22.5" customHeight="1">
      <c r="A269" s="26">
        <v>46073.0</v>
      </c>
      <c r="B269" s="73" t="s">
        <v>349</v>
      </c>
      <c r="C269" s="32" t="str">
        <f t="array" ref="C269">_xlfn.XLOOKUP(B269, DB[samplingPoint], DB[samplingTag])</f>
        <v>VB-05(10)</v>
      </c>
      <c r="D269" s="33" t="s">
        <v>364</v>
      </c>
      <c r="E269" s="38" t="b">
        <v>1</v>
      </c>
      <c r="F269" s="39" t="str">
        <f t="array" ref="F269">_xlfn.XLOOKUP($B269, DB[samplingPoint], DB[noLocation])</f>
        <v>WATER SYSTEM (B10)</v>
      </c>
      <c r="G269" s="33" t="s">
        <v>180</v>
      </c>
      <c r="H269" s="40" t="str">
        <f t="array" ref="H269">_xlfn.XLOOKUP($B269, DB[samplingPoint], DB[location])</f>
        <v>After Chlorine circulation tank (B10)</v>
      </c>
      <c r="I269" s="39" t="str">
        <f t="array" ref="I269">_xlfn.XLOOKUP($B269, DB[samplingPoint], DB[waterType])</f>
        <v>PRW</v>
      </c>
      <c r="J269" s="43">
        <f t="shared" si="1"/>
        <v>46074</v>
      </c>
      <c r="K269" s="26">
        <v>46077.0</v>
      </c>
      <c r="L269" s="32">
        <v>0.0</v>
      </c>
      <c r="M269" s="32">
        <v>0.0</v>
      </c>
      <c r="N269" s="32">
        <f t="shared" si="2"/>
        <v>0</v>
      </c>
      <c r="O269" s="49"/>
      <c r="P269" s="32">
        <f t="array" ref="P269">_xlfn.XLOOKUP($B269, DB[samplingPoint], DB[Criteria])</f>
        <v>500</v>
      </c>
      <c r="Q269" s="50" t="str">
        <f t="shared" si="3"/>
        <v>PASSED</v>
      </c>
      <c r="R269" s="38" t="b">
        <v>0</v>
      </c>
      <c r="S269" s="32" t="s">
        <v>974</v>
      </c>
      <c r="T269" s="39" t="s">
        <v>386</v>
      </c>
      <c r="U269" s="32" t="s">
        <v>381</v>
      </c>
    </row>
    <row r="270" ht="22.5" customHeight="1">
      <c r="A270" s="26">
        <v>46080.0</v>
      </c>
      <c r="B270" s="73" t="s">
        <v>502</v>
      </c>
      <c r="C270" s="32" t="str">
        <f t="array" ref="C270">_xlfn.XLOOKUP(B270, DB[samplingPoint], DB[samplingTag])</f>
        <v>DV116.26</v>
      </c>
      <c r="D270" s="33" t="s">
        <v>436</v>
      </c>
      <c r="E270" s="38" t="b">
        <v>1</v>
      </c>
      <c r="F270" s="39" t="str">
        <f t="array" ref="F270">_xlfn.XLOOKUP($B270, DB[samplingPoint], DB[noLocation])</f>
        <v>10-4-015</v>
      </c>
      <c r="G270" s="33" t="s">
        <v>180</v>
      </c>
      <c r="H270" s="40" t="str">
        <f t="array" ref="H270">_xlfn.XLOOKUP($B270, DB[samplingPoint], DB[location])</f>
        <v>WATER SYSTEM ROOM</v>
      </c>
      <c r="I270" s="39" t="str">
        <f t="array" ref="I270">_xlfn.XLOOKUP($B270, DB[samplingPoint], DB[waterType])</f>
        <v>PW</v>
      </c>
      <c r="J270" s="43">
        <f t="shared" si="1"/>
        <v>46081</v>
      </c>
      <c r="K270" s="26">
        <v>46084.0</v>
      </c>
      <c r="L270" s="32">
        <v>0.0</v>
      </c>
      <c r="M270" s="32">
        <v>0.0</v>
      </c>
      <c r="N270" s="32">
        <f t="shared" si="2"/>
        <v>0</v>
      </c>
      <c r="O270" s="49"/>
      <c r="P270" s="32">
        <f t="array" ref="P270">_xlfn.XLOOKUP($B270, DB[samplingPoint], DB[Criteria])</f>
        <v>100</v>
      </c>
      <c r="Q270" s="50" t="str">
        <f t="shared" si="3"/>
        <v>PASSED</v>
      </c>
      <c r="R270" s="38" t="b">
        <v>0</v>
      </c>
      <c r="S270" s="32" t="s">
        <v>980</v>
      </c>
      <c r="T270" s="39" t="s">
        <v>386</v>
      </c>
      <c r="U270" s="32" t="s">
        <v>381</v>
      </c>
    </row>
    <row r="271" ht="22.5" customHeight="1">
      <c r="A271" s="26">
        <v>46080.0</v>
      </c>
      <c r="B271" s="73" t="s">
        <v>380</v>
      </c>
      <c r="C271" s="32" t="str">
        <f t="array" ref="C271">_xlfn.XLOOKUP(B271, DB[samplingPoint], DB[samplingTag])</f>
        <v>SV113.01</v>
      </c>
      <c r="D271" s="33" t="s">
        <v>436</v>
      </c>
      <c r="E271" s="38" t="b">
        <v>1</v>
      </c>
      <c r="F271" s="39" t="str">
        <f t="array" ref="F271">_xlfn.XLOOKUP($B271, DB[samplingPoint], DB[noLocation])</f>
        <v>WATER SYSTEM (B10)</v>
      </c>
      <c r="G271" s="33" t="s">
        <v>180</v>
      </c>
      <c r="H271" s="40" t="str">
        <f t="array" ref="H271">_xlfn.XLOOKUP($B271, DB[samplingPoint], DB[location])</f>
        <v>After Storage tank (B10)</v>
      </c>
      <c r="I271" s="39" t="str">
        <f t="array" ref="I271">_xlfn.XLOOKUP($B271, DB[samplingPoint], DB[waterType])</f>
        <v>PW</v>
      </c>
      <c r="J271" s="43">
        <f t="shared" si="1"/>
        <v>46081</v>
      </c>
      <c r="K271" s="26">
        <v>46084.0</v>
      </c>
      <c r="L271" s="32">
        <v>0.0</v>
      </c>
      <c r="M271" s="32">
        <v>0.0</v>
      </c>
      <c r="N271" s="32">
        <f t="shared" si="2"/>
        <v>0</v>
      </c>
      <c r="O271" s="49"/>
      <c r="P271" s="32">
        <f t="array" ref="P271">_xlfn.XLOOKUP($B271, DB[samplingPoint], DB[Criteria])</f>
        <v>100</v>
      </c>
      <c r="Q271" s="50" t="str">
        <f t="shared" si="3"/>
        <v>PASSED</v>
      </c>
      <c r="R271" s="38" t="b">
        <v>0</v>
      </c>
      <c r="S271" s="32" t="s">
        <v>980</v>
      </c>
      <c r="T271" s="39" t="s">
        <v>386</v>
      </c>
      <c r="U271" s="32" t="s">
        <v>381</v>
      </c>
    </row>
    <row r="272" ht="22.5" customHeight="1">
      <c r="A272" s="26">
        <v>46080.0</v>
      </c>
      <c r="B272" s="73" t="s">
        <v>385</v>
      </c>
      <c r="C272" s="32" t="str">
        <f t="array" ref="C272">_xlfn.XLOOKUP(B272, DB[samplingPoint], DB[samplingTag])</f>
        <v>SV115.02</v>
      </c>
      <c r="D272" s="33" t="s">
        <v>436</v>
      </c>
      <c r="E272" s="38" t="b">
        <v>1</v>
      </c>
      <c r="F272" s="39" t="str">
        <f t="array" ref="F272">_xlfn.XLOOKUP($B272, DB[samplingPoint], DB[noLocation])</f>
        <v>WATER SYSTEM (B10)</v>
      </c>
      <c r="G272" s="33" t="s">
        <v>180</v>
      </c>
      <c r="H272" s="40" t="str">
        <f t="array" ref="H272">_xlfn.XLOOKUP($B272, DB[samplingPoint], DB[location])</f>
        <v>After UV (B10)</v>
      </c>
      <c r="I272" s="39" t="str">
        <f t="array" ref="I272">_xlfn.XLOOKUP($B272, DB[samplingPoint], DB[waterType])</f>
        <v>PW</v>
      </c>
      <c r="J272" s="43">
        <f t="shared" si="1"/>
        <v>46081</v>
      </c>
      <c r="K272" s="26">
        <v>46084.0</v>
      </c>
      <c r="L272" s="32">
        <v>0.0</v>
      </c>
      <c r="M272" s="32">
        <v>0.0</v>
      </c>
      <c r="N272" s="32">
        <f t="shared" si="2"/>
        <v>0</v>
      </c>
      <c r="O272" s="49"/>
      <c r="P272" s="32">
        <f t="array" ref="P272">_xlfn.XLOOKUP($B272, DB[samplingPoint], DB[Criteria])</f>
        <v>100</v>
      </c>
      <c r="Q272" s="50" t="str">
        <f t="shared" si="3"/>
        <v>PASSED</v>
      </c>
      <c r="R272" s="38" t="b">
        <v>0</v>
      </c>
      <c r="S272" s="32" t="s">
        <v>980</v>
      </c>
      <c r="T272" s="39" t="s">
        <v>386</v>
      </c>
      <c r="U272" s="32" t="s">
        <v>381</v>
      </c>
    </row>
    <row r="273" ht="22.5" customHeight="1">
      <c r="A273" s="26">
        <v>46080.0</v>
      </c>
      <c r="B273" s="73" t="s">
        <v>499</v>
      </c>
      <c r="C273" s="32" t="str">
        <f t="array" ref="C273">_xlfn.XLOOKUP(B273, DB[samplingPoint], DB[samplingTag])</f>
        <v>SV116.01</v>
      </c>
      <c r="D273" s="33" t="s">
        <v>436</v>
      </c>
      <c r="E273" s="38" t="b">
        <v>1</v>
      </c>
      <c r="F273" s="39" t="str">
        <f t="array" ref="F273">_xlfn.XLOOKUP($B273, DB[samplingPoint], DB[noLocation])</f>
        <v>10-2-021</v>
      </c>
      <c r="G273" s="33" t="s">
        <v>180</v>
      </c>
      <c r="H273" s="40" t="str">
        <f t="array" ref="H273">_xlfn.XLOOKUP($B273, DB[samplingPoint], DB[location])</f>
        <v>INSTRUMENT-1</v>
      </c>
      <c r="I273" s="39" t="str">
        <f t="array" ref="I273">_xlfn.XLOOKUP($B273, DB[samplingPoint], DB[waterType])</f>
        <v>PW</v>
      </c>
      <c r="J273" s="43">
        <f t="shared" si="1"/>
        <v>46081</v>
      </c>
      <c r="K273" s="26">
        <v>46084.0</v>
      </c>
      <c r="L273" s="32">
        <v>0.0</v>
      </c>
      <c r="M273" s="32">
        <v>0.0</v>
      </c>
      <c r="N273" s="32">
        <f t="shared" si="2"/>
        <v>0</v>
      </c>
      <c r="O273" s="49"/>
      <c r="P273" s="32">
        <f t="array" ref="P273">_xlfn.XLOOKUP($B273, DB[samplingPoint], DB[Criteria])</f>
        <v>100</v>
      </c>
      <c r="Q273" s="50" t="str">
        <f t="shared" si="3"/>
        <v>PASSED</v>
      </c>
      <c r="R273" s="38" t="b">
        <v>0</v>
      </c>
      <c r="S273" s="32" t="s">
        <v>980</v>
      </c>
      <c r="T273" s="39" t="s">
        <v>386</v>
      </c>
      <c r="U273" s="32" t="s">
        <v>381</v>
      </c>
    </row>
    <row r="274" ht="22.5" customHeight="1">
      <c r="A274" s="26">
        <v>46080.0</v>
      </c>
      <c r="B274" s="73" t="s">
        <v>498</v>
      </c>
      <c r="C274" s="32" t="str">
        <f t="array" ref="C274">_xlfn.XLOOKUP(B274, DB[samplingPoint], DB[samplingTag])</f>
        <v>SV116.02</v>
      </c>
      <c r="D274" s="33" t="s">
        <v>436</v>
      </c>
      <c r="E274" s="38" t="b">
        <v>1</v>
      </c>
      <c r="F274" s="39" t="str">
        <f t="array" ref="F274">_xlfn.XLOOKUP($B274, DB[samplingPoint], DB[noLocation])</f>
        <v>10-2-037</v>
      </c>
      <c r="G274" s="33" t="s">
        <v>180</v>
      </c>
      <c r="H274" s="40" t="str">
        <f t="array" ref="H274">_xlfn.XLOOKUP($B274, DB[samplingPoint], DB[location])</f>
        <v>SKID FOR BIN WASHING-2</v>
      </c>
      <c r="I274" s="39" t="str">
        <f t="array" ref="I274">_xlfn.XLOOKUP($B274, DB[samplingPoint], DB[waterType])</f>
        <v>PW</v>
      </c>
      <c r="J274" s="43">
        <f t="shared" si="1"/>
        <v>46081</v>
      </c>
      <c r="K274" s="26">
        <v>46084.0</v>
      </c>
      <c r="L274" s="32">
        <v>0.0</v>
      </c>
      <c r="M274" s="32">
        <v>0.0</v>
      </c>
      <c r="N274" s="32">
        <f t="shared" si="2"/>
        <v>0</v>
      </c>
      <c r="O274" s="49"/>
      <c r="P274" s="32">
        <f t="array" ref="P274">_xlfn.XLOOKUP($B274, DB[samplingPoint], DB[Criteria])</f>
        <v>100</v>
      </c>
      <c r="Q274" s="50" t="str">
        <f t="shared" si="3"/>
        <v>PASSED</v>
      </c>
      <c r="R274" s="38" t="b">
        <v>0</v>
      </c>
      <c r="S274" s="32" t="s">
        <v>980</v>
      </c>
      <c r="T274" s="39" t="s">
        <v>386</v>
      </c>
      <c r="U274" s="32" t="s">
        <v>381</v>
      </c>
    </row>
    <row r="275" ht="22.5" customHeight="1">
      <c r="A275" s="26">
        <v>46080.0</v>
      </c>
      <c r="B275" s="73" t="s">
        <v>491</v>
      </c>
      <c r="C275" s="32" t="str">
        <f t="array" ref="C275">_xlfn.XLOOKUP(B275, DB[samplingPoint], DB[samplingTag])</f>
        <v>SV116.15</v>
      </c>
      <c r="D275" s="33" t="s">
        <v>436</v>
      </c>
      <c r="E275" s="38" t="b">
        <v>1</v>
      </c>
      <c r="F275" s="39" t="str">
        <f t="array" ref="F275">_xlfn.XLOOKUP($B275, DB[samplingPoint], DB[noLocation])</f>
        <v>10-4-012</v>
      </c>
      <c r="G275" s="33" t="s">
        <v>180</v>
      </c>
      <c r="H275" s="40" t="str">
        <f t="array" ref="H275">_xlfn.XLOOKUP($B275, DB[samplingPoint], DB[location])</f>
        <v>CIP SKID-1 FOR BIN WASHING-1</v>
      </c>
      <c r="I275" s="39" t="str">
        <f t="array" ref="I275">_xlfn.XLOOKUP($B275, DB[samplingPoint], DB[waterType])</f>
        <v>PW</v>
      </c>
      <c r="J275" s="43">
        <f t="shared" si="1"/>
        <v>46081</v>
      </c>
      <c r="K275" s="26">
        <v>46084.0</v>
      </c>
      <c r="L275" s="32">
        <v>0.0</v>
      </c>
      <c r="M275" s="32">
        <v>0.0</v>
      </c>
      <c r="N275" s="32">
        <f t="shared" si="2"/>
        <v>0</v>
      </c>
      <c r="O275" s="49"/>
      <c r="P275" s="32">
        <f t="array" ref="P275">_xlfn.XLOOKUP($B275, DB[samplingPoint], DB[Criteria])</f>
        <v>100</v>
      </c>
      <c r="Q275" s="50" t="str">
        <f t="shared" si="3"/>
        <v>PASSED</v>
      </c>
      <c r="R275" s="38" t="b">
        <v>0</v>
      </c>
      <c r="S275" s="32" t="s">
        <v>980</v>
      </c>
      <c r="T275" s="39" t="s">
        <v>386</v>
      </c>
      <c r="U275" s="32" t="s">
        <v>381</v>
      </c>
    </row>
    <row r="276" ht="22.5" customHeight="1">
      <c r="A276" s="26">
        <v>46080.0</v>
      </c>
      <c r="B276" s="73" t="s">
        <v>493</v>
      </c>
      <c r="C276" s="32" t="str">
        <f t="array" ref="C276">_xlfn.XLOOKUP(B276, DB[samplingPoint], DB[samplingTag])</f>
        <v>SV116.16</v>
      </c>
      <c r="D276" s="33" t="s">
        <v>436</v>
      </c>
      <c r="E276" s="38" t="b">
        <v>1</v>
      </c>
      <c r="F276" s="39" t="str">
        <f t="array" ref="F276">_xlfn.XLOOKUP($B276, DB[samplingPoint], DB[noLocation])</f>
        <v>10-4-012</v>
      </c>
      <c r="G276" s="33" t="s">
        <v>180</v>
      </c>
      <c r="H276" s="40" t="str">
        <f t="array" ref="H276">_xlfn.XLOOKUP($B276, DB[samplingPoint], DB[location])</f>
        <v>WIP SKID-3 FOR GRANULATION POTENT</v>
      </c>
      <c r="I276" s="39" t="str">
        <f t="array" ref="I276">_xlfn.XLOOKUP($B276, DB[samplingPoint], DB[waterType])</f>
        <v>PW</v>
      </c>
      <c r="J276" s="43">
        <f t="shared" si="1"/>
        <v>46081</v>
      </c>
      <c r="K276" s="26">
        <v>46084.0</v>
      </c>
      <c r="L276" s="32">
        <v>0.0</v>
      </c>
      <c r="M276" s="32">
        <v>0.0</v>
      </c>
      <c r="N276" s="32">
        <f t="shared" si="2"/>
        <v>0</v>
      </c>
      <c r="O276" s="49"/>
      <c r="P276" s="32">
        <f t="array" ref="P276">_xlfn.XLOOKUP($B276, DB[samplingPoint], DB[Criteria])</f>
        <v>100</v>
      </c>
      <c r="Q276" s="50" t="str">
        <f t="shared" si="3"/>
        <v>PASSED</v>
      </c>
      <c r="R276" s="38" t="b">
        <v>0</v>
      </c>
      <c r="S276" s="32" t="s">
        <v>980</v>
      </c>
      <c r="T276" s="39" t="s">
        <v>386</v>
      </c>
      <c r="U276" s="32" t="s">
        <v>381</v>
      </c>
    </row>
    <row r="277" ht="22.5" customHeight="1">
      <c r="A277" s="26">
        <v>46080.0</v>
      </c>
      <c r="B277" s="73" t="s">
        <v>494</v>
      </c>
      <c r="C277" s="32" t="str">
        <f t="array" ref="C277">_xlfn.XLOOKUP(B277, DB[samplingPoint], DB[samplingTag])</f>
        <v>SV116.17</v>
      </c>
      <c r="D277" s="33" t="s">
        <v>436</v>
      </c>
      <c r="E277" s="38" t="b">
        <v>1</v>
      </c>
      <c r="F277" s="39" t="str">
        <f t="array" ref="F277">_xlfn.XLOOKUP($B277, DB[samplingPoint], DB[noLocation])</f>
        <v>10-4-012</v>
      </c>
      <c r="G277" s="33" t="s">
        <v>180</v>
      </c>
      <c r="H277" s="40" t="str">
        <f t="array" ref="H277">_xlfn.XLOOKUP($B277, DB[samplingPoint], DB[location])</f>
        <v>CIP SKID-2 FOR BIN WASHING-1</v>
      </c>
      <c r="I277" s="39" t="str">
        <f t="array" ref="I277">_xlfn.XLOOKUP($B277, DB[samplingPoint], DB[waterType])</f>
        <v>PW</v>
      </c>
      <c r="J277" s="43">
        <f t="shared" si="1"/>
        <v>46081</v>
      </c>
      <c r="K277" s="26">
        <v>46084.0</v>
      </c>
      <c r="L277" s="32">
        <v>0.0</v>
      </c>
      <c r="M277" s="32">
        <v>0.0</v>
      </c>
      <c r="N277" s="32">
        <f t="shared" si="2"/>
        <v>0</v>
      </c>
      <c r="O277" s="49"/>
      <c r="P277" s="32">
        <f t="array" ref="P277">_xlfn.XLOOKUP($B277, DB[samplingPoint], DB[Criteria])</f>
        <v>100</v>
      </c>
      <c r="Q277" s="50" t="str">
        <f t="shared" si="3"/>
        <v>PASSED</v>
      </c>
      <c r="R277" s="38" t="b">
        <v>0</v>
      </c>
      <c r="S277" s="32" t="s">
        <v>980</v>
      </c>
      <c r="T277" s="39" t="s">
        <v>386</v>
      </c>
      <c r="U277" s="32" t="s">
        <v>381</v>
      </c>
    </row>
    <row r="278" ht="22.5" customHeight="1">
      <c r="A278" s="26">
        <v>46080.0</v>
      </c>
      <c r="B278" s="73" t="s">
        <v>495</v>
      </c>
      <c r="C278" s="32" t="str">
        <f t="array" ref="C278">_xlfn.XLOOKUP(B278, DB[samplingPoint], DB[samplingTag])</f>
        <v>SV116.18</v>
      </c>
      <c r="D278" s="33" t="s">
        <v>436</v>
      </c>
      <c r="E278" s="38" t="b">
        <v>1</v>
      </c>
      <c r="F278" s="39" t="str">
        <f t="array" ref="F278">_xlfn.XLOOKUP($B278, DB[samplingPoint], DB[noLocation])</f>
        <v>10-4-012</v>
      </c>
      <c r="G278" s="33" t="s">
        <v>180</v>
      </c>
      <c r="H278" s="40" t="str">
        <f t="array" ref="H278">_xlfn.XLOOKUP($B278, DB[samplingPoint], DB[location])</f>
        <v>WIP SKID-1 FOR GRANULATION NON POTENT</v>
      </c>
      <c r="I278" s="39" t="str">
        <f t="array" ref="I278">_xlfn.XLOOKUP($B278, DB[samplingPoint], DB[waterType])</f>
        <v>PW</v>
      </c>
      <c r="J278" s="43">
        <f t="shared" si="1"/>
        <v>46081</v>
      </c>
      <c r="K278" s="26">
        <v>46084.0</v>
      </c>
      <c r="L278" s="32">
        <v>0.0</v>
      </c>
      <c r="M278" s="32">
        <v>0.0</v>
      </c>
      <c r="N278" s="32">
        <f t="shared" si="2"/>
        <v>0</v>
      </c>
      <c r="O278" s="49"/>
      <c r="P278" s="32">
        <f t="array" ref="P278">_xlfn.XLOOKUP($B278, DB[samplingPoint], DB[Criteria])</f>
        <v>100</v>
      </c>
      <c r="Q278" s="50" t="str">
        <f t="shared" si="3"/>
        <v>PASSED</v>
      </c>
      <c r="R278" s="38" t="b">
        <v>0</v>
      </c>
      <c r="S278" s="32" t="s">
        <v>980</v>
      </c>
      <c r="T278" s="39" t="s">
        <v>386</v>
      </c>
      <c r="U278" s="32" t="s">
        <v>381</v>
      </c>
    </row>
    <row r="279" ht="22.5" customHeight="1">
      <c r="A279" s="26">
        <v>46080.0</v>
      </c>
      <c r="B279" s="73" t="s">
        <v>496</v>
      </c>
      <c r="C279" s="32" t="str">
        <f t="array" ref="C279">_xlfn.XLOOKUP(B279, DB[samplingPoint], DB[samplingTag])</f>
        <v>SV116.19</v>
      </c>
      <c r="D279" s="33" t="s">
        <v>436</v>
      </c>
      <c r="E279" s="38" t="b">
        <v>1</v>
      </c>
      <c r="F279" s="39" t="str">
        <f t="array" ref="F279">_xlfn.XLOOKUP($B279, DB[samplingPoint], DB[noLocation])</f>
        <v>10-4-012</v>
      </c>
      <c r="G279" s="33" t="s">
        <v>180</v>
      </c>
      <c r="H279" s="40" t="str">
        <f t="array" ref="H279">_xlfn.XLOOKUP($B279, DB[samplingPoint], DB[location])</f>
        <v>WIP SKID-2 FOR GRANULATION NON POTENT</v>
      </c>
      <c r="I279" s="39" t="str">
        <f t="array" ref="I279">_xlfn.XLOOKUP($B279, DB[samplingPoint], DB[waterType])</f>
        <v>PW</v>
      </c>
      <c r="J279" s="43">
        <f t="shared" si="1"/>
        <v>46081</v>
      </c>
      <c r="K279" s="26">
        <v>46084.0</v>
      </c>
      <c r="L279" s="32">
        <v>0.0</v>
      </c>
      <c r="M279" s="32">
        <v>0.0</v>
      </c>
      <c r="N279" s="32">
        <f t="shared" si="2"/>
        <v>0</v>
      </c>
      <c r="O279" s="49"/>
      <c r="P279" s="32">
        <f t="array" ref="P279">_xlfn.XLOOKUP($B279, DB[samplingPoint], DB[Criteria])</f>
        <v>100</v>
      </c>
      <c r="Q279" s="50" t="str">
        <f t="shared" si="3"/>
        <v>PASSED</v>
      </c>
      <c r="R279" s="38" t="b">
        <v>0</v>
      </c>
      <c r="S279" s="32" t="s">
        <v>980</v>
      </c>
      <c r="T279" s="39" t="s">
        <v>386</v>
      </c>
      <c r="U279" s="32" t="s">
        <v>381</v>
      </c>
    </row>
    <row r="280" ht="22.5" customHeight="1">
      <c r="A280" s="26">
        <v>46080.0</v>
      </c>
      <c r="B280" s="73" t="s">
        <v>390</v>
      </c>
      <c r="C280" s="32" t="str">
        <f t="array" ref="C280">_xlfn.XLOOKUP(B280, DB[samplingPoint], DB[samplingTag])</f>
        <v>SV117.01</v>
      </c>
      <c r="D280" s="33" t="s">
        <v>436</v>
      </c>
      <c r="E280" s="38" t="b">
        <v>1</v>
      </c>
      <c r="F280" s="39" t="str">
        <f t="array" ref="F280">_xlfn.XLOOKUP($B280, DB[samplingPoint], DB[noLocation])</f>
        <v>WATER SYSTEM (B10)</v>
      </c>
      <c r="G280" s="33" t="s">
        <v>180</v>
      </c>
      <c r="H280" s="40" t="str">
        <f t="array" ref="H280">_xlfn.XLOOKUP($B280, DB[samplingPoint], DB[location])</f>
        <v>Return loop (B10)</v>
      </c>
      <c r="I280" s="39" t="str">
        <f t="array" ref="I280">_xlfn.XLOOKUP($B280, DB[samplingPoint], DB[waterType])</f>
        <v>PW</v>
      </c>
      <c r="J280" s="43">
        <f t="shared" si="1"/>
        <v>46081</v>
      </c>
      <c r="K280" s="26">
        <v>46084.0</v>
      </c>
      <c r="L280" s="32">
        <v>0.0</v>
      </c>
      <c r="M280" s="32">
        <v>0.0</v>
      </c>
      <c r="N280" s="32">
        <f t="shared" si="2"/>
        <v>0</v>
      </c>
      <c r="O280" s="49"/>
      <c r="P280" s="32">
        <f t="array" ref="P280">_xlfn.XLOOKUP($B280, DB[samplingPoint], DB[Criteria])</f>
        <v>100</v>
      </c>
      <c r="Q280" s="50" t="str">
        <f t="shared" si="3"/>
        <v>PASSED</v>
      </c>
      <c r="R280" s="38" t="b">
        <v>0</v>
      </c>
      <c r="S280" s="32" t="s">
        <v>980</v>
      </c>
      <c r="T280" s="39" t="s">
        <v>386</v>
      </c>
      <c r="U280" s="32" t="s">
        <v>381</v>
      </c>
    </row>
    <row r="281" ht="22.5" customHeight="1">
      <c r="A281" s="26">
        <v>46078.0</v>
      </c>
      <c r="B281" s="73" t="s">
        <v>463</v>
      </c>
      <c r="C281" s="32" t="str">
        <f t="array" ref="C281">_xlfn.XLOOKUP(B281, DB[samplingPoint], DB[samplingTag])</f>
        <v>DV136.08</v>
      </c>
      <c r="D281" s="33" t="s">
        <v>436</v>
      </c>
      <c r="E281" s="38" t="b">
        <v>1</v>
      </c>
      <c r="F281" s="39" t="str">
        <f t="array" ref="F281">_xlfn.XLOOKUP($B281, DB[samplingPoint], DB[noLocation])</f>
        <v>12-3-042</v>
      </c>
      <c r="G281" s="33" t="s">
        <v>437</v>
      </c>
      <c r="H281" s="40" t="str">
        <f t="array" ref="H281">_xlfn.XLOOKUP($B281, DB[samplingPoint], DB[location])</f>
        <v>SAMPLE PREPARATION</v>
      </c>
      <c r="I281" s="39" t="str">
        <f t="array" ref="I281">_xlfn.XLOOKUP($B281, DB[samplingPoint], DB[waterType])</f>
        <v>PW</v>
      </c>
      <c r="J281" s="43">
        <f t="shared" si="1"/>
        <v>46079</v>
      </c>
      <c r="K281" s="26">
        <v>46083.0</v>
      </c>
      <c r="L281" s="32">
        <v>0.0</v>
      </c>
      <c r="M281" s="32">
        <v>0.0</v>
      </c>
      <c r="N281" s="32">
        <f t="shared" si="2"/>
        <v>0</v>
      </c>
      <c r="O281" s="49"/>
      <c r="P281" s="32">
        <f t="array" ref="P281">_xlfn.XLOOKUP($B281, DB[samplingPoint], DB[Criteria])</f>
        <v>100</v>
      </c>
      <c r="Q281" s="50" t="str">
        <f t="shared" si="3"/>
        <v>PASSED</v>
      </c>
      <c r="R281" s="38" t="b">
        <v>0</v>
      </c>
      <c r="S281" s="32" t="s">
        <v>990</v>
      </c>
      <c r="T281" s="39" t="s">
        <v>386</v>
      </c>
      <c r="U281" s="32" t="s">
        <v>381</v>
      </c>
    </row>
    <row r="282" ht="22.5" customHeight="1">
      <c r="A282" s="26">
        <v>46078.0</v>
      </c>
      <c r="B282" s="73" t="s">
        <v>465</v>
      </c>
      <c r="C282" s="32" t="str">
        <f t="array" ref="C282">_xlfn.XLOOKUP(B282, DB[samplingPoint], DB[samplingTag])</f>
        <v>DV136.09</v>
      </c>
      <c r="D282" s="33" t="s">
        <v>436</v>
      </c>
      <c r="E282" s="38" t="b">
        <v>1</v>
      </c>
      <c r="F282" s="39" t="str">
        <f t="array" ref="F282">_xlfn.XLOOKUP($B282, DB[samplingPoint], DB[noLocation])</f>
        <v>12-3-042</v>
      </c>
      <c r="G282" s="33" t="s">
        <v>437</v>
      </c>
      <c r="H282" s="40" t="str">
        <f t="array" ref="H282">_xlfn.XLOOKUP($B282, DB[samplingPoint], DB[location])</f>
        <v>SAMPLE PREPARATION</v>
      </c>
      <c r="I282" s="39" t="str">
        <f t="array" ref="I282">_xlfn.XLOOKUP($B282, DB[samplingPoint], DB[waterType])</f>
        <v>PW</v>
      </c>
      <c r="J282" s="43">
        <f t="shared" si="1"/>
        <v>46079</v>
      </c>
      <c r="K282" s="26">
        <v>46083.0</v>
      </c>
      <c r="L282" s="32">
        <v>0.0</v>
      </c>
      <c r="M282" s="32">
        <v>13.0</v>
      </c>
      <c r="N282" s="32">
        <f t="shared" si="2"/>
        <v>7</v>
      </c>
      <c r="O282" s="49"/>
      <c r="P282" s="32">
        <f t="array" ref="P282">_xlfn.XLOOKUP($B282, DB[samplingPoint], DB[Criteria])</f>
        <v>100</v>
      </c>
      <c r="Q282" s="50" t="str">
        <f t="shared" si="3"/>
        <v>PASSED</v>
      </c>
      <c r="R282" s="38" t="b">
        <v>0</v>
      </c>
      <c r="S282" s="32" t="s">
        <v>990</v>
      </c>
      <c r="T282" s="39" t="s">
        <v>386</v>
      </c>
      <c r="U282" s="32" t="s">
        <v>381</v>
      </c>
    </row>
    <row r="283" ht="22.5" customHeight="1">
      <c r="A283" s="26">
        <v>46078.0</v>
      </c>
      <c r="B283" s="73" t="s">
        <v>435</v>
      </c>
      <c r="C283" s="32" t="str">
        <f t="array" ref="C283">_xlfn.XLOOKUP(B283, DB[samplingPoint], DB[samplingTag])</f>
        <v>SV133.01</v>
      </c>
      <c r="D283" s="33" t="s">
        <v>436</v>
      </c>
      <c r="E283" s="38" t="b">
        <v>1</v>
      </c>
      <c r="F283" s="39" t="str">
        <f t="array" ref="F283">_xlfn.XLOOKUP($B283, DB[samplingPoint], DB[noLocation])</f>
        <v>WATER SYSTEM (B12)</v>
      </c>
      <c r="G283" s="33" t="s">
        <v>437</v>
      </c>
      <c r="H283" s="40" t="str">
        <f t="array" ref="H283">_xlfn.XLOOKUP($B283, DB[samplingPoint], DB[location])</f>
        <v>After Storage tank (B12)</v>
      </c>
      <c r="I283" s="39" t="str">
        <f t="array" ref="I283">_xlfn.XLOOKUP($B283, DB[samplingPoint], DB[waterType])</f>
        <v>PW</v>
      </c>
      <c r="J283" s="43">
        <f t="shared" si="1"/>
        <v>46079</v>
      </c>
      <c r="K283" s="26">
        <v>46083.0</v>
      </c>
      <c r="L283" s="32">
        <v>0.0</v>
      </c>
      <c r="M283" s="32">
        <v>0.0</v>
      </c>
      <c r="N283" s="32">
        <f t="shared" si="2"/>
        <v>0</v>
      </c>
      <c r="O283" s="49"/>
      <c r="P283" s="32">
        <f t="array" ref="P283">_xlfn.XLOOKUP($B283, DB[samplingPoint], DB[Criteria])</f>
        <v>100</v>
      </c>
      <c r="Q283" s="50" t="str">
        <f t="shared" si="3"/>
        <v>PASSED</v>
      </c>
      <c r="R283" s="38" t="b">
        <v>0</v>
      </c>
      <c r="S283" s="32" t="s">
        <v>990</v>
      </c>
      <c r="T283" s="39" t="s">
        <v>386</v>
      </c>
      <c r="U283" s="32" t="s">
        <v>381</v>
      </c>
    </row>
    <row r="284" ht="22.5" customHeight="1">
      <c r="A284" s="26">
        <v>46078.0</v>
      </c>
      <c r="B284" s="73" t="s">
        <v>438</v>
      </c>
      <c r="C284" s="32" t="str">
        <f t="array" ref="C284">_xlfn.XLOOKUP(B284, DB[samplingPoint], DB[samplingTag])</f>
        <v>SV135.02</v>
      </c>
      <c r="D284" s="33" t="s">
        <v>436</v>
      </c>
      <c r="E284" s="38" t="b">
        <v>1</v>
      </c>
      <c r="F284" s="39" t="str">
        <f t="array" ref="F284">_xlfn.XLOOKUP($B284, DB[samplingPoint], DB[noLocation])</f>
        <v>WATER SYSTEM (B12)</v>
      </c>
      <c r="G284" s="33" t="s">
        <v>437</v>
      </c>
      <c r="H284" s="40" t="str">
        <f t="array" ref="H284">_xlfn.XLOOKUP($B284, DB[samplingPoint], DB[location])</f>
        <v>After UV (B12)</v>
      </c>
      <c r="I284" s="39" t="str">
        <f t="array" ref="I284">_xlfn.XLOOKUP($B284, DB[samplingPoint], DB[waterType])</f>
        <v>PW</v>
      </c>
      <c r="J284" s="43">
        <f t="shared" si="1"/>
        <v>46079</v>
      </c>
      <c r="K284" s="26">
        <v>46083.0</v>
      </c>
      <c r="L284" s="32">
        <v>0.0</v>
      </c>
      <c r="M284" s="32">
        <v>0.0</v>
      </c>
      <c r="N284" s="32">
        <f t="shared" si="2"/>
        <v>0</v>
      </c>
      <c r="O284" s="49"/>
      <c r="P284" s="32">
        <f t="array" ref="P284">_xlfn.XLOOKUP($B284, DB[samplingPoint], DB[Criteria])</f>
        <v>100</v>
      </c>
      <c r="Q284" s="50" t="str">
        <f t="shared" si="3"/>
        <v>PASSED</v>
      </c>
      <c r="R284" s="38" t="b">
        <v>0</v>
      </c>
      <c r="S284" s="32" t="s">
        <v>990</v>
      </c>
      <c r="T284" s="39" t="s">
        <v>386</v>
      </c>
      <c r="U284" s="32" t="s">
        <v>381</v>
      </c>
    </row>
    <row r="285" ht="22.5" customHeight="1">
      <c r="A285" s="26">
        <v>46078.0</v>
      </c>
      <c r="B285" s="73" t="s">
        <v>460</v>
      </c>
      <c r="C285" s="32" t="str">
        <f t="array" ref="C285">_xlfn.XLOOKUP(B285, DB[samplingPoint], DB[samplingTag])</f>
        <v>SV136.02</v>
      </c>
      <c r="D285" s="33" t="s">
        <v>436</v>
      </c>
      <c r="E285" s="38" t="b">
        <v>1</v>
      </c>
      <c r="F285" s="39" t="str">
        <f t="array" ref="F285">_xlfn.XLOOKUP($B285, DB[samplingPoint], DB[noLocation])</f>
        <v>12-2-024</v>
      </c>
      <c r="G285" s="33" t="s">
        <v>437</v>
      </c>
      <c r="H285" s="40" t="str">
        <f t="array" ref="H285">_xlfn.XLOOKUP($B285, DB[samplingPoint], DB[location])</f>
        <v>LIQUORICE EXTRACT</v>
      </c>
      <c r="I285" s="39" t="str">
        <f t="array" ref="I285">_xlfn.XLOOKUP($B285, DB[samplingPoint], DB[waterType])</f>
        <v>PW</v>
      </c>
      <c r="J285" s="43">
        <f t="shared" si="1"/>
        <v>46079</v>
      </c>
      <c r="K285" s="26">
        <v>46083.0</v>
      </c>
      <c r="L285" s="32">
        <v>0.0</v>
      </c>
      <c r="M285" s="32">
        <v>0.0</v>
      </c>
      <c r="N285" s="32">
        <f t="shared" si="2"/>
        <v>0</v>
      </c>
      <c r="O285" s="49"/>
      <c r="P285" s="32">
        <f t="array" ref="P285">_xlfn.XLOOKUP($B285, DB[samplingPoint], DB[Criteria])</f>
        <v>100</v>
      </c>
      <c r="Q285" s="50" t="str">
        <f t="shared" si="3"/>
        <v>PASSED</v>
      </c>
      <c r="R285" s="38" t="b">
        <v>0</v>
      </c>
      <c r="S285" s="32" t="s">
        <v>990</v>
      </c>
      <c r="T285" s="39" t="s">
        <v>386</v>
      </c>
      <c r="U285" s="32" t="s">
        <v>381</v>
      </c>
    </row>
    <row r="286" ht="22.5" customHeight="1">
      <c r="A286" s="26">
        <v>46078.0</v>
      </c>
      <c r="B286" s="73" t="s">
        <v>455</v>
      </c>
      <c r="C286" s="32" t="str">
        <f t="array" ref="C286">_xlfn.XLOOKUP(B286, DB[samplingPoint], DB[samplingTag])</f>
        <v>SV136.08</v>
      </c>
      <c r="D286" s="33" t="s">
        <v>436</v>
      </c>
      <c r="E286" s="38" t="b">
        <v>1</v>
      </c>
      <c r="F286" s="39" t="str">
        <f t="array" ref="F286">_xlfn.XLOOKUP($B286, DB[samplingPoint], DB[noLocation])</f>
        <v>12-2-043</v>
      </c>
      <c r="G286" s="33" t="s">
        <v>437</v>
      </c>
      <c r="H286" s="40" t="str">
        <f t="array" ref="H286">_xlfn.XLOOKUP($B286, DB[samplingPoint], DB[location])</f>
        <v>MFG 3</v>
      </c>
      <c r="I286" s="39" t="str">
        <f t="array" ref="I286">_xlfn.XLOOKUP($B286, DB[samplingPoint], DB[waterType])</f>
        <v>PW</v>
      </c>
      <c r="J286" s="43">
        <f t="shared" si="1"/>
        <v>46079</v>
      </c>
      <c r="K286" s="26">
        <v>46083.0</v>
      </c>
      <c r="L286" s="32">
        <v>0.0</v>
      </c>
      <c r="M286" s="32">
        <v>0.0</v>
      </c>
      <c r="N286" s="32">
        <f t="shared" si="2"/>
        <v>0</v>
      </c>
      <c r="O286" s="49"/>
      <c r="P286" s="32">
        <f t="array" ref="P286">_xlfn.XLOOKUP($B286, DB[samplingPoint], DB[Criteria])</f>
        <v>100</v>
      </c>
      <c r="Q286" s="50" t="str">
        <f t="shared" si="3"/>
        <v>PASSED</v>
      </c>
      <c r="R286" s="38" t="b">
        <v>0</v>
      </c>
      <c r="S286" s="32" t="s">
        <v>990</v>
      </c>
      <c r="T286" s="39" t="s">
        <v>386</v>
      </c>
      <c r="U286" s="32" t="s">
        <v>381</v>
      </c>
    </row>
    <row r="287" ht="22.5" customHeight="1">
      <c r="A287" s="26">
        <v>46078.0</v>
      </c>
      <c r="B287" s="73" t="s">
        <v>443</v>
      </c>
      <c r="C287" s="32" t="str">
        <f t="array" ref="C287">_xlfn.XLOOKUP(B287, DB[samplingPoint], DB[samplingTag])</f>
        <v>SV136.09</v>
      </c>
      <c r="D287" s="33" t="s">
        <v>436</v>
      </c>
      <c r="E287" s="38" t="b">
        <v>1</v>
      </c>
      <c r="F287" s="39" t="str">
        <f t="array" ref="F287">_xlfn.XLOOKUP($B287, DB[samplingPoint], DB[noLocation])</f>
        <v>12-2-039</v>
      </c>
      <c r="G287" s="33" t="s">
        <v>437</v>
      </c>
      <c r="H287" s="40" t="str">
        <f t="array" ref="H287">_xlfn.XLOOKUP($B287, DB[samplingPoint], DB[location])</f>
        <v>MFG 1</v>
      </c>
      <c r="I287" s="39" t="str">
        <f t="array" ref="I287">_xlfn.XLOOKUP($B287, DB[samplingPoint], DB[waterType])</f>
        <v>PW</v>
      </c>
      <c r="J287" s="43">
        <f t="shared" si="1"/>
        <v>46079</v>
      </c>
      <c r="K287" s="26">
        <v>46083.0</v>
      </c>
      <c r="L287" s="32">
        <v>0.0</v>
      </c>
      <c r="M287" s="32">
        <v>0.0</v>
      </c>
      <c r="N287" s="32">
        <f t="shared" si="2"/>
        <v>0</v>
      </c>
      <c r="O287" s="49"/>
      <c r="P287" s="32">
        <f t="array" ref="P287">_xlfn.XLOOKUP($B287, DB[samplingPoint], DB[Criteria])</f>
        <v>100</v>
      </c>
      <c r="Q287" s="50" t="str">
        <f t="shared" si="3"/>
        <v>PASSED</v>
      </c>
      <c r="R287" s="38" t="b">
        <v>1</v>
      </c>
      <c r="S287" s="32" t="s">
        <v>990</v>
      </c>
      <c r="T287" s="39" t="s">
        <v>386</v>
      </c>
      <c r="U287" s="32" t="s">
        <v>381</v>
      </c>
    </row>
    <row r="288" ht="22.5" customHeight="1">
      <c r="A288" s="26">
        <v>46078.0</v>
      </c>
      <c r="B288" s="73" t="s">
        <v>445</v>
      </c>
      <c r="C288" s="32" t="str">
        <f t="array" ref="C288">_xlfn.XLOOKUP(B288, DB[samplingPoint], DB[samplingTag])</f>
        <v>SV136.10</v>
      </c>
      <c r="D288" s="33" t="s">
        <v>436</v>
      </c>
      <c r="E288" s="38" t="b">
        <v>1</v>
      </c>
      <c r="F288" s="39" t="str">
        <f t="array" ref="F288">_xlfn.XLOOKUP($B288, DB[samplingPoint], DB[noLocation])</f>
        <v>12-2-041</v>
      </c>
      <c r="G288" s="33" t="s">
        <v>437</v>
      </c>
      <c r="H288" s="40" t="str">
        <f t="array" ref="H288">_xlfn.XLOOKUP($B288, DB[samplingPoint], DB[location])</f>
        <v>MFG 2</v>
      </c>
      <c r="I288" s="39" t="str">
        <f t="array" ref="I288">_xlfn.XLOOKUP($B288, DB[samplingPoint], DB[waterType])</f>
        <v>PW</v>
      </c>
      <c r="J288" s="43">
        <f t="shared" si="1"/>
        <v>46079</v>
      </c>
      <c r="K288" s="26">
        <v>46083.0</v>
      </c>
      <c r="L288" s="32">
        <v>0.0</v>
      </c>
      <c r="M288" s="32">
        <v>0.0</v>
      </c>
      <c r="N288" s="32">
        <f t="shared" si="2"/>
        <v>0</v>
      </c>
      <c r="O288" s="49"/>
      <c r="P288" s="32">
        <f t="array" ref="P288">_xlfn.XLOOKUP($B288, DB[samplingPoint], DB[Criteria])</f>
        <v>100</v>
      </c>
      <c r="Q288" s="50" t="str">
        <f t="shared" si="3"/>
        <v>PASSED</v>
      </c>
      <c r="R288" s="38" t="b">
        <v>0</v>
      </c>
      <c r="S288" s="32" t="s">
        <v>990</v>
      </c>
      <c r="T288" s="39" t="s">
        <v>386</v>
      </c>
      <c r="U288" s="32" t="s">
        <v>381</v>
      </c>
    </row>
    <row r="289" ht="22.5" customHeight="1">
      <c r="A289" s="26">
        <v>46078.0</v>
      </c>
      <c r="B289" s="73" t="s">
        <v>449</v>
      </c>
      <c r="C289" s="32" t="str">
        <f t="array" ref="C289">_xlfn.XLOOKUP(B289, DB[samplingPoint], DB[samplingTag])</f>
        <v>SV136.11</v>
      </c>
      <c r="D289" s="33" t="s">
        <v>436</v>
      </c>
      <c r="E289" s="38" t="b">
        <v>1</v>
      </c>
      <c r="F289" s="39" t="str">
        <f t="array" ref="F289">_xlfn.XLOOKUP($B289, DB[samplingPoint], DB[noLocation])</f>
        <v>12-2-043</v>
      </c>
      <c r="G289" s="33" t="s">
        <v>437</v>
      </c>
      <c r="H289" s="40" t="str">
        <f t="array" ref="H289">_xlfn.XLOOKUP($B289, DB[samplingPoint], DB[location])</f>
        <v>MFG 3</v>
      </c>
      <c r="I289" s="39" t="str">
        <f t="array" ref="I289">_xlfn.XLOOKUP($B289, DB[samplingPoint], DB[waterType])</f>
        <v>PW</v>
      </c>
      <c r="J289" s="43">
        <f t="shared" si="1"/>
        <v>46079</v>
      </c>
      <c r="K289" s="26">
        <v>46083.0</v>
      </c>
      <c r="L289" s="32">
        <v>0.0</v>
      </c>
      <c r="M289" s="32">
        <v>0.0</v>
      </c>
      <c r="N289" s="32">
        <f t="shared" si="2"/>
        <v>0</v>
      </c>
      <c r="O289" s="49"/>
      <c r="P289" s="32">
        <f t="array" ref="P289">_xlfn.XLOOKUP($B289, DB[samplingPoint], DB[Criteria])</f>
        <v>100</v>
      </c>
      <c r="Q289" s="50" t="str">
        <f t="shared" si="3"/>
        <v>PASSED</v>
      </c>
      <c r="R289" s="38" t="b">
        <v>0</v>
      </c>
      <c r="S289" s="32" t="s">
        <v>990</v>
      </c>
      <c r="T289" s="39" t="s">
        <v>386</v>
      </c>
      <c r="U289" s="32" t="s">
        <v>381</v>
      </c>
    </row>
    <row r="290" ht="22.5" customHeight="1">
      <c r="A290" s="26">
        <v>46078.0</v>
      </c>
      <c r="B290" s="73" t="s">
        <v>453</v>
      </c>
      <c r="C290" s="32" t="str">
        <f t="array" ref="C290">_xlfn.XLOOKUP(B290, DB[samplingPoint], DB[samplingTag])</f>
        <v>SV136.13</v>
      </c>
      <c r="D290" s="33" t="s">
        <v>436</v>
      </c>
      <c r="E290" s="38" t="b">
        <v>1</v>
      </c>
      <c r="F290" s="39" t="str">
        <f t="array" ref="F290">_xlfn.XLOOKUP($B290, DB[samplingPoint], DB[noLocation])</f>
        <v>12-2-043</v>
      </c>
      <c r="G290" s="33" t="s">
        <v>437</v>
      </c>
      <c r="H290" s="40" t="str">
        <f t="array" ref="H290">_xlfn.XLOOKUP($B290, DB[samplingPoint], DB[location])</f>
        <v>MFG 3</v>
      </c>
      <c r="I290" s="39" t="str">
        <f t="array" ref="I290">_xlfn.XLOOKUP($B290, DB[samplingPoint], DB[waterType])</f>
        <v>PW</v>
      </c>
      <c r="J290" s="43">
        <f t="shared" si="1"/>
        <v>46079</v>
      </c>
      <c r="K290" s="26">
        <v>46083.0</v>
      </c>
      <c r="L290" s="32">
        <v>0.0</v>
      </c>
      <c r="M290" s="32">
        <v>0.0</v>
      </c>
      <c r="N290" s="32">
        <f t="shared" si="2"/>
        <v>0</v>
      </c>
      <c r="O290" s="49"/>
      <c r="P290" s="32">
        <f t="array" ref="P290">_xlfn.XLOOKUP($B290, DB[samplingPoint], DB[Criteria])</f>
        <v>100</v>
      </c>
      <c r="Q290" s="50" t="str">
        <f t="shared" si="3"/>
        <v>PASSED</v>
      </c>
      <c r="R290" s="38" t="b">
        <v>0</v>
      </c>
      <c r="S290" s="32" t="s">
        <v>990</v>
      </c>
      <c r="T290" s="39" t="s">
        <v>386</v>
      </c>
      <c r="U290" s="32" t="s">
        <v>381</v>
      </c>
    </row>
    <row r="291" ht="22.5" customHeight="1">
      <c r="A291" s="26">
        <v>46078.0</v>
      </c>
      <c r="B291" s="73" t="s">
        <v>458</v>
      </c>
      <c r="C291" s="32" t="str">
        <f t="array" ref="C291">_xlfn.XLOOKUP(B291, DB[samplingPoint], DB[samplingTag])</f>
        <v>SV136.14</v>
      </c>
      <c r="D291" s="33" t="s">
        <v>436</v>
      </c>
      <c r="E291" s="38" t="b">
        <v>1</v>
      </c>
      <c r="F291" s="39" t="str">
        <f t="array" ref="F291">_xlfn.XLOOKUP($B291, DB[samplingPoint], DB[noLocation])</f>
        <v>12-2-045</v>
      </c>
      <c r="G291" s="33" t="s">
        <v>437</v>
      </c>
      <c r="H291" s="40" t="str">
        <f t="array" ref="H291">_xlfn.XLOOKUP($B291, DB[samplingPoint], DB[location])</f>
        <v>MFG 4</v>
      </c>
      <c r="I291" s="39" t="str">
        <f t="array" ref="I291">_xlfn.XLOOKUP($B291, DB[samplingPoint], DB[waterType])</f>
        <v>PW</v>
      </c>
      <c r="J291" s="43">
        <f t="shared" si="1"/>
        <v>46079</v>
      </c>
      <c r="K291" s="26">
        <v>46083.0</v>
      </c>
      <c r="L291" s="32">
        <v>0.0</v>
      </c>
      <c r="M291" s="32">
        <v>0.0</v>
      </c>
      <c r="N291" s="32">
        <f t="shared" si="2"/>
        <v>0</v>
      </c>
      <c r="O291" s="49"/>
      <c r="P291" s="32">
        <f t="array" ref="P291">_xlfn.XLOOKUP($B291, DB[samplingPoint], DB[Criteria])</f>
        <v>100</v>
      </c>
      <c r="Q291" s="50" t="str">
        <f t="shared" si="3"/>
        <v>PASSED</v>
      </c>
      <c r="R291" s="38" t="b">
        <v>0</v>
      </c>
      <c r="S291" s="32" t="s">
        <v>990</v>
      </c>
      <c r="T291" s="39" t="s">
        <v>386</v>
      </c>
      <c r="U291" s="32" t="s">
        <v>381</v>
      </c>
    </row>
    <row r="292" ht="22.5" customHeight="1">
      <c r="A292" s="26">
        <v>46078.0</v>
      </c>
      <c r="B292" s="73" t="s">
        <v>430</v>
      </c>
      <c r="C292" s="32" t="str">
        <f t="array" ref="C292">_xlfn.XLOOKUP(B292, DB[samplingPoint], DB[samplingTag])</f>
        <v>SV137.01</v>
      </c>
      <c r="D292" s="33" t="s">
        <v>436</v>
      </c>
      <c r="E292" s="38" t="b">
        <v>1</v>
      </c>
      <c r="F292" s="39" t="str">
        <f t="array" ref="F292">_xlfn.XLOOKUP($B292, DB[samplingPoint], DB[noLocation])</f>
        <v>WATER SYSTEM (B12)</v>
      </c>
      <c r="G292" s="33" t="s">
        <v>437</v>
      </c>
      <c r="H292" s="40" t="str">
        <f t="array" ref="H292">_xlfn.XLOOKUP($B292, DB[samplingPoint], DB[location])</f>
        <v>Return loop (B12)</v>
      </c>
      <c r="I292" s="39" t="str">
        <f t="array" ref="I292">_xlfn.XLOOKUP($B292, DB[samplingPoint], DB[waterType])</f>
        <v>PW</v>
      </c>
      <c r="J292" s="43">
        <f t="shared" si="1"/>
        <v>46079</v>
      </c>
      <c r="K292" s="26">
        <v>46083.0</v>
      </c>
      <c r="L292" s="32">
        <v>0.0</v>
      </c>
      <c r="M292" s="32">
        <v>0.0</v>
      </c>
      <c r="N292" s="32">
        <f t="shared" si="2"/>
        <v>0</v>
      </c>
      <c r="O292" s="49"/>
      <c r="P292" s="32">
        <f t="array" ref="P292">_xlfn.XLOOKUP($B292, DB[samplingPoint], DB[Criteria])</f>
        <v>100</v>
      </c>
      <c r="Q292" s="50" t="str">
        <f t="shared" si="3"/>
        <v>PASSED</v>
      </c>
      <c r="R292" s="38" t="b">
        <v>0</v>
      </c>
      <c r="S292" s="32" t="s">
        <v>990</v>
      </c>
      <c r="T292" s="39" t="s">
        <v>386</v>
      </c>
      <c r="U292" s="32" t="s">
        <v>381</v>
      </c>
    </row>
    <row r="293" ht="22.5" customHeight="1">
      <c r="A293" s="26">
        <v>46078.0</v>
      </c>
      <c r="B293" s="73" t="s">
        <v>555</v>
      </c>
      <c r="C293" s="32" t="str">
        <f t="array" ref="C293">_xlfn.XLOOKUP(B293, DB[samplingPoint], DB[samplingTag])</f>
        <v>DV126.06</v>
      </c>
      <c r="D293" s="33" t="s">
        <v>436</v>
      </c>
      <c r="E293" s="38" t="b">
        <v>1</v>
      </c>
      <c r="F293" s="39" t="str">
        <f t="array" ref="F293">_xlfn.XLOOKUP($B293, DB[samplingPoint], DB[noLocation])</f>
        <v>16-3-069</v>
      </c>
      <c r="G293" s="33" t="s">
        <v>327</v>
      </c>
      <c r="H293" s="40" t="str">
        <f t="array" ref="H293">_xlfn.XLOOKUP($B293, DB[samplingPoint], DB[location])</f>
        <v>MFG 2</v>
      </c>
      <c r="I293" s="39" t="str">
        <f t="array" ref="I293">_xlfn.XLOOKUP($B293, DB[samplingPoint], DB[waterType])</f>
        <v>PW</v>
      </c>
      <c r="J293" s="43">
        <f t="shared" si="1"/>
        <v>46079</v>
      </c>
      <c r="K293" s="26">
        <v>46083.0</v>
      </c>
      <c r="L293" s="32">
        <v>0.0</v>
      </c>
      <c r="M293" s="32">
        <v>0.0</v>
      </c>
      <c r="N293" s="32">
        <f t="shared" si="2"/>
        <v>0</v>
      </c>
      <c r="O293" s="49"/>
      <c r="P293" s="32">
        <f t="array" ref="P293">_xlfn.XLOOKUP($B293, DB[samplingPoint], DB[Criteria])</f>
        <v>100</v>
      </c>
      <c r="Q293" s="50" t="str">
        <f t="shared" si="3"/>
        <v>PASSED</v>
      </c>
      <c r="R293" s="38" t="b">
        <v>0</v>
      </c>
      <c r="S293" s="32" t="s">
        <v>991</v>
      </c>
      <c r="T293" s="39" t="s">
        <v>386</v>
      </c>
      <c r="U293" s="32" t="s">
        <v>381</v>
      </c>
    </row>
    <row r="294" ht="22.5" customHeight="1">
      <c r="A294" s="26">
        <v>46078.0</v>
      </c>
      <c r="B294" s="73" t="s">
        <v>563</v>
      </c>
      <c r="C294" s="32" t="str">
        <f t="array" ref="C294">_xlfn.XLOOKUP(B294, DB[samplingPoint], DB[samplingTag])</f>
        <v>DV126.07</v>
      </c>
      <c r="D294" s="33" t="s">
        <v>436</v>
      </c>
      <c r="E294" s="38" t="b">
        <v>1</v>
      </c>
      <c r="F294" s="39" t="str">
        <f t="array" ref="F294">_xlfn.XLOOKUP($B294, DB[samplingPoint], DB[noLocation])</f>
        <v>16-3-077</v>
      </c>
      <c r="G294" s="33" t="s">
        <v>327</v>
      </c>
      <c r="H294" s="40" t="str">
        <f t="array" ref="H294">_xlfn.XLOOKUP($B294, DB[samplingPoint], DB[location])</f>
        <v>MFG 6</v>
      </c>
      <c r="I294" s="39" t="str">
        <f t="array" ref="I294">_xlfn.XLOOKUP($B294, DB[samplingPoint], DB[waterType])</f>
        <v>PW</v>
      </c>
      <c r="J294" s="43">
        <f t="shared" si="1"/>
        <v>46079</v>
      </c>
      <c r="K294" s="26">
        <v>46083.0</v>
      </c>
      <c r="L294" s="32">
        <v>0.0</v>
      </c>
      <c r="M294" s="32">
        <v>0.0</v>
      </c>
      <c r="N294" s="32">
        <f t="shared" si="2"/>
        <v>0</v>
      </c>
      <c r="O294" s="49"/>
      <c r="P294" s="32">
        <f t="array" ref="P294">_xlfn.XLOOKUP($B294, DB[samplingPoint], DB[Criteria])</f>
        <v>100</v>
      </c>
      <c r="Q294" s="50" t="str">
        <f t="shared" si="3"/>
        <v>PASSED</v>
      </c>
      <c r="R294" s="38" t="b">
        <v>0</v>
      </c>
      <c r="S294" s="32" t="s">
        <v>991</v>
      </c>
      <c r="T294" s="39" t="s">
        <v>386</v>
      </c>
      <c r="U294" s="32" t="s">
        <v>381</v>
      </c>
    </row>
    <row r="295" ht="22.5" customHeight="1">
      <c r="A295" s="26">
        <v>46078.0</v>
      </c>
      <c r="B295" s="73" t="s">
        <v>566</v>
      </c>
      <c r="C295" s="32" t="str">
        <f t="array" ref="C295">_xlfn.XLOOKUP(B295, DB[samplingPoint], DB[samplingTag])</f>
        <v>DV126.08</v>
      </c>
      <c r="D295" s="33" t="s">
        <v>436</v>
      </c>
      <c r="E295" s="38" t="b">
        <v>1</v>
      </c>
      <c r="F295" s="39" t="str">
        <f t="array" ref="F295">_xlfn.XLOOKUP($B295, DB[samplingPoint], DB[noLocation])</f>
        <v>16-3-077</v>
      </c>
      <c r="G295" s="33" t="s">
        <v>327</v>
      </c>
      <c r="H295" s="40" t="str">
        <f t="array" ref="H295">_xlfn.XLOOKUP($B295, DB[samplingPoint], DB[location])</f>
        <v>MFG 6</v>
      </c>
      <c r="I295" s="39" t="str">
        <f t="array" ref="I295">_xlfn.XLOOKUP($B295, DB[samplingPoint], DB[waterType])</f>
        <v>PW</v>
      </c>
      <c r="J295" s="43">
        <f t="shared" si="1"/>
        <v>46079</v>
      </c>
      <c r="K295" s="26">
        <v>46083.0</v>
      </c>
      <c r="L295" s="32">
        <v>0.0</v>
      </c>
      <c r="M295" s="32">
        <v>0.0</v>
      </c>
      <c r="N295" s="32">
        <f t="shared" si="2"/>
        <v>0</v>
      </c>
      <c r="O295" s="49"/>
      <c r="P295" s="32">
        <f t="array" ref="P295">_xlfn.XLOOKUP($B295, DB[samplingPoint], DB[Criteria])</f>
        <v>100</v>
      </c>
      <c r="Q295" s="50" t="str">
        <f t="shared" si="3"/>
        <v>PASSED</v>
      </c>
      <c r="R295" s="38" t="b">
        <v>0</v>
      </c>
      <c r="S295" s="32" t="s">
        <v>991</v>
      </c>
      <c r="T295" s="39" t="s">
        <v>386</v>
      </c>
      <c r="U295" s="32" t="s">
        <v>381</v>
      </c>
    </row>
    <row r="296" ht="22.5" customHeight="1">
      <c r="A296" s="26">
        <v>46078.0</v>
      </c>
      <c r="B296" s="73" t="s">
        <v>553</v>
      </c>
      <c r="C296" s="32" t="str">
        <f t="array" ref="C296">_xlfn.XLOOKUP(B296, DB[samplingPoint], DB[samplingTag])</f>
        <v>DV126.10</v>
      </c>
      <c r="D296" s="33" t="s">
        <v>436</v>
      </c>
      <c r="E296" s="38" t="b">
        <v>1</v>
      </c>
      <c r="F296" s="39" t="str">
        <f t="array" ref="F296">_xlfn.XLOOKUP($B296, DB[samplingPoint], DB[noLocation])</f>
        <v>16-3-069</v>
      </c>
      <c r="G296" s="33" t="s">
        <v>327</v>
      </c>
      <c r="H296" s="40" t="str">
        <f t="array" ref="H296">_xlfn.XLOOKUP($B296, DB[samplingPoint], DB[location])</f>
        <v>MFG 2</v>
      </c>
      <c r="I296" s="39" t="str">
        <f t="array" ref="I296">_xlfn.XLOOKUP($B296, DB[samplingPoint], DB[waterType])</f>
        <v>PW</v>
      </c>
      <c r="J296" s="43">
        <f t="shared" si="1"/>
        <v>46079</v>
      </c>
      <c r="K296" s="26">
        <v>46083.0</v>
      </c>
      <c r="L296" s="32">
        <v>0.0</v>
      </c>
      <c r="M296" s="32">
        <v>0.0</v>
      </c>
      <c r="N296" s="32">
        <f t="shared" si="2"/>
        <v>0</v>
      </c>
      <c r="O296" s="49"/>
      <c r="P296" s="32">
        <f t="array" ref="P296">_xlfn.XLOOKUP($B296, DB[samplingPoint], DB[Criteria])</f>
        <v>100</v>
      </c>
      <c r="Q296" s="50" t="str">
        <f t="shared" si="3"/>
        <v>PASSED</v>
      </c>
      <c r="R296" s="38" t="b">
        <v>0</v>
      </c>
      <c r="S296" s="32" t="s">
        <v>991</v>
      </c>
      <c r="T296" s="39" t="s">
        <v>386</v>
      </c>
      <c r="U296" s="32" t="s">
        <v>381</v>
      </c>
    </row>
    <row r="297" ht="22.5" customHeight="1">
      <c r="A297" s="26">
        <v>46078.0</v>
      </c>
      <c r="B297" s="73" t="s">
        <v>467</v>
      </c>
      <c r="C297" s="32" t="str">
        <f t="array" ref="C297">_xlfn.XLOOKUP(B297, DB[samplingPoint], DB[samplingTag])</f>
        <v>SV123.01</v>
      </c>
      <c r="D297" s="33" t="s">
        <v>436</v>
      </c>
      <c r="E297" s="38" t="b">
        <v>1</v>
      </c>
      <c r="F297" s="39" t="str">
        <f t="array" ref="F297">_xlfn.XLOOKUP($B297, DB[samplingPoint], DB[noLocation])</f>
        <v>WATER SYSTEM (B16)</v>
      </c>
      <c r="G297" s="33" t="s">
        <v>327</v>
      </c>
      <c r="H297" s="40" t="str">
        <f t="array" ref="H297">_xlfn.XLOOKUP($B297, DB[samplingPoint], DB[location])</f>
        <v>After Storage tank (B16)</v>
      </c>
      <c r="I297" s="39" t="str">
        <f t="array" ref="I297">_xlfn.XLOOKUP($B297, DB[samplingPoint], DB[waterType])</f>
        <v>PW</v>
      </c>
      <c r="J297" s="43">
        <f t="shared" si="1"/>
        <v>46079</v>
      </c>
      <c r="K297" s="26">
        <v>46083.0</v>
      </c>
      <c r="L297" s="32">
        <v>0.0</v>
      </c>
      <c r="M297" s="32">
        <v>0.0</v>
      </c>
      <c r="N297" s="32">
        <f t="shared" si="2"/>
        <v>0</v>
      </c>
      <c r="O297" s="49"/>
      <c r="P297" s="32">
        <f t="array" ref="P297">_xlfn.XLOOKUP($B297, DB[samplingPoint], DB[Criteria])</f>
        <v>100</v>
      </c>
      <c r="Q297" s="50" t="str">
        <f t="shared" si="3"/>
        <v>PASSED</v>
      </c>
      <c r="R297" s="38" t="b">
        <v>0</v>
      </c>
      <c r="S297" s="32" t="s">
        <v>991</v>
      </c>
      <c r="T297" s="39" t="s">
        <v>386</v>
      </c>
      <c r="U297" s="32" t="s">
        <v>381</v>
      </c>
    </row>
    <row r="298" ht="22.5" customHeight="1">
      <c r="A298" s="26">
        <v>46078.0</v>
      </c>
      <c r="B298" s="73" t="s">
        <v>469</v>
      </c>
      <c r="C298" s="32" t="str">
        <f t="array" ref="C298">_xlfn.XLOOKUP(B298, DB[samplingPoint], DB[samplingTag])</f>
        <v>SV125.02</v>
      </c>
      <c r="D298" s="33" t="s">
        <v>436</v>
      </c>
      <c r="E298" s="38" t="b">
        <v>1</v>
      </c>
      <c r="F298" s="39" t="str">
        <f t="array" ref="F298">_xlfn.XLOOKUP($B298, DB[samplingPoint], DB[noLocation])</f>
        <v>WATER SYSTEM (B16)</v>
      </c>
      <c r="G298" s="33" t="s">
        <v>327</v>
      </c>
      <c r="H298" s="40" t="str">
        <f t="array" ref="H298">_xlfn.XLOOKUP($B298, DB[samplingPoint], DB[location])</f>
        <v>After UV (B16)</v>
      </c>
      <c r="I298" s="39" t="str">
        <f t="array" ref="I298">_xlfn.XLOOKUP($B298, DB[samplingPoint], DB[waterType])</f>
        <v>PW</v>
      </c>
      <c r="J298" s="43">
        <f t="shared" si="1"/>
        <v>46079</v>
      </c>
      <c r="K298" s="26">
        <v>46083.0</v>
      </c>
      <c r="L298" s="32">
        <v>0.0</v>
      </c>
      <c r="M298" s="32">
        <v>0.0</v>
      </c>
      <c r="N298" s="32">
        <f t="shared" si="2"/>
        <v>0</v>
      </c>
      <c r="O298" s="49"/>
      <c r="P298" s="32">
        <f t="array" ref="P298">_xlfn.XLOOKUP($B298, DB[samplingPoint], DB[Criteria])</f>
        <v>100</v>
      </c>
      <c r="Q298" s="50" t="str">
        <f t="shared" si="3"/>
        <v>PASSED</v>
      </c>
      <c r="R298" s="38" t="b">
        <v>0</v>
      </c>
      <c r="S298" s="32" t="s">
        <v>991</v>
      </c>
      <c r="T298" s="39" t="s">
        <v>386</v>
      </c>
      <c r="U298" s="32" t="s">
        <v>381</v>
      </c>
    </row>
    <row r="299" ht="22.5" customHeight="1">
      <c r="A299" s="26">
        <v>46078.0</v>
      </c>
      <c r="B299" s="73" t="s">
        <v>561</v>
      </c>
      <c r="C299" s="32" t="str">
        <f t="array" ref="C299">_xlfn.XLOOKUP(B299, DB[samplingPoint], DB[samplingTag])</f>
        <v>SV126.09</v>
      </c>
      <c r="D299" s="33" t="s">
        <v>436</v>
      </c>
      <c r="E299" s="38" t="b">
        <v>1</v>
      </c>
      <c r="F299" s="39" t="str">
        <f t="array" ref="F299">_xlfn.XLOOKUP($B299, DB[samplingPoint], DB[noLocation])</f>
        <v>16-3-071</v>
      </c>
      <c r="G299" s="33" t="s">
        <v>327</v>
      </c>
      <c r="H299" s="40" t="str">
        <f t="array" ref="H299">_xlfn.XLOOKUP($B299, DB[samplingPoint], DB[location])</f>
        <v>MFG 3 (5000L)</v>
      </c>
      <c r="I299" s="39" t="str">
        <f t="array" ref="I299">_xlfn.XLOOKUP($B299, DB[samplingPoint], DB[waterType])</f>
        <v>PW</v>
      </c>
      <c r="J299" s="43">
        <f t="shared" si="1"/>
        <v>46079</v>
      </c>
      <c r="K299" s="26">
        <v>46083.0</v>
      </c>
      <c r="L299" s="32">
        <v>0.0</v>
      </c>
      <c r="M299" s="32">
        <v>0.0</v>
      </c>
      <c r="N299" s="32">
        <f t="shared" si="2"/>
        <v>0</v>
      </c>
      <c r="O299" s="49"/>
      <c r="P299" s="32">
        <f t="array" ref="P299">_xlfn.XLOOKUP($B299, DB[samplingPoint], DB[Criteria])</f>
        <v>100</v>
      </c>
      <c r="Q299" s="50" t="str">
        <f t="shared" si="3"/>
        <v>PASSED</v>
      </c>
      <c r="R299" s="38" t="b">
        <v>0</v>
      </c>
      <c r="S299" s="32" t="s">
        <v>991</v>
      </c>
      <c r="T299" s="39" t="s">
        <v>386</v>
      </c>
      <c r="U299" s="32" t="s">
        <v>381</v>
      </c>
    </row>
    <row r="300" ht="22.5" customHeight="1">
      <c r="A300" s="26">
        <v>46078.0</v>
      </c>
      <c r="B300" s="73" t="s">
        <v>557</v>
      </c>
      <c r="C300" s="32" t="str">
        <f t="array" ref="C300">_xlfn.XLOOKUP(B300, DB[samplingPoint], DB[samplingTag])</f>
        <v>SV126.10</v>
      </c>
      <c r="D300" s="33" t="s">
        <v>436</v>
      </c>
      <c r="E300" s="38" t="b">
        <v>1</v>
      </c>
      <c r="F300" s="39" t="str">
        <f t="array" ref="F300">_xlfn.XLOOKUP($B300, DB[samplingPoint], DB[noLocation])</f>
        <v>16-3-071</v>
      </c>
      <c r="G300" s="33" t="s">
        <v>327</v>
      </c>
      <c r="H300" s="40" t="str">
        <f t="array" ref="H300">_xlfn.XLOOKUP($B300, DB[samplingPoint], DB[location])</f>
        <v>MFG 3 (1200L)</v>
      </c>
      <c r="I300" s="39" t="str">
        <f t="array" ref="I300">_xlfn.XLOOKUP($B300, DB[samplingPoint], DB[waterType])</f>
        <v>PW</v>
      </c>
      <c r="J300" s="43">
        <f t="shared" si="1"/>
        <v>46079</v>
      </c>
      <c r="K300" s="26">
        <v>46083.0</v>
      </c>
      <c r="L300" s="32">
        <v>97.0</v>
      </c>
      <c r="M300" s="32">
        <v>96.0</v>
      </c>
      <c r="N300" s="32">
        <f t="shared" si="2"/>
        <v>97</v>
      </c>
      <c r="O300" s="49"/>
      <c r="P300" s="32">
        <f t="array" ref="P300">_xlfn.XLOOKUP($B300, DB[samplingPoint], DB[Criteria])</f>
        <v>100</v>
      </c>
      <c r="Q300" s="50" t="str">
        <f t="shared" si="3"/>
        <v>PASSED</v>
      </c>
      <c r="R300" s="38" t="b">
        <v>0</v>
      </c>
      <c r="S300" s="32" t="s">
        <v>991</v>
      </c>
      <c r="T300" s="39" t="s">
        <v>386</v>
      </c>
      <c r="U300" s="32" t="s">
        <v>381</v>
      </c>
    </row>
    <row r="301" ht="22.5" customHeight="1">
      <c r="A301" s="26">
        <v>46078.0</v>
      </c>
      <c r="B301" s="73" t="s">
        <v>464</v>
      </c>
      <c r="C301" s="32" t="str">
        <f t="array" ref="C301">_xlfn.XLOOKUP(B301, DB[samplingPoint], DB[samplingTag])</f>
        <v>SV127.01</v>
      </c>
      <c r="D301" s="33" t="s">
        <v>436</v>
      </c>
      <c r="E301" s="38" t="b">
        <v>1</v>
      </c>
      <c r="F301" s="39" t="str">
        <f t="array" ref="F301">_xlfn.XLOOKUP($B301, DB[samplingPoint], DB[noLocation])</f>
        <v>WATER SYSTEM (B16)</v>
      </c>
      <c r="G301" s="33" t="s">
        <v>327</v>
      </c>
      <c r="H301" s="40" t="str">
        <f t="array" ref="H301">_xlfn.XLOOKUP($B301, DB[samplingPoint], DB[location])</f>
        <v>Return loop (B16)</v>
      </c>
      <c r="I301" s="39" t="str">
        <f t="array" ref="I301">_xlfn.XLOOKUP($B301, DB[samplingPoint], DB[waterType])</f>
        <v>PW</v>
      </c>
      <c r="J301" s="43">
        <f t="shared" si="1"/>
        <v>46079</v>
      </c>
      <c r="K301" s="26">
        <v>46083.0</v>
      </c>
      <c r="L301" s="32">
        <v>0.0</v>
      </c>
      <c r="M301" s="32">
        <v>0.0</v>
      </c>
      <c r="N301" s="32">
        <f t="shared" si="2"/>
        <v>0</v>
      </c>
      <c r="O301" s="49"/>
      <c r="P301" s="32">
        <f t="array" ref="P301">_xlfn.XLOOKUP($B301, DB[samplingPoint], DB[Criteria])</f>
        <v>100</v>
      </c>
      <c r="Q301" s="50" t="str">
        <f t="shared" si="3"/>
        <v>PASSED</v>
      </c>
      <c r="R301" s="38" t="b">
        <v>0</v>
      </c>
      <c r="S301" s="32" t="s">
        <v>991</v>
      </c>
      <c r="T301" s="39" t="s">
        <v>386</v>
      </c>
      <c r="U301" s="32" t="s">
        <v>381</v>
      </c>
    </row>
    <row r="302" ht="22.5" customHeight="1">
      <c r="A302" s="26">
        <v>46086.0</v>
      </c>
      <c r="B302" s="35" t="s">
        <v>447</v>
      </c>
      <c r="C302" s="32" t="str">
        <f t="array" ref="C302">_xlfn.XLOOKUP(B302, DB[samplingPoint], DB[samplingTag])</f>
        <v>DV126.01</v>
      </c>
      <c r="D302" s="33" t="s">
        <v>375</v>
      </c>
      <c r="E302" s="38" t="b">
        <v>1</v>
      </c>
      <c r="F302" s="39" t="str">
        <f t="array" ref="F302">_xlfn.XLOOKUP($B302, DB[samplingPoint], DB[noLocation])</f>
        <v>16-1-082</v>
      </c>
      <c r="G302" s="33" t="s">
        <v>327</v>
      </c>
      <c r="H302" s="40" t="str">
        <f t="array" ref="H302">_xlfn.XLOOKUP($B302, DB[samplingPoint], DB[location])</f>
        <v>WASHING</v>
      </c>
      <c r="I302" s="39" t="str">
        <f t="array" ref="I302">_xlfn.XLOOKUP($B302, DB[samplingPoint], DB[waterType])</f>
        <v>PW</v>
      </c>
      <c r="J302" s="43">
        <f t="shared" si="1"/>
        <v>46087</v>
      </c>
      <c r="K302" s="26">
        <v>46091.0</v>
      </c>
      <c r="L302" s="32">
        <v>0.0</v>
      </c>
      <c r="M302" s="32">
        <v>0.0</v>
      </c>
      <c r="N302" s="32">
        <f t="shared" si="2"/>
        <v>0</v>
      </c>
      <c r="O302" s="49"/>
      <c r="P302" s="32">
        <f t="array" ref="P302">_xlfn.XLOOKUP($B302, DB[samplingPoint], DB[Criteria])</f>
        <v>100</v>
      </c>
      <c r="Q302" s="50" t="str">
        <f t="shared" si="3"/>
        <v>PASSED</v>
      </c>
      <c r="R302" s="38" t="b">
        <v>0</v>
      </c>
      <c r="S302" s="35" t="s">
        <v>992</v>
      </c>
      <c r="T302" s="39" t="s">
        <v>386</v>
      </c>
      <c r="U302" s="32" t="s">
        <v>381</v>
      </c>
    </row>
    <row r="303" ht="22.5" customHeight="1">
      <c r="A303" s="26">
        <v>46086.0</v>
      </c>
      <c r="B303" s="35" t="s">
        <v>451</v>
      </c>
      <c r="C303" s="32" t="str">
        <f t="array" ref="C303">_xlfn.XLOOKUP(B303, DB[samplingPoint], DB[samplingTag])</f>
        <v>DV126.02</v>
      </c>
      <c r="D303" s="33" t="s">
        <v>375</v>
      </c>
      <c r="E303" s="38" t="b">
        <v>1</v>
      </c>
      <c r="F303" s="39" t="str">
        <f t="array" ref="F303">_xlfn.XLOOKUP($B303, DB[samplingPoint], DB[noLocation])</f>
        <v>16-1-082</v>
      </c>
      <c r="G303" s="33" t="s">
        <v>327</v>
      </c>
      <c r="H303" s="40" t="str">
        <f t="array" ref="H303">_xlfn.XLOOKUP($B303, DB[samplingPoint], DB[location])</f>
        <v>WASHING</v>
      </c>
      <c r="I303" s="39" t="str">
        <f t="array" ref="I303">_xlfn.XLOOKUP($B303, DB[samplingPoint], DB[waterType])</f>
        <v>PW</v>
      </c>
      <c r="J303" s="43">
        <f t="shared" si="1"/>
        <v>46087</v>
      </c>
      <c r="K303" s="26">
        <v>46091.0</v>
      </c>
      <c r="L303" s="32">
        <v>0.0</v>
      </c>
      <c r="M303" s="32">
        <v>0.0</v>
      </c>
      <c r="N303" s="32">
        <f t="shared" si="2"/>
        <v>0</v>
      </c>
      <c r="O303" s="49"/>
      <c r="P303" s="32">
        <f t="array" ref="P303">_xlfn.XLOOKUP($B303, DB[samplingPoint], DB[Criteria])</f>
        <v>100</v>
      </c>
      <c r="Q303" s="50" t="str">
        <f t="shared" si="3"/>
        <v>PASSED</v>
      </c>
      <c r="R303" s="38" t="b">
        <v>0</v>
      </c>
      <c r="S303" s="35" t="s">
        <v>992</v>
      </c>
      <c r="T303" s="39" t="s">
        <v>386</v>
      </c>
      <c r="U303" s="32" t="s">
        <v>381</v>
      </c>
    </row>
    <row r="304" ht="22.5" customHeight="1">
      <c r="A304" s="26">
        <v>46086.0</v>
      </c>
      <c r="B304" s="35" t="s">
        <v>454</v>
      </c>
      <c r="C304" s="32" t="str">
        <f t="array" ref="C304">_xlfn.XLOOKUP(B304, DB[samplingPoint], DB[samplingTag])</f>
        <v>DV126.03</v>
      </c>
      <c r="D304" s="33" t="s">
        <v>375</v>
      </c>
      <c r="E304" s="38" t="b">
        <v>1</v>
      </c>
      <c r="F304" s="39" t="str">
        <f t="array" ref="F304">_xlfn.XLOOKUP($B304, DB[samplingPoint], DB[noLocation])</f>
        <v>16-1-098</v>
      </c>
      <c r="G304" s="33" t="s">
        <v>327</v>
      </c>
      <c r="H304" s="40" t="str">
        <f t="array" ref="H304">_xlfn.XLOOKUP($B304, DB[samplingPoint], DB[location])</f>
        <v>CIP/SIP (SINK WASHING)</v>
      </c>
      <c r="I304" s="39" t="str">
        <f t="array" ref="I304">_xlfn.XLOOKUP($B304, DB[samplingPoint], DB[waterType])</f>
        <v>PW</v>
      </c>
      <c r="J304" s="43">
        <f t="shared" si="1"/>
        <v>46087</v>
      </c>
      <c r="K304" s="26">
        <v>46091.0</v>
      </c>
      <c r="L304" s="32">
        <v>0.0</v>
      </c>
      <c r="M304" s="32">
        <v>0.0</v>
      </c>
      <c r="N304" s="32">
        <f t="shared" si="2"/>
        <v>0</v>
      </c>
      <c r="O304" s="49"/>
      <c r="P304" s="32">
        <f t="array" ref="P304">_xlfn.XLOOKUP($B304, DB[samplingPoint], DB[Criteria])</f>
        <v>100</v>
      </c>
      <c r="Q304" s="50" t="str">
        <f t="shared" si="3"/>
        <v>PASSED</v>
      </c>
      <c r="R304" s="38" t="b">
        <v>0</v>
      </c>
      <c r="S304" s="35" t="s">
        <v>992</v>
      </c>
      <c r="T304" s="39" t="s">
        <v>386</v>
      </c>
      <c r="U304" s="32" t="s">
        <v>381</v>
      </c>
    </row>
    <row r="305" ht="22.5" customHeight="1">
      <c r="A305" s="26">
        <v>46086.0</v>
      </c>
      <c r="B305" s="73" t="s">
        <v>464</v>
      </c>
      <c r="C305" s="32" t="str">
        <f t="array" ref="C305">_xlfn.XLOOKUP(B305, DB[samplingPoint], DB[samplingTag])</f>
        <v>SV127.01</v>
      </c>
      <c r="D305" s="33" t="s">
        <v>375</v>
      </c>
      <c r="E305" s="38" t="b">
        <v>1</v>
      </c>
      <c r="F305" s="39" t="str">
        <f t="array" ref="F305">_xlfn.XLOOKUP($B305, DB[samplingPoint], DB[noLocation])</f>
        <v>WATER SYSTEM (B16)</v>
      </c>
      <c r="G305" s="33" t="s">
        <v>327</v>
      </c>
      <c r="H305" s="40" t="str">
        <f t="array" ref="H305">_xlfn.XLOOKUP($B305, DB[samplingPoint], DB[location])</f>
        <v>Return loop (B16)</v>
      </c>
      <c r="I305" s="39" t="str">
        <f t="array" ref="I305">_xlfn.XLOOKUP($B305, DB[samplingPoint], DB[waterType])</f>
        <v>PW</v>
      </c>
      <c r="J305" s="43">
        <f t="shared" si="1"/>
        <v>46087</v>
      </c>
      <c r="K305" s="26">
        <v>46091.0</v>
      </c>
      <c r="L305" s="32">
        <v>0.0</v>
      </c>
      <c r="M305" s="32">
        <v>0.0</v>
      </c>
      <c r="N305" s="32">
        <f t="shared" si="2"/>
        <v>0</v>
      </c>
      <c r="O305" s="49"/>
      <c r="P305" s="32">
        <f t="array" ref="P305">_xlfn.XLOOKUP($B305, DB[samplingPoint], DB[Criteria])</f>
        <v>100</v>
      </c>
      <c r="Q305" s="50" t="str">
        <f t="shared" si="3"/>
        <v>PASSED</v>
      </c>
      <c r="R305" s="38" t="b">
        <v>0</v>
      </c>
      <c r="S305" s="35" t="s">
        <v>992</v>
      </c>
      <c r="T305" s="39" t="s">
        <v>386</v>
      </c>
      <c r="U305" s="32" t="s">
        <v>381</v>
      </c>
    </row>
    <row r="306" ht="22.5" customHeight="1">
      <c r="A306" s="26">
        <v>46086.0</v>
      </c>
      <c r="B306" s="35" t="s">
        <v>457</v>
      </c>
      <c r="C306" s="32" t="str">
        <f t="array" ref="C306">_xlfn.XLOOKUP(B306, DB[samplingPoint], DB[samplingTag])</f>
        <v>SV126.01</v>
      </c>
      <c r="D306" s="33" t="s">
        <v>375</v>
      </c>
      <c r="E306" s="38" t="b">
        <v>1</v>
      </c>
      <c r="F306" s="39" t="str">
        <f t="array" ref="F306">_xlfn.XLOOKUP($B306, DB[samplingPoint], DB[noLocation])</f>
        <v>16-1-092</v>
      </c>
      <c r="G306" s="33" t="s">
        <v>327</v>
      </c>
      <c r="H306" s="40" t="str">
        <f t="array" ref="H306">_xlfn.XLOOKUP($B306, DB[samplingPoint], DB[location])</f>
        <v>LINEN WASHING</v>
      </c>
      <c r="I306" s="39" t="str">
        <f t="array" ref="I306">_xlfn.XLOOKUP($B306, DB[samplingPoint], DB[waterType])</f>
        <v>PW</v>
      </c>
      <c r="J306" s="43">
        <f t="shared" si="1"/>
        <v>46087</v>
      </c>
      <c r="K306" s="26">
        <v>46091.0</v>
      </c>
      <c r="L306" s="32">
        <v>0.0</v>
      </c>
      <c r="M306" s="32">
        <v>0.0</v>
      </c>
      <c r="N306" s="32">
        <f t="shared" si="2"/>
        <v>0</v>
      </c>
      <c r="O306" s="49"/>
      <c r="P306" s="32">
        <f t="array" ref="P306">_xlfn.XLOOKUP($B306, DB[samplingPoint], DB[Criteria])</f>
        <v>100</v>
      </c>
      <c r="Q306" s="50" t="str">
        <f t="shared" si="3"/>
        <v>PASSED</v>
      </c>
      <c r="R306" s="38" t="b">
        <v>0</v>
      </c>
      <c r="S306" s="35" t="s">
        <v>992</v>
      </c>
      <c r="T306" s="39" t="s">
        <v>386</v>
      </c>
      <c r="U306" s="32" t="s">
        <v>381</v>
      </c>
    </row>
    <row r="307" ht="22.5" customHeight="1">
      <c r="A307" s="26">
        <v>46086.0</v>
      </c>
      <c r="B307" s="35" t="s">
        <v>459</v>
      </c>
      <c r="C307" s="32" t="str">
        <f t="array" ref="C307">_xlfn.XLOOKUP(B307, DB[samplingPoint], DB[samplingTag])</f>
        <v>SV126.02</v>
      </c>
      <c r="D307" s="33" t="s">
        <v>375</v>
      </c>
      <c r="E307" s="38" t="b">
        <v>1</v>
      </c>
      <c r="F307" s="39" t="str">
        <f t="array" ref="F307">_xlfn.XLOOKUP($B307, DB[samplingPoint], DB[noLocation])</f>
        <v>16-1-098</v>
      </c>
      <c r="G307" s="33" t="s">
        <v>327</v>
      </c>
      <c r="H307" s="40" t="str">
        <f t="array" ref="H307">_xlfn.XLOOKUP($B307, DB[samplingPoint], DB[location])</f>
        <v>CIP/SIP (EQUIPMENT REQUIREMENT – 200L)</v>
      </c>
      <c r="I307" s="39" t="str">
        <f t="array" ref="I307">_xlfn.XLOOKUP($B307, DB[samplingPoint], DB[waterType])</f>
        <v>PW</v>
      </c>
      <c r="J307" s="43">
        <f t="shared" si="1"/>
        <v>46087</v>
      </c>
      <c r="K307" s="26">
        <v>46091.0</v>
      </c>
      <c r="L307" s="32">
        <v>0.0</v>
      </c>
      <c r="M307" s="32">
        <v>0.0</v>
      </c>
      <c r="N307" s="32">
        <f t="shared" si="2"/>
        <v>0</v>
      </c>
      <c r="O307" s="49"/>
      <c r="P307" s="32">
        <f t="array" ref="P307">_xlfn.XLOOKUP($B307, DB[samplingPoint], DB[Criteria])</f>
        <v>100</v>
      </c>
      <c r="Q307" s="50" t="str">
        <f t="shared" si="3"/>
        <v>PASSED</v>
      </c>
      <c r="R307" s="38" t="b">
        <v>0</v>
      </c>
      <c r="S307" s="35" t="s">
        <v>992</v>
      </c>
      <c r="T307" s="39" t="s">
        <v>386</v>
      </c>
      <c r="U307" s="32" t="s">
        <v>381</v>
      </c>
    </row>
    <row r="308" ht="22.5" customHeight="1">
      <c r="A308" s="26">
        <v>46086.0</v>
      </c>
      <c r="B308" s="35" t="s">
        <v>461</v>
      </c>
      <c r="C308" s="32" t="str">
        <f t="array" ref="C308">_xlfn.XLOOKUP(B308, DB[samplingPoint], DB[samplingTag])</f>
        <v>SV126.03</v>
      </c>
      <c r="D308" s="33" t="s">
        <v>375</v>
      </c>
      <c r="E308" s="38" t="b">
        <v>1</v>
      </c>
      <c r="F308" s="39" t="str">
        <f t="array" ref="F308">_xlfn.XLOOKUP($B308, DB[samplingPoint], DB[noLocation])</f>
        <v>16-2-010</v>
      </c>
      <c r="G308" s="33" t="s">
        <v>327</v>
      </c>
      <c r="H308" s="40" t="str">
        <f t="array" ref="H308">_xlfn.XLOOKUP($B308, DB[samplingPoint], DB[location])</f>
        <v>WATER SYSTEM (WFI)</v>
      </c>
      <c r="I308" s="39" t="str">
        <f t="array" ref="I308">_xlfn.XLOOKUP($B308, DB[samplingPoint], DB[waterType])</f>
        <v>PW</v>
      </c>
      <c r="J308" s="43">
        <f t="shared" si="1"/>
        <v>46087</v>
      </c>
      <c r="K308" s="26">
        <v>46091.0</v>
      </c>
      <c r="L308" s="32">
        <v>0.0</v>
      </c>
      <c r="M308" s="32">
        <v>0.0</v>
      </c>
      <c r="N308" s="32">
        <f t="shared" si="2"/>
        <v>0</v>
      </c>
      <c r="O308" s="49"/>
      <c r="P308" s="32">
        <f t="array" ref="P308">_xlfn.XLOOKUP($B308, DB[samplingPoint], DB[Criteria])</f>
        <v>100</v>
      </c>
      <c r="Q308" s="50" t="str">
        <f t="shared" si="3"/>
        <v>PASSED</v>
      </c>
      <c r="R308" s="38" t="b">
        <v>0</v>
      </c>
      <c r="S308" s="35" t="s">
        <v>992</v>
      </c>
      <c r="T308" s="39" t="s">
        <v>386</v>
      </c>
      <c r="U308" s="32" t="s">
        <v>381</v>
      </c>
    </row>
    <row r="309" ht="22.5" customHeight="1">
      <c r="A309" s="26">
        <v>46086.0</v>
      </c>
      <c r="B309" s="73" t="s">
        <v>466</v>
      </c>
      <c r="C309" s="32" t="str">
        <f t="array" ref="C309">_xlfn.XLOOKUP(B309, DB[samplingPoint], DB[samplingTag])</f>
        <v>V50-11C (16)</v>
      </c>
      <c r="D309" s="33" t="s">
        <v>375</v>
      </c>
      <c r="E309" s="38" t="b">
        <v>1</v>
      </c>
      <c r="F309" s="39" t="str">
        <f t="array" ref="F309">_xlfn.XLOOKUP($B309, DB[samplingPoint], DB[noLocation])</f>
        <v>WATER SYSTEM (B16)</v>
      </c>
      <c r="G309" s="33" t="s">
        <v>327</v>
      </c>
      <c r="H309" s="40" t="str">
        <f t="array" ref="H309">_xlfn.XLOOKUP($B309, DB[samplingPoint], DB[location])</f>
        <v>After RO (Before EDI) (B16)</v>
      </c>
      <c r="I309" s="39" t="str">
        <f t="array" ref="I309">_xlfn.XLOOKUP($B309, DB[samplingPoint], DB[waterType])</f>
        <v>RO water</v>
      </c>
      <c r="J309" s="43">
        <f t="shared" si="1"/>
        <v>46087</v>
      </c>
      <c r="K309" s="26">
        <v>46091.0</v>
      </c>
      <c r="L309" s="32">
        <v>88.0</v>
      </c>
      <c r="M309" s="32">
        <v>74.0</v>
      </c>
      <c r="N309" s="32">
        <f t="shared" si="2"/>
        <v>81</v>
      </c>
      <c r="O309" s="49"/>
      <c r="P309" s="32">
        <f t="array" ref="P309">_xlfn.XLOOKUP($B309, DB[samplingPoint], DB[Criteria])</f>
        <v>500</v>
      </c>
      <c r="Q309" s="50" t="str">
        <f t="shared" si="3"/>
        <v>PASSED</v>
      </c>
      <c r="R309" s="38" t="b">
        <v>0</v>
      </c>
      <c r="S309" s="35" t="s">
        <v>992</v>
      </c>
      <c r="T309" s="39" t="s">
        <v>386</v>
      </c>
      <c r="U309" s="32" t="s">
        <v>381</v>
      </c>
    </row>
    <row r="310" ht="22.5" customHeight="1">
      <c r="A310" s="26">
        <v>46086.0</v>
      </c>
      <c r="B310" s="73" t="s">
        <v>468</v>
      </c>
      <c r="C310" s="32" t="str">
        <f t="array" ref="C310">_xlfn.XLOOKUP(B310, DB[samplingPoint], DB[samplingTag])</f>
        <v>V50-39 (16)</v>
      </c>
      <c r="D310" s="33" t="s">
        <v>375</v>
      </c>
      <c r="E310" s="38" t="b">
        <v>1</v>
      </c>
      <c r="F310" s="39" t="str">
        <f t="array" ref="F310">_xlfn.XLOOKUP($B310, DB[samplingPoint], DB[noLocation])</f>
        <v>WATER SYSTEM (B16)</v>
      </c>
      <c r="G310" s="33" t="s">
        <v>327</v>
      </c>
      <c r="H310" s="40" t="str">
        <f t="array" ref="H310">_xlfn.XLOOKUP($B310, DB[samplingPoint], DB[location])</f>
        <v>After EDI (B16)</v>
      </c>
      <c r="I310" s="39" t="str">
        <f t="array" ref="I310">_xlfn.XLOOKUP($B310, DB[samplingPoint], DB[waterType])</f>
        <v>PW</v>
      </c>
      <c r="J310" s="43">
        <f t="shared" si="1"/>
        <v>46087</v>
      </c>
      <c r="K310" s="26">
        <v>46091.0</v>
      </c>
      <c r="L310" s="32">
        <v>0.0</v>
      </c>
      <c r="M310" s="32">
        <v>0.0</v>
      </c>
      <c r="N310" s="32">
        <f t="shared" si="2"/>
        <v>0</v>
      </c>
      <c r="O310" s="49"/>
      <c r="P310" s="32">
        <f t="array" ref="P310">_xlfn.XLOOKUP($B310, DB[samplingPoint], DB[Criteria])</f>
        <v>100</v>
      </c>
      <c r="Q310" s="50" t="str">
        <f t="shared" si="3"/>
        <v>PASSED</v>
      </c>
      <c r="R310" s="38" t="b">
        <v>0</v>
      </c>
      <c r="S310" s="35" t="s">
        <v>992</v>
      </c>
      <c r="T310" s="39" t="s">
        <v>386</v>
      </c>
      <c r="U310" s="32" t="s">
        <v>381</v>
      </c>
    </row>
    <row r="311" ht="22.5" customHeight="1">
      <c r="A311" s="26">
        <v>46086.0</v>
      </c>
      <c r="B311" s="73" t="s">
        <v>470</v>
      </c>
      <c r="C311" s="32" t="str">
        <f t="array" ref="C311">_xlfn.XLOOKUP(B311, DB[samplingPoint], DB[samplingTag])</f>
        <v>V50-61 (16)</v>
      </c>
      <c r="D311" s="33" t="s">
        <v>375</v>
      </c>
      <c r="E311" s="38" t="b">
        <v>1</v>
      </c>
      <c r="F311" s="39" t="str">
        <f t="array" ref="F311">_xlfn.XLOOKUP($B311, DB[samplingPoint], DB[noLocation])</f>
        <v>WATER SYSTEM (B16)</v>
      </c>
      <c r="G311" s="33" t="s">
        <v>327</v>
      </c>
      <c r="H311" s="40" t="str">
        <f t="array" ref="H311">_xlfn.XLOOKUP($B311, DB[samplingPoint], DB[location])</f>
        <v>After Cartridge filter 5 µm (B16)</v>
      </c>
      <c r="I311" s="39" t="str">
        <f t="array" ref="I311">_xlfn.XLOOKUP($B311, DB[samplingPoint], DB[waterType])</f>
        <v>PRW</v>
      </c>
      <c r="J311" s="43">
        <f t="shared" si="1"/>
        <v>46087</v>
      </c>
      <c r="K311" s="26">
        <v>46091.0</v>
      </c>
      <c r="L311" s="32">
        <v>0.0</v>
      </c>
      <c r="M311" s="32">
        <v>0.0</v>
      </c>
      <c r="N311" s="32">
        <f t="shared" si="2"/>
        <v>0</v>
      </c>
      <c r="O311" s="49"/>
      <c r="P311" s="32">
        <f t="array" ref="P311">_xlfn.XLOOKUP($B311, DB[samplingPoint], DB[Criteria])</f>
        <v>500</v>
      </c>
      <c r="Q311" s="50" t="str">
        <f t="shared" si="3"/>
        <v>PASSED</v>
      </c>
      <c r="R311" s="38" t="b">
        <v>0</v>
      </c>
      <c r="S311" s="35" t="s">
        <v>992</v>
      </c>
      <c r="T311" s="39" t="s">
        <v>386</v>
      </c>
      <c r="U311" s="32" t="s">
        <v>381</v>
      </c>
    </row>
    <row r="312" ht="22.5" customHeight="1">
      <c r="A312" s="26">
        <v>46086.0</v>
      </c>
      <c r="B312" s="73" t="s">
        <v>471</v>
      </c>
      <c r="C312" s="32" t="str">
        <f t="array" ref="C312">_xlfn.XLOOKUP(B312, DB[samplingPoint], DB[samplingTag])</f>
        <v>VB-05 (16)</v>
      </c>
      <c r="D312" s="33" t="s">
        <v>375</v>
      </c>
      <c r="E312" s="38" t="b">
        <v>1</v>
      </c>
      <c r="F312" s="39" t="str">
        <f t="array" ref="F312">_xlfn.XLOOKUP($B312, DB[samplingPoint], DB[noLocation])</f>
        <v>WATER SYSTEM (B16)</v>
      </c>
      <c r="G312" s="33" t="s">
        <v>327</v>
      </c>
      <c r="H312" s="40" t="str">
        <f t="array" ref="H312">_xlfn.XLOOKUP($B312, DB[samplingPoint], DB[location])</f>
        <v>After Chlorine circulation tank (B16)</v>
      </c>
      <c r="I312" s="39" t="str">
        <f t="array" ref="I312">_xlfn.XLOOKUP($B312, DB[samplingPoint], DB[waterType])</f>
        <v>PRW</v>
      </c>
      <c r="J312" s="43">
        <f t="shared" si="1"/>
        <v>46087</v>
      </c>
      <c r="K312" s="26">
        <v>46091.0</v>
      </c>
      <c r="L312" s="32">
        <v>0.0</v>
      </c>
      <c r="M312" s="32">
        <v>0.0</v>
      </c>
      <c r="N312" s="32">
        <f t="shared" si="2"/>
        <v>0</v>
      </c>
      <c r="O312" s="49"/>
      <c r="P312" s="32">
        <f t="array" ref="P312">_xlfn.XLOOKUP($B312, DB[samplingPoint], DB[Criteria])</f>
        <v>500</v>
      </c>
      <c r="Q312" s="50" t="str">
        <f t="shared" si="3"/>
        <v>PASSED</v>
      </c>
      <c r="R312" s="38" t="b">
        <v>0</v>
      </c>
      <c r="S312" s="35" t="s">
        <v>992</v>
      </c>
      <c r="T312" s="39" t="s">
        <v>386</v>
      </c>
      <c r="U312" s="32" t="s">
        <v>381</v>
      </c>
    </row>
    <row r="313" ht="22.5" customHeight="1">
      <c r="A313" s="26">
        <v>46086.0</v>
      </c>
      <c r="B313" s="35" t="s">
        <v>373</v>
      </c>
      <c r="C313" s="32" t="str">
        <f t="array" ref="C313">_xlfn.XLOOKUP(B313, DB[samplingPoint], DB[samplingTag])</f>
        <v>DV136.05</v>
      </c>
      <c r="D313" s="33" t="s">
        <v>375</v>
      </c>
      <c r="E313" s="38" t="b">
        <v>1</v>
      </c>
      <c r="F313" s="39" t="str">
        <f t="array" ref="F313">_xlfn.XLOOKUP($B313, DB[samplingPoint], DB[noLocation])</f>
        <v>12-3-037</v>
      </c>
      <c r="G313" s="33" t="s">
        <v>437</v>
      </c>
      <c r="H313" s="40" t="str">
        <f t="array" ref="H313">_xlfn.XLOOKUP($B313, DB[samplingPoint], DB[location])</f>
        <v>GLASSWARE WASHING 1</v>
      </c>
      <c r="I313" s="39" t="str">
        <f t="array" ref="I313">_xlfn.XLOOKUP($B313, DB[samplingPoint], DB[waterType])</f>
        <v>PW</v>
      </c>
      <c r="J313" s="43">
        <f t="shared" si="1"/>
        <v>46087</v>
      </c>
      <c r="K313" s="26">
        <v>46091.0</v>
      </c>
      <c r="L313" s="32">
        <v>0.0</v>
      </c>
      <c r="M313" s="32">
        <v>0.0</v>
      </c>
      <c r="N313" s="32">
        <f t="shared" si="2"/>
        <v>0</v>
      </c>
      <c r="O313" s="49"/>
      <c r="P313" s="32">
        <f t="array" ref="P313">_xlfn.XLOOKUP($B313, DB[samplingPoint], DB[Criteria])</f>
        <v>100</v>
      </c>
      <c r="Q313" s="50" t="str">
        <f t="shared" si="3"/>
        <v>PASSED</v>
      </c>
      <c r="R313" s="38" t="b">
        <v>0</v>
      </c>
      <c r="S313" s="35" t="s">
        <v>993</v>
      </c>
      <c r="T313" s="39" t="s">
        <v>386</v>
      </c>
      <c r="U313" s="32" t="s">
        <v>381</v>
      </c>
    </row>
    <row r="314" ht="22.5" customHeight="1">
      <c r="A314" s="26">
        <v>46086.0</v>
      </c>
      <c r="B314" s="35" t="s">
        <v>389</v>
      </c>
      <c r="C314" s="32" t="str">
        <f t="array" ref="C314">_xlfn.XLOOKUP(B314, DB[samplingPoint], DB[samplingTag])</f>
        <v>DV136.06</v>
      </c>
      <c r="D314" s="33" t="s">
        <v>375</v>
      </c>
      <c r="E314" s="38" t="b">
        <v>1</v>
      </c>
      <c r="F314" s="39" t="str">
        <f t="array" ref="F314">_xlfn.XLOOKUP($B314, DB[samplingPoint], DB[noLocation])</f>
        <v>12-3-037</v>
      </c>
      <c r="G314" s="33" t="s">
        <v>437</v>
      </c>
      <c r="H314" s="40" t="str">
        <f t="array" ref="H314">_xlfn.XLOOKUP($B314, DB[samplingPoint], DB[location])</f>
        <v>GLASSWARE WASHING 1</v>
      </c>
      <c r="I314" s="39" t="str">
        <f t="array" ref="I314">_xlfn.XLOOKUP($B314, DB[samplingPoint], DB[waterType])</f>
        <v>PW</v>
      </c>
      <c r="J314" s="43">
        <f t="shared" si="1"/>
        <v>46087</v>
      </c>
      <c r="K314" s="26">
        <v>46091.0</v>
      </c>
      <c r="L314" s="32">
        <v>0.0</v>
      </c>
      <c r="M314" s="32">
        <v>0.0</v>
      </c>
      <c r="N314" s="32">
        <f t="shared" si="2"/>
        <v>0</v>
      </c>
      <c r="O314" s="49"/>
      <c r="P314" s="32">
        <f t="array" ref="P314">_xlfn.XLOOKUP($B314, DB[samplingPoint], DB[Criteria])</f>
        <v>100</v>
      </c>
      <c r="Q314" s="50" t="str">
        <f t="shared" si="3"/>
        <v>PASSED</v>
      </c>
      <c r="R314" s="38" t="b">
        <v>0</v>
      </c>
      <c r="S314" s="35" t="s">
        <v>993</v>
      </c>
      <c r="T314" s="39" t="s">
        <v>386</v>
      </c>
      <c r="U314" s="32" t="s">
        <v>381</v>
      </c>
    </row>
    <row r="315" ht="22.5" customHeight="1">
      <c r="A315" s="26">
        <v>46086.0</v>
      </c>
      <c r="B315" s="35" t="s">
        <v>393</v>
      </c>
      <c r="C315" s="32" t="str">
        <f t="array" ref="C315">_xlfn.XLOOKUP(B315, DB[samplingPoint], DB[samplingTag])</f>
        <v>DV136.10</v>
      </c>
      <c r="D315" s="33" t="s">
        <v>375</v>
      </c>
      <c r="E315" s="38" t="b">
        <v>1</v>
      </c>
      <c r="F315" s="39" t="str">
        <f t="array" ref="F315">_xlfn.XLOOKUP($B315, DB[samplingPoint], DB[noLocation])</f>
        <v>12-3-056</v>
      </c>
      <c r="G315" s="33" t="s">
        <v>437</v>
      </c>
      <c r="H315" s="40" t="str">
        <f t="array" ref="H315">_xlfn.XLOOKUP($B315, DB[samplingPoint], DB[location])</f>
        <v>MEDIA PREPARATION</v>
      </c>
      <c r="I315" s="39" t="str">
        <f t="array" ref="I315">_xlfn.XLOOKUP($B315, DB[samplingPoint], DB[waterType])</f>
        <v>PW</v>
      </c>
      <c r="J315" s="43">
        <f t="shared" si="1"/>
        <v>46087</v>
      </c>
      <c r="K315" s="26">
        <v>46091.0</v>
      </c>
      <c r="L315" s="32">
        <v>0.0</v>
      </c>
      <c r="M315" s="32">
        <v>0.0</v>
      </c>
      <c r="N315" s="32">
        <f t="shared" si="2"/>
        <v>0</v>
      </c>
      <c r="O315" s="49"/>
      <c r="P315" s="32">
        <f t="array" ref="P315">_xlfn.XLOOKUP($B315, DB[samplingPoint], DB[Criteria])</f>
        <v>100</v>
      </c>
      <c r="Q315" s="50" t="str">
        <f t="shared" si="3"/>
        <v>PASSED</v>
      </c>
      <c r="R315" s="38" t="b">
        <v>0</v>
      </c>
      <c r="S315" s="35" t="s">
        <v>993</v>
      </c>
      <c r="T315" s="39" t="s">
        <v>386</v>
      </c>
      <c r="U315" s="32" t="s">
        <v>381</v>
      </c>
    </row>
    <row r="316" ht="22.5" customHeight="1">
      <c r="A316" s="26">
        <v>46086.0</v>
      </c>
      <c r="B316" s="35" t="s">
        <v>399</v>
      </c>
      <c r="C316" s="32" t="str">
        <f t="array" ref="C316">_xlfn.XLOOKUP(B316, DB[samplingPoint], DB[samplingTag])</f>
        <v>DV136.11</v>
      </c>
      <c r="D316" s="33" t="s">
        <v>375</v>
      </c>
      <c r="E316" s="38" t="b">
        <v>1</v>
      </c>
      <c r="F316" s="39" t="str">
        <f t="array" ref="F316">_xlfn.XLOOKUP($B316, DB[samplingPoint], DB[noLocation])</f>
        <v>12-3-059</v>
      </c>
      <c r="G316" s="33" t="s">
        <v>437</v>
      </c>
      <c r="H316" s="40" t="str">
        <f t="array" ref="H316">_xlfn.XLOOKUP($B316, DB[samplingPoint], DB[location])</f>
        <v>AUTOCLAVE</v>
      </c>
      <c r="I316" s="39" t="str">
        <f t="array" ref="I316">_xlfn.XLOOKUP($B316, DB[samplingPoint], DB[waterType])</f>
        <v>PW</v>
      </c>
      <c r="J316" s="43">
        <f t="shared" si="1"/>
        <v>46087</v>
      </c>
      <c r="K316" s="26">
        <v>46091.0</v>
      </c>
      <c r="L316" s="32">
        <v>0.0</v>
      </c>
      <c r="M316" s="32">
        <v>0.0</v>
      </c>
      <c r="N316" s="32">
        <f t="shared" si="2"/>
        <v>0</v>
      </c>
      <c r="O316" s="49"/>
      <c r="P316" s="32">
        <f t="array" ref="P316">_xlfn.XLOOKUP($B316, DB[samplingPoint], DB[Criteria])</f>
        <v>100</v>
      </c>
      <c r="Q316" s="50" t="str">
        <f t="shared" si="3"/>
        <v>PASSED</v>
      </c>
      <c r="R316" s="38" t="b">
        <v>0</v>
      </c>
      <c r="S316" s="35" t="s">
        <v>993</v>
      </c>
      <c r="T316" s="39" t="s">
        <v>386</v>
      </c>
      <c r="U316" s="32" t="s">
        <v>381</v>
      </c>
    </row>
    <row r="317" ht="22.5" customHeight="1">
      <c r="A317" s="26">
        <v>46086.0</v>
      </c>
      <c r="B317" s="35" t="s">
        <v>405</v>
      </c>
      <c r="C317" s="32" t="str">
        <f t="array" ref="C317">_xlfn.XLOOKUP(B317, DB[samplingPoint], DB[samplingTag])</f>
        <v>DV136.12</v>
      </c>
      <c r="D317" s="33" t="s">
        <v>375</v>
      </c>
      <c r="E317" s="38" t="b">
        <v>1</v>
      </c>
      <c r="F317" s="39" t="str">
        <f t="array" ref="F317">_xlfn.XLOOKUP($B317, DB[samplingPoint], DB[noLocation])</f>
        <v>12-3-056</v>
      </c>
      <c r="G317" s="33" t="s">
        <v>437</v>
      </c>
      <c r="H317" s="40" t="str">
        <f t="array" ref="H317">_xlfn.XLOOKUP($B317, DB[samplingPoint], DB[location])</f>
        <v>MEDIA PREPARATION</v>
      </c>
      <c r="I317" s="39" t="str">
        <f t="array" ref="I317">_xlfn.XLOOKUP($B317, DB[samplingPoint], DB[waterType])</f>
        <v>PW</v>
      </c>
      <c r="J317" s="43">
        <f t="shared" si="1"/>
        <v>46087</v>
      </c>
      <c r="K317" s="26">
        <v>46091.0</v>
      </c>
      <c r="L317" s="32">
        <v>0.0</v>
      </c>
      <c r="M317" s="32">
        <v>0.0</v>
      </c>
      <c r="N317" s="32">
        <f t="shared" si="2"/>
        <v>0</v>
      </c>
      <c r="O317" s="49"/>
      <c r="P317" s="32">
        <f t="array" ref="P317">_xlfn.XLOOKUP($B317, DB[samplingPoint], DB[Criteria])</f>
        <v>100</v>
      </c>
      <c r="Q317" s="50" t="str">
        <f t="shared" si="3"/>
        <v>PASSED</v>
      </c>
      <c r="R317" s="38" t="b">
        <v>0</v>
      </c>
      <c r="S317" s="35" t="s">
        <v>993</v>
      </c>
      <c r="T317" s="39" t="s">
        <v>386</v>
      </c>
      <c r="U317" s="32" t="s">
        <v>381</v>
      </c>
    </row>
    <row r="318" ht="22.5" customHeight="1">
      <c r="A318" s="26">
        <v>46086.0</v>
      </c>
      <c r="B318" s="35" t="s">
        <v>409</v>
      </c>
      <c r="C318" s="32" t="str">
        <f t="array" ref="C318">_xlfn.XLOOKUP(B318, DB[samplingPoint], DB[samplingTag])</f>
        <v>DV136.13</v>
      </c>
      <c r="D318" s="33" t="s">
        <v>375</v>
      </c>
      <c r="E318" s="38" t="b">
        <v>1</v>
      </c>
      <c r="F318" s="39" t="str">
        <f t="array" ref="F318">_xlfn.XLOOKUP($B318, DB[samplingPoint], DB[noLocation])</f>
        <v>12-3-057</v>
      </c>
      <c r="G318" s="33" t="s">
        <v>437</v>
      </c>
      <c r="H318" s="40" t="str">
        <f t="array" ref="H318">_xlfn.XLOOKUP($B318, DB[samplingPoint], DB[location])</f>
        <v>STERILIZATION</v>
      </c>
      <c r="I318" s="39" t="str">
        <f t="array" ref="I318">_xlfn.XLOOKUP($B318, DB[samplingPoint], DB[waterType])</f>
        <v>PW</v>
      </c>
      <c r="J318" s="43">
        <f t="shared" si="1"/>
        <v>46087</v>
      </c>
      <c r="K318" s="26">
        <v>46091.0</v>
      </c>
      <c r="L318" s="32">
        <v>0.0</v>
      </c>
      <c r="M318" s="32">
        <v>0.0</v>
      </c>
      <c r="N318" s="32">
        <f t="shared" si="2"/>
        <v>0</v>
      </c>
      <c r="O318" s="49"/>
      <c r="P318" s="32">
        <f t="array" ref="P318">_xlfn.XLOOKUP($B318, DB[samplingPoint], DB[Criteria])</f>
        <v>100</v>
      </c>
      <c r="Q318" s="50" t="str">
        <f t="shared" si="3"/>
        <v>PASSED</v>
      </c>
      <c r="R318" s="38" t="b">
        <v>0</v>
      </c>
      <c r="S318" s="35" t="s">
        <v>993</v>
      </c>
      <c r="T318" s="39" t="s">
        <v>386</v>
      </c>
      <c r="U318" s="32" t="s">
        <v>381</v>
      </c>
    </row>
    <row r="319" ht="22.5" customHeight="1">
      <c r="A319" s="26">
        <v>46086.0</v>
      </c>
      <c r="B319" s="35" t="s">
        <v>413</v>
      </c>
      <c r="C319" s="32" t="str">
        <f t="array" ref="C319">_xlfn.XLOOKUP(B319, DB[samplingPoint], DB[samplingTag])</f>
        <v>DV136.14</v>
      </c>
      <c r="D319" s="33" t="s">
        <v>375</v>
      </c>
      <c r="E319" s="38" t="b">
        <v>1</v>
      </c>
      <c r="F319" s="39" t="str">
        <f t="array" ref="F319">_xlfn.XLOOKUP($B319, DB[samplingPoint], DB[noLocation])</f>
        <v>12-3-074</v>
      </c>
      <c r="G319" s="33" t="s">
        <v>437</v>
      </c>
      <c r="H319" s="40" t="str">
        <f t="array" ref="H319">_xlfn.XLOOKUP($B319, DB[samplingPoint], DB[location])</f>
        <v>DECONTAMINATION</v>
      </c>
      <c r="I319" s="39" t="str">
        <f t="array" ref="I319">_xlfn.XLOOKUP($B319, DB[samplingPoint], DB[waterType])</f>
        <v>PW</v>
      </c>
      <c r="J319" s="43">
        <f t="shared" si="1"/>
        <v>46087</v>
      </c>
      <c r="K319" s="26">
        <v>46091.0</v>
      </c>
      <c r="L319" s="32">
        <v>0.0</v>
      </c>
      <c r="M319" s="32">
        <v>0.0</v>
      </c>
      <c r="N319" s="32">
        <f t="shared" si="2"/>
        <v>0</v>
      </c>
      <c r="O319" s="49"/>
      <c r="P319" s="32">
        <f t="array" ref="P319">_xlfn.XLOOKUP($B319, DB[samplingPoint], DB[Criteria])</f>
        <v>100</v>
      </c>
      <c r="Q319" s="50" t="str">
        <f t="shared" si="3"/>
        <v>PASSED</v>
      </c>
      <c r="R319" s="38" t="b">
        <v>0</v>
      </c>
      <c r="S319" s="35" t="s">
        <v>993</v>
      </c>
      <c r="T319" s="39" t="s">
        <v>386</v>
      </c>
      <c r="U319" s="32" t="s">
        <v>381</v>
      </c>
    </row>
    <row r="320" ht="22.5" customHeight="1">
      <c r="A320" s="26">
        <v>46086.0</v>
      </c>
      <c r="B320" s="35" t="s">
        <v>419</v>
      </c>
      <c r="C320" s="32" t="str">
        <f t="array" ref="C320">_xlfn.XLOOKUP(B320, DB[samplingPoint], DB[samplingTag])</f>
        <v>DV136.15</v>
      </c>
      <c r="D320" s="33" t="s">
        <v>375</v>
      </c>
      <c r="E320" s="38" t="b">
        <v>1</v>
      </c>
      <c r="F320" s="39" t="str">
        <f t="array" ref="F320">_xlfn.XLOOKUP($B320, DB[samplingPoint], DB[noLocation])</f>
        <v>12-3-078</v>
      </c>
      <c r="G320" s="33" t="s">
        <v>437</v>
      </c>
      <c r="H320" s="40" t="str">
        <f t="array" ref="H320">_xlfn.XLOOKUP($B320, DB[samplingPoint], DB[location])</f>
        <v>GLASSWARE WASHING 2</v>
      </c>
      <c r="I320" s="39" t="str">
        <f t="array" ref="I320">_xlfn.XLOOKUP($B320, DB[samplingPoint], DB[waterType])</f>
        <v>PW</v>
      </c>
      <c r="J320" s="43">
        <f t="shared" si="1"/>
        <v>46087</v>
      </c>
      <c r="K320" s="26">
        <v>46091.0</v>
      </c>
      <c r="L320" s="32">
        <v>0.0</v>
      </c>
      <c r="M320" s="32">
        <v>0.0</v>
      </c>
      <c r="N320" s="32">
        <f t="shared" si="2"/>
        <v>0</v>
      </c>
      <c r="O320" s="49"/>
      <c r="P320" s="32">
        <f t="array" ref="P320">_xlfn.XLOOKUP($B320, DB[samplingPoint], DB[Criteria])</f>
        <v>100</v>
      </c>
      <c r="Q320" s="50" t="str">
        <f t="shared" si="3"/>
        <v>PASSED</v>
      </c>
      <c r="R320" s="38" t="b">
        <v>0</v>
      </c>
      <c r="S320" s="35" t="s">
        <v>993</v>
      </c>
      <c r="T320" s="39" t="s">
        <v>386</v>
      </c>
      <c r="U320" s="32" t="s">
        <v>381</v>
      </c>
    </row>
    <row r="321" ht="22.5" customHeight="1">
      <c r="A321" s="26">
        <v>46086.0</v>
      </c>
      <c r="B321" s="35" t="s">
        <v>422</v>
      </c>
      <c r="C321" s="32" t="str">
        <f t="array" ref="C321">_xlfn.XLOOKUP(B321, DB[samplingPoint], DB[samplingTag])</f>
        <v>DV136.18</v>
      </c>
      <c r="D321" s="33" t="s">
        <v>375</v>
      </c>
      <c r="E321" s="38" t="b">
        <v>1</v>
      </c>
      <c r="F321" s="39" t="str">
        <f t="array" ref="F321">_xlfn.XLOOKUP($B321, DB[samplingPoint], DB[noLocation])</f>
        <v>12-3-037</v>
      </c>
      <c r="G321" s="33" t="s">
        <v>437</v>
      </c>
      <c r="H321" s="40" t="str">
        <f t="array" ref="H321">_xlfn.XLOOKUP($B321, DB[samplingPoint], DB[location])</f>
        <v>GLASSWARE WASHING 1</v>
      </c>
      <c r="I321" s="39" t="str">
        <f t="array" ref="I321">_xlfn.XLOOKUP($B321, DB[samplingPoint], DB[waterType])</f>
        <v>PW</v>
      </c>
      <c r="J321" s="43">
        <f t="shared" si="1"/>
        <v>46087</v>
      </c>
      <c r="K321" s="26">
        <v>46091.0</v>
      </c>
      <c r="L321" s="32">
        <v>0.0</v>
      </c>
      <c r="M321" s="32">
        <v>0.0</v>
      </c>
      <c r="N321" s="32">
        <f t="shared" si="2"/>
        <v>0</v>
      </c>
      <c r="O321" s="49"/>
      <c r="P321" s="32">
        <f t="array" ref="P321">_xlfn.XLOOKUP($B321, DB[samplingPoint], DB[Criteria])</f>
        <v>100</v>
      </c>
      <c r="Q321" s="50" t="str">
        <f t="shared" si="3"/>
        <v>PASSED</v>
      </c>
      <c r="R321" s="38" t="b">
        <v>0</v>
      </c>
      <c r="S321" s="35" t="s">
        <v>993</v>
      </c>
      <c r="T321" s="39" t="s">
        <v>386</v>
      </c>
      <c r="U321" s="32" t="s">
        <v>381</v>
      </c>
    </row>
    <row r="322" ht="22.5" customHeight="1">
      <c r="A322" s="26">
        <v>46086.0</v>
      </c>
      <c r="B322" s="35" t="s">
        <v>427</v>
      </c>
      <c r="C322" s="32" t="str">
        <f t="array" ref="C322">_xlfn.XLOOKUP(B322, DB[samplingPoint], DB[samplingTag])</f>
        <v>SV136.18</v>
      </c>
      <c r="D322" s="33" t="s">
        <v>375</v>
      </c>
      <c r="E322" s="38" t="b">
        <v>1</v>
      </c>
      <c r="F322" s="39" t="str">
        <f t="array" ref="F322">_xlfn.XLOOKUP($B322, DB[samplingPoint], DB[noLocation])</f>
        <v>12-3-059</v>
      </c>
      <c r="G322" s="33" t="s">
        <v>437</v>
      </c>
      <c r="H322" s="40" t="str">
        <f t="array" ref="H322">_xlfn.XLOOKUP($B322, DB[samplingPoint], DB[location])</f>
        <v>AUTOCLAVE</v>
      </c>
      <c r="I322" s="39" t="str">
        <f t="array" ref="I322">_xlfn.XLOOKUP($B322, DB[samplingPoint], DB[waterType])</f>
        <v>PW</v>
      </c>
      <c r="J322" s="43">
        <f t="shared" si="1"/>
        <v>46087</v>
      </c>
      <c r="K322" s="26">
        <v>46091.0</v>
      </c>
      <c r="L322" s="32">
        <v>0.0</v>
      </c>
      <c r="M322" s="32">
        <v>0.0</v>
      </c>
      <c r="N322" s="32">
        <f t="shared" si="2"/>
        <v>0</v>
      </c>
      <c r="O322" s="49"/>
      <c r="P322" s="32">
        <f t="array" ref="P322">_xlfn.XLOOKUP($B322, DB[samplingPoint], DB[Criteria])</f>
        <v>100</v>
      </c>
      <c r="Q322" s="50" t="str">
        <f t="shared" si="3"/>
        <v>PASSED</v>
      </c>
      <c r="R322" s="38" t="b">
        <v>0</v>
      </c>
      <c r="S322" s="35" t="s">
        <v>993</v>
      </c>
      <c r="T322" s="39" t="s">
        <v>386</v>
      </c>
      <c r="U322" s="32" t="s">
        <v>381</v>
      </c>
    </row>
    <row r="323" ht="22.5" customHeight="1">
      <c r="A323" s="26">
        <v>46086.0</v>
      </c>
      <c r="B323" s="73" t="s">
        <v>430</v>
      </c>
      <c r="C323" s="32" t="str">
        <f t="array" ref="C323">_xlfn.XLOOKUP(B323, DB[samplingPoint], DB[samplingTag])</f>
        <v>SV137.01</v>
      </c>
      <c r="D323" s="33" t="s">
        <v>375</v>
      </c>
      <c r="E323" s="38" t="b">
        <v>1</v>
      </c>
      <c r="F323" s="39" t="str">
        <f t="array" ref="F323">_xlfn.XLOOKUP($B323, DB[samplingPoint], DB[noLocation])</f>
        <v>WATER SYSTEM (B12)</v>
      </c>
      <c r="G323" s="33" t="s">
        <v>437</v>
      </c>
      <c r="H323" s="40" t="str">
        <f t="array" ref="H323">_xlfn.XLOOKUP($B323, DB[samplingPoint], DB[location])</f>
        <v>Return loop (B12)</v>
      </c>
      <c r="I323" s="39" t="str">
        <f t="array" ref="I323">_xlfn.XLOOKUP($B323, DB[samplingPoint], DB[waterType])</f>
        <v>PW</v>
      </c>
      <c r="J323" s="43">
        <f t="shared" si="1"/>
        <v>46087</v>
      </c>
      <c r="K323" s="26">
        <v>46091.0</v>
      </c>
      <c r="L323" s="32">
        <v>0.0</v>
      </c>
      <c r="M323" s="32">
        <v>0.0</v>
      </c>
      <c r="N323" s="32">
        <f t="shared" si="2"/>
        <v>0</v>
      </c>
      <c r="O323" s="49"/>
      <c r="P323" s="32">
        <f t="array" ref="P323">_xlfn.XLOOKUP($B323, DB[samplingPoint], DB[Criteria])</f>
        <v>100</v>
      </c>
      <c r="Q323" s="50" t="str">
        <f t="shared" si="3"/>
        <v>PASSED</v>
      </c>
      <c r="R323" s="38" t="b">
        <v>0</v>
      </c>
      <c r="S323" s="35" t="s">
        <v>993</v>
      </c>
      <c r="T323" s="39" t="s">
        <v>386</v>
      </c>
      <c r="U323" s="32" t="s">
        <v>381</v>
      </c>
    </row>
    <row r="324" ht="22.5" customHeight="1">
      <c r="A324" s="26">
        <v>46086.0</v>
      </c>
      <c r="B324" s="73" t="s">
        <v>434</v>
      </c>
      <c r="C324" s="32" t="str">
        <f t="array" ref="C324">_xlfn.XLOOKUP(B324, DB[samplingPoint], DB[samplingTag])</f>
        <v>V50-11C (12)</v>
      </c>
      <c r="D324" s="33" t="s">
        <v>375</v>
      </c>
      <c r="E324" s="38" t="b">
        <v>1</v>
      </c>
      <c r="F324" s="39" t="str">
        <f t="array" ref="F324">_xlfn.XLOOKUP($B324, DB[samplingPoint], DB[noLocation])</f>
        <v>WATER SYSTEM (B12)</v>
      </c>
      <c r="G324" s="33" t="s">
        <v>437</v>
      </c>
      <c r="H324" s="40" t="str">
        <f t="array" ref="H324">_xlfn.XLOOKUP($B324, DB[samplingPoint], DB[location])</f>
        <v>After RO (Before EDI) (B12)</v>
      </c>
      <c r="I324" s="39" t="str">
        <f t="array" ref="I324">_xlfn.XLOOKUP($B324, DB[samplingPoint], DB[waterType])</f>
        <v>RO water</v>
      </c>
      <c r="J324" s="43">
        <f t="shared" si="1"/>
        <v>46087</v>
      </c>
      <c r="K324" s="26">
        <v>46091.0</v>
      </c>
      <c r="L324" s="32">
        <v>0.0</v>
      </c>
      <c r="M324" s="32">
        <v>0.0</v>
      </c>
      <c r="N324" s="32">
        <f t="shared" si="2"/>
        <v>0</v>
      </c>
      <c r="O324" s="49"/>
      <c r="P324" s="32">
        <f t="array" ref="P324">_xlfn.XLOOKUP($B324, DB[samplingPoint], DB[Criteria])</f>
        <v>500</v>
      </c>
      <c r="Q324" s="50" t="str">
        <f t="shared" si="3"/>
        <v>PASSED</v>
      </c>
      <c r="R324" s="38" t="b">
        <v>0</v>
      </c>
      <c r="S324" s="35" t="s">
        <v>993</v>
      </c>
      <c r="T324" s="39" t="s">
        <v>386</v>
      </c>
      <c r="U324" s="32" t="s">
        <v>381</v>
      </c>
    </row>
    <row r="325" ht="22.5" customHeight="1">
      <c r="A325" s="26">
        <v>46086.0</v>
      </c>
      <c r="B325" s="73" t="s">
        <v>440</v>
      </c>
      <c r="C325" s="32" t="str">
        <f t="array" ref="C325">_xlfn.XLOOKUP(B325, DB[samplingPoint], DB[samplingTag])</f>
        <v>V50-39 (12)</v>
      </c>
      <c r="D325" s="33" t="s">
        <v>375</v>
      </c>
      <c r="E325" s="38" t="b">
        <v>1</v>
      </c>
      <c r="F325" s="39" t="str">
        <f t="array" ref="F325">_xlfn.XLOOKUP($B325, DB[samplingPoint], DB[noLocation])</f>
        <v>WATER SYSTEM (B12)</v>
      </c>
      <c r="G325" s="33" t="s">
        <v>437</v>
      </c>
      <c r="H325" s="40" t="str">
        <f t="array" ref="H325">_xlfn.XLOOKUP($B325, DB[samplingPoint], DB[location])</f>
        <v>After EDI (B12)</v>
      </c>
      <c r="I325" s="39" t="str">
        <f t="array" ref="I325">_xlfn.XLOOKUP($B325, DB[samplingPoint], DB[waterType])</f>
        <v>PW</v>
      </c>
      <c r="J325" s="43">
        <f t="shared" si="1"/>
        <v>46087</v>
      </c>
      <c r="K325" s="26">
        <v>46091.0</v>
      </c>
      <c r="L325" s="32">
        <v>0.0</v>
      </c>
      <c r="M325" s="32">
        <v>0.0</v>
      </c>
      <c r="N325" s="32">
        <f t="shared" si="2"/>
        <v>0</v>
      </c>
      <c r="O325" s="49"/>
      <c r="P325" s="32">
        <f t="array" ref="P325">_xlfn.XLOOKUP($B325, DB[samplingPoint], DB[Criteria])</f>
        <v>100</v>
      </c>
      <c r="Q325" s="50" t="str">
        <f t="shared" si="3"/>
        <v>PASSED</v>
      </c>
      <c r="R325" s="38" t="b">
        <v>0</v>
      </c>
      <c r="S325" s="35" t="s">
        <v>993</v>
      </c>
      <c r="T325" s="39" t="s">
        <v>386</v>
      </c>
      <c r="U325" s="32" t="s">
        <v>381</v>
      </c>
    </row>
    <row r="326" ht="22.5" customHeight="1">
      <c r="A326" s="26">
        <v>46086.0</v>
      </c>
      <c r="B326" s="73" t="s">
        <v>442</v>
      </c>
      <c r="C326" s="32" t="str">
        <f t="array" ref="C326">_xlfn.XLOOKUP(B326, DB[samplingPoint], DB[samplingTag])</f>
        <v>V50-61 (12)</v>
      </c>
      <c r="D326" s="33" t="s">
        <v>375</v>
      </c>
      <c r="E326" s="38" t="b">
        <v>1</v>
      </c>
      <c r="F326" s="39" t="str">
        <f t="array" ref="F326">_xlfn.XLOOKUP($B326, DB[samplingPoint], DB[noLocation])</f>
        <v>WATER SYSTEM (B12)</v>
      </c>
      <c r="G326" s="33" t="s">
        <v>437</v>
      </c>
      <c r="H326" s="40" t="str">
        <f t="array" ref="H326">_xlfn.XLOOKUP($B326, DB[samplingPoint], DB[location])</f>
        <v>After Cartridge filter 5 µm (B12)</v>
      </c>
      <c r="I326" s="39" t="str">
        <f t="array" ref="I326">_xlfn.XLOOKUP($B326, DB[samplingPoint], DB[waterType])</f>
        <v>PRW</v>
      </c>
      <c r="J326" s="43">
        <f t="shared" si="1"/>
        <v>46087</v>
      </c>
      <c r="K326" s="26">
        <v>46091.0</v>
      </c>
      <c r="L326" s="32">
        <v>54.0</v>
      </c>
      <c r="M326" s="32">
        <v>32.0</v>
      </c>
      <c r="N326" s="32">
        <f t="shared" si="2"/>
        <v>43</v>
      </c>
      <c r="O326" s="49"/>
      <c r="P326" s="32">
        <f t="array" ref="P326">_xlfn.XLOOKUP($B326, DB[samplingPoint], DB[Criteria])</f>
        <v>500</v>
      </c>
      <c r="Q326" s="50" t="str">
        <f t="shared" si="3"/>
        <v>PASSED</v>
      </c>
      <c r="R326" s="38" t="b">
        <v>0</v>
      </c>
      <c r="S326" s="35" t="s">
        <v>993</v>
      </c>
      <c r="T326" s="39" t="s">
        <v>386</v>
      </c>
      <c r="U326" s="32" t="s">
        <v>381</v>
      </c>
    </row>
    <row r="327" ht="22.5" customHeight="1">
      <c r="A327" s="26">
        <v>46086.0</v>
      </c>
      <c r="B327" s="73" t="s">
        <v>444</v>
      </c>
      <c r="C327" s="32" t="str">
        <f t="array" ref="C327">_xlfn.XLOOKUP(B327, DB[samplingPoint], DB[samplingTag])</f>
        <v>VB-05 (12)</v>
      </c>
      <c r="D327" s="33" t="s">
        <v>375</v>
      </c>
      <c r="E327" s="38" t="b">
        <v>1</v>
      </c>
      <c r="F327" s="39" t="str">
        <f t="array" ref="F327">_xlfn.XLOOKUP($B327, DB[samplingPoint], DB[noLocation])</f>
        <v>WATER SYSTEM (B12)</v>
      </c>
      <c r="G327" s="33" t="s">
        <v>437</v>
      </c>
      <c r="H327" s="40" t="str">
        <f t="array" ref="H327">_xlfn.XLOOKUP($B327, DB[samplingPoint], DB[location])</f>
        <v>After Chlorine circulation tank</v>
      </c>
      <c r="I327" s="39" t="str">
        <f t="array" ref="I327">_xlfn.XLOOKUP($B327, DB[samplingPoint], DB[waterType])</f>
        <v>PRW</v>
      </c>
      <c r="J327" s="43">
        <f t="shared" si="1"/>
        <v>46087</v>
      </c>
      <c r="K327" s="26">
        <v>46091.0</v>
      </c>
      <c r="L327" s="197"/>
      <c r="M327" s="197"/>
      <c r="N327" s="32" t="str">
        <f t="shared" si="2"/>
        <v>#DIV/0!</v>
      </c>
      <c r="O327" s="49" t="s">
        <v>994</v>
      </c>
      <c r="P327" s="32">
        <f t="array" ref="P327">_xlfn.XLOOKUP($B327, DB[samplingPoint], DB[Criteria])</f>
        <v>500</v>
      </c>
      <c r="Q327" s="50" t="str">
        <f t="shared" si="3"/>
        <v>NA</v>
      </c>
      <c r="R327" s="38" t="b">
        <v>0</v>
      </c>
      <c r="S327" s="35" t="s">
        <v>993</v>
      </c>
      <c r="T327" s="39" t="s">
        <v>386</v>
      </c>
      <c r="U327" s="32" t="s">
        <v>381</v>
      </c>
    </row>
    <row r="328" ht="22.5" customHeight="1">
      <c r="A328" s="26">
        <v>46087.0</v>
      </c>
      <c r="B328" s="73" t="s">
        <v>431</v>
      </c>
      <c r="C328" s="32" t="str">
        <f t="array" ref="C328">_xlfn.XLOOKUP(B328, DB[samplingPoint], DB[samplingTag])</f>
        <v>SV-14</v>
      </c>
      <c r="D328" s="33" t="s">
        <v>375</v>
      </c>
      <c r="E328" s="38" t="b">
        <v>1</v>
      </c>
      <c r="F328" s="39" t="str">
        <f t="array" ref="F328">_xlfn.XLOOKUP($B328, DB[samplingPoint], DB[noLocation])</f>
        <v>PROCESS WATER (B19)</v>
      </c>
      <c r="G328" s="33" t="s">
        <v>432</v>
      </c>
      <c r="H328" s="40" t="str">
        <f t="array" ref="H328">_xlfn.XLOOKUP($B328, DB[samplingPoint], DB[location])</f>
        <v>AFTER RO SYSTEM NO.12 SV14</v>
      </c>
      <c r="I328" s="39" t="str">
        <f t="array" ref="I328">_xlfn.XLOOKUP($B328, DB[samplingPoint], DB[waterType])</f>
        <v>PRW</v>
      </c>
      <c r="J328" s="43">
        <f t="shared" si="1"/>
        <v>46088</v>
      </c>
      <c r="K328" s="26">
        <v>46091.0</v>
      </c>
      <c r="L328" s="32">
        <v>0.0</v>
      </c>
      <c r="M328" s="32">
        <v>0.0</v>
      </c>
      <c r="N328" s="32">
        <f t="shared" si="2"/>
        <v>0</v>
      </c>
      <c r="O328" s="49"/>
      <c r="P328" s="32">
        <f t="array" ref="P328">_xlfn.XLOOKUP($B328, DB[samplingPoint], DB[Criteria])</f>
        <v>500</v>
      </c>
      <c r="Q328" s="50" t="str">
        <f t="shared" si="3"/>
        <v>PASSED</v>
      </c>
      <c r="R328" s="38" t="b">
        <v>0</v>
      </c>
      <c r="S328" s="35" t="s">
        <v>995</v>
      </c>
      <c r="T328" s="39" t="s">
        <v>386</v>
      </c>
      <c r="U328" s="32" t="s">
        <v>381</v>
      </c>
    </row>
    <row r="329" ht="22.5" customHeight="1">
      <c r="A329" s="26">
        <v>46087.0</v>
      </c>
      <c r="B329" s="61" t="s">
        <v>476</v>
      </c>
      <c r="C329" s="32" t="str">
        <f t="array" ref="C329">_xlfn.XLOOKUP(B329, DB[samplingPoint], DB[samplingTag])</f>
        <v>DV116.12</v>
      </c>
      <c r="D329" s="33" t="s">
        <v>375</v>
      </c>
      <c r="E329" s="38" t="b">
        <v>1</v>
      </c>
      <c r="F329" s="39" t="str">
        <f t="array" ref="F329">_xlfn.XLOOKUP($B329, DB[samplingPoint], DB[noLocation])</f>
        <v>10-3-078</v>
      </c>
      <c r="G329" s="33" t="s">
        <v>180</v>
      </c>
      <c r="H329" s="40" t="str">
        <f t="array" ref="H329">_xlfn.XLOOKUP($B329, DB[samplingPoint], DB[location])</f>
        <v>WASHING</v>
      </c>
      <c r="I329" s="39" t="str">
        <f t="array" ref="I329">_xlfn.XLOOKUP($B329, DB[samplingPoint], DB[waterType])</f>
        <v>PW</v>
      </c>
      <c r="J329" s="43">
        <f t="shared" si="1"/>
        <v>46088</v>
      </c>
      <c r="K329" s="26">
        <v>46091.0</v>
      </c>
      <c r="L329" s="32">
        <v>0.0</v>
      </c>
      <c r="M329" s="32">
        <v>0.0</v>
      </c>
      <c r="N329" s="32">
        <f t="shared" si="2"/>
        <v>0</v>
      </c>
      <c r="O329" s="49"/>
      <c r="P329" s="32">
        <f t="array" ref="P329">_xlfn.XLOOKUP($B329, DB[samplingPoint], DB[Criteria])</f>
        <v>100</v>
      </c>
      <c r="Q329" s="50" t="str">
        <f t="shared" si="3"/>
        <v>PASSED</v>
      </c>
      <c r="R329" s="38" t="b">
        <v>0</v>
      </c>
      <c r="S329" s="35" t="s">
        <v>996</v>
      </c>
      <c r="T329" s="39" t="s">
        <v>386</v>
      </c>
      <c r="U329" s="32" t="s">
        <v>381</v>
      </c>
    </row>
    <row r="330" ht="22.5" customHeight="1">
      <c r="A330" s="26">
        <v>46087.0</v>
      </c>
      <c r="B330" s="198" t="s">
        <v>479</v>
      </c>
      <c r="C330" s="32" t="str">
        <f t="array" ref="C330">_xlfn.XLOOKUP(B330, DB[samplingPoint], DB[samplingTag])</f>
        <v>DV116.13</v>
      </c>
      <c r="D330" s="33" t="s">
        <v>375</v>
      </c>
      <c r="E330" s="38" t="b">
        <v>1</v>
      </c>
      <c r="F330" s="39" t="str">
        <f t="array" ref="F330">_xlfn.XLOOKUP($B330, DB[samplingPoint], DB[noLocation])</f>
        <v>10-3-078</v>
      </c>
      <c r="G330" s="33" t="s">
        <v>180</v>
      </c>
      <c r="H330" s="40" t="str">
        <f t="array" ref="H330">_xlfn.XLOOKUP($B330, DB[samplingPoint], DB[location])</f>
        <v>WASHING</v>
      </c>
      <c r="I330" s="39" t="str">
        <f t="array" ref="I330">_xlfn.XLOOKUP($B330, DB[samplingPoint], DB[waterType])</f>
        <v>PW</v>
      </c>
      <c r="J330" s="43">
        <f t="shared" si="1"/>
        <v>46088</v>
      </c>
      <c r="K330" s="26">
        <v>46091.0</v>
      </c>
      <c r="L330" s="32">
        <v>0.0</v>
      </c>
      <c r="M330" s="32">
        <v>0.0</v>
      </c>
      <c r="N330" s="32">
        <f t="shared" si="2"/>
        <v>0</v>
      </c>
      <c r="O330" s="49"/>
      <c r="P330" s="32">
        <f t="array" ref="P330">_xlfn.XLOOKUP($B330, DB[samplingPoint], DB[Criteria])</f>
        <v>100</v>
      </c>
      <c r="Q330" s="50" t="str">
        <f t="shared" si="3"/>
        <v>PASSED</v>
      </c>
      <c r="R330" s="38" t="b">
        <v>0</v>
      </c>
      <c r="S330" s="35" t="s">
        <v>996</v>
      </c>
      <c r="T330" s="39" t="s">
        <v>386</v>
      </c>
      <c r="U330" s="32" t="s">
        <v>381</v>
      </c>
    </row>
    <row r="331" ht="22.5" customHeight="1">
      <c r="A331" s="26">
        <v>46087.0</v>
      </c>
      <c r="B331" s="61" t="s">
        <v>482</v>
      </c>
      <c r="C331" s="32" t="str">
        <f t="array" ref="C331">_xlfn.XLOOKUP(B331, DB[samplingPoint], DB[samplingTag])</f>
        <v>DV116.14</v>
      </c>
      <c r="D331" s="33" t="s">
        <v>375</v>
      </c>
      <c r="E331" s="38" t="b">
        <v>1</v>
      </c>
      <c r="F331" s="39" t="str">
        <f t="array" ref="F331">_xlfn.XLOOKUP($B331, DB[samplingPoint], DB[noLocation])</f>
        <v>10-3-086</v>
      </c>
      <c r="G331" s="33" t="s">
        <v>180</v>
      </c>
      <c r="H331" s="40" t="str">
        <f t="array" ref="H331">_xlfn.XLOOKUP($B331, DB[samplingPoint], DB[location])</f>
        <v>TOOL WASHING</v>
      </c>
      <c r="I331" s="39" t="str">
        <f t="array" ref="I331">_xlfn.XLOOKUP($B331, DB[samplingPoint], DB[waterType])</f>
        <v>PW</v>
      </c>
      <c r="J331" s="43">
        <f t="shared" si="1"/>
        <v>46088</v>
      </c>
      <c r="K331" s="26">
        <v>46091.0</v>
      </c>
      <c r="L331" s="32">
        <v>0.0</v>
      </c>
      <c r="M331" s="32">
        <v>0.0</v>
      </c>
      <c r="N331" s="32">
        <f t="shared" si="2"/>
        <v>0</v>
      </c>
      <c r="O331" s="49"/>
      <c r="P331" s="32">
        <f t="array" ref="P331">_xlfn.XLOOKUP($B331, DB[samplingPoint], DB[Criteria])</f>
        <v>100</v>
      </c>
      <c r="Q331" s="50" t="str">
        <f t="shared" si="3"/>
        <v>PASSED</v>
      </c>
      <c r="R331" s="38" t="b">
        <v>0</v>
      </c>
      <c r="S331" s="35" t="s">
        <v>996</v>
      </c>
      <c r="T331" s="39" t="s">
        <v>386</v>
      </c>
      <c r="U331" s="32" t="s">
        <v>381</v>
      </c>
    </row>
    <row r="332" ht="22.5" customHeight="1">
      <c r="A332" s="26">
        <v>46087.0</v>
      </c>
      <c r="B332" s="61" t="s">
        <v>119</v>
      </c>
      <c r="C332" s="32" t="str">
        <f t="array" ref="C332">_xlfn.XLOOKUP(B332, DB[samplingPoint], DB[samplingTag])</f>
        <v>DV116.15</v>
      </c>
      <c r="D332" s="33" t="s">
        <v>375</v>
      </c>
      <c r="E332" s="38" t="b">
        <v>1</v>
      </c>
      <c r="F332" s="39" t="str">
        <f t="array" ref="F332">_xlfn.XLOOKUP($B332, DB[samplingPoint], DB[noLocation])</f>
        <v>10-3-104</v>
      </c>
      <c r="G332" s="33" t="s">
        <v>180</v>
      </c>
      <c r="H332" s="40" t="str">
        <f t="array" ref="H332">_xlfn.XLOOKUP($B332, DB[samplingPoint], DB[location])</f>
        <v>BINDER PREPARATION</v>
      </c>
      <c r="I332" s="39" t="str">
        <f t="array" ref="I332">_xlfn.XLOOKUP($B332, DB[samplingPoint], DB[waterType])</f>
        <v>PW</v>
      </c>
      <c r="J332" s="43">
        <f t="shared" si="1"/>
        <v>46088</v>
      </c>
      <c r="K332" s="26">
        <v>46091.0</v>
      </c>
      <c r="L332" s="32">
        <v>11.0</v>
      </c>
      <c r="M332" s="32">
        <v>13.0</v>
      </c>
      <c r="N332" s="32">
        <f t="shared" si="2"/>
        <v>12</v>
      </c>
      <c r="O332" s="49"/>
      <c r="P332" s="32">
        <f t="array" ref="P332">_xlfn.XLOOKUP($B332, DB[samplingPoint], DB[Criteria])</f>
        <v>100</v>
      </c>
      <c r="Q332" s="50" t="str">
        <f t="shared" si="3"/>
        <v>PASSED</v>
      </c>
      <c r="R332" s="38" t="b">
        <v>0</v>
      </c>
      <c r="S332" s="35" t="s">
        <v>996</v>
      </c>
      <c r="T332" s="39" t="s">
        <v>386</v>
      </c>
      <c r="U332" s="32" t="s">
        <v>381</v>
      </c>
    </row>
    <row r="333" ht="22.5" customHeight="1">
      <c r="A333" s="26">
        <v>46087.0</v>
      </c>
      <c r="B333" s="61" t="s">
        <v>485</v>
      </c>
      <c r="C333" s="32" t="str">
        <f t="array" ref="C333">_xlfn.XLOOKUP(B333, DB[samplingPoint], DB[samplingTag])</f>
        <v>DV116.16</v>
      </c>
      <c r="D333" s="33" t="s">
        <v>375</v>
      </c>
      <c r="E333" s="38" t="b">
        <v>1</v>
      </c>
      <c r="F333" s="39" t="str">
        <f t="array" ref="F333">_xlfn.XLOOKUP($B333, DB[samplingPoint], DB[noLocation])</f>
        <v>10-3-107</v>
      </c>
      <c r="G333" s="33" t="s">
        <v>180</v>
      </c>
      <c r="H333" s="40" t="str">
        <f t="array" ref="H333">_xlfn.XLOOKUP($B333, DB[samplingPoint], DB[location])</f>
        <v>WET GRANULATION-2</v>
      </c>
      <c r="I333" s="39" t="str">
        <f t="array" ref="I333">_xlfn.XLOOKUP($B333, DB[samplingPoint], DB[waterType])</f>
        <v>PW</v>
      </c>
      <c r="J333" s="43">
        <f t="shared" si="1"/>
        <v>46088</v>
      </c>
      <c r="K333" s="26">
        <v>46091.0</v>
      </c>
      <c r="L333" s="32">
        <v>0.0</v>
      </c>
      <c r="M333" s="32">
        <v>0.0</v>
      </c>
      <c r="N333" s="32">
        <f t="shared" si="2"/>
        <v>0</v>
      </c>
      <c r="O333" s="49"/>
      <c r="P333" s="32">
        <f t="array" ref="P333">_xlfn.XLOOKUP($B333, DB[samplingPoint], DB[Criteria])</f>
        <v>100</v>
      </c>
      <c r="Q333" s="50" t="str">
        <f t="shared" si="3"/>
        <v>PASSED</v>
      </c>
      <c r="R333" s="38" t="b">
        <v>0</v>
      </c>
      <c r="S333" s="35" t="s">
        <v>996</v>
      </c>
      <c r="T333" s="39" t="s">
        <v>386</v>
      </c>
      <c r="U333" s="32" t="s">
        <v>381</v>
      </c>
    </row>
    <row r="334" ht="22.5" customHeight="1">
      <c r="A334" s="26">
        <v>46087.0</v>
      </c>
      <c r="B334" s="61" t="s">
        <v>488</v>
      </c>
      <c r="C334" s="32" t="str">
        <f t="array" ref="C334">_xlfn.XLOOKUP(B334, DB[samplingPoint], DB[samplingTag])</f>
        <v>DV116.17</v>
      </c>
      <c r="D334" s="33" t="s">
        <v>375</v>
      </c>
      <c r="E334" s="38" t="b">
        <v>1</v>
      </c>
      <c r="F334" s="39" t="str">
        <f t="array" ref="F334">_xlfn.XLOOKUP($B334, DB[samplingPoint], DB[noLocation])</f>
        <v>10-3-117</v>
      </c>
      <c r="G334" s="33" t="s">
        <v>180</v>
      </c>
      <c r="H334" s="40" t="str">
        <f t="array" ref="H334">_xlfn.XLOOKUP($B334, DB[samplingPoint], DB[location])</f>
        <v>IPQC-2</v>
      </c>
      <c r="I334" s="39" t="str">
        <f t="array" ref="I334">_xlfn.XLOOKUP($B334, DB[samplingPoint], DB[waterType])</f>
        <v>PW</v>
      </c>
      <c r="J334" s="43">
        <f t="shared" si="1"/>
        <v>46088</v>
      </c>
      <c r="K334" s="26">
        <v>46091.0</v>
      </c>
      <c r="L334" s="32">
        <v>0.0</v>
      </c>
      <c r="M334" s="32">
        <v>0.0</v>
      </c>
      <c r="N334" s="32">
        <f t="shared" si="2"/>
        <v>0</v>
      </c>
      <c r="O334" s="49"/>
      <c r="P334" s="32">
        <f t="array" ref="P334">_xlfn.XLOOKUP($B334, DB[samplingPoint], DB[Criteria])</f>
        <v>100</v>
      </c>
      <c r="Q334" s="50" t="str">
        <f t="shared" si="3"/>
        <v>PASSED</v>
      </c>
      <c r="R334" s="38" t="b">
        <v>0</v>
      </c>
      <c r="S334" s="35" t="s">
        <v>996</v>
      </c>
      <c r="T334" s="39" t="s">
        <v>386</v>
      </c>
      <c r="U334" s="32" t="s">
        <v>381</v>
      </c>
    </row>
    <row r="335" ht="22.5" customHeight="1">
      <c r="A335" s="26">
        <v>46087.0</v>
      </c>
      <c r="B335" s="61" t="s">
        <v>489</v>
      </c>
      <c r="C335" s="32" t="str">
        <f t="array" ref="C335">_xlfn.XLOOKUP(B335, DB[samplingPoint], DB[samplingTag])</f>
        <v>DV116.18</v>
      </c>
      <c r="D335" s="33" t="s">
        <v>375</v>
      </c>
      <c r="E335" s="38" t="b">
        <v>1</v>
      </c>
      <c r="F335" s="39" t="str">
        <f t="array" ref="F335">_xlfn.XLOOKUP($B335, DB[samplingPoint], DB[noLocation])</f>
        <v>10-3-111</v>
      </c>
      <c r="G335" s="33" t="s">
        <v>180</v>
      </c>
      <c r="H335" s="40" t="str">
        <f t="array" ref="H335">_xlfn.XLOOKUP($B335, DB[samplingPoint], DB[location])</f>
        <v>WET GRANULATION-5</v>
      </c>
      <c r="I335" s="39" t="str">
        <f t="array" ref="I335">_xlfn.XLOOKUP($B335, DB[samplingPoint], DB[waterType])</f>
        <v>PW</v>
      </c>
      <c r="J335" s="43">
        <f t="shared" si="1"/>
        <v>46088</v>
      </c>
      <c r="K335" s="26">
        <v>46091.0</v>
      </c>
      <c r="L335" s="32">
        <v>0.0</v>
      </c>
      <c r="M335" s="32">
        <v>0.0</v>
      </c>
      <c r="N335" s="32">
        <f t="shared" si="2"/>
        <v>0</v>
      </c>
      <c r="O335" s="49"/>
      <c r="P335" s="32">
        <f t="array" ref="P335">_xlfn.XLOOKUP($B335, DB[samplingPoint], DB[Criteria])</f>
        <v>100</v>
      </c>
      <c r="Q335" s="50" t="str">
        <f t="shared" si="3"/>
        <v>PASSED</v>
      </c>
      <c r="R335" s="38" t="b">
        <v>0</v>
      </c>
      <c r="S335" s="35" t="s">
        <v>996</v>
      </c>
      <c r="T335" s="39" t="s">
        <v>386</v>
      </c>
      <c r="U335" s="32" t="s">
        <v>381</v>
      </c>
    </row>
    <row r="336" ht="22.5" customHeight="1">
      <c r="A336" s="26">
        <v>46087.0</v>
      </c>
      <c r="B336" s="61" t="s">
        <v>490</v>
      </c>
      <c r="C336" s="32" t="str">
        <f t="array" ref="C336">_xlfn.XLOOKUP(B336, DB[samplingPoint], DB[samplingTag])</f>
        <v>SV116.09</v>
      </c>
      <c r="D336" s="33" t="s">
        <v>375</v>
      </c>
      <c r="E336" s="38" t="b">
        <v>1</v>
      </c>
      <c r="F336" s="39" t="str">
        <f t="array" ref="F336">_xlfn.XLOOKUP($B336, DB[samplingPoint], DB[noLocation])</f>
        <v>10-3-078</v>
      </c>
      <c r="G336" s="33" t="s">
        <v>180</v>
      </c>
      <c r="H336" s="40" t="str">
        <f t="array" ref="H336">_xlfn.XLOOKUP($B336, DB[samplingPoint], DB[location])</f>
        <v>WASHING</v>
      </c>
      <c r="I336" s="39" t="str">
        <f t="array" ref="I336">_xlfn.XLOOKUP($B336, DB[samplingPoint], DB[waterType])</f>
        <v>PW</v>
      </c>
      <c r="J336" s="43">
        <f t="shared" si="1"/>
        <v>46088</v>
      </c>
      <c r="K336" s="26">
        <v>46091.0</v>
      </c>
      <c r="L336" s="32">
        <v>0.0</v>
      </c>
      <c r="M336" s="32">
        <v>0.0</v>
      </c>
      <c r="N336" s="32">
        <f t="shared" si="2"/>
        <v>0</v>
      </c>
      <c r="O336" s="49"/>
      <c r="P336" s="32">
        <f t="array" ref="P336">_xlfn.XLOOKUP($B336, DB[samplingPoint], DB[Criteria])</f>
        <v>100</v>
      </c>
      <c r="Q336" s="50" t="str">
        <f t="shared" si="3"/>
        <v>PASSED</v>
      </c>
      <c r="R336" s="38" t="b">
        <v>0</v>
      </c>
      <c r="S336" s="35" t="s">
        <v>996</v>
      </c>
      <c r="T336" s="39" t="s">
        <v>386</v>
      </c>
      <c r="U336" s="32" t="s">
        <v>381</v>
      </c>
    </row>
    <row r="337" ht="22.5" customHeight="1">
      <c r="A337" s="26">
        <v>46087.0</v>
      </c>
      <c r="B337" s="61" t="s">
        <v>492</v>
      </c>
      <c r="C337" s="32" t="str">
        <f t="array" ref="C337">_xlfn.XLOOKUP(B337, DB[samplingPoint], DB[samplingTag])</f>
        <v>SV116.11</v>
      </c>
      <c r="D337" s="33" t="s">
        <v>375</v>
      </c>
      <c r="E337" s="38" t="b">
        <v>1</v>
      </c>
      <c r="F337" s="39" t="str">
        <f t="array" ref="F337">_xlfn.XLOOKUP($B337, DB[samplingPoint], DB[noLocation])</f>
        <v>10-3-107</v>
      </c>
      <c r="G337" s="33" t="s">
        <v>180</v>
      </c>
      <c r="H337" s="40" t="str">
        <f t="array" ref="H337">_xlfn.XLOOKUP($B337, DB[samplingPoint], DB[location])</f>
        <v>WET GRANULATION-2</v>
      </c>
      <c r="I337" s="39" t="str">
        <f t="array" ref="I337">_xlfn.XLOOKUP($B337, DB[samplingPoint], DB[waterType])</f>
        <v>PW</v>
      </c>
      <c r="J337" s="43">
        <f t="shared" si="1"/>
        <v>46088</v>
      </c>
      <c r="K337" s="26">
        <v>46091.0</v>
      </c>
      <c r="L337" s="32">
        <v>0.0</v>
      </c>
      <c r="M337" s="32">
        <v>0.0</v>
      </c>
      <c r="N337" s="32">
        <f t="shared" si="2"/>
        <v>0</v>
      </c>
      <c r="O337" s="49"/>
      <c r="P337" s="32">
        <f t="array" ref="P337">_xlfn.XLOOKUP($B337, DB[samplingPoint], DB[Criteria])</f>
        <v>100</v>
      </c>
      <c r="Q337" s="50" t="str">
        <f t="shared" si="3"/>
        <v>PASSED</v>
      </c>
      <c r="R337" s="38" t="b">
        <v>0</v>
      </c>
      <c r="S337" s="35" t="s">
        <v>996</v>
      </c>
      <c r="T337" s="39" t="s">
        <v>386</v>
      </c>
      <c r="U337" s="32" t="s">
        <v>381</v>
      </c>
    </row>
    <row r="338" ht="22.5" customHeight="1">
      <c r="A338" s="26">
        <v>46087.0</v>
      </c>
      <c r="B338" s="73" t="s">
        <v>390</v>
      </c>
      <c r="C338" s="32" t="str">
        <f t="array" ref="C338">_xlfn.XLOOKUP(B338, DB[samplingPoint], DB[samplingTag])</f>
        <v>SV117.01</v>
      </c>
      <c r="D338" s="33" t="s">
        <v>375</v>
      </c>
      <c r="E338" s="38" t="b">
        <v>1</v>
      </c>
      <c r="F338" s="39" t="str">
        <f t="array" ref="F338">_xlfn.XLOOKUP($B338, DB[samplingPoint], DB[noLocation])</f>
        <v>WATER SYSTEM (B10)</v>
      </c>
      <c r="G338" s="33" t="s">
        <v>180</v>
      </c>
      <c r="H338" s="40" t="str">
        <f t="array" ref="H338">_xlfn.XLOOKUP($B338, DB[samplingPoint], DB[location])</f>
        <v>Return loop (B10)</v>
      </c>
      <c r="I338" s="39" t="str">
        <f t="array" ref="I338">_xlfn.XLOOKUP($B338, DB[samplingPoint], DB[waterType])</f>
        <v>PW</v>
      </c>
      <c r="J338" s="43">
        <f t="shared" si="1"/>
        <v>46088</v>
      </c>
      <c r="K338" s="26">
        <v>46091.0</v>
      </c>
      <c r="L338" s="32">
        <v>0.0</v>
      </c>
      <c r="M338" s="32">
        <v>0.0</v>
      </c>
      <c r="N338" s="32">
        <f t="shared" si="2"/>
        <v>0</v>
      </c>
      <c r="O338" s="49"/>
      <c r="P338" s="32">
        <f t="array" ref="P338">_xlfn.XLOOKUP($B338, DB[samplingPoint], DB[Criteria])</f>
        <v>100</v>
      </c>
      <c r="Q338" s="50" t="str">
        <f t="shared" si="3"/>
        <v>PASSED</v>
      </c>
      <c r="R338" s="38" t="b">
        <v>0</v>
      </c>
      <c r="S338" s="35" t="s">
        <v>996</v>
      </c>
      <c r="T338" s="39" t="s">
        <v>386</v>
      </c>
      <c r="U338" s="32" t="s">
        <v>381</v>
      </c>
    </row>
    <row r="339" ht="22.5" customHeight="1">
      <c r="A339" s="26">
        <v>46087.0</v>
      </c>
      <c r="B339" s="73" t="s">
        <v>368</v>
      </c>
      <c r="C339" s="32" t="str">
        <f t="array" ref="C339">_xlfn.XLOOKUP(B339, DB[samplingPoint], DB[samplingTag])</f>
        <v>V50-11C(10)</v>
      </c>
      <c r="D339" s="33" t="s">
        <v>375</v>
      </c>
      <c r="E339" s="38" t="b">
        <v>1</v>
      </c>
      <c r="F339" s="39" t="str">
        <f t="array" ref="F339">_xlfn.XLOOKUP($B339, DB[samplingPoint], DB[noLocation])</f>
        <v>WATER SYSTEM (B10)</v>
      </c>
      <c r="G339" s="33" t="s">
        <v>180</v>
      </c>
      <c r="H339" s="40" t="str">
        <f t="array" ref="H339">_xlfn.XLOOKUP($B339, DB[samplingPoint], DB[location])</f>
        <v>After RO (Before EDI) (B10)</v>
      </c>
      <c r="I339" s="39" t="str">
        <f t="array" ref="I339">_xlfn.XLOOKUP($B339, DB[samplingPoint], DB[waterType])</f>
        <v>RO water</v>
      </c>
      <c r="J339" s="43">
        <f t="shared" si="1"/>
        <v>46088</v>
      </c>
      <c r="K339" s="26">
        <v>46091.0</v>
      </c>
      <c r="L339" s="32">
        <v>0.0</v>
      </c>
      <c r="M339" s="32">
        <v>0.0</v>
      </c>
      <c r="N339" s="32">
        <f t="shared" si="2"/>
        <v>0</v>
      </c>
      <c r="O339" s="49"/>
      <c r="P339" s="32">
        <f t="array" ref="P339">_xlfn.XLOOKUP($B339, DB[samplingPoint], DB[Criteria])</f>
        <v>500</v>
      </c>
      <c r="Q339" s="50" t="str">
        <f t="shared" si="3"/>
        <v>PASSED</v>
      </c>
      <c r="R339" s="38" t="b">
        <v>0</v>
      </c>
      <c r="S339" s="35" t="s">
        <v>996</v>
      </c>
      <c r="T339" s="39" t="s">
        <v>386</v>
      </c>
      <c r="U339" s="32" t="s">
        <v>381</v>
      </c>
    </row>
    <row r="340" ht="22.5" customHeight="1">
      <c r="A340" s="26">
        <v>46087.0</v>
      </c>
      <c r="B340" s="73" t="s">
        <v>374</v>
      </c>
      <c r="C340" s="32" t="str">
        <f t="array" ref="C340">_xlfn.XLOOKUP(B340, DB[samplingPoint], DB[samplingTag])</f>
        <v>V50-39(10)</v>
      </c>
      <c r="D340" s="33" t="s">
        <v>375</v>
      </c>
      <c r="E340" s="38" t="b">
        <v>1</v>
      </c>
      <c r="F340" s="39" t="str">
        <f t="array" ref="F340">_xlfn.XLOOKUP($B340, DB[samplingPoint], DB[noLocation])</f>
        <v>WATER SYSTEM (B10)</v>
      </c>
      <c r="G340" s="33" t="s">
        <v>180</v>
      </c>
      <c r="H340" s="40" t="str">
        <f t="array" ref="H340">_xlfn.XLOOKUP($B340, DB[samplingPoint], DB[location])</f>
        <v>After EDI (B10)</v>
      </c>
      <c r="I340" s="39" t="str">
        <f t="array" ref="I340">_xlfn.XLOOKUP($B340, DB[samplingPoint], DB[waterType])</f>
        <v>PW</v>
      </c>
      <c r="J340" s="43">
        <f t="shared" si="1"/>
        <v>46088</v>
      </c>
      <c r="K340" s="26">
        <v>46091.0</v>
      </c>
      <c r="L340" s="32">
        <v>0.0</v>
      </c>
      <c r="M340" s="32">
        <v>0.0</v>
      </c>
      <c r="N340" s="32">
        <f t="shared" si="2"/>
        <v>0</v>
      </c>
      <c r="O340" s="49"/>
      <c r="P340" s="32">
        <f t="array" ref="P340">_xlfn.XLOOKUP($B340, DB[samplingPoint], DB[Criteria])</f>
        <v>100</v>
      </c>
      <c r="Q340" s="50" t="str">
        <f t="shared" si="3"/>
        <v>PASSED</v>
      </c>
      <c r="R340" s="38" t="b">
        <v>0</v>
      </c>
      <c r="S340" s="35" t="s">
        <v>996</v>
      </c>
      <c r="T340" s="39" t="s">
        <v>386</v>
      </c>
      <c r="U340" s="32" t="s">
        <v>381</v>
      </c>
    </row>
    <row r="341" ht="22.5" customHeight="1">
      <c r="A341" s="26">
        <v>46087.0</v>
      </c>
      <c r="B341" s="73" t="s">
        <v>366</v>
      </c>
      <c r="C341" s="32" t="str">
        <f t="array" ref="C341">_xlfn.XLOOKUP(B341, DB[samplingPoint], DB[samplingTag])</f>
        <v>V50-61(10)</v>
      </c>
      <c r="D341" s="33" t="s">
        <v>375</v>
      </c>
      <c r="E341" s="38" t="b">
        <v>1</v>
      </c>
      <c r="F341" s="39" t="str">
        <f t="array" ref="F341">_xlfn.XLOOKUP($B341, DB[samplingPoint], DB[noLocation])</f>
        <v>WATER SYSTEM (B10)</v>
      </c>
      <c r="G341" s="33" t="s">
        <v>180</v>
      </c>
      <c r="H341" s="40" t="str">
        <f t="array" ref="H341">_xlfn.XLOOKUP($B341, DB[samplingPoint], DB[location])</f>
        <v>After Cartridge filter 5 µm (B10)</v>
      </c>
      <c r="I341" s="39" t="str">
        <f t="array" ref="I341">_xlfn.XLOOKUP($B341, DB[samplingPoint], DB[waterType])</f>
        <v>PRW</v>
      </c>
      <c r="J341" s="43">
        <f t="shared" si="1"/>
        <v>46088</v>
      </c>
      <c r="K341" s="26">
        <v>46091.0</v>
      </c>
      <c r="L341" s="32">
        <v>20.0</v>
      </c>
      <c r="M341" s="32">
        <v>29.0</v>
      </c>
      <c r="N341" s="32">
        <f t="shared" si="2"/>
        <v>25</v>
      </c>
      <c r="O341" s="49"/>
      <c r="P341" s="32">
        <f t="array" ref="P341">_xlfn.XLOOKUP($B341, DB[samplingPoint], DB[Criteria])</f>
        <v>500</v>
      </c>
      <c r="Q341" s="50" t="str">
        <f t="shared" si="3"/>
        <v>PASSED</v>
      </c>
      <c r="R341" s="38" t="b">
        <v>0</v>
      </c>
      <c r="S341" s="35" t="s">
        <v>996</v>
      </c>
      <c r="T341" s="39" t="s">
        <v>386</v>
      </c>
      <c r="U341" s="32" t="s">
        <v>381</v>
      </c>
    </row>
    <row r="342" ht="22.5" customHeight="1">
      <c r="A342" s="26">
        <v>46087.0</v>
      </c>
      <c r="B342" s="73" t="s">
        <v>349</v>
      </c>
      <c r="C342" s="32" t="str">
        <f t="array" ref="C342">_xlfn.XLOOKUP(B342, DB[samplingPoint], DB[samplingTag])</f>
        <v>VB-05(10)</v>
      </c>
      <c r="D342" s="33" t="s">
        <v>375</v>
      </c>
      <c r="E342" s="38" t="b">
        <v>1</v>
      </c>
      <c r="F342" s="39" t="str">
        <f t="array" ref="F342">_xlfn.XLOOKUP($B342, DB[samplingPoint], DB[noLocation])</f>
        <v>WATER SYSTEM (B10)</v>
      </c>
      <c r="G342" s="33" t="s">
        <v>180</v>
      </c>
      <c r="H342" s="40" t="str">
        <f t="array" ref="H342">_xlfn.XLOOKUP($B342, DB[samplingPoint], DB[location])</f>
        <v>After Chlorine circulation tank (B10)</v>
      </c>
      <c r="I342" s="39" t="str">
        <f t="array" ref="I342">_xlfn.XLOOKUP($B342, DB[samplingPoint], DB[waterType])</f>
        <v>PRW</v>
      </c>
      <c r="J342" s="43">
        <f t="shared" si="1"/>
        <v>46088</v>
      </c>
      <c r="K342" s="26">
        <v>46091.0</v>
      </c>
      <c r="L342" s="32">
        <v>1.0</v>
      </c>
      <c r="M342" s="32">
        <v>4.0</v>
      </c>
      <c r="N342" s="32">
        <f t="shared" si="2"/>
        <v>3</v>
      </c>
      <c r="O342" s="49"/>
      <c r="P342" s="32">
        <f t="array" ref="P342">_xlfn.XLOOKUP($B342, DB[samplingPoint], DB[Criteria])</f>
        <v>500</v>
      </c>
      <c r="Q342" s="50" t="str">
        <f t="shared" si="3"/>
        <v>PASSED</v>
      </c>
      <c r="R342" s="38" t="b">
        <v>0</v>
      </c>
      <c r="S342" s="35" t="s">
        <v>996</v>
      </c>
      <c r="T342" s="39" t="s">
        <v>386</v>
      </c>
      <c r="U342" s="32" t="s">
        <v>381</v>
      </c>
    </row>
    <row r="343" ht="22.5" customHeight="1">
      <c r="A343" s="199">
        <v>46038.0</v>
      </c>
      <c r="B343" s="39" t="s">
        <v>997</v>
      </c>
      <c r="C343" s="32" t="str">
        <f t="array" ref="C343">_xlfn.XLOOKUP(B343, DB[samplingPoint], DB[samplingTag])</f>
        <v>#N/A</v>
      </c>
      <c r="D343" s="33" t="s">
        <v>500</v>
      </c>
      <c r="E343" s="38" t="b">
        <v>1</v>
      </c>
      <c r="F343" s="39" t="str">
        <f t="array" ref="F343">_xlfn.XLOOKUP($B343, DB[samplingPoint], DB[noLocation])</f>
        <v>#N/A</v>
      </c>
      <c r="G343" s="59" t="str">
        <f t="array" ref="G343">_xlfn.XLOOKUP($B343, DB[samplingPoint], DB[building])</f>
        <v>#N/A</v>
      </c>
      <c r="H343" s="40" t="str">
        <f t="array" ref="H343">_xlfn.XLOOKUP($B343, DB[samplingPoint], DB[location])</f>
        <v>#N/A</v>
      </c>
      <c r="I343" s="39" t="str">
        <f t="array" ref="I343">_xlfn.XLOOKUP($B343, DB[samplingPoint], DB[waterType])</f>
        <v>#N/A</v>
      </c>
      <c r="J343" s="43">
        <f t="shared" si="1"/>
        <v>46039</v>
      </c>
      <c r="K343" s="26">
        <v>46042.0</v>
      </c>
      <c r="L343" s="32">
        <v>0.0</v>
      </c>
      <c r="M343" s="32">
        <v>0.0</v>
      </c>
      <c r="N343" s="32">
        <f t="shared" si="2"/>
        <v>0</v>
      </c>
      <c r="O343" s="49" t="s">
        <v>376</v>
      </c>
      <c r="P343" s="32" t="str">
        <f t="array" ref="P343">_xlfn.XLOOKUP($B343, DB[samplingPoint], DB[Criteria])</f>
        <v>#N/A</v>
      </c>
      <c r="Q343" s="50" t="str">
        <f t="shared" si="3"/>
        <v>NA</v>
      </c>
      <c r="R343" s="38" t="b">
        <v>0</v>
      </c>
      <c r="S343" s="35" t="s">
        <v>22</v>
      </c>
      <c r="T343" s="39" t="s">
        <v>386</v>
      </c>
      <c r="U343" s="32" t="s">
        <v>304</v>
      </c>
    </row>
    <row r="344" ht="22.5" customHeight="1">
      <c r="A344" s="26">
        <v>46066.0</v>
      </c>
      <c r="B344" s="73" t="s">
        <v>575</v>
      </c>
      <c r="C344" s="32" t="str">
        <f t="array" ref="C344">_xlfn.XLOOKUP(B344, DB[samplingPoint], DB[samplingTag])</f>
        <v>#N/A</v>
      </c>
      <c r="D344" s="33" t="s">
        <v>500</v>
      </c>
      <c r="E344" s="38" t="b">
        <v>1</v>
      </c>
      <c r="F344" s="39" t="str">
        <f t="array" ref="F344">_xlfn.XLOOKUP($B344, DB[samplingPoint], DB[noLocation])</f>
        <v>#N/A</v>
      </c>
      <c r="G344" s="33" t="e">
        <v>#N/A</v>
      </c>
      <c r="H344" s="40" t="str">
        <f t="array" ref="H344">_xlfn.XLOOKUP($B344, DB[samplingPoint], DB[location])</f>
        <v>#N/A</v>
      </c>
      <c r="I344" s="39" t="str">
        <f t="array" ref="I344">_xlfn.XLOOKUP($B344, DB[samplingPoint], DB[waterType])</f>
        <v>#N/A</v>
      </c>
      <c r="J344" s="43">
        <f t="shared" si="1"/>
        <v>46067</v>
      </c>
      <c r="K344" s="26">
        <v>46070.0</v>
      </c>
      <c r="L344" s="32">
        <v>0.0</v>
      </c>
      <c r="M344" s="32">
        <v>0.0</v>
      </c>
      <c r="N344" s="32">
        <f t="shared" si="2"/>
        <v>0</v>
      </c>
      <c r="O344" s="49" t="s">
        <v>376</v>
      </c>
      <c r="P344" s="32" t="str">
        <f t="array" ref="P344">_xlfn.XLOOKUP($B344, DB[samplingPoint], DB[Criteria])</f>
        <v>#N/A</v>
      </c>
      <c r="Q344" s="50" t="str">
        <f t="shared" si="3"/>
        <v>NA</v>
      </c>
      <c r="R344" s="38" t="b">
        <v>0</v>
      </c>
      <c r="S344" s="35" t="s">
        <v>26</v>
      </c>
      <c r="T344" s="39" t="s">
        <v>386</v>
      </c>
      <c r="U344" s="32" t="s">
        <v>304</v>
      </c>
    </row>
    <row r="345" ht="22.5" customHeight="1">
      <c r="A345" s="26">
        <v>46090.0</v>
      </c>
      <c r="B345" s="200" t="s">
        <v>447</v>
      </c>
      <c r="C345" s="32" t="str">
        <f t="array" ref="C345">_xlfn.XLOOKUP(B345, DB[samplingPoint], DB[samplingTag])</f>
        <v>DV126.01</v>
      </c>
      <c r="D345" s="33" t="s">
        <v>158</v>
      </c>
      <c r="E345" s="38" t="b">
        <v>1</v>
      </c>
      <c r="F345" s="39" t="str">
        <f t="array" ref="F345">_xlfn.XLOOKUP($B345, DB[samplingPoint], DB[noLocation])</f>
        <v>16-1-082</v>
      </c>
      <c r="G345" s="33" t="s">
        <v>327</v>
      </c>
      <c r="H345" s="40" t="str">
        <f t="array" ref="H345">_xlfn.XLOOKUP($B345, DB[samplingPoint], DB[location])</f>
        <v>WASHING</v>
      </c>
      <c r="I345" s="39" t="str">
        <f t="array" ref="I345">_xlfn.XLOOKUP($B345, DB[samplingPoint], DB[waterType])</f>
        <v>PW</v>
      </c>
      <c r="J345" s="43">
        <f t="shared" si="1"/>
        <v>46091</v>
      </c>
      <c r="K345" s="26">
        <v>46094.0</v>
      </c>
      <c r="L345" s="32">
        <v>0.0</v>
      </c>
      <c r="M345" s="32">
        <v>0.0</v>
      </c>
      <c r="N345" s="32">
        <f t="shared" si="2"/>
        <v>0</v>
      </c>
      <c r="O345" s="49" t="s">
        <v>587</v>
      </c>
      <c r="P345" s="32">
        <f t="array" ref="P345">_xlfn.XLOOKUP($B345, DB[samplingPoint], DB[Criteria])</f>
        <v>100</v>
      </c>
      <c r="Q345" s="50" t="str">
        <f t="shared" si="3"/>
        <v>PASSED</v>
      </c>
      <c r="R345" s="38" t="b">
        <v>0</v>
      </c>
      <c r="S345" s="35" t="s">
        <v>28</v>
      </c>
      <c r="T345" s="39" t="s">
        <v>386</v>
      </c>
      <c r="U345" s="32" t="s">
        <v>304</v>
      </c>
    </row>
    <row r="346" ht="22.5" customHeight="1">
      <c r="A346" s="26">
        <v>46090.0</v>
      </c>
      <c r="B346" s="201" t="s">
        <v>451</v>
      </c>
      <c r="C346" s="32" t="str">
        <f t="array" ref="C346">_xlfn.XLOOKUP(B346, DB[samplingPoint], DB[samplingTag])</f>
        <v>DV126.02</v>
      </c>
      <c r="D346" s="33" t="s">
        <v>158</v>
      </c>
      <c r="E346" s="38" t="b">
        <v>1</v>
      </c>
      <c r="F346" s="39" t="str">
        <f t="array" ref="F346">_xlfn.XLOOKUP($B346, DB[samplingPoint], DB[noLocation])</f>
        <v>16-1-082</v>
      </c>
      <c r="G346" s="33" t="s">
        <v>327</v>
      </c>
      <c r="H346" s="40" t="str">
        <f t="array" ref="H346">_xlfn.XLOOKUP($B346, DB[samplingPoint], DB[location])</f>
        <v>WASHING</v>
      </c>
      <c r="I346" s="39" t="str">
        <f t="array" ref="I346">_xlfn.XLOOKUP($B346, DB[samplingPoint], DB[waterType])</f>
        <v>PW</v>
      </c>
      <c r="J346" s="43">
        <f t="shared" si="1"/>
        <v>46091</v>
      </c>
      <c r="K346" s="26">
        <v>46094.0</v>
      </c>
      <c r="L346" s="32">
        <v>0.0</v>
      </c>
      <c r="M346" s="32">
        <v>0.0</v>
      </c>
      <c r="N346" s="32">
        <f t="shared" si="2"/>
        <v>0</v>
      </c>
      <c r="O346" s="49" t="s">
        <v>587</v>
      </c>
      <c r="P346" s="32">
        <f t="array" ref="P346">_xlfn.XLOOKUP($B346, DB[samplingPoint], DB[Criteria])</f>
        <v>100</v>
      </c>
      <c r="Q346" s="50" t="str">
        <f t="shared" si="3"/>
        <v>PASSED</v>
      </c>
      <c r="R346" s="38" t="b">
        <v>0</v>
      </c>
      <c r="S346" s="35" t="s">
        <v>28</v>
      </c>
      <c r="T346" s="39" t="s">
        <v>386</v>
      </c>
      <c r="U346" s="32" t="s">
        <v>304</v>
      </c>
    </row>
    <row r="347" ht="22.5" customHeight="1">
      <c r="A347" s="26">
        <v>46090.0</v>
      </c>
      <c r="B347" s="200" t="s">
        <v>454</v>
      </c>
      <c r="C347" s="32" t="str">
        <f t="array" ref="C347">_xlfn.XLOOKUP(B347, DB[samplingPoint], DB[samplingTag])</f>
        <v>DV126.03</v>
      </c>
      <c r="D347" s="33" t="s">
        <v>158</v>
      </c>
      <c r="E347" s="38" t="b">
        <v>1</v>
      </c>
      <c r="F347" s="39" t="str">
        <f t="array" ref="F347">_xlfn.XLOOKUP($B347, DB[samplingPoint], DB[noLocation])</f>
        <v>16-1-098</v>
      </c>
      <c r="G347" s="33" t="s">
        <v>327</v>
      </c>
      <c r="H347" s="40" t="str">
        <f t="array" ref="H347">_xlfn.XLOOKUP($B347, DB[samplingPoint], DB[location])</f>
        <v>CIP/SIP (SINK WASHING)</v>
      </c>
      <c r="I347" s="39" t="str">
        <f t="array" ref="I347">_xlfn.XLOOKUP($B347, DB[samplingPoint], DB[waterType])</f>
        <v>PW</v>
      </c>
      <c r="J347" s="43">
        <f t="shared" si="1"/>
        <v>46091</v>
      </c>
      <c r="K347" s="26">
        <v>46094.0</v>
      </c>
      <c r="L347" s="32">
        <v>0.0</v>
      </c>
      <c r="M347" s="32">
        <v>0.0</v>
      </c>
      <c r="N347" s="32">
        <f t="shared" si="2"/>
        <v>0</v>
      </c>
      <c r="O347" s="49" t="s">
        <v>587</v>
      </c>
      <c r="P347" s="32">
        <f t="array" ref="P347">_xlfn.XLOOKUP($B347, DB[samplingPoint], DB[Criteria])</f>
        <v>100</v>
      </c>
      <c r="Q347" s="50" t="str">
        <f t="shared" si="3"/>
        <v>PASSED</v>
      </c>
      <c r="R347" s="38" t="b">
        <v>0</v>
      </c>
      <c r="S347" s="35" t="s">
        <v>28</v>
      </c>
      <c r="T347" s="39" t="s">
        <v>386</v>
      </c>
      <c r="U347" s="32" t="s">
        <v>304</v>
      </c>
    </row>
    <row r="348" ht="22.5" customHeight="1">
      <c r="A348" s="26">
        <v>46090.0</v>
      </c>
      <c r="B348" s="200" t="s">
        <v>558</v>
      </c>
      <c r="C348" s="32" t="str">
        <f t="array" ref="C348">_xlfn.XLOOKUP(B348, DB[samplingPoint], DB[samplingTag])</f>
        <v>DV126.04</v>
      </c>
      <c r="D348" s="33" t="s">
        <v>158</v>
      </c>
      <c r="E348" s="38" t="b">
        <v>1</v>
      </c>
      <c r="F348" s="39" t="str">
        <f t="array" ref="F348">_xlfn.XLOOKUP($B348, DB[samplingPoint], DB[noLocation])</f>
        <v>16-2-010</v>
      </c>
      <c r="G348" s="33" t="s">
        <v>327</v>
      </c>
      <c r="H348" s="40" t="str">
        <f t="array" ref="H348">_xlfn.XLOOKUP($B348, DB[samplingPoint], DB[location])</f>
        <v>WATER SYSTEM (PW)</v>
      </c>
      <c r="I348" s="39" t="str">
        <f t="array" ref="I348">_xlfn.XLOOKUP($B348, DB[samplingPoint], DB[waterType])</f>
        <v>PW</v>
      </c>
      <c r="J348" s="43">
        <f t="shared" si="1"/>
        <v>46091</v>
      </c>
      <c r="K348" s="26">
        <v>46094.0</v>
      </c>
      <c r="L348" s="32">
        <v>0.0</v>
      </c>
      <c r="M348" s="32">
        <v>0.0</v>
      </c>
      <c r="N348" s="32">
        <f t="shared" si="2"/>
        <v>0</v>
      </c>
      <c r="O348" s="49" t="s">
        <v>587</v>
      </c>
      <c r="P348" s="32">
        <f t="array" ref="P348">_xlfn.XLOOKUP($B348, DB[samplingPoint], DB[Criteria])</f>
        <v>100</v>
      </c>
      <c r="Q348" s="50" t="str">
        <f t="shared" si="3"/>
        <v>PASSED</v>
      </c>
      <c r="R348" s="38" t="b">
        <v>0</v>
      </c>
      <c r="S348" s="35" t="s">
        <v>28</v>
      </c>
      <c r="T348" s="39" t="s">
        <v>386</v>
      </c>
      <c r="U348" s="32" t="s">
        <v>304</v>
      </c>
    </row>
    <row r="349" ht="22.5" customHeight="1">
      <c r="A349" s="26">
        <v>46090.0</v>
      </c>
      <c r="B349" s="201" t="s">
        <v>483</v>
      </c>
      <c r="C349" s="32" t="str">
        <f t="array" ref="C349">_xlfn.XLOOKUP(B349, DB[samplingPoint], DB[samplingTag])</f>
        <v>DV126.05</v>
      </c>
      <c r="D349" s="33" t="s">
        <v>158</v>
      </c>
      <c r="E349" s="38" t="b">
        <v>1</v>
      </c>
      <c r="F349" s="39" t="str">
        <f t="array" ref="F349">_xlfn.XLOOKUP($B349, DB[samplingPoint], DB[noLocation])</f>
        <v>16-3-054</v>
      </c>
      <c r="G349" s="33" t="s">
        <v>327</v>
      </c>
      <c r="H349" s="40" t="str">
        <f t="array" ref="H349">_xlfn.XLOOKUP($B349, DB[samplingPoint], DB[location])</f>
        <v>WASHING</v>
      </c>
      <c r="I349" s="39" t="str">
        <f t="array" ref="I349">_xlfn.XLOOKUP($B349, DB[samplingPoint], DB[waterType])</f>
        <v>PW</v>
      </c>
      <c r="J349" s="43">
        <f t="shared" si="1"/>
        <v>46091</v>
      </c>
      <c r="K349" s="26">
        <v>46094.0</v>
      </c>
      <c r="L349" s="32">
        <v>21.0</v>
      </c>
      <c r="M349" s="32">
        <v>16.0</v>
      </c>
      <c r="N349" s="32">
        <f t="shared" si="2"/>
        <v>19</v>
      </c>
      <c r="O349" s="49" t="s">
        <v>587</v>
      </c>
      <c r="P349" s="32">
        <f t="array" ref="P349">_xlfn.XLOOKUP($B349, DB[samplingPoint], DB[Criteria])</f>
        <v>100</v>
      </c>
      <c r="Q349" s="50" t="str">
        <f t="shared" si="3"/>
        <v>PASSED</v>
      </c>
      <c r="R349" s="38" t="b">
        <v>0</v>
      </c>
      <c r="S349" s="35" t="s">
        <v>28</v>
      </c>
      <c r="T349" s="39" t="s">
        <v>386</v>
      </c>
      <c r="U349" s="32" t="s">
        <v>304</v>
      </c>
    </row>
    <row r="350" ht="22.5" customHeight="1">
      <c r="A350" s="26">
        <v>46090.0</v>
      </c>
      <c r="B350" s="200" t="s">
        <v>555</v>
      </c>
      <c r="C350" s="32" t="str">
        <f t="array" ref="C350">_xlfn.XLOOKUP(B350, DB[samplingPoint], DB[samplingTag])</f>
        <v>DV126.06</v>
      </c>
      <c r="D350" s="33" t="s">
        <v>158</v>
      </c>
      <c r="E350" s="38" t="b">
        <v>1</v>
      </c>
      <c r="F350" s="39" t="str">
        <f t="array" ref="F350">_xlfn.XLOOKUP($B350, DB[samplingPoint], DB[noLocation])</f>
        <v>16-3-069</v>
      </c>
      <c r="G350" s="33" t="s">
        <v>327</v>
      </c>
      <c r="H350" s="40" t="str">
        <f t="array" ref="H350">_xlfn.XLOOKUP($B350, DB[samplingPoint], DB[location])</f>
        <v>MFG 2</v>
      </c>
      <c r="I350" s="39" t="str">
        <f t="array" ref="I350">_xlfn.XLOOKUP($B350, DB[samplingPoint], DB[waterType])</f>
        <v>PW</v>
      </c>
      <c r="J350" s="43">
        <f t="shared" si="1"/>
        <v>46091</v>
      </c>
      <c r="K350" s="26">
        <v>46094.0</v>
      </c>
      <c r="L350" s="32">
        <v>0.0</v>
      </c>
      <c r="M350" s="32">
        <v>0.0</v>
      </c>
      <c r="N350" s="32">
        <f t="shared" si="2"/>
        <v>0</v>
      </c>
      <c r="O350" s="49" t="s">
        <v>587</v>
      </c>
      <c r="P350" s="32">
        <f t="array" ref="P350">_xlfn.XLOOKUP($B350, DB[samplingPoint], DB[Criteria])</f>
        <v>100</v>
      </c>
      <c r="Q350" s="50" t="str">
        <f t="shared" si="3"/>
        <v>PASSED</v>
      </c>
      <c r="R350" s="38" t="b">
        <v>0</v>
      </c>
      <c r="S350" s="35" t="s">
        <v>28</v>
      </c>
      <c r="T350" s="39" t="s">
        <v>386</v>
      </c>
      <c r="U350" s="32" t="s">
        <v>304</v>
      </c>
    </row>
    <row r="351" ht="22.5" customHeight="1">
      <c r="A351" s="26">
        <v>46090.0</v>
      </c>
      <c r="B351" s="201" t="s">
        <v>563</v>
      </c>
      <c r="C351" s="32" t="str">
        <f t="array" ref="C351">_xlfn.XLOOKUP(B351, DB[samplingPoint], DB[samplingTag])</f>
        <v>DV126.07</v>
      </c>
      <c r="D351" s="33" t="s">
        <v>158</v>
      </c>
      <c r="E351" s="38" t="b">
        <v>1</v>
      </c>
      <c r="F351" s="39" t="str">
        <f t="array" ref="F351">_xlfn.XLOOKUP($B351, DB[samplingPoint], DB[noLocation])</f>
        <v>16-3-077</v>
      </c>
      <c r="G351" s="33" t="s">
        <v>327</v>
      </c>
      <c r="H351" s="40" t="str">
        <f t="array" ref="H351">_xlfn.XLOOKUP($B351, DB[samplingPoint], DB[location])</f>
        <v>MFG 6</v>
      </c>
      <c r="I351" s="39" t="str">
        <f t="array" ref="I351">_xlfn.XLOOKUP($B351, DB[samplingPoint], DB[waterType])</f>
        <v>PW</v>
      </c>
      <c r="J351" s="43">
        <f t="shared" si="1"/>
        <v>46091</v>
      </c>
      <c r="K351" s="26">
        <v>46094.0</v>
      </c>
      <c r="L351" s="32">
        <v>0.0</v>
      </c>
      <c r="M351" s="32">
        <v>0.0</v>
      </c>
      <c r="N351" s="32">
        <f t="shared" si="2"/>
        <v>0</v>
      </c>
      <c r="O351" s="49" t="s">
        <v>587</v>
      </c>
      <c r="P351" s="32">
        <f t="array" ref="P351">_xlfn.XLOOKUP($B351, DB[samplingPoint], DB[Criteria])</f>
        <v>100</v>
      </c>
      <c r="Q351" s="50" t="str">
        <f t="shared" si="3"/>
        <v>PASSED</v>
      </c>
      <c r="R351" s="38" t="b">
        <v>0</v>
      </c>
      <c r="S351" s="35" t="s">
        <v>28</v>
      </c>
      <c r="T351" s="39" t="s">
        <v>386</v>
      </c>
      <c r="U351" s="32" t="s">
        <v>304</v>
      </c>
    </row>
    <row r="352" ht="22.5" customHeight="1">
      <c r="A352" s="26">
        <v>46090.0</v>
      </c>
      <c r="B352" s="200" t="s">
        <v>566</v>
      </c>
      <c r="C352" s="32" t="str">
        <f t="array" ref="C352">_xlfn.XLOOKUP(B352, DB[samplingPoint], DB[samplingTag])</f>
        <v>DV126.08</v>
      </c>
      <c r="D352" s="33" t="s">
        <v>158</v>
      </c>
      <c r="E352" s="38" t="b">
        <v>1</v>
      </c>
      <c r="F352" s="39" t="str">
        <f t="array" ref="F352">_xlfn.XLOOKUP($B352, DB[samplingPoint], DB[noLocation])</f>
        <v>16-3-077</v>
      </c>
      <c r="G352" s="33" t="s">
        <v>327</v>
      </c>
      <c r="H352" s="40" t="str">
        <f t="array" ref="H352">_xlfn.XLOOKUP($B352, DB[samplingPoint], DB[location])</f>
        <v>MFG 6</v>
      </c>
      <c r="I352" s="39" t="str">
        <f t="array" ref="I352">_xlfn.XLOOKUP($B352, DB[samplingPoint], DB[waterType])</f>
        <v>PW</v>
      </c>
      <c r="J352" s="43">
        <f t="shared" si="1"/>
        <v>46091</v>
      </c>
      <c r="K352" s="26">
        <v>46094.0</v>
      </c>
      <c r="L352" s="32">
        <v>0.0</v>
      </c>
      <c r="M352" s="32">
        <v>0.0</v>
      </c>
      <c r="N352" s="32">
        <f t="shared" si="2"/>
        <v>0</v>
      </c>
      <c r="O352" s="49" t="s">
        <v>587</v>
      </c>
      <c r="P352" s="32">
        <f t="array" ref="P352">_xlfn.XLOOKUP($B352, DB[samplingPoint], DB[Criteria])</f>
        <v>100</v>
      </c>
      <c r="Q352" s="50" t="str">
        <f t="shared" si="3"/>
        <v>PASSED</v>
      </c>
      <c r="R352" s="38" t="b">
        <v>0</v>
      </c>
      <c r="S352" s="35" t="s">
        <v>28</v>
      </c>
      <c r="T352" s="39" t="s">
        <v>386</v>
      </c>
      <c r="U352" s="32" t="s">
        <v>304</v>
      </c>
    </row>
    <row r="353" ht="22.5" customHeight="1">
      <c r="A353" s="26">
        <v>46090.0</v>
      </c>
      <c r="B353" s="200" t="s">
        <v>562</v>
      </c>
      <c r="C353" s="32" t="str">
        <f t="array" ref="C353">_xlfn.XLOOKUP(B353, DB[samplingPoint], DB[samplingTag])</f>
        <v>DV126.09</v>
      </c>
      <c r="D353" s="33" t="s">
        <v>158</v>
      </c>
      <c r="E353" s="38" t="b">
        <v>1</v>
      </c>
      <c r="F353" s="39" t="str">
        <f t="array" ref="F353">_xlfn.XLOOKUP($B353, DB[samplingPoint], DB[noLocation])</f>
        <v>16-3-090</v>
      </c>
      <c r="G353" s="33" t="s">
        <v>327</v>
      </c>
      <c r="H353" s="40" t="str">
        <f t="array" ref="H353">_xlfn.XLOOKUP($B353, DB[samplingPoint], DB[location])</f>
        <v>CIP 1 (ZINK WASHING)</v>
      </c>
      <c r="I353" s="39" t="str">
        <f t="array" ref="I353">_xlfn.XLOOKUP($B353, DB[samplingPoint], DB[waterType])</f>
        <v>PW</v>
      </c>
      <c r="J353" s="43">
        <f t="shared" si="1"/>
        <v>46091</v>
      </c>
      <c r="K353" s="26">
        <v>46094.0</v>
      </c>
      <c r="L353" s="32">
        <v>0.0</v>
      </c>
      <c r="M353" s="32">
        <v>0.0</v>
      </c>
      <c r="N353" s="32">
        <f t="shared" si="2"/>
        <v>0</v>
      </c>
      <c r="O353" s="49" t="s">
        <v>587</v>
      </c>
      <c r="P353" s="32">
        <f t="array" ref="P353">_xlfn.XLOOKUP($B353, DB[samplingPoint], DB[Criteria])</f>
        <v>100</v>
      </c>
      <c r="Q353" s="50" t="str">
        <f t="shared" si="3"/>
        <v>PASSED</v>
      </c>
      <c r="R353" s="38" t="b">
        <v>0</v>
      </c>
      <c r="S353" s="35" t="s">
        <v>28</v>
      </c>
      <c r="T353" s="39" t="s">
        <v>386</v>
      </c>
      <c r="U353" s="32" t="s">
        <v>304</v>
      </c>
    </row>
    <row r="354" ht="22.5" customHeight="1">
      <c r="A354" s="26">
        <v>46090.0</v>
      </c>
      <c r="B354" s="201" t="s">
        <v>553</v>
      </c>
      <c r="C354" s="32" t="str">
        <f t="array" ref="C354">_xlfn.XLOOKUP(B354, DB[samplingPoint], DB[samplingTag])</f>
        <v>DV126.10</v>
      </c>
      <c r="D354" s="33" t="s">
        <v>158</v>
      </c>
      <c r="E354" s="38" t="b">
        <v>1</v>
      </c>
      <c r="F354" s="39" t="str">
        <f t="array" ref="F354">_xlfn.XLOOKUP($B354, DB[samplingPoint], DB[noLocation])</f>
        <v>16-3-069</v>
      </c>
      <c r="G354" s="33" t="s">
        <v>327</v>
      </c>
      <c r="H354" s="40" t="str">
        <f t="array" ref="H354">_xlfn.XLOOKUP($B354, DB[samplingPoint], DB[location])</f>
        <v>MFG 2</v>
      </c>
      <c r="I354" s="39" t="str">
        <f t="array" ref="I354">_xlfn.XLOOKUP($B354, DB[samplingPoint], DB[waterType])</f>
        <v>PW</v>
      </c>
      <c r="J354" s="43">
        <f t="shared" si="1"/>
        <v>46091</v>
      </c>
      <c r="K354" s="26">
        <v>46094.0</v>
      </c>
      <c r="L354" s="32">
        <v>0.0</v>
      </c>
      <c r="M354" s="32">
        <v>0.0</v>
      </c>
      <c r="N354" s="32">
        <f t="shared" si="2"/>
        <v>0</v>
      </c>
      <c r="O354" s="49" t="s">
        <v>587</v>
      </c>
      <c r="P354" s="32">
        <f t="array" ref="P354">_xlfn.XLOOKUP($B354, DB[samplingPoint], DB[Criteria])</f>
        <v>100</v>
      </c>
      <c r="Q354" s="50" t="str">
        <f t="shared" si="3"/>
        <v>PASSED</v>
      </c>
      <c r="R354" s="38" t="b">
        <v>0</v>
      </c>
      <c r="S354" s="35" t="s">
        <v>28</v>
      </c>
      <c r="T354" s="39" t="s">
        <v>386</v>
      </c>
      <c r="U354" s="32" t="s">
        <v>304</v>
      </c>
    </row>
    <row r="355" ht="22.5" customHeight="1">
      <c r="A355" s="26">
        <v>46090.0</v>
      </c>
      <c r="B355" s="58" t="s">
        <v>474</v>
      </c>
      <c r="C355" s="32" t="str">
        <f t="array" ref="C355">_xlfn.XLOOKUP(B355, DB[samplingPoint], DB[samplingTag])</f>
        <v>DV126.11</v>
      </c>
      <c r="D355" s="33" t="s">
        <v>158</v>
      </c>
      <c r="E355" s="38" t="b">
        <v>1</v>
      </c>
      <c r="F355" s="39" t="str">
        <f t="array" ref="F355">_xlfn.XLOOKUP($B355, DB[samplingPoint], DB[noLocation])</f>
        <v>16-3-073</v>
      </c>
      <c r="G355" s="33" t="s">
        <v>327</v>
      </c>
      <c r="H355" s="40" t="str">
        <f t="array" ref="H355">_xlfn.XLOOKUP($B355, DB[samplingPoint], DB[location])</f>
        <v>MFG 4 (5000L)</v>
      </c>
      <c r="I355" s="39" t="str">
        <f t="array" ref="I355">_xlfn.XLOOKUP($B355, DB[samplingPoint], DB[waterType])</f>
        <v>PW</v>
      </c>
      <c r="J355" s="43">
        <f t="shared" si="1"/>
        <v>46091</v>
      </c>
      <c r="K355" s="26">
        <v>46094.0</v>
      </c>
      <c r="L355" s="32">
        <v>0.0</v>
      </c>
      <c r="M355" s="32">
        <v>0.0</v>
      </c>
      <c r="N355" s="32">
        <f t="shared" si="2"/>
        <v>0</v>
      </c>
      <c r="O355" s="49" t="s">
        <v>587</v>
      </c>
      <c r="P355" s="32">
        <f t="array" ref="P355">_xlfn.XLOOKUP($B355, DB[samplingPoint], DB[Criteria])</f>
        <v>100</v>
      </c>
      <c r="Q355" s="50" t="str">
        <f t="shared" si="3"/>
        <v>PASSED</v>
      </c>
      <c r="R355" s="38" t="b">
        <v>0</v>
      </c>
      <c r="S355" s="35" t="s">
        <v>28</v>
      </c>
      <c r="T355" s="39" t="s">
        <v>386</v>
      </c>
      <c r="U355" s="32" t="s">
        <v>304</v>
      </c>
    </row>
    <row r="356" ht="22.5" customHeight="1">
      <c r="A356" s="26">
        <v>46090.0</v>
      </c>
      <c r="B356" s="200" t="s">
        <v>467</v>
      </c>
      <c r="C356" s="32" t="str">
        <f t="array" ref="C356">_xlfn.XLOOKUP(B356, DB[samplingPoint], DB[samplingTag])</f>
        <v>SV123.01</v>
      </c>
      <c r="D356" s="33" t="s">
        <v>158</v>
      </c>
      <c r="E356" s="38" t="b">
        <v>1</v>
      </c>
      <c r="F356" s="39" t="str">
        <f t="array" ref="F356">_xlfn.XLOOKUP($B356, DB[samplingPoint], DB[noLocation])</f>
        <v>WATER SYSTEM (B16)</v>
      </c>
      <c r="G356" s="33" t="s">
        <v>327</v>
      </c>
      <c r="H356" s="40" t="str">
        <f t="array" ref="H356">_xlfn.XLOOKUP($B356, DB[samplingPoint], DB[location])</f>
        <v>After Storage tank (B16)</v>
      </c>
      <c r="I356" s="39" t="str">
        <f t="array" ref="I356">_xlfn.XLOOKUP($B356, DB[samplingPoint], DB[waterType])</f>
        <v>PW</v>
      </c>
      <c r="J356" s="43">
        <f t="shared" si="1"/>
        <v>46091</v>
      </c>
      <c r="K356" s="26">
        <v>46094.0</v>
      </c>
      <c r="L356" s="32">
        <v>0.0</v>
      </c>
      <c r="M356" s="32">
        <v>0.0</v>
      </c>
      <c r="N356" s="32">
        <f t="shared" si="2"/>
        <v>0</v>
      </c>
      <c r="O356" s="49" t="s">
        <v>998</v>
      </c>
      <c r="P356" s="32">
        <f t="array" ref="P356">_xlfn.XLOOKUP($B356, DB[samplingPoint], DB[Criteria])</f>
        <v>100</v>
      </c>
      <c r="Q356" s="50" t="str">
        <f t="shared" si="3"/>
        <v>PASSED</v>
      </c>
      <c r="R356" s="38" t="b">
        <v>0</v>
      </c>
      <c r="S356" s="35" t="s">
        <v>28</v>
      </c>
      <c r="T356" s="39" t="s">
        <v>386</v>
      </c>
      <c r="U356" s="32" t="s">
        <v>304</v>
      </c>
    </row>
    <row r="357" ht="22.5" customHeight="1">
      <c r="A357" s="26">
        <v>46090.0</v>
      </c>
      <c r="B357" s="200" t="s">
        <v>467</v>
      </c>
      <c r="C357" s="32" t="str">
        <f t="array" ref="C357">_xlfn.XLOOKUP(B357, DB[samplingPoint], DB[samplingTag])</f>
        <v>SV123.01</v>
      </c>
      <c r="D357" s="33" t="s">
        <v>158</v>
      </c>
      <c r="E357" s="38" t="b">
        <v>1</v>
      </c>
      <c r="F357" s="39" t="str">
        <f t="array" ref="F357">_xlfn.XLOOKUP($B357, DB[samplingPoint], DB[noLocation])</f>
        <v>WATER SYSTEM (B16)</v>
      </c>
      <c r="G357" s="33" t="s">
        <v>327</v>
      </c>
      <c r="H357" s="40" t="str">
        <f t="array" ref="H357">_xlfn.XLOOKUP($B357, DB[samplingPoint], DB[location])</f>
        <v>After Storage tank (B16)</v>
      </c>
      <c r="I357" s="39" t="str">
        <f t="array" ref="I357">_xlfn.XLOOKUP($B357, DB[samplingPoint], DB[waterType])</f>
        <v>PW</v>
      </c>
      <c r="J357" s="43">
        <f t="shared" si="1"/>
        <v>46091</v>
      </c>
      <c r="K357" s="26">
        <v>46094.0</v>
      </c>
      <c r="L357" s="32">
        <v>0.0</v>
      </c>
      <c r="M357" s="32">
        <v>0.0</v>
      </c>
      <c r="N357" s="32">
        <f t="shared" si="2"/>
        <v>0</v>
      </c>
      <c r="O357" s="49" t="s">
        <v>587</v>
      </c>
      <c r="P357" s="32">
        <f t="array" ref="P357">_xlfn.XLOOKUP($B357, DB[samplingPoint], DB[Criteria])</f>
        <v>100</v>
      </c>
      <c r="Q357" s="50" t="str">
        <f t="shared" si="3"/>
        <v>PASSED</v>
      </c>
      <c r="R357" s="38" t="b">
        <v>0</v>
      </c>
      <c r="S357" s="35" t="s">
        <v>28</v>
      </c>
      <c r="T357" s="39" t="s">
        <v>386</v>
      </c>
      <c r="U357" s="32" t="s">
        <v>304</v>
      </c>
    </row>
    <row r="358" ht="22.5" customHeight="1">
      <c r="A358" s="26">
        <v>46090.0</v>
      </c>
      <c r="B358" s="201" t="s">
        <v>457</v>
      </c>
      <c r="C358" s="32" t="str">
        <f t="array" ref="C358">_xlfn.XLOOKUP(B358, DB[samplingPoint], DB[samplingTag])</f>
        <v>SV126.01</v>
      </c>
      <c r="D358" s="33" t="s">
        <v>158</v>
      </c>
      <c r="E358" s="38" t="b">
        <v>1</v>
      </c>
      <c r="F358" s="39" t="str">
        <f t="array" ref="F358">_xlfn.XLOOKUP($B358, DB[samplingPoint], DB[noLocation])</f>
        <v>16-1-092</v>
      </c>
      <c r="G358" s="33" t="s">
        <v>327</v>
      </c>
      <c r="H358" s="40" t="str">
        <f t="array" ref="H358">_xlfn.XLOOKUP($B358, DB[samplingPoint], DB[location])</f>
        <v>LINEN WASHING</v>
      </c>
      <c r="I358" s="39" t="str">
        <f t="array" ref="I358">_xlfn.XLOOKUP($B358, DB[samplingPoint], DB[waterType])</f>
        <v>PW</v>
      </c>
      <c r="J358" s="43">
        <f t="shared" si="1"/>
        <v>46091</v>
      </c>
      <c r="K358" s="26">
        <v>46094.0</v>
      </c>
      <c r="L358" s="32">
        <v>0.0</v>
      </c>
      <c r="M358" s="32">
        <v>0.0</v>
      </c>
      <c r="N358" s="32">
        <f t="shared" si="2"/>
        <v>0</v>
      </c>
      <c r="O358" s="49" t="s">
        <v>587</v>
      </c>
      <c r="P358" s="32">
        <f t="array" ref="P358">_xlfn.XLOOKUP($B358, DB[samplingPoint], DB[Criteria])</f>
        <v>100</v>
      </c>
      <c r="Q358" s="50" t="str">
        <f t="shared" si="3"/>
        <v>PASSED</v>
      </c>
      <c r="R358" s="38" t="b">
        <v>0</v>
      </c>
      <c r="S358" s="35" t="s">
        <v>28</v>
      </c>
      <c r="T358" s="39" t="s">
        <v>386</v>
      </c>
      <c r="U358" s="32" t="s">
        <v>304</v>
      </c>
    </row>
    <row r="359" ht="22.5" customHeight="1">
      <c r="A359" s="26">
        <v>46090.0</v>
      </c>
      <c r="B359" s="201" t="s">
        <v>459</v>
      </c>
      <c r="C359" s="32" t="str">
        <f t="array" ref="C359">_xlfn.XLOOKUP(B359, DB[samplingPoint], DB[samplingTag])</f>
        <v>SV126.02</v>
      </c>
      <c r="D359" s="33" t="s">
        <v>158</v>
      </c>
      <c r="E359" s="38" t="b">
        <v>1</v>
      </c>
      <c r="F359" s="39" t="str">
        <f t="array" ref="F359">_xlfn.XLOOKUP($B359, DB[samplingPoint], DB[noLocation])</f>
        <v>16-1-098</v>
      </c>
      <c r="G359" s="33" t="s">
        <v>327</v>
      </c>
      <c r="H359" s="40" t="str">
        <f t="array" ref="H359">_xlfn.XLOOKUP($B359, DB[samplingPoint], DB[location])</f>
        <v>CIP/SIP (EQUIPMENT REQUIREMENT – 200L)</v>
      </c>
      <c r="I359" s="39" t="str">
        <f t="array" ref="I359">_xlfn.XLOOKUP($B359, DB[samplingPoint], DB[waterType])</f>
        <v>PW</v>
      </c>
      <c r="J359" s="43">
        <f t="shared" si="1"/>
        <v>46091</v>
      </c>
      <c r="K359" s="26">
        <v>46094.0</v>
      </c>
      <c r="L359" s="32">
        <v>0.0</v>
      </c>
      <c r="M359" s="32">
        <v>0.0</v>
      </c>
      <c r="N359" s="32">
        <f t="shared" si="2"/>
        <v>0</v>
      </c>
      <c r="O359" s="49" t="s">
        <v>587</v>
      </c>
      <c r="P359" s="32">
        <f t="array" ref="P359">_xlfn.XLOOKUP($B359, DB[samplingPoint], DB[Criteria])</f>
        <v>100</v>
      </c>
      <c r="Q359" s="50" t="str">
        <f t="shared" si="3"/>
        <v>PASSED</v>
      </c>
      <c r="R359" s="38" t="b">
        <v>0</v>
      </c>
      <c r="S359" s="35" t="s">
        <v>28</v>
      </c>
      <c r="T359" s="39" t="s">
        <v>386</v>
      </c>
      <c r="U359" s="32" t="s">
        <v>304</v>
      </c>
    </row>
    <row r="360" ht="22.5" customHeight="1">
      <c r="A360" s="26">
        <v>46090.0</v>
      </c>
      <c r="B360" s="200" t="s">
        <v>461</v>
      </c>
      <c r="C360" s="32" t="str">
        <f t="array" ref="C360">_xlfn.XLOOKUP(B360, DB[samplingPoint], DB[samplingTag])</f>
        <v>SV126.03</v>
      </c>
      <c r="D360" s="33" t="s">
        <v>158</v>
      </c>
      <c r="E360" s="38" t="b">
        <v>1</v>
      </c>
      <c r="F360" s="39" t="str">
        <f t="array" ref="F360">_xlfn.XLOOKUP($B360, DB[samplingPoint], DB[noLocation])</f>
        <v>16-2-010</v>
      </c>
      <c r="G360" s="33" t="s">
        <v>327</v>
      </c>
      <c r="H360" s="40" t="str">
        <f t="array" ref="H360">_xlfn.XLOOKUP($B360, DB[samplingPoint], DB[location])</f>
        <v>WATER SYSTEM (WFI)</v>
      </c>
      <c r="I360" s="39" t="str">
        <f t="array" ref="I360">_xlfn.XLOOKUP($B360, DB[samplingPoint], DB[waterType])</f>
        <v>PW</v>
      </c>
      <c r="J360" s="43">
        <f t="shared" si="1"/>
        <v>46091</v>
      </c>
      <c r="K360" s="26">
        <v>46094.0</v>
      </c>
      <c r="L360" s="32">
        <v>0.0</v>
      </c>
      <c r="M360" s="32">
        <v>0.0</v>
      </c>
      <c r="N360" s="32">
        <f t="shared" si="2"/>
        <v>0</v>
      </c>
      <c r="O360" s="49" t="s">
        <v>587</v>
      </c>
      <c r="P360" s="32">
        <f t="array" ref="P360">_xlfn.XLOOKUP($B360, DB[samplingPoint], DB[Criteria])</f>
        <v>100</v>
      </c>
      <c r="Q360" s="50" t="str">
        <f t="shared" si="3"/>
        <v>PASSED</v>
      </c>
      <c r="R360" s="38" t="b">
        <v>0</v>
      </c>
      <c r="S360" s="35" t="s">
        <v>28</v>
      </c>
      <c r="T360" s="39" t="s">
        <v>386</v>
      </c>
      <c r="U360" s="32" t="s">
        <v>304</v>
      </c>
    </row>
    <row r="361" ht="22.5" customHeight="1">
      <c r="A361" s="26">
        <v>46090.0</v>
      </c>
      <c r="B361" s="201" t="s">
        <v>486</v>
      </c>
      <c r="C361" s="32" t="str">
        <f t="array" ref="C361">_xlfn.XLOOKUP(B361, DB[samplingPoint], DB[samplingTag])</f>
        <v>SV126.04</v>
      </c>
      <c r="D361" s="33" t="s">
        <v>158</v>
      </c>
      <c r="E361" s="38" t="b">
        <v>1</v>
      </c>
      <c r="F361" s="39" t="str">
        <f t="array" ref="F361">_xlfn.XLOOKUP($B361, DB[samplingPoint], DB[noLocation])</f>
        <v>16-2-010</v>
      </c>
      <c r="G361" s="33" t="s">
        <v>327</v>
      </c>
      <c r="H361" s="40" t="str">
        <f t="array" ref="H361">_xlfn.XLOOKUP($B361, DB[samplingPoint], DB[location])</f>
        <v>WATER SYSTEM (PSG)</v>
      </c>
      <c r="I361" s="39" t="str">
        <f t="array" ref="I361">_xlfn.XLOOKUP($B361, DB[samplingPoint], DB[waterType])</f>
        <v>PW</v>
      </c>
      <c r="J361" s="43">
        <f t="shared" si="1"/>
        <v>46091</v>
      </c>
      <c r="K361" s="26">
        <v>46094.0</v>
      </c>
      <c r="L361" s="32">
        <v>0.0</v>
      </c>
      <c r="M361" s="32">
        <v>0.0</v>
      </c>
      <c r="N361" s="32">
        <f t="shared" si="2"/>
        <v>0</v>
      </c>
      <c r="O361" s="49" t="s">
        <v>587</v>
      </c>
      <c r="P361" s="32">
        <f t="array" ref="P361">_xlfn.XLOOKUP($B361, DB[samplingPoint], DB[Criteria])</f>
        <v>100</v>
      </c>
      <c r="Q361" s="50" t="str">
        <f t="shared" si="3"/>
        <v>PASSED</v>
      </c>
      <c r="R361" s="38" t="b">
        <v>0</v>
      </c>
      <c r="S361" s="35" t="s">
        <v>28</v>
      </c>
      <c r="T361" s="39" t="s">
        <v>386</v>
      </c>
      <c r="U361" s="32" t="s">
        <v>304</v>
      </c>
    </row>
    <row r="362" ht="22.5" customHeight="1">
      <c r="A362" s="26">
        <v>46090.0</v>
      </c>
      <c r="B362" s="200" t="s">
        <v>564</v>
      </c>
      <c r="C362" s="32" t="str">
        <f t="array" ref="C362">_xlfn.XLOOKUP(B362, DB[samplingPoint], DB[samplingTag])</f>
        <v>SV126.05</v>
      </c>
      <c r="D362" s="33" t="s">
        <v>158</v>
      </c>
      <c r="E362" s="38" t="b">
        <v>1</v>
      </c>
      <c r="F362" s="39" t="str">
        <f t="array" ref="F362">_xlfn.XLOOKUP($B362, DB[samplingPoint], DB[noLocation])</f>
        <v>16-3-049</v>
      </c>
      <c r="G362" s="33" t="s">
        <v>327</v>
      </c>
      <c r="H362" s="40" t="str">
        <f t="array" ref="H362">_xlfn.XLOOKUP($B362, DB[samplingPoint], DB[location])</f>
        <v>LINEN WASHING</v>
      </c>
      <c r="I362" s="39" t="str">
        <f t="array" ref="I362">_xlfn.XLOOKUP($B362, DB[samplingPoint], DB[waterType])</f>
        <v>PW</v>
      </c>
      <c r="J362" s="43">
        <f t="shared" si="1"/>
        <v>46091</v>
      </c>
      <c r="K362" s="26">
        <v>46094.0</v>
      </c>
      <c r="L362" s="32">
        <v>0.0</v>
      </c>
      <c r="M362" s="32">
        <v>0.0</v>
      </c>
      <c r="N362" s="32">
        <f t="shared" si="2"/>
        <v>0</v>
      </c>
      <c r="O362" s="49" t="s">
        <v>587</v>
      </c>
      <c r="P362" s="32">
        <f t="array" ref="P362">_xlfn.XLOOKUP($B362, DB[samplingPoint], DB[Criteria])</f>
        <v>100</v>
      </c>
      <c r="Q362" s="50" t="str">
        <f t="shared" si="3"/>
        <v>PASSED</v>
      </c>
      <c r="R362" s="38" t="b">
        <v>0</v>
      </c>
      <c r="S362" s="35" t="s">
        <v>28</v>
      </c>
      <c r="T362" s="39" t="s">
        <v>386</v>
      </c>
      <c r="U362" s="32" t="s">
        <v>304</v>
      </c>
    </row>
    <row r="363" ht="22.5" customHeight="1">
      <c r="A363" s="26">
        <v>46090.0</v>
      </c>
      <c r="B363" s="200" t="s">
        <v>567</v>
      </c>
      <c r="C363" s="32" t="str">
        <f t="array" ref="C363">_xlfn.XLOOKUP(B363, DB[samplingPoint], DB[samplingTag])</f>
        <v>SV126.06</v>
      </c>
      <c r="D363" s="33" t="s">
        <v>158</v>
      </c>
      <c r="E363" s="38" t="b">
        <v>1</v>
      </c>
      <c r="F363" s="39" t="str">
        <f t="array" ref="F363">_xlfn.XLOOKUP($B363, DB[samplingPoint], DB[noLocation])</f>
        <v>16-3-067</v>
      </c>
      <c r="G363" s="33" t="s">
        <v>327</v>
      </c>
      <c r="H363" s="40" t="str">
        <f t="array" ref="H363">_xlfn.XLOOKUP($B363, DB[samplingPoint], DB[location])</f>
        <v>MFG 1</v>
      </c>
      <c r="I363" s="39" t="str">
        <f t="array" ref="I363">_xlfn.XLOOKUP($B363, DB[samplingPoint], DB[waterType])</f>
        <v>PW</v>
      </c>
      <c r="J363" s="43">
        <f t="shared" si="1"/>
        <v>46091</v>
      </c>
      <c r="K363" s="26">
        <v>46094.0</v>
      </c>
      <c r="L363" s="32">
        <v>0.0</v>
      </c>
      <c r="M363" s="32">
        <v>0.0</v>
      </c>
      <c r="N363" s="32">
        <f t="shared" si="2"/>
        <v>0</v>
      </c>
      <c r="O363" s="49" t="s">
        <v>587</v>
      </c>
      <c r="P363" s="32">
        <f t="array" ref="P363">_xlfn.XLOOKUP($B363, DB[samplingPoint], DB[Criteria])</f>
        <v>100</v>
      </c>
      <c r="Q363" s="50" t="str">
        <f t="shared" si="3"/>
        <v>PASSED</v>
      </c>
      <c r="R363" s="38" t="b">
        <v>0</v>
      </c>
      <c r="S363" s="35" t="s">
        <v>28</v>
      </c>
      <c r="T363" s="39" t="s">
        <v>386</v>
      </c>
      <c r="U363" s="32" t="s">
        <v>304</v>
      </c>
    </row>
    <row r="364" ht="22.5" customHeight="1">
      <c r="A364" s="26">
        <v>46090.0</v>
      </c>
      <c r="B364" s="200" t="s">
        <v>561</v>
      </c>
      <c r="C364" s="32" t="str">
        <f t="array" ref="C364">_xlfn.XLOOKUP(B364, DB[samplingPoint], DB[samplingTag])</f>
        <v>SV126.09</v>
      </c>
      <c r="D364" s="33" t="s">
        <v>158</v>
      </c>
      <c r="E364" s="38" t="b">
        <v>1</v>
      </c>
      <c r="F364" s="39" t="str">
        <f t="array" ref="F364">_xlfn.XLOOKUP($B364, DB[samplingPoint], DB[noLocation])</f>
        <v>16-3-071</v>
      </c>
      <c r="G364" s="33" t="s">
        <v>327</v>
      </c>
      <c r="H364" s="40" t="str">
        <f t="array" ref="H364">_xlfn.XLOOKUP($B364, DB[samplingPoint], DB[location])</f>
        <v>MFG 3 (5000L)</v>
      </c>
      <c r="I364" s="39" t="str">
        <f t="array" ref="I364">_xlfn.XLOOKUP($B364, DB[samplingPoint], DB[waterType])</f>
        <v>PW</v>
      </c>
      <c r="J364" s="43">
        <f t="shared" si="1"/>
        <v>46091</v>
      </c>
      <c r="K364" s="26">
        <v>46094.0</v>
      </c>
      <c r="L364" s="32">
        <v>0.0</v>
      </c>
      <c r="M364" s="32">
        <v>0.0</v>
      </c>
      <c r="N364" s="32">
        <f t="shared" si="2"/>
        <v>0</v>
      </c>
      <c r="O364" s="49" t="s">
        <v>587</v>
      </c>
      <c r="P364" s="32">
        <f t="array" ref="P364">_xlfn.XLOOKUP($B364, DB[samplingPoint], DB[Criteria])</f>
        <v>100</v>
      </c>
      <c r="Q364" s="50" t="str">
        <f t="shared" si="3"/>
        <v>PASSED</v>
      </c>
      <c r="R364" s="38" t="b">
        <v>0</v>
      </c>
      <c r="S364" s="35" t="s">
        <v>28</v>
      </c>
      <c r="T364" s="39" t="s">
        <v>386</v>
      </c>
      <c r="U364" s="32" t="s">
        <v>304</v>
      </c>
    </row>
    <row r="365" ht="22.5" customHeight="1">
      <c r="A365" s="26">
        <v>46090.0</v>
      </c>
      <c r="B365" s="201" t="s">
        <v>557</v>
      </c>
      <c r="C365" s="32" t="str">
        <f t="array" ref="C365">_xlfn.XLOOKUP(B365, DB[samplingPoint], DB[samplingTag])</f>
        <v>SV126.10</v>
      </c>
      <c r="D365" s="33" t="s">
        <v>158</v>
      </c>
      <c r="E365" s="38" t="b">
        <v>1</v>
      </c>
      <c r="F365" s="39" t="str">
        <f t="array" ref="F365">_xlfn.XLOOKUP($B365, DB[samplingPoint], DB[noLocation])</f>
        <v>16-3-071</v>
      </c>
      <c r="G365" s="33" t="s">
        <v>327</v>
      </c>
      <c r="H365" s="40" t="str">
        <f t="array" ref="H365">_xlfn.XLOOKUP($B365, DB[samplingPoint], DB[location])</f>
        <v>MFG 3 (1200L)</v>
      </c>
      <c r="I365" s="39" t="str">
        <f t="array" ref="I365">_xlfn.XLOOKUP($B365, DB[samplingPoint], DB[waterType])</f>
        <v>PW</v>
      </c>
      <c r="J365" s="43">
        <f t="shared" si="1"/>
        <v>46091</v>
      </c>
      <c r="K365" s="26">
        <v>46094.0</v>
      </c>
      <c r="L365" s="32">
        <v>0.0</v>
      </c>
      <c r="M365" s="32">
        <v>0.0</v>
      </c>
      <c r="N365" s="32">
        <f t="shared" si="2"/>
        <v>0</v>
      </c>
      <c r="O365" s="49" t="s">
        <v>587</v>
      </c>
      <c r="P365" s="32">
        <f t="array" ref="P365">_xlfn.XLOOKUP($B365, DB[samplingPoint], DB[Criteria])</f>
        <v>100</v>
      </c>
      <c r="Q365" s="50" t="str">
        <f t="shared" si="3"/>
        <v>PASSED</v>
      </c>
      <c r="R365" s="38" t="b">
        <v>0</v>
      </c>
      <c r="S365" s="35" t="s">
        <v>28</v>
      </c>
      <c r="T365" s="39" t="s">
        <v>386</v>
      </c>
      <c r="U365" s="32" t="s">
        <v>304</v>
      </c>
    </row>
    <row r="366" ht="22.5" customHeight="1">
      <c r="A366" s="26">
        <v>46090.0</v>
      </c>
      <c r="B366" s="201" t="s">
        <v>481</v>
      </c>
      <c r="C366" s="32" t="str">
        <f t="array" ref="C366">_xlfn.XLOOKUP(B366, DB[samplingPoint], DB[samplingTag])</f>
        <v>SV126.15</v>
      </c>
      <c r="D366" s="33" t="s">
        <v>158</v>
      </c>
      <c r="E366" s="38" t="b">
        <v>1</v>
      </c>
      <c r="F366" s="39" t="str">
        <f t="array" ref="F366">_xlfn.XLOOKUP($B366, DB[samplingPoint], DB[noLocation])</f>
        <v>16-3-075</v>
      </c>
      <c r="G366" s="33" t="s">
        <v>327</v>
      </c>
      <c r="H366" s="40" t="str">
        <f t="array" ref="H366">_xlfn.XLOOKUP($B366, DB[samplingPoint], DB[location])</f>
        <v>MFG 5 PROCESS (2000L)</v>
      </c>
      <c r="I366" s="39" t="str">
        <f t="array" ref="I366">_xlfn.XLOOKUP($B366, DB[samplingPoint], DB[waterType])</f>
        <v>PW</v>
      </c>
      <c r="J366" s="43">
        <f t="shared" si="1"/>
        <v>46091</v>
      </c>
      <c r="K366" s="26">
        <v>46094.0</v>
      </c>
      <c r="L366" s="32">
        <v>0.0</v>
      </c>
      <c r="M366" s="32">
        <v>0.0</v>
      </c>
      <c r="N366" s="32">
        <f t="shared" si="2"/>
        <v>0</v>
      </c>
      <c r="O366" s="49" t="s">
        <v>587</v>
      </c>
      <c r="P366" s="32">
        <f t="array" ref="P366">_xlfn.XLOOKUP($B366, DB[samplingPoint], DB[Criteria])</f>
        <v>100</v>
      </c>
      <c r="Q366" s="50" t="str">
        <f t="shared" si="3"/>
        <v>PASSED</v>
      </c>
      <c r="R366" s="38" t="b">
        <v>0</v>
      </c>
      <c r="S366" s="35" t="s">
        <v>28</v>
      </c>
      <c r="T366" s="39" t="s">
        <v>386</v>
      </c>
      <c r="U366" s="32" t="s">
        <v>304</v>
      </c>
    </row>
    <row r="367" ht="22.5" customHeight="1">
      <c r="A367" s="26">
        <v>46090.0</v>
      </c>
      <c r="B367" s="200" t="s">
        <v>568</v>
      </c>
      <c r="C367" s="32" t="str">
        <f t="array" ref="C367">_xlfn.XLOOKUP(B367, DB[samplingPoint], DB[samplingTag])</f>
        <v>SV126.18</v>
      </c>
      <c r="D367" s="33" t="s">
        <v>158</v>
      </c>
      <c r="E367" s="38" t="b">
        <v>1</v>
      </c>
      <c r="F367" s="39" t="str">
        <f t="array" ref="F367">_xlfn.XLOOKUP($B367, DB[samplingPoint], DB[noLocation])</f>
        <v>16-3-085</v>
      </c>
      <c r="G367" s="33" t="s">
        <v>327</v>
      </c>
      <c r="H367" s="40" t="str">
        <f t="array" ref="H367">_xlfn.XLOOKUP($B367, DB[samplingPoint], DB[location])</f>
        <v>CIP 3 (EQUIPMENT REQUIREMENT)</v>
      </c>
      <c r="I367" s="39" t="str">
        <f t="array" ref="I367">_xlfn.XLOOKUP($B367, DB[samplingPoint], DB[waterType])</f>
        <v>PW</v>
      </c>
      <c r="J367" s="43">
        <f t="shared" si="1"/>
        <v>46091</v>
      </c>
      <c r="K367" s="26">
        <v>46094.0</v>
      </c>
      <c r="L367" s="32">
        <v>0.0</v>
      </c>
      <c r="M367" s="32">
        <v>0.0</v>
      </c>
      <c r="N367" s="32">
        <f t="shared" si="2"/>
        <v>0</v>
      </c>
      <c r="O367" s="49" t="s">
        <v>587</v>
      </c>
      <c r="P367" s="32">
        <f t="array" ref="P367">_xlfn.XLOOKUP($B367, DB[samplingPoint], DB[Criteria])</f>
        <v>100</v>
      </c>
      <c r="Q367" s="50" t="str">
        <f t="shared" si="3"/>
        <v>PASSED</v>
      </c>
      <c r="R367" s="38" t="b">
        <v>0</v>
      </c>
      <c r="S367" s="35" t="s">
        <v>28</v>
      </c>
      <c r="T367" s="39" t="s">
        <v>386</v>
      </c>
      <c r="U367" s="32" t="s">
        <v>304</v>
      </c>
    </row>
    <row r="368" ht="22.5" customHeight="1">
      <c r="A368" s="26">
        <v>46090.0</v>
      </c>
      <c r="B368" s="201" t="s">
        <v>472</v>
      </c>
      <c r="C368" s="32" t="str">
        <f t="array" ref="C368">_xlfn.XLOOKUP(B368, DB[samplingPoint], DB[samplingTag])</f>
        <v>SV126.19</v>
      </c>
      <c r="D368" s="33" t="s">
        <v>158</v>
      </c>
      <c r="E368" s="38" t="b">
        <v>1</v>
      </c>
      <c r="F368" s="39" t="str">
        <f t="array" ref="F368">_xlfn.XLOOKUP($B368, DB[samplingPoint], DB[noLocation])</f>
        <v>16-3-087</v>
      </c>
      <c r="G368" s="33" t="s">
        <v>327</v>
      </c>
      <c r="H368" s="40" t="str">
        <f t="array" ref="H368">_xlfn.XLOOKUP($B368, DB[samplingPoint], DB[location])</f>
        <v>CIP 2 (EQUIPMENT REQUIREMENT)</v>
      </c>
      <c r="I368" s="39" t="str">
        <f t="array" ref="I368">_xlfn.XLOOKUP($B368, DB[samplingPoint], DB[waterType])</f>
        <v>PW</v>
      </c>
      <c r="J368" s="43">
        <f t="shared" si="1"/>
        <v>46091</v>
      </c>
      <c r="K368" s="26">
        <v>46094.0</v>
      </c>
      <c r="L368" s="32">
        <v>0.0</v>
      </c>
      <c r="M368" s="32">
        <v>0.0</v>
      </c>
      <c r="N368" s="32">
        <f t="shared" si="2"/>
        <v>0</v>
      </c>
      <c r="O368" s="49" t="s">
        <v>587</v>
      </c>
      <c r="P368" s="32">
        <f t="array" ref="P368">_xlfn.XLOOKUP($B368, DB[samplingPoint], DB[Criteria])</f>
        <v>100</v>
      </c>
      <c r="Q368" s="50" t="str">
        <f t="shared" si="3"/>
        <v>PASSED</v>
      </c>
      <c r="R368" s="38" t="b">
        <v>0</v>
      </c>
      <c r="S368" s="35" t="s">
        <v>28</v>
      </c>
      <c r="T368" s="39" t="s">
        <v>386</v>
      </c>
      <c r="U368" s="32" t="s">
        <v>304</v>
      </c>
    </row>
    <row r="369" ht="22.5" customHeight="1">
      <c r="A369" s="26">
        <v>46090.0</v>
      </c>
      <c r="B369" s="201" t="s">
        <v>569</v>
      </c>
      <c r="C369" s="32" t="str">
        <f t="array" ref="C369">_xlfn.XLOOKUP(B369, DB[samplingPoint], DB[samplingTag])</f>
        <v>SV126.21</v>
      </c>
      <c r="D369" s="33" t="s">
        <v>158</v>
      </c>
      <c r="E369" s="38" t="b">
        <v>1</v>
      </c>
      <c r="F369" s="39" t="str">
        <f t="array" ref="F369">_xlfn.XLOOKUP($B369, DB[samplingPoint], DB[noLocation])</f>
        <v>16-3-090</v>
      </c>
      <c r="G369" s="33" t="s">
        <v>327</v>
      </c>
      <c r="H369" s="40" t="str">
        <f t="array" ref="H369">_xlfn.XLOOKUP($B369, DB[samplingPoint], DB[location])</f>
        <v>CIP 1 (EQUIPMENT REQUIREMENT)</v>
      </c>
      <c r="I369" s="39" t="str">
        <f t="array" ref="I369">_xlfn.XLOOKUP($B369, DB[samplingPoint], DB[waterType])</f>
        <v>PW</v>
      </c>
      <c r="J369" s="43">
        <f t="shared" si="1"/>
        <v>46091</v>
      </c>
      <c r="K369" s="26">
        <v>46094.0</v>
      </c>
      <c r="L369" s="32">
        <v>0.0</v>
      </c>
      <c r="M369" s="32">
        <v>0.0</v>
      </c>
      <c r="N369" s="32">
        <f t="shared" si="2"/>
        <v>0</v>
      </c>
      <c r="O369" s="49" t="s">
        <v>587</v>
      </c>
      <c r="P369" s="32">
        <f t="array" ref="P369">_xlfn.XLOOKUP($B369, DB[samplingPoint], DB[Criteria])</f>
        <v>100</v>
      </c>
      <c r="Q369" s="50" t="str">
        <f t="shared" si="3"/>
        <v>PASSED</v>
      </c>
      <c r="R369" s="38" t="b">
        <v>0</v>
      </c>
      <c r="S369" s="35" t="s">
        <v>28</v>
      </c>
      <c r="T369" s="39" t="s">
        <v>386</v>
      </c>
      <c r="U369" s="32" t="s">
        <v>304</v>
      </c>
    </row>
    <row r="370" ht="22.5" customHeight="1">
      <c r="A370" s="26">
        <v>46090.0</v>
      </c>
      <c r="B370" s="200" t="s">
        <v>464</v>
      </c>
      <c r="C370" s="32" t="str">
        <f t="array" ref="C370">_xlfn.XLOOKUP(B370, DB[samplingPoint], DB[samplingTag])</f>
        <v>SV127.01</v>
      </c>
      <c r="D370" s="33" t="s">
        <v>158</v>
      </c>
      <c r="E370" s="38" t="b">
        <v>1</v>
      </c>
      <c r="F370" s="39" t="str">
        <f t="array" ref="F370">_xlfn.XLOOKUP($B370, DB[samplingPoint], DB[noLocation])</f>
        <v>WATER SYSTEM (B16)</v>
      </c>
      <c r="G370" s="33" t="s">
        <v>327</v>
      </c>
      <c r="H370" s="40" t="str">
        <f t="array" ref="H370">_xlfn.XLOOKUP($B370, DB[samplingPoint], DB[location])</f>
        <v>Return loop (B16)</v>
      </c>
      <c r="I370" s="39" t="str">
        <f t="array" ref="I370">_xlfn.XLOOKUP($B370, DB[samplingPoint], DB[waterType])</f>
        <v>PW</v>
      </c>
      <c r="J370" s="43">
        <f t="shared" si="1"/>
        <v>46091</v>
      </c>
      <c r="K370" s="26">
        <v>46094.0</v>
      </c>
      <c r="L370" s="32">
        <v>0.0</v>
      </c>
      <c r="M370" s="32">
        <v>0.0</v>
      </c>
      <c r="N370" s="32">
        <f t="shared" si="2"/>
        <v>0</v>
      </c>
      <c r="O370" s="49" t="s">
        <v>998</v>
      </c>
      <c r="P370" s="32">
        <f t="array" ref="P370">_xlfn.XLOOKUP($B370, DB[samplingPoint], DB[Criteria])</f>
        <v>100</v>
      </c>
      <c r="Q370" s="50" t="str">
        <f t="shared" si="3"/>
        <v>PASSED</v>
      </c>
      <c r="R370" s="38" t="b">
        <v>0</v>
      </c>
      <c r="S370" s="35" t="s">
        <v>28</v>
      </c>
      <c r="T370" s="39" t="s">
        <v>386</v>
      </c>
      <c r="U370" s="32" t="s">
        <v>304</v>
      </c>
    </row>
    <row r="371" ht="22.5" customHeight="1">
      <c r="A371" s="26">
        <v>46090.0</v>
      </c>
      <c r="B371" s="200" t="s">
        <v>464</v>
      </c>
      <c r="C371" s="32" t="str">
        <f t="array" ref="C371">_xlfn.XLOOKUP(B371, DB[samplingPoint], DB[samplingTag])</f>
        <v>SV127.01</v>
      </c>
      <c r="D371" s="33" t="s">
        <v>158</v>
      </c>
      <c r="E371" s="38" t="b">
        <v>1</v>
      </c>
      <c r="F371" s="39" t="str">
        <f t="array" ref="F371">_xlfn.XLOOKUP($B371, DB[samplingPoint], DB[noLocation])</f>
        <v>WATER SYSTEM (B16)</v>
      </c>
      <c r="G371" s="33" t="s">
        <v>327</v>
      </c>
      <c r="H371" s="40" t="str">
        <f t="array" ref="H371">_xlfn.XLOOKUP($B371, DB[samplingPoint], DB[location])</f>
        <v>Return loop (B16)</v>
      </c>
      <c r="I371" s="39" t="str">
        <f t="array" ref="I371">_xlfn.XLOOKUP($B371, DB[samplingPoint], DB[waterType])</f>
        <v>PW</v>
      </c>
      <c r="J371" s="43">
        <f t="shared" si="1"/>
        <v>46091</v>
      </c>
      <c r="K371" s="26">
        <v>46094.0</v>
      </c>
      <c r="L371" s="32">
        <v>0.0</v>
      </c>
      <c r="M371" s="32">
        <v>0.0</v>
      </c>
      <c r="N371" s="32">
        <f t="shared" si="2"/>
        <v>0</v>
      </c>
      <c r="O371" s="49" t="s">
        <v>587</v>
      </c>
      <c r="P371" s="32">
        <f t="array" ref="P371">_xlfn.XLOOKUP($B371, DB[samplingPoint], DB[Criteria])</f>
        <v>100</v>
      </c>
      <c r="Q371" s="50" t="str">
        <f t="shared" si="3"/>
        <v>PASSED</v>
      </c>
      <c r="R371" s="38" t="b">
        <v>0</v>
      </c>
      <c r="S371" s="35" t="s">
        <v>28</v>
      </c>
      <c r="T371" s="39" t="s">
        <v>386</v>
      </c>
      <c r="U371" s="32" t="s">
        <v>304</v>
      </c>
    </row>
    <row r="372" ht="22.5" customHeight="1">
      <c r="A372" s="26">
        <v>46090.0</v>
      </c>
      <c r="B372" s="201" t="s">
        <v>468</v>
      </c>
      <c r="C372" s="32" t="str">
        <f t="array" ref="C372">_xlfn.XLOOKUP(B372, DB[samplingPoint], DB[samplingTag])</f>
        <v>V50-39 (16)</v>
      </c>
      <c r="D372" s="33" t="s">
        <v>158</v>
      </c>
      <c r="E372" s="38" t="b">
        <v>1</v>
      </c>
      <c r="F372" s="39" t="str">
        <f t="array" ref="F372">_xlfn.XLOOKUP($B372, DB[samplingPoint], DB[noLocation])</f>
        <v>WATER SYSTEM (B16)</v>
      </c>
      <c r="G372" s="33" t="s">
        <v>327</v>
      </c>
      <c r="H372" s="40" t="str">
        <f t="array" ref="H372">_xlfn.XLOOKUP($B372, DB[samplingPoint], DB[location])</f>
        <v>After EDI (B16)</v>
      </c>
      <c r="I372" s="39" t="str">
        <f t="array" ref="I372">_xlfn.XLOOKUP($B372, DB[samplingPoint], DB[waterType])</f>
        <v>PW</v>
      </c>
      <c r="J372" s="43">
        <f t="shared" si="1"/>
        <v>46091</v>
      </c>
      <c r="K372" s="26">
        <v>46094.0</v>
      </c>
      <c r="L372" s="32">
        <v>0.0</v>
      </c>
      <c r="M372" s="32">
        <v>0.0</v>
      </c>
      <c r="N372" s="32">
        <f t="shared" si="2"/>
        <v>0</v>
      </c>
      <c r="O372" s="49" t="s">
        <v>587</v>
      </c>
      <c r="P372" s="32">
        <f t="array" ref="P372">_xlfn.XLOOKUP($B372, DB[samplingPoint], DB[Criteria])</f>
        <v>100</v>
      </c>
      <c r="Q372" s="50" t="str">
        <f t="shared" si="3"/>
        <v>PASSED</v>
      </c>
      <c r="R372" s="38" t="b">
        <v>0</v>
      </c>
      <c r="S372" s="35" t="s">
        <v>28</v>
      </c>
      <c r="T372" s="39" t="s">
        <v>386</v>
      </c>
      <c r="U372" s="32" t="s">
        <v>304</v>
      </c>
    </row>
    <row r="373" ht="22.5" customHeight="1">
      <c r="A373" s="26">
        <v>46092.0</v>
      </c>
      <c r="B373" s="88" t="s">
        <v>435</v>
      </c>
      <c r="C373" s="32" t="str">
        <f t="array" ref="C373">_xlfn.XLOOKUP(B373, DB[samplingPoint], DB[samplingTag])</f>
        <v>SV133.01</v>
      </c>
      <c r="D373" s="33" t="s">
        <v>500</v>
      </c>
      <c r="E373" s="38" t="b">
        <v>1</v>
      </c>
      <c r="F373" s="39" t="str">
        <f t="array" ref="F373">_xlfn.XLOOKUP($B373, DB[samplingPoint], DB[noLocation])</f>
        <v>WATER SYSTEM (B12)</v>
      </c>
      <c r="G373" s="33" t="s">
        <v>437</v>
      </c>
      <c r="H373" s="40" t="str">
        <f t="array" ref="H373">_xlfn.XLOOKUP($B373, DB[samplingPoint], DB[location])</f>
        <v>After Storage tank (B12)</v>
      </c>
      <c r="I373" s="39" t="str">
        <f t="array" ref="I373">_xlfn.XLOOKUP($B373, DB[samplingPoint], DB[waterType])</f>
        <v>PW</v>
      </c>
      <c r="J373" s="43">
        <f t="shared" si="1"/>
        <v>46093</v>
      </c>
      <c r="K373" s="26">
        <v>46096.0</v>
      </c>
      <c r="L373" s="32">
        <v>0.0</v>
      </c>
      <c r="M373" s="32">
        <v>0.0</v>
      </c>
      <c r="N373" s="32">
        <f t="shared" si="2"/>
        <v>0</v>
      </c>
      <c r="O373" s="49"/>
      <c r="P373" s="32">
        <f t="array" ref="P373">_xlfn.XLOOKUP($B373, DB[samplingPoint], DB[Criteria])</f>
        <v>100</v>
      </c>
      <c r="Q373" s="50" t="str">
        <f t="shared" si="3"/>
        <v>PASSED</v>
      </c>
      <c r="R373" s="38" t="b">
        <v>0</v>
      </c>
      <c r="S373" s="35" t="s">
        <v>1000</v>
      </c>
      <c r="T373" s="39" t="s">
        <v>386</v>
      </c>
      <c r="U373" s="32" t="s">
        <v>381</v>
      </c>
    </row>
    <row r="374" ht="22.5" customHeight="1">
      <c r="A374" s="26">
        <v>46092.0</v>
      </c>
      <c r="B374" s="88" t="s">
        <v>438</v>
      </c>
      <c r="C374" s="32" t="str">
        <f t="array" ref="C374">_xlfn.XLOOKUP(B374, DB[samplingPoint], DB[samplingTag])</f>
        <v>SV135.02</v>
      </c>
      <c r="D374" s="33" t="s">
        <v>500</v>
      </c>
      <c r="E374" s="38" t="b">
        <v>1</v>
      </c>
      <c r="F374" s="39" t="str">
        <f t="array" ref="F374">_xlfn.XLOOKUP($B374, DB[samplingPoint], DB[noLocation])</f>
        <v>WATER SYSTEM (B12)</v>
      </c>
      <c r="G374" s="33" t="s">
        <v>437</v>
      </c>
      <c r="H374" s="40" t="str">
        <f t="array" ref="H374">_xlfn.XLOOKUP($B374, DB[samplingPoint], DB[location])</f>
        <v>After UV (B12)</v>
      </c>
      <c r="I374" s="39" t="str">
        <f t="array" ref="I374">_xlfn.XLOOKUP($B374, DB[samplingPoint], DB[waterType])</f>
        <v>PW</v>
      </c>
      <c r="J374" s="43">
        <f t="shared" si="1"/>
        <v>46093</v>
      </c>
      <c r="K374" s="26">
        <v>46096.0</v>
      </c>
      <c r="L374" s="32">
        <v>0.0</v>
      </c>
      <c r="M374" s="32">
        <v>0.0</v>
      </c>
      <c r="N374" s="32">
        <f t="shared" si="2"/>
        <v>0</v>
      </c>
      <c r="O374" s="49"/>
      <c r="P374" s="32">
        <f t="array" ref="P374">_xlfn.XLOOKUP($B374, DB[samplingPoint], DB[Criteria])</f>
        <v>100</v>
      </c>
      <c r="Q374" s="50" t="str">
        <f t="shared" si="3"/>
        <v>PASSED</v>
      </c>
      <c r="R374" s="38" t="b">
        <v>0</v>
      </c>
      <c r="S374" s="35" t="s">
        <v>1000</v>
      </c>
      <c r="T374" s="39" t="s">
        <v>386</v>
      </c>
      <c r="U374" s="32" t="s">
        <v>381</v>
      </c>
    </row>
    <row r="375" ht="22.5" customHeight="1">
      <c r="A375" s="26">
        <v>46092.0</v>
      </c>
      <c r="B375" s="88" t="s">
        <v>430</v>
      </c>
      <c r="C375" s="32" t="str">
        <f t="array" ref="C375">_xlfn.XLOOKUP(B375, DB[samplingPoint], DB[samplingTag])</f>
        <v>SV137.01</v>
      </c>
      <c r="D375" s="33" t="s">
        <v>500</v>
      </c>
      <c r="E375" s="38" t="b">
        <v>1</v>
      </c>
      <c r="F375" s="39" t="str">
        <f t="array" ref="F375">_xlfn.XLOOKUP($B375, DB[samplingPoint], DB[noLocation])</f>
        <v>WATER SYSTEM (B12)</v>
      </c>
      <c r="G375" s="33" t="s">
        <v>437</v>
      </c>
      <c r="H375" s="40" t="str">
        <f t="array" ref="H375">_xlfn.XLOOKUP($B375, DB[samplingPoint], DB[location])</f>
        <v>Return loop (B12)</v>
      </c>
      <c r="I375" s="39" t="str">
        <f t="array" ref="I375">_xlfn.XLOOKUP($B375, DB[samplingPoint], DB[waterType])</f>
        <v>PW</v>
      </c>
      <c r="J375" s="43">
        <f t="shared" si="1"/>
        <v>46093</v>
      </c>
      <c r="K375" s="26">
        <v>46096.0</v>
      </c>
      <c r="L375" s="32">
        <v>0.0</v>
      </c>
      <c r="M375" s="32">
        <v>0.0</v>
      </c>
      <c r="N375" s="32">
        <f t="shared" si="2"/>
        <v>0</v>
      </c>
      <c r="O375" s="49"/>
      <c r="P375" s="32">
        <f t="array" ref="P375">_xlfn.XLOOKUP($B375, DB[samplingPoint], DB[Criteria])</f>
        <v>100</v>
      </c>
      <c r="Q375" s="50" t="str">
        <f t="shared" si="3"/>
        <v>PASSED</v>
      </c>
      <c r="R375" s="38" t="b">
        <v>0</v>
      </c>
      <c r="S375" s="35" t="s">
        <v>1000</v>
      </c>
      <c r="T375" s="39" t="s">
        <v>386</v>
      </c>
      <c r="U375" s="32" t="s">
        <v>381</v>
      </c>
    </row>
    <row r="376" ht="22.5" customHeight="1">
      <c r="A376" s="26">
        <v>46092.0</v>
      </c>
      <c r="B376" s="88" t="s">
        <v>518</v>
      </c>
      <c r="C376" s="32" t="str">
        <f t="array" ref="C376">_xlfn.XLOOKUP(B376, DB[samplingPoint], DB[samplingTag])</f>
        <v>SV136.12</v>
      </c>
      <c r="D376" s="33" t="s">
        <v>500</v>
      </c>
      <c r="E376" s="38" t="b">
        <v>1</v>
      </c>
      <c r="F376" s="39" t="str">
        <f t="array" ref="F376">_xlfn.XLOOKUP($B376, DB[samplingPoint], DB[noLocation])</f>
        <v>12-2-036</v>
      </c>
      <c r="G376" s="33" t="s">
        <v>437</v>
      </c>
      <c r="H376" s="40" t="str">
        <f t="array" ref="H376">_xlfn.XLOOKUP($B376, DB[samplingPoint], DB[location])</f>
        <v>CIP 1</v>
      </c>
      <c r="I376" s="39" t="str">
        <f t="array" ref="I376">_xlfn.XLOOKUP($B376, DB[samplingPoint], DB[waterType])</f>
        <v>PW</v>
      </c>
      <c r="J376" s="43">
        <f t="shared" si="1"/>
        <v>46093</v>
      </c>
      <c r="K376" s="26">
        <v>46096.0</v>
      </c>
      <c r="L376" s="32">
        <v>0.0</v>
      </c>
      <c r="M376" s="32">
        <v>0.0</v>
      </c>
      <c r="N376" s="32">
        <f t="shared" si="2"/>
        <v>0</v>
      </c>
      <c r="O376" s="49"/>
      <c r="P376" s="32">
        <f t="array" ref="P376">_xlfn.XLOOKUP($B376, DB[samplingPoint], DB[Criteria])</f>
        <v>100</v>
      </c>
      <c r="Q376" s="50" t="str">
        <f t="shared" si="3"/>
        <v>PASSED</v>
      </c>
      <c r="R376" s="38" t="b">
        <v>0</v>
      </c>
      <c r="S376" s="35" t="s">
        <v>1000</v>
      </c>
      <c r="T376" s="39" t="s">
        <v>386</v>
      </c>
      <c r="U376" s="32" t="s">
        <v>381</v>
      </c>
    </row>
    <row r="377" ht="22.5" customHeight="1">
      <c r="A377" s="26">
        <v>46092.0</v>
      </c>
      <c r="B377" s="88" t="s">
        <v>517</v>
      </c>
      <c r="C377" s="32" t="str">
        <f t="array" ref="C377">_xlfn.XLOOKUP(B377, DB[samplingPoint], DB[samplingTag])</f>
        <v>SV136.07</v>
      </c>
      <c r="D377" s="33" t="s">
        <v>500</v>
      </c>
      <c r="E377" s="38" t="b">
        <v>1</v>
      </c>
      <c r="F377" s="39" t="str">
        <f t="array" ref="F377">_xlfn.XLOOKUP($B377, DB[samplingPoint], DB[noLocation])</f>
        <v>12-2-034</v>
      </c>
      <c r="G377" s="33" t="s">
        <v>437</v>
      </c>
      <c r="H377" s="40" t="str">
        <f t="array" ref="H377">_xlfn.XLOOKUP($B377, DB[samplingPoint], DB[location])</f>
        <v>SYRUP PREPARATION</v>
      </c>
      <c r="I377" s="39" t="str">
        <f t="array" ref="I377">_xlfn.XLOOKUP($B377, DB[samplingPoint], DB[waterType])</f>
        <v>PW</v>
      </c>
      <c r="J377" s="43">
        <f t="shared" si="1"/>
        <v>46093</v>
      </c>
      <c r="K377" s="26">
        <v>46096.0</v>
      </c>
      <c r="L377" s="32">
        <v>0.0</v>
      </c>
      <c r="M377" s="32">
        <v>0.0</v>
      </c>
      <c r="N377" s="32">
        <f t="shared" si="2"/>
        <v>0</v>
      </c>
      <c r="O377" s="49"/>
      <c r="P377" s="32">
        <f t="array" ref="P377">_xlfn.XLOOKUP($B377, DB[samplingPoint], DB[Criteria])</f>
        <v>100</v>
      </c>
      <c r="Q377" s="50" t="str">
        <f t="shared" si="3"/>
        <v>PASSED</v>
      </c>
      <c r="R377" s="38" t="b">
        <v>0</v>
      </c>
      <c r="S377" s="35" t="s">
        <v>1000</v>
      </c>
      <c r="T377" s="39" t="s">
        <v>386</v>
      </c>
      <c r="U377" s="32" t="s">
        <v>381</v>
      </c>
    </row>
    <row r="378" ht="22.5" customHeight="1">
      <c r="A378" s="26">
        <v>46092.0</v>
      </c>
      <c r="B378" s="88" t="s">
        <v>516</v>
      </c>
      <c r="C378" s="32" t="str">
        <f t="array" ref="C378">_xlfn.XLOOKUP(B378, DB[samplingPoint], DB[samplingTag])</f>
        <v>SV136.06</v>
      </c>
      <c r="D378" s="33" t="s">
        <v>500</v>
      </c>
      <c r="E378" s="38" t="b">
        <v>1</v>
      </c>
      <c r="F378" s="39" t="str">
        <f t="array" ref="F378">_xlfn.XLOOKUP($B378, DB[samplingPoint], DB[noLocation])</f>
        <v>12-2-034</v>
      </c>
      <c r="G378" s="33" t="s">
        <v>437</v>
      </c>
      <c r="H378" s="40" t="str">
        <f t="array" ref="H378">_xlfn.XLOOKUP($B378, DB[samplingPoint], DB[location])</f>
        <v>SYRUP PREPARATION</v>
      </c>
      <c r="I378" s="39" t="str">
        <f t="array" ref="I378">_xlfn.XLOOKUP($B378, DB[samplingPoint], DB[waterType])</f>
        <v>PW</v>
      </c>
      <c r="J378" s="43">
        <f t="shared" si="1"/>
        <v>46093</v>
      </c>
      <c r="K378" s="26">
        <v>46096.0</v>
      </c>
      <c r="L378" s="32">
        <v>0.0</v>
      </c>
      <c r="M378" s="32">
        <v>0.0</v>
      </c>
      <c r="N378" s="32">
        <f t="shared" si="2"/>
        <v>0</v>
      </c>
      <c r="O378" s="49"/>
      <c r="P378" s="32">
        <f t="array" ref="P378">_xlfn.XLOOKUP($B378, DB[samplingPoint], DB[Criteria])</f>
        <v>100</v>
      </c>
      <c r="Q378" s="50" t="str">
        <f t="shared" si="3"/>
        <v>PASSED</v>
      </c>
      <c r="R378" s="38" t="b">
        <v>0</v>
      </c>
      <c r="S378" s="35" t="s">
        <v>1000</v>
      </c>
      <c r="T378" s="39" t="s">
        <v>386</v>
      </c>
      <c r="U378" s="32" t="s">
        <v>381</v>
      </c>
    </row>
    <row r="379" ht="22.5" customHeight="1">
      <c r="A379" s="26">
        <v>46092.0</v>
      </c>
      <c r="B379" s="88" t="s">
        <v>510</v>
      </c>
      <c r="C379" s="32" t="str">
        <f t="array" ref="C379">_xlfn.XLOOKUP(B379, DB[samplingPoint], DB[samplingTag])</f>
        <v>SV136.03</v>
      </c>
      <c r="D379" s="33" t="s">
        <v>500</v>
      </c>
      <c r="E379" s="38" t="b">
        <v>1</v>
      </c>
      <c r="F379" s="39" t="str">
        <f t="array" ref="F379">_xlfn.XLOOKUP($B379, DB[samplingPoint], DB[noLocation])</f>
        <v>12-2-032</v>
      </c>
      <c r="G379" s="33" t="s">
        <v>437</v>
      </c>
      <c r="H379" s="40" t="str">
        <f t="array" ref="H379">_xlfn.XLOOKUP($B379, DB[samplingPoint], DB[location])</f>
        <v>CAMPHORATED OPIUM TINCTURE</v>
      </c>
      <c r="I379" s="39" t="str">
        <f t="array" ref="I379">_xlfn.XLOOKUP($B379, DB[samplingPoint], DB[waterType])</f>
        <v>PW</v>
      </c>
      <c r="J379" s="43">
        <f t="shared" si="1"/>
        <v>46093</v>
      </c>
      <c r="K379" s="26">
        <v>46096.0</v>
      </c>
      <c r="L379" s="32">
        <v>0.0</v>
      </c>
      <c r="M379" s="32">
        <v>0.0</v>
      </c>
      <c r="N379" s="32">
        <f t="shared" si="2"/>
        <v>0</v>
      </c>
      <c r="O379" s="49"/>
      <c r="P379" s="32">
        <f t="array" ref="P379">_xlfn.XLOOKUP($B379, DB[samplingPoint], DB[Criteria])</f>
        <v>100</v>
      </c>
      <c r="Q379" s="50" t="str">
        <f t="shared" si="3"/>
        <v>PASSED</v>
      </c>
      <c r="R379" s="38" t="b">
        <v>0</v>
      </c>
      <c r="S379" s="35" t="s">
        <v>1000</v>
      </c>
      <c r="T379" s="39" t="s">
        <v>386</v>
      </c>
      <c r="U379" s="32" t="s">
        <v>381</v>
      </c>
    </row>
    <row r="380" ht="22.5" customHeight="1">
      <c r="A380" s="26">
        <v>46092.0</v>
      </c>
      <c r="B380" s="88" t="s">
        <v>514</v>
      </c>
      <c r="C380" s="32" t="str">
        <f t="array" ref="C380">_xlfn.XLOOKUP(B380, DB[samplingPoint], DB[samplingTag])</f>
        <v>SV136.05</v>
      </c>
      <c r="D380" s="33" t="s">
        <v>500</v>
      </c>
      <c r="E380" s="38" t="b">
        <v>1</v>
      </c>
      <c r="F380" s="39" t="str">
        <f t="array" ref="F380">_xlfn.XLOOKUP($B380, DB[samplingPoint], DB[noLocation])</f>
        <v>12-2-032</v>
      </c>
      <c r="G380" s="33" t="s">
        <v>437</v>
      </c>
      <c r="H380" s="40" t="str">
        <f t="array" ref="H380">_xlfn.XLOOKUP($B380, DB[samplingPoint], DB[location])</f>
        <v>CAMPHORATED OPIUM TINCTURE</v>
      </c>
      <c r="I380" s="39" t="str">
        <f t="array" ref="I380">_xlfn.XLOOKUP($B380, DB[samplingPoint], DB[waterType])</f>
        <v>PW</v>
      </c>
      <c r="J380" s="43">
        <f t="shared" si="1"/>
        <v>46093</v>
      </c>
      <c r="K380" s="26">
        <v>46096.0</v>
      </c>
      <c r="L380" s="32">
        <v>0.0</v>
      </c>
      <c r="M380" s="32">
        <v>0.0</v>
      </c>
      <c r="N380" s="32">
        <f t="shared" si="2"/>
        <v>0</v>
      </c>
      <c r="O380" s="49"/>
      <c r="P380" s="32">
        <f t="array" ref="P380">_xlfn.XLOOKUP($B380, DB[samplingPoint], DB[Criteria])</f>
        <v>100</v>
      </c>
      <c r="Q380" s="50" t="str">
        <f t="shared" si="3"/>
        <v>PASSED</v>
      </c>
      <c r="R380" s="38" t="b">
        <v>0</v>
      </c>
      <c r="S380" s="35" t="s">
        <v>1000</v>
      </c>
      <c r="T380" s="39" t="s">
        <v>386</v>
      </c>
      <c r="U380" s="32" t="s">
        <v>381</v>
      </c>
    </row>
    <row r="381" ht="22.5" customHeight="1">
      <c r="A381" s="26">
        <v>46092.0</v>
      </c>
      <c r="B381" s="88" t="s">
        <v>513</v>
      </c>
      <c r="C381" s="32" t="str">
        <f t="array" ref="C381">_xlfn.XLOOKUP(B381, DB[samplingPoint], DB[samplingTag])</f>
        <v>SV136.04</v>
      </c>
      <c r="D381" s="33" t="s">
        <v>500</v>
      </c>
      <c r="E381" s="38" t="b">
        <v>1</v>
      </c>
      <c r="F381" s="39" t="str">
        <f t="array" ref="F381">_xlfn.XLOOKUP($B381, DB[samplingPoint], DB[noLocation])</f>
        <v>12-2-030</v>
      </c>
      <c r="G381" s="33" t="s">
        <v>437</v>
      </c>
      <c r="H381" s="40" t="str">
        <f t="array" ref="H381">_xlfn.XLOOKUP($B381, DB[samplingPoint], DB[location])</f>
        <v>OPIUM TINCTURE</v>
      </c>
      <c r="I381" s="39" t="str">
        <f t="array" ref="I381">_xlfn.XLOOKUP($B381, DB[samplingPoint], DB[waterType])</f>
        <v>PW</v>
      </c>
      <c r="J381" s="43">
        <f t="shared" si="1"/>
        <v>46093</v>
      </c>
      <c r="K381" s="26">
        <v>46096.0</v>
      </c>
      <c r="L381" s="32">
        <v>0.0</v>
      </c>
      <c r="M381" s="32">
        <v>0.0</v>
      </c>
      <c r="N381" s="32">
        <f t="shared" si="2"/>
        <v>0</v>
      </c>
      <c r="O381" s="49"/>
      <c r="P381" s="32">
        <f t="array" ref="P381">_xlfn.XLOOKUP($B381, DB[samplingPoint], DB[Criteria])</f>
        <v>100</v>
      </c>
      <c r="Q381" s="50" t="str">
        <f t="shared" si="3"/>
        <v>PASSED</v>
      </c>
      <c r="R381" s="38" t="b">
        <v>0</v>
      </c>
      <c r="S381" s="35" t="s">
        <v>1000</v>
      </c>
      <c r="T381" s="39" t="s">
        <v>386</v>
      </c>
      <c r="U381" s="32" t="s">
        <v>381</v>
      </c>
    </row>
    <row r="382" ht="22.5" customHeight="1">
      <c r="A382" s="26">
        <v>46092.0</v>
      </c>
      <c r="B382" s="88" t="s">
        <v>506</v>
      </c>
      <c r="C382" s="32" t="str">
        <f t="array" ref="C382">_xlfn.XLOOKUP(B382, DB[samplingPoint], DB[samplingTag])</f>
        <v>DV136.02</v>
      </c>
      <c r="D382" s="33" t="s">
        <v>500</v>
      </c>
      <c r="E382" s="38" t="b">
        <v>1</v>
      </c>
      <c r="F382" s="39" t="str">
        <f t="array" ref="F382">_xlfn.XLOOKUP($B382, DB[samplingPoint], DB[noLocation])</f>
        <v>12-2-028</v>
      </c>
      <c r="G382" s="33" t="s">
        <v>437</v>
      </c>
      <c r="H382" s="40" t="str">
        <f t="array" ref="H382">_xlfn.XLOOKUP($B382, DB[samplingPoint], DB[location])</f>
        <v>ALCOHOL STORAGE</v>
      </c>
      <c r="I382" s="39" t="str">
        <f t="array" ref="I382">_xlfn.XLOOKUP($B382, DB[samplingPoint], DB[waterType])</f>
        <v>PW</v>
      </c>
      <c r="J382" s="43">
        <f t="shared" si="1"/>
        <v>46093</v>
      </c>
      <c r="K382" s="26">
        <v>46096.0</v>
      </c>
      <c r="L382" s="32">
        <v>0.0</v>
      </c>
      <c r="M382" s="32">
        <v>0.0</v>
      </c>
      <c r="N382" s="32">
        <f t="shared" si="2"/>
        <v>0</v>
      </c>
      <c r="O382" s="49"/>
      <c r="P382" s="32">
        <f t="array" ref="P382">_xlfn.XLOOKUP($B382, DB[samplingPoint], DB[Criteria])</f>
        <v>100</v>
      </c>
      <c r="Q382" s="50" t="str">
        <f t="shared" si="3"/>
        <v>PASSED</v>
      </c>
      <c r="R382" s="38" t="b">
        <v>0</v>
      </c>
      <c r="S382" s="35" t="s">
        <v>1000</v>
      </c>
      <c r="T382" s="39" t="s">
        <v>386</v>
      </c>
      <c r="U382" s="32" t="s">
        <v>381</v>
      </c>
    </row>
    <row r="383" ht="22.5" customHeight="1">
      <c r="A383" s="26">
        <v>46092.0</v>
      </c>
      <c r="B383" s="88" t="s">
        <v>508</v>
      </c>
      <c r="C383" s="32" t="str">
        <f t="array" ref="C383">_xlfn.XLOOKUP(B383, DB[samplingPoint], DB[samplingTag])</f>
        <v>DV136.07</v>
      </c>
      <c r="D383" s="33" t="s">
        <v>500</v>
      </c>
      <c r="E383" s="38" t="b">
        <v>1</v>
      </c>
      <c r="F383" s="39" t="str">
        <f t="array" ref="F383">_xlfn.XLOOKUP($B383, DB[samplingPoint], DB[noLocation])</f>
        <v>12-3-039</v>
      </c>
      <c r="G383" s="33" t="s">
        <v>437</v>
      </c>
      <c r="H383" s="40" t="str">
        <f t="array" ref="H383">_xlfn.XLOOKUP($B383, DB[samplingPoint], DB[location])</f>
        <v>INSTRUMENT 7</v>
      </c>
      <c r="I383" s="39" t="str">
        <f t="array" ref="I383">_xlfn.XLOOKUP($B383, DB[samplingPoint], DB[waterType])</f>
        <v>PW</v>
      </c>
      <c r="J383" s="43">
        <f t="shared" si="1"/>
        <v>46093</v>
      </c>
      <c r="K383" s="26">
        <v>46096.0</v>
      </c>
      <c r="L383" s="32">
        <v>0.0</v>
      </c>
      <c r="M383" s="32">
        <v>0.0</v>
      </c>
      <c r="N383" s="32">
        <f t="shared" si="2"/>
        <v>0</v>
      </c>
      <c r="O383" s="49"/>
      <c r="P383" s="32">
        <f t="array" ref="P383">_xlfn.XLOOKUP($B383, DB[samplingPoint], DB[Criteria])</f>
        <v>100</v>
      </c>
      <c r="Q383" s="50" t="str">
        <f t="shared" si="3"/>
        <v>PASSED</v>
      </c>
      <c r="R383" s="38" t="b">
        <v>0</v>
      </c>
      <c r="S383" s="35" t="s">
        <v>1000</v>
      </c>
      <c r="T383" s="39" t="s">
        <v>386</v>
      </c>
      <c r="U383" s="32" t="s">
        <v>381</v>
      </c>
    </row>
    <row r="384" ht="22.5" customHeight="1">
      <c r="A384" s="26">
        <v>46094.0</v>
      </c>
      <c r="B384" s="88" t="s">
        <v>575</v>
      </c>
      <c r="C384" s="32" t="str">
        <f t="array" ref="C384">_xlfn.XLOOKUP(B384, DB[samplingPoint], DB[samplingTag])</f>
        <v>#N/A</v>
      </c>
      <c r="D384" s="108"/>
      <c r="E384" s="38" t="b">
        <v>1</v>
      </c>
      <c r="F384" s="39" t="str">
        <f t="array" ref="F384">_xlfn.XLOOKUP($B384, DB[samplingPoint], DB[noLocation])</f>
        <v>#N/A</v>
      </c>
      <c r="G384" s="33" t="e">
        <v>#N/A</v>
      </c>
      <c r="H384" s="40" t="str">
        <f t="array" ref="H384">_xlfn.XLOOKUP($B384, DB[samplingPoint], DB[location])</f>
        <v>#N/A</v>
      </c>
      <c r="I384" s="39" t="str">
        <f t="array" ref="I384">_xlfn.XLOOKUP($B384, DB[samplingPoint], DB[waterType])</f>
        <v>#N/A</v>
      </c>
      <c r="J384" s="43">
        <f t="shared" si="1"/>
        <v>46095</v>
      </c>
      <c r="K384" s="26">
        <v>46098.0</v>
      </c>
      <c r="L384" s="32">
        <v>0.0</v>
      </c>
      <c r="M384" s="32">
        <v>0.0</v>
      </c>
      <c r="N384" s="32">
        <f t="shared" si="2"/>
        <v>0</v>
      </c>
      <c r="O384" s="49"/>
      <c r="P384" s="32" t="str">
        <f t="array" ref="P384">_xlfn.XLOOKUP($B384, DB[samplingPoint], DB[Criteria])</f>
        <v>#N/A</v>
      </c>
      <c r="Q384" s="50" t="str">
        <f t="shared" si="3"/>
        <v>NA</v>
      </c>
      <c r="R384" s="38" t="b">
        <v>0</v>
      </c>
      <c r="S384" s="35" t="s">
        <v>1002</v>
      </c>
      <c r="T384" s="39" t="s">
        <v>386</v>
      </c>
      <c r="U384" s="32" t="s">
        <v>381</v>
      </c>
    </row>
    <row r="385" ht="22.5" customHeight="1">
      <c r="A385" s="26">
        <v>46094.0</v>
      </c>
      <c r="B385" s="48" t="s">
        <v>380</v>
      </c>
      <c r="C385" s="32" t="str">
        <f t="array" ref="C385">_xlfn.XLOOKUP(B385, DB[samplingPoint], DB[samplingTag])</f>
        <v>SV113.01</v>
      </c>
      <c r="D385" s="33" t="s">
        <v>500</v>
      </c>
      <c r="E385" s="38" t="b">
        <v>1</v>
      </c>
      <c r="F385" s="39" t="str">
        <f t="array" ref="F385">_xlfn.XLOOKUP($B385, DB[samplingPoint], DB[noLocation])</f>
        <v>WATER SYSTEM (B10)</v>
      </c>
      <c r="G385" s="33" t="s">
        <v>180</v>
      </c>
      <c r="H385" s="40" t="str">
        <f t="array" ref="H385">_xlfn.XLOOKUP($B385, DB[samplingPoint], DB[location])</f>
        <v>After Storage tank (B10)</v>
      </c>
      <c r="I385" s="39" t="str">
        <f t="array" ref="I385">_xlfn.XLOOKUP($B385, DB[samplingPoint], DB[waterType])</f>
        <v>PW</v>
      </c>
      <c r="J385" s="43">
        <f t="shared" si="1"/>
        <v>46095</v>
      </c>
      <c r="K385" s="26">
        <v>46098.0</v>
      </c>
      <c r="L385" s="32">
        <v>0.0</v>
      </c>
      <c r="M385" s="32">
        <v>0.0</v>
      </c>
      <c r="N385" s="32">
        <f t="shared" si="2"/>
        <v>0</v>
      </c>
      <c r="O385" s="49"/>
      <c r="P385" s="32">
        <f t="array" ref="P385">_xlfn.XLOOKUP($B385, DB[samplingPoint], DB[Criteria])</f>
        <v>100</v>
      </c>
      <c r="Q385" s="50" t="str">
        <f t="shared" si="3"/>
        <v>PASSED</v>
      </c>
      <c r="R385" s="38" t="b">
        <v>0</v>
      </c>
      <c r="S385" s="35" t="s">
        <v>1002</v>
      </c>
      <c r="T385" s="39" t="s">
        <v>386</v>
      </c>
      <c r="U385" s="32" t="s">
        <v>381</v>
      </c>
    </row>
    <row r="386" ht="22.5" customHeight="1">
      <c r="A386" s="26">
        <v>46094.0</v>
      </c>
      <c r="B386" s="88" t="s">
        <v>385</v>
      </c>
      <c r="C386" s="32" t="str">
        <f t="array" ref="C386">_xlfn.XLOOKUP(B386, DB[samplingPoint], DB[samplingTag])</f>
        <v>SV115.02</v>
      </c>
      <c r="D386" s="33" t="s">
        <v>500</v>
      </c>
      <c r="E386" s="38" t="b">
        <v>1</v>
      </c>
      <c r="F386" s="39" t="str">
        <f t="array" ref="F386">_xlfn.XLOOKUP($B386, DB[samplingPoint], DB[noLocation])</f>
        <v>WATER SYSTEM (B10)</v>
      </c>
      <c r="G386" s="33" t="s">
        <v>180</v>
      </c>
      <c r="H386" s="40" t="str">
        <f t="array" ref="H386">_xlfn.XLOOKUP($B386, DB[samplingPoint], DB[location])</f>
        <v>After UV (B10)</v>
      </c>
      <c r="I386" s="39" t="str">
        <f t="array" ref="I386">_xlfn.XLOOKUP($B386, DB[samplingPoint], DB[waterType])</f>
        <v>PW</v>
      </c>
      <c r="J386" s="43">
        <f t="shared" si="1"/>
        <v>46095</v>
      </c>
      <c r="K386" s="26">
        <v>46098.0</v>
      </c>
      <c r="L386" s="32">
        <v>0.0</v>
      </c>
      <c r="M386" s="32">
        <v>0.0</v>
      </c>
      <c r="N386" s="32">
        <f t="shared" si="2"/>
        <v>0</v>
      </c>
      <c r="O386" s="49"/>
      <c r="P386" s="32">
        <f t="array" ref="P386">_xlfn.XLOOKUP($B386, DB[samplingPoint], DB[Criteria])</f>
        <v>100</v>
      </c>
      <c r="Q386" s="50" t="str">
        <f t="shared" si="3"/>
        <v>PASSED</v>
      </c>
      <c r="R386" s="38" t="b">
        <v>0</v>
      </c>
      <c r="S386" s="35" t="s">
        <v>1002</v>
      </c>
      <c r="T386" s="39" t="s">
        <v>386</v>
      </c>
      <c r="U386" s="32" t="s">
        <v>381</v>
      </c>
    </row>
    <row r="387" ht="22.5" customHeight="1">
      <c r="A387" s="26">
        <v>46094.0</v>
      </c>
      <c r="B387" s="88" t="s">
        <v>390</v>
      </c>
      <c r="C387" s="32" t="str">
        <f t="array" ref="C387">_xlfn.XLOOKUP(B387, DB[samplingPoint], DB[samplingTag])</f>
        <v>SV117.01</v>
      </c>
      <c r="D387" s="33" t="s">
        <v>500</v>
      </c>
      <c r="E387" s="38" t="b">
        <v>1</v>
      </c>
      <c r="F387" s="39" t="str">
        <f t="array" ref="F387">_xlfn.XLOOKUP($B387, DB[samplingPoint], DB[noLocation])</f>
        <v>WATER SYSTEM (B10)</v>
      </c>
      <c r="G387" s="33" t="s">
        <v>180</v>
      </c>
      <c r="H387" s="40" t="str">
        <f t="array" ref="H387">_xlfn.XLOOKUP($B387, DB[samplingPoint], DB[location])</f>
        <v>Return loop (B10)</v>
      </c>
      <c r="I387" s="39" t="str">
        <f t="array" ref="I387">_xlfn.XLOOKUP($B387, DB[samplingPoint], DB[waterType])</f>
        <v>PW</v>
      </c>
      <c r="J387" s="43">
        <f t="shared" si="1"/>
        <v>46095</v>
      </c>
      <c r="K387" s="26">
        <v>46098.0</v>
      </c>
      <c r="L387" s="32">
        <v>0.0</v>
      </c>
      <c r="M387" s="32">
        <v>0.0</v>
      </c>
      <c r="N387" s="32">
        <f t="shared" si="2"/>
        <v>0</v>
      </c>
      <c r="O387" s="49"/>
      <c r="P387" s="32">
        <f t="array" ref="P387">_xlfn.XLOOKUP($B387, DB[samplingPoint], DB[Criteria])</f>
        <v>100</v>
      </c>
      <c r="Q387" s="50" t="str">
        <f t="shared" si="3"/>
        <v>PASSED</v>
      </c>
      <c r="R387" s="38" t="b">
        <v>0</v>
      </c>
      <c r="S387" s="35" t="s">
        <v>1002</v>
      </c>
      <c r="T387" s="39" t="s">
        <v>386</v>
      </c>
      <c r="U387" s="32" t="s">
        <v>381</v>
      </c>
    </row>
    <row r="388" ht="22.5" customHeight="1">
      <c r="A388" s="26">
        <v>46094.0</v>
      </c>
      <c r="B388" s="88" t="s">
        <v>536</v>
      </c>
      <c r="C388" s="32" t="str">
        <f t="array" ref="C388">_xlfn.XLOOKUP(B388, DB[samplingPoint], DB[samplingTag])</f>
        <v>SV116.05</v>
      </c>
      <c r="D388" s="33" t="s">
        <v>500</v>
      </c>
      <c r="E388" s="38" t="b">
        <v>1</v>
      </c>
      <c r="F388" s="39" t="str">
        <f t="array" ref="F388">_xlfn.XLOOKUP($B388, DB[samplingPoint], DB[noLocation])</f>
        <v>10-3-062</v>
      </c>
      <c r="G388" s="33" t="s">
        <v>180</v>
      </c>
      <c r="H388" s="40" t="str">
        <f t="array" ref="H388">_xlfn.XLOOKUP($B388, DB[samplingPoint], DB[location])</f>
        <v>COATING ROOM-3</v>
      </c>
      <c r="I388" s="39" t="str">
        <f t="array" ref="I388">_xlfn.XLOOKUP($B388, DB[samplingPoint], DB[waterType])</f>
        <v>PW</v>
      </c>
      <c r="J388" s="43">
        <f t="shared" si="1"/>
        <v>46095</v>
      </c>
      <c r="K388" s="26">
        <v>46098.0</v>
      </c>
      <c r="L388" s="32">
        <v>0.0</v>
      </c>
      <c r="M388" s="32">
        <v>0.0</v>
      </c>
      <c r="N388" s="32">
        <f t="shared" si="2"/>
        <v>0</v>
      </c>
      <c r="O388" s="49"/>
      <c r="P388" s="32">
        <f t="array" ref="P388">_xlfn.XLOOKUP($B388, DB[samplingPoint], DB[Criteria])</f>
        <v>100</v>
      </c>
      <c r="Q388" s="50" t="str">
        <f t="shared" si="3"/>
        <v>PASSED</v>
      </c>
      <c r="R388" s="38" t="b">
        <v>0</v>
      </c>
      <c r="S388" s="35" t="s">
        <v>1002</v>
      </c>
      <c r="T388" s="39" t="s">
        <v>386</v>
      </c>
      <c r="U388" s="32" t="s">
        <v>381</v>
      </c>
    </row>
    <row r="389" ht="22.5" customHeight="1">
      <c r="A389" s="26">
        <v>46094.0</v>
      </c>
      <c r="B389" s="88" t="s">
        <v>535</v>
      </c>
      <c r="C389" s="32" t="str">
        <f t="array" ref="C389">_xlfn.XLOOKUP(B389, DB[samplingPoint], DB[samplingTag])</f>
        <v>SV116.04</v>
      </c>
      <c r="D389" s="33" t="s">
        <v>500</v>
      </c>
      <c r="E389" s="38" t="b">
        <v>1</v>
      </c>
      <c r="F389" s="39" t="str">
        <f t="array" ref="F389">_xlfn.XLOOKUP($B389, DB[samplingPoint], DB[noLocation])</f>
        <v>10-3-061</v>
      </c>
      <c r="G389" s="33" t="s">
        <v>180</v>
      </c>
      <c r="H389" s="40" t="str">
        <f t="array" ref="H389">_xlfn.XLOOKUP($B389, DB[samplingPoint], DB[location])</f>
        <v>COATING ROOM-2</v>
      </c>
      <c r="I389" s="39" t="str">
        <f t="array" ref="I389">_xlfn.XLOOKUP($B389, DB[samplingPoint], DB[waterType])</f>
        <v>PW</v>
      </c>
      <c r="J389" s="43">
        <f t="shared" si="1"/>
        <v>46095</v>
      </c>
      <c r="K389" s="26">
        <v>46098.0</v>
      </c>
      <c r="L389" s="32">
        <v>0.0</v>
      </c>
      <c r="M389" s="32">
        <v>0.0</v>
      </c>
      <c r="N389" s="32">
        <f t="shared" si="2"/>
        <v>0</v>
      </c>
      <c r="O389" s="49"/>
      <c r="P389" s="32">
        <f t="array" ref="P389">_xlfn.XLOOKUP($B389, DB[samplingPoint], DB[Criteria])</f>
        <v>100</v>
      </c>
      <c r="Q389" s="50" t="str">
        <f t="shared" si="3"/>
        <v>PASSED</v>
      </c>
      <c r="R389" s="38" t="b">
        <v>0</v>
      </c>
      <c r="S389" s="35" t="s">
        <v>1002</v>
      </c>
      <c r="T389" s="39" t="s">
        <v>386</v>
      </c>
      <c r="U389" s="32" t="s">
        <v>381</v>
      </c>
    </row>
    <row r="390" ht="22.5" customHeight="1">
      <c r="A390" s="26">
        <v>46094.0</v>
      </c>
      <c r="B390" s="88" t="s">
        <v>529</v>
      </c>
      <c r="C390" s="32" t="str">
        <f t="array" ref="C390">_xlfn.XLOOKUP(B390, DB[samplingPoint], DB[samplingTag])</f>
        <v>DV116.09</v>
      </c>
      <c r="D390" s="33" t="s">
        <v>500</v>
      </c>
      <c r="E390" s="38" t="b">
        <v>1</v>
      </c>
      <c r="F390" s="39" t="str">
        <f t="array" ref="F390">_xlfn.XLOOKUP($B390, DB[samplingPoint], DB[noLocation])</f>
        <v>10-3-060</v>
      </c>
      <c r="G390" s="33" t="s">
        <v>180</v>
      </c>
      <c r="H390" s="40" t="str">
        <f t="array" ref="H390">_xlfn.XLOOKUP($B390, DB[samplingPoint], DB[location])</f>
        <v>COATING SOLUTION PREP.-2</v>
      </c>
      <c r="I390" s="39" t="str">
        <f t="array" ref="I390">_xlfn.XLOOKUP($B390, DB[samplingPoint], DB[waterType])</f>
        <v>PW</v>
      </c>
      <c r="J390" s="43">
        <f t="shared" si="1"/>
        <v>46095</v>
      </c>
      <c r="K390" s="26">
        <v>46098.0</v>
      </c>
      <c r="L390" s="32">
        <v>0.0</v>
      </c>
      <c r="M390" s="32">
        <v>0.0</v>
      </c>
      <c r="N390" s="32">
        <f t="shared" si="2"/>
        <v>0</v>
      </c>
      <c r="O390" s="49"/>
      <c r="P390" s="32">
        <f t="array" ref="P390">_xlfn.XLOOKUP($B390, DB[samplingPoint], DB[Criteria])</f>
        <v>100</v>
      </c>
      <c r="Q390" s="50" t="str">
        <f t="shared" si="3"/>
        <v>PASSED</v>
      </c>
      <c r="R390" s="38" t="b">
        <v>0</v>
      </c>
      <c r="S390" s="35" t="s">
        <v>1002</v>
      </c>
      <c r="T390" s="39" t="s">
        <v>386</v>
      </c>
      <c r="U390" s="32" t="s">
        <v>381</v>
      </c>
    </row>
    <row r="391" ht="22.5" customHeight="1">
      <c r="A391" s="26">
        <v>46094.0</v>
      </c>
      <c r="B391" s="88" t="s">
        <v>528</v>
      </c>
      <c r="C391" s="32" t="str">
        <f t="array" ref="C391">_xlfn.XLOOKUP(B391, DB[samplingPoint], DB[samplingTag])</f>
        <v>DV116.08</v>
      </c>
      <c r="D391" s="33" t="s">
        <v>500</v>
      </c>
      <c r="E391" s="38" t="b">
        <v>1</v>
      </c>
      <c r="F391" s="39" t="str">
        <f t="array" ref="F391">_xlfn.XLOOKUP($B391, DB[samplingPoint], DB[noLocation])</f>
        <v>10-3-059</v>
      </c>
      <c r="G391" s="33" t="s">
        <v>180</v>
      </c>
      <c r="H391" s="40" t="str">
        <f t="array" ref="H391">_xlfn.XLOOKUP($B391, DB[samplingPoint], DB[location])</f>
        <v>COATING SOLUTION PREP.-1</v>
      </c>
      <c r="I391" s="39" t="str">
        <f t="array" ref="I391">_xlfn.XLOOKUP($B391, DB[samplingPoint], DB[waterType])</f>
        <v>PW</v>
      </c>
      <c r="J391" s="43">
        <f t="shared" si="1"/>
        <v>46095</v>
      </c>
      <c r="K391" s="26">
        <v>46098.0</v>
      </c>
      <c r="L391" s="32">
        <v>0.0</v>
      </c>
      <c r="M391" s="32">
        <v>0.0</v>
      </c>
      <c r="N391" s="32">
        <f t="shared" si="2"/>
        <v>0</v>
      </c>
      <c r="O391" s="49"/>
      <c r="P391" s="32">
        <f t="array" ref="P391">_xlfn.XLOOKUP($B391, DB[samplingPoint], DB[Criteria])</f>
        <v>100</v>
      </c>
      <c r="Q391" s="50" t="str">
        <f t="shared" si="3"/>
        <v>PASSED</v>
      </c>
      <c r="R391" s="38" t="b">
        <v>0</v>
      </c>
      <c r="S391" s="35" t="s">
        <v>1002</v>
      </c>
      <c r="T391" s="39" t="s">
        <v>386</v>
      </c>
      <c r="U391" s="32" t="s">
        <v>381</v>
      </c>
    </row>
    <row r="392" ht="22.5" customHeight="1">
      <c r="A392" s="26">
        <v>46094.0</v>
      </c>
      <c r="B392" s="88" t="s">
        <v>534</v>
      </c>
      <c r="C392" s="32" t="str">
        <f t="array" ref="C392">_xlfn.XLOOKUP(B392, DB[samplingPoint], DB[samplingTag])</f>
        <v>SV116.03</v>
      </c>
      <c r="D392" s="33" t="s">
        <v>500</v>
      </c>
      <c r="E392" s="38" t="b">
        <v>1</v>
      </c>
      <c r="F392" s="39" t="str">
        <f t="array" ref="F392">_xlfn.XLOOKUP($B392, DB[samplingPoint], DB[noLocation])</f>
        <v>10-3-058</v>
      </c>
      <c r="G392" s="33" t="s">
        <v>180</v>
      </c>
      <c r="H392" s="40" t="str">
        <f t="array" ref="H392">_xlfn.XLOOKUP($B392, DB[samplingPoint], DB[location])</f>
        <v>COATING ROOM-1</v>
      </c>
      <c r="I392" s="39" t="str">
        <f t="array" ref="I392">_xlfn.XLOOKUP($B392, DB[samplingPoint], DB[waterType])</f>
        <v>PW</v>
      </c>
      <c r="J392" s="43">
        <f t="shared" si="1"/>
        <v>46095</v>
      </c>
      <c r="K392" s="26">
        <v>46098.0</v>
      </c>
      <c r="L392" s="32">
        <v>0.0</v>
      </c>
      <c r="M392" s="32">
        <v>0.0</v>
      </c>
      <c r="N392" s="32">
        <f t="shared" si="2"/>
        <v>0</v>
      </c>
      <c r="O392" s="49"/>
      <c r="P392" s="32">
        <f t="array" ref="P392">_xlfn.XLOOKUP($B392, DB[samplingPoint], DB[Criteria])</f>
        <v>100</v>
      </c>
      <c r="Q392" s="50" t="str">
        <f t="shared" si="3"/>
        <v>PASSED</v>
      </c>
      <c r="R392" s="38" t="b">
        <v>0</v>
      </c>
      <c r="S392" s="35" t="s">
        <v>1002</v>
      </c>
      <c r="T392" s="39" t="s">
        <v>386</v>
      </c>
      <c r="U392" s="32" t="s">
        <v>381</v>
      </c>
    </row>
    <row r="393" ht="22.5" customHeight="1">
      <c r="A393" s="26">
        <v>46094.0</v>
      </c>
      <c r="B393" s="88" t="s">
        <v>541</v>
      </c>
      <c r="C393" s="32" t="str">
        <f t="array" ref="C393">_xlfn.XLOOKUP(B393, DB[samplingPoint], DB[samplingTag])</f>
        <v>SV116.08</v>
      </c>
      <c r="D393" s="33" t="s">
        <v>500</v>
      </c>
      <c r="E393" s="38" t="b">
        <v>1</v>
      </c>
      <c r="F393" s="39" t="str">
        <f t="array" ref="F393">_xlfn.XLOOKUP($B393, DB[samplingPoint], DB[noLocation])</f>
        <v>10-3-067</v>
      </c>
      <c r="G393" s="33" t="s">
        <v>180</v>
      </c>
      <c r="H393" s="40" t="str">
        <f t="array" ref="H393">_xlfn.XLOOKUP($B393, DB[samplingPoint], DB[location])</f>
        <v>COATING ROOM-6</v>
      </c>
      <c r="I393" s="39" t="str">
        <f t="array" ref="I393">_xlfn.XLOOKUP($B393, DB[samplingPoint], DB[waterType])</f>
        <v>PW</v>
      </c>
      <c r="J393" s="43">
        <f t="shared" si="1"/>
        <v>46095</v>
      </c>
      <c r="K393" s="26">
        <v>46098.0</v>
      </c>
      <c r="L393" s="32">
        <v>0.0</v>
      </c>
      <c r="M393" s="32">
        <v>0.0</v>
      </c>
      <c r="N393" s="32">
        <f t="shared" si="2"/>
        <v>0</v>
      </c>
      <c r="O393" s="49"/>
      <c r="P393" s="32">
        <f t="array" ref="P393">_xlfn.XLOOKUP($B393, DB[samplingPoint], DB[Criteria])</f>
        <v>100</v>
      </c>
      <c r="Q393" s="50" t="str">
        <f t="shared" si="3"/>
        <v>PASSED</v>
      </c>
      <c r="R393" s="38" t="b">
        <v>0</v>
      </c>
      <c r="S393" s="35" t="s">
        <v>1002</v>
      </c>
      <c r="T393" s="39" t="s">
        <v>386</v>
      </c>
      <c r="U393" s="32" t="s">
        <v>381</v>
      </c>
    </row>
    <row r="394" ht="22.5" customHeight="1">
      <c r="A394" s="26">
        <v>46094.0</v>
      </c>
      <c r="B394" s="88" t="s">
        <v>532</v>
      </c>
      <c r="C394" s="32" t="str">
        <f t="array" ref="C394">_xlfn.XLOOKUP(B394, DB[samplingPoint], DB[samplingTag])</f>
        <v>DV116.11</v>
      </c>
      <c r="D394" s="33" t="s">
        <v>500</v>
      </c>
      <c r="E394" s="38" t="b">
        <v>1</v>
      </c>
      <c r="F394" s="39" t="str">
        <f t="array" ref="F394">_xlfn.XLOOKUP($B394, DB[samplingPoint], DB[noLocation])</f>
        <v>10-3-066</v>
      </c>
      <c r="G394" s="33" t="s">
        <v>180</v>
      </c>
      <c r="H394" s="40" t="str">
        <f t="array" ref="H394">_xlfn.XLOOKUP($B394, DB[samplingPoint], DB[location])</f>
        <v>COATING SOLUTION PREP.-4</v>
      </c>
      <c r="I394" s="39" t="str">
        <f t="array" ref="I394">_xlfn.XLOOKUP($B394, DB[samplingPoint], DB[waterType])</f>
        <v>PW</v>
      </c>
      <c r="J394" s="43">
        <f t="shared" si="1"/>
        <v>46095</v>
      </c>
      <c r="K394" s="26">
        <v>46098.0</v>
      </c>
      <c r="L394" s="32">
        <v>0.0</v>
      </c>
      <c r="M394" s="32">
        <v>0.0</v>
      </c>
      <c r="N394" s="32">
        <f t="shared" si="2"/>
        <v>0</v>
      </c>
      <c r="O394" s="49"/>
      <c r="P394" s="32">
        <f t="array" ref="P394">_xlfn.XLOOKUP($B394, DB[samplingPoint], DB[Criteria])</f>
        <v>100</v>
      </c>
      <c r="Q394" s="50" t="str">
        <f t="shared" si="3"/>
        <v>PASSED</v>
      </c>
      <c r="R394" s="38" t="b">
        <v>0</v>
      </c>
      <c r="S394" s="35" t="s">
        <v>1002</v>
      </c>
      <c r="T394" s="39" t="s">
        <v>386</v>
      </c>
      <c r="U394" s="32" t="s">
        <v>381</v>
      </c>
    </row>
    <row r="395" ht="22.5" customHeight="1">
      <c r="A395" s="26">
        <v>46094.0</v>
      </c>
      <c r="B395" s="88" t="s">
        <v>531</v>
      </c>
      <c r="C395" s="32" t="str">
        <f t="array" ref="C395">_xlfn.XLOOKUP(B395, DB[samplingPoint], DB[samplingTag])</f>
        <v>DV116.10</v>
      </c>
      <c r="D395" s="33" t="s">
        <v>500</v>
      </c>
      <c r="E395" s="38" t="b">
        <v>1</v>
      </c>
      <c r="F395" s="39" t="str">
        <f t="array" ref="F395">_xlfn.XLOOKUP($B395, DB[samplingPoint], DB[noLocation])</f>
        <v>10-3-065</v>
      </c>
      <c r="G395" s="33" t="s">
        <v>180</v>
      </c>
      <c r="H395" s="40" t="str">
        <f t="array" ref="H395">_xlfn.XLOOKUP($B395, DB[samplingPoint], DB[location])</f>
        <v>COATING SOLUTION PREP.-3</v>
      </c>
      <c r="I395" s="39" t="str">
        <f t="array" ref="I395">_xlfn.XLOOKUP($B395, DB[samplingPoint], DB[waterType])</f>
        <v>PW</v>
      </c>
      <c r="J395" s="43">
        <f t="shared" si="1"/>
        <v>46095</v>
      </c>
      <c r="K395" s="26">
        <v>46098.0</v>
      </c>
      <c r="L395" s="32">
        <v>0.0</v>
      </c>
      <c r="M395" s="32">
        <v>0.0</v>
      </c>
      <c r="N395" s="32">
        <f t="shared" si="2"/>
        <v>0</v>
      </c>
      <c r="O395" s="49"/>
      <c r="P395" s="32">
        <f t="array" ref="P395">_xlfn.XLOOKUP($B395, DB[samplingPoint], DB[Criteria])</f>
        <v>100</v>
      </c>
      <c r="Q395" s="50" t="str">
        <f t="shared" si="3"/>
        <v>PASSED</v>
      </c>
      <c r="R395" s="38" t="b">
        <v>0</v>
      </c>
      <c r="S395" s="35" t="s">
        <v>1002</v>
      </c>
      <c r="T395" s="39" t="s">
        <v>386</v>
      </c>
      <c r="U395" s="32" t="s">
        <v>381</v>
      </c>
    </row>
    <row r="396" ht="22.5" customHeight="1">
      <c r="A396" s="26">
        <v>46094.0</v>
      </c>
      <c r="B396" s="88" t="s">
        <v>539</v>
      </c>
      <c r="C396" s="32" t="str">
        <f t="array" ref="C396">_xlfn.XLOOKUP(B396, DB[samplingPoint], DB[samplingTag])</f>
        <v>SV116.07</v>
      </c>
      <c r="D396" s="33" t="s">
        <v>500</v>
      </c>
      <c r="E396" s="38" t="b">
        <v>1</v>
      </c>
      <c r="F396" s="39" t="str">
        <f t="array" ref="F396">_xlfn.XLOOKUP($B396, DB[samplingPoint], DB[noLocation])</f>
        <v>10-3-064</v>
      </c>
      <c r="G396" s="33" t="s">
        <v>180</v>
      </c>
      <c r="H396" s="40" t="str">
        <f t="array" ref="H396">_xlfn.XLOOKUP($B396, DB[samplingPoint], DB[location])</f>
        <v>COATING ROOM-5</v>
      </c>
      <c r="I396" s="39" t="str">
        <f t="array" ref="I396">_xlfn.XLOOKUP($B396, DB[samplingPoint], DB[waterType])</f>
        <v>PW</v>
      </c>
      <c r="J396" s="43">
        <f t="shared" si="1"/>
        <v>46095</v>
      </c>
      <c r="K396" s="26">
        <v>46098.0</v>
      </c>
      <c r="L396" s="32">
        <v>0.0</v>
      </c>
      <c r="M396" s="32">
        <v>0.0</v>
      </c>
      <c r="N396" s="32">
        <f t="shared" si="2"/>
        <v>0</v>
      </c>
      <c r="O396" s="49"/>
      <c r="P396" s="32">
        <f t="array" ref="P396">_xlfn.XLOOKUP($B396, DB[samplingPoint], DB[Criteria])</f>
        <v>100</v>
      </c>
      <c r="Q396" s="50" t="str">
        <f t="shared" si="3"/>
        <v>PASSED</v>
      </c>
      <c r="R396" s="38" t="b">
        <v>0</v>
      </c>
      <c r="S396" s="35" t="s">
        <v>1002</v>
      </c>
      <c r="T396" s="39" t="s">
        <v>386</v>
      </c>
      <c r="U396" s="32" t="s">
        <v>381</v>
      </c>
    </row>
    <row r="397" ht="22.5" customHeight="1">
      <c r="A397" s="26">
        <v>46094.0</v>
      </c>
      <c r="B397" s="88" t="s">
        <v>538</v>
      </c>
      <c r="C397" s="32" t="str">
        <f t="array" ref="C397">_xlfn.XLOOKUP(B397, DB[samplingPoint], DB[samplingTag])</f>
        <v>SV116.06</v>
      </c>
      <c r="D397" s="33" t="s">
        <v>500</v>
      </c>
      <c r="E397" s="38" t="b">
        <v>1</v>
      </c>
      <c r="F397" s="39" t="str">
        <f t="array" ref="F397">_xlfn.XLOOKUP($B397, DB[samplingPoint], DB[noLocation])</f>
        <v>10-3-063</v>
      </c>
      <c r="G397" s="33" t="s">
        <v>180</v>
      </c>
      <c r="H397" s="40" t="str">
        <f t="array" ref="H397">_xlfn.XLOOKUP($B397, DB[samplingPoint], DB[location])</f>
        <v>COATING ROOM-4</v>
      </c>
      <c r="I397" s="39" t="str">
        <f t="array" ref="I397">_xlfn.XLOOKUP($B397, DB[samplingPoint], DB[waterType])</f>
        <v>PW</v>
      </c>
      <c r="J397" s="43">
        <f t="shared" si="1"/>
        <v>46095</v>
      </c>
      <c r="K397" s="26">
        <v>46098.0</v>
      </c>
      <c r="L397" s="32">
        <v>0.0</v>
      </c>
      <c r="M397" s="32">
        <v>0.0</v>
      </c>
      <c r="N397" s="32">
        <f t="shared" si="2"/>
        <v>0</v>
      </c>
      <c r="O397" s="49"/>
      <c r="P397" s="32">
        <f t="array" ref="P397">_xlfn.XLOOKUP($B397, DB[samplingPoint], DB[Criteria])</f>
        <v>100</v>
      </c>
      <c r="Q397" s="50" t="str">
        <f t="shared" si="3"/>
        <v>PASSED</v>
      </c>
      <c r="R397" s="38" t="b">
        <v>0</v>
      </c>
      <c r="S397" s="35" t="s">
        <v>1002</v>
      </c>
      <c r="T397" s="39" t="s">
        <v>386</v>
      </c>
      <c r="U397" s="32" t="s">
        <v>381</v>
      </c>
    </row>
    <row r="398" ht="22.5" customHeight="1">
      <c r="A398" s="26">
        <v>46094.0</v>
      </c>
      <c r="B398" s="88" t="s">
        <v>520</v>
      </c>
      <c r="C398" s="32" t="str">
        <f t="array" ref="C398">_xlfn.XLOOKUP(B398, DB[samplingPoint], DB[samplingTag])</f>
        <v>DV116.03</v>
      </c>
      <c r="D398" s="33" t="s">
        <v>500</v>
      </c>
      <c r="E398" s="38" t="b">
        <v>1</v>
      </c>
      <c r="F398" s="39" t="str">
        <f t="array" ref="F398">_xlfn.XLOOKUP($B398, DB[samplingPoint], DB[noLocation])</f>
        <v>10-2-034</v>
      </c>
      <c r="G398" s="33" t="s">
        <v>180</v>
      </c>
      <c r="H398" s="40" t="str">
        <f t="array" ref="H398">_xlfn.XLOOKUP($B398, DB[samplingPoint], DB[location])</f>
        <v>SAMPLE PREPARATION</v>
      </c>
      <c r="I398" s="39" t="str">
        <f t="array" ref="I398">_xlfn.XLOOKUP($B398, DB[samplingPoint], DB[waterType])</f>
        <v>PW</v>
      </c>
      <c r="J398" s="43">
        <f t="shared" si="1"/>
        <v>46095</v>
      </c>
      <c r="K398" s="26">
        <v>46098.0</v>
      </c>
      <c r="L398" s="32">
        <v>0.0</v>
      </c>
      <c r="M398" s="32">
        <v>0.0</v>
      </c>
      <c r="N398" s="32">
        <f t="shared" si="2"/>
        <v>0</v>
      </c>
      <c r="O398" s="49"/>
      <c r="P398" s="32">
        <f t="array" ref="P398">_xlfn.XLOOKUP($B398, DB[samplingPoint], DB[Criteria])</f>
        <v>100</v>
      </c>
      <c r="Q398" s="50" t="str">
        <f t="shared" si="3"/>
        <v>PASSED</v>
      </c>
      <c r="R398" s="38" t="b">
        <v>0</v>
      </c>
      <c r="S398" s="35" t="s">
        <v>1002</v>
      </c>
      <c r="T398" s="39" t="s">
        <v>386</v>
      </c>
      <c r="U398" s="32" t="s">
        <v>381</v>
      </c>
    </row>
    <row r="399" ht="22.5" customHeight="1">
      <c r="A399" s="26">
        <v>46094.0</v>
      </c>
      <c r="B399" s="88" t="s">
        <v>526</v>
      </c>
      <c r="C399" s="32" t="str">
        <f t="array" ref="C399">_xlfn.XLOOKUP(B399, DB[samplingPoint], DB[samplingTag])</f>
        <v>DV116.06</v>
      </c>
      <c r="D399" s="33" t="s">
        <v>500</v>
      </c>
      <c r="E399" s="38" t="b">
        <v>1</v>
      </c>
      <c r="F399" s="39" t="str">
        <f t="array" ref="F399">_xlfn.XLOOKUP($B399, DB[samplingPoint], DB[noLocation])</f>
        <v>10-2-034</v>
      </c>
      <c r="G399" s="33" t="s">
        <v>180</v>
      </c>
      <c r="H399" s="40" t="str">
        <f t="array" ref="H399">_xlfn.XLOOKUP($B399, DB[samplingPoint], DB[location])</f>
        <v>SAMPLE PREPARATION</v>
      </c>
      <c r="I399" s="39" t="str">
        <f t="array" ref="I399">_xlfn.XLOOKUP($B399, DB[samplingPoint], DB[waterType])</f>
        <v>PW</v>
      </c>
      <c r="J399" s="43">
        <f t="shared" si="1"/>
        <v>46095</v>
      </c>
      <c r="K399" s="26">
        <v>46098.0</v>
      </c>
      <c r="L399" s="32">
        <v>0.0</v>
      </c>
      <c r="M399" s="32">
        <v>0.0</v>
      </c>
      <c r="N399" s="32">
        <f t="shared" si="2"/>
        <v>0</v>
      </c>
      <c r="O399" s="49"/>
      <c r="P399" s="32">
        <f t="array" ref="P399">_xlfn.XLOOKUP($B399, DB[samplingPoint], DB[Criteria])</f>
        <v>100</v>
      </c>
      <c r="Q399" s="50" t="str">
        <f t="shared" si="3"/>
        <v>PASSED</v>
      </c>
      <c r="R399" s="38" t="b">
        <v>0</v>
      </c>
      <c r="S399" s="35" t="s">
        <v>1002</v>
      </c>
      <c r="T399" s="39" t="s">
        <v>386</v>
      </c>
      <c r="U399" s="32" t="s">
        <v>381</v>
      </c>
    </row>
    <row r="400" ht="22.5" customHeight="1">
      <c r="A400" s="26">
        <v>46094.0</v>
      </c>
      <c r="B400" s="88" t="s">
        <v>527</v>
      </c>
      <c r="C400" s="32" t="str">
        <f t="array" ref="C400">_xlfn.XLOOKUP(B400, DB[samplingPoint], DB[samplingTag])</f>
        <v>DV116.07</v>
      </c>
      <c r="D400" s="33" t="s">
        <v>500</v>
      </c>
      <c r="E400" s="38" t="b">
        <v>1</v>
      </c>
      <c r="F400" s="39" t="str">
        <f t="array" ref="F400">_xlfn.XLOOKUP($B400, DB[samplingPoint], DB[noLocation])</f>
        <v>10-2-032</v>
      </c>
      <c r="G400" s="33" t="s">
        <v>180</v>
      </c>
      <c r="H400" s="40" t="str">
        <f t="array" ref="H400">_xlfn.XLOOKUP($B400, DB[samplingPoint], DB[location])</f>
        <v>GLASS-WARE WASHING</v>
      </c>
      <c r="I400" s="39" t="str">
        <f t="array" ref="I400">_xlfn.XLOOKUP($B400, DB[samplingPoint], DB[waterType])</f>
        <v>PW</v>
      </c>
      <c r="J400" s="43">
        <f t="shared" si="1"/>
        <v>46095</v>
      </c>
      <c r="K400" s="26">
        <v>46098.0</v>
      </c>
      <c r="L400" s="32">
        <v>0.0</v>
      </c>
      <c r="M400" s="32">
        <v>0.0</v>
      </c>
      <c r="N400" s="32">
        <f t="shared" si="2"/>
        <v>0</v>
      </c>
      <c r="O400" s="49"/>
      <c r="P400" s="32">
        <f t="array" ref="P400">_xlfn.XLOOKUP($B400, DB[samplingPoint], DB[Criteria])</f>
        <v>100</v>
      </c>
      <c r="Q400" s="50" t="str">
        <f t="shared" si="3"/>
        <v>PASSED</v>
      </c>
      <c r="R400" s="38" t="b">
        <v>0</v>
      </c>
      <c r="S400" s="35" t="s">
        <v>1002</v>
      </c>
      <c r="T400" s="39" t="s">
        <v>386</v>
      </c>
      <c r="U400" s="32" t="s">
        <v>381</v>
      </c>
    </row>
    <row r="401" ht="22.5" customHeight="1">
      <c r="A401" s="26">
        <v>46094.0</v>
      </c>
      <c r="B401" s="88" t="s">
        <v>524</v>
      </c>
      <c r="C401" s="32" t="str">
        <f t="array" ref="C401">_xlfn.XLOOKUP(B401, DB[samplingPoint], DB[samplingTag])</f>
        <v>DV116.05</v>
      </c>
      <c r="D401" s="33" t="s">
        <v>500</v>
      </c>
      <c r="E401" s="38" t="b">
        <v>1</v>
      </c>
      <c r="F401" s="39" t="str">
        <f t="array" ref="F401">_xlfn.XLOOKUP($B401, DB[samplingPoint], DB[noLocation])</f>
        <v>10-2-032</v>
      </c>
      <c r="G401" s="33" t="s">
        <v>180</v>
      </c>
      <c r="H401" s="40" t="str">
        <f t="array" ref="H401">_xlfn.XLOOKUP($B401, DB[samplingPoint], DB[location])</f>
        <v>GLASS-WARE WASHING</v>
      </c>
      <c r="I401" s="39" t="str">
        <f t="array" ref="I401">_xlfn.XLOOKUP($B401, DB[samplingPoint], DB[waterType])</f>
        <v>PW</v>
      </c>
      <c r="J401" s="43">
        <f t="shared" si="1"/>
        <v>46095</v>
      </c>
      <c r="K401" s="26">
        <v>46098.0</v>
      </c>
      <c r="L401" s="32">
        <v>0.0</v>
      </c>
      <c r="M401" s="32">
        <v>0.0</v>
      </c>
      <c r="N401" s="32">
        <f t="shared" si="2"/>
        <v>0</v>
      </c>
      <c r="O401" s="49"/>
      <c r="P401" s="32">
        <f t="array" ref="P401">_xlfn.XLOOKUP($B401, DB[samplingPoint], DB[Criteria])</f>
        <v>100</v>
      </c>
      <c r="Q401" s="50" t="str">
        <f t="shared" si="3"/>
        <v>PASSED</v>
      </c>
      <c r="R401" s="38" t="b">
        <v>0</v>
      </c>
      <c r="S401" s="35" t="s">
        <v>1002</v>
      </c>
      <c r="T401" s="39" t="s">
        <v>386</v>
      </c>
      <c r="U401" s="32" t="s">
        <v>381</v>
      </c>
    </row>
    <row r="402" ht="22.5" customHeight="1">
      <c r="A402" s="26">
        <v>46094.0</v>
      </c>
      <c r="B402" s="88" t="s">
        <v>522</v>
      </c>
      <c r="C402" s="32" t="str">
        <f t="array" ref="C402">_xlfn.XLOOKUP(B402, DB[samplingPoint], DB[samplingTag])</f>
        <v>DV116.04</v>
      </c>
      <c r="D402" s="33" t="s">
        <v>500</v>
      </c>
      <c r="E402" s="38" t="b">
        <v>1</v>
      </c>
      <c r="F402" s="39" t="str">
        <f t="array" ref="F402">_xlfn.XLOOKUP($B402, DB[samplingPoint], DB[noLocation])</f>
        <v>10-2-037</v>
      </c>
      <c r="G402" s="33" t="s">
        <v>180</v>
      </c>
      <c r="H402" s="40" t="str">
        <f t="array" ref="H402">_xlfn.XLOOKUP($B402, DB[samplingPoint], DB[location])</f>
        <v>SKID FOR BIN WASHING-1</v>
      </c>
      <c r="I402" s="39" t="str">
        <f t="array" ref="I402">_xlfn.XLOOKUP($B402, DB[samplingPoint], DB[waterType])</f>
        <v>PW</v>
      </c>
      <c r="J402" s="43">
        <f t="shared" si="1"/>
        <v>46095</v>
      </c>
      <c r="K402" s="26">
        <v>46098.0</v>
      </c>
      <c r="L402" s="32">
        <v>0.0</v>
      </c>
      <c r="M402" s="32">
        <v>0.0</v>
      </c>
      <c r="N402" s="32">
        <f t="shared" si="2"/>
        <v>0</v>
      </c>
      <c r="O402" s="49"/>
      <c r="P402" s="32">
        <f t="array" ref="P402">_xlfn.XLOOKUP($B402, DB[samplingPoint], DB[Criteria])</f>
        <v>100</v>
      </c>
      <c r="Q402" s="50" t="str">
        <f t="shared" si="3"/>
        <v>PASSED</v>
      </c>
      <c r="R402" s="38" t="b">
        <v>0</v>
      </c>
      <c r="S402" s="35" t="s">
        <v>1002</v>
      </c>
      <c r="T402" s="39" t="s">
        <v>386</v>
      </c>
      <c r="U402" s="32" t="s">
        <v>381</v>
      </c>
    </row>
    <row r="403" ht="22.5" customHeight="1">
      <c r="A403" s="26">
        <v>46098.0</v>
      </c>
      <c r="B403" s="27" t="s">
        <v>442</v>
      </c>
      <c r="C403" s="32" t="str">
        <f t="array" ref="C403">_xlfn.XLOOKUP(B403, DB[samplingPoint], DB[samplingTag])</f>
        <v>V50-61 (12)</v>
      </c>
      <c r="D403" s="33" t="s">
        <v>364</v>
      </c>
      <c r="E403" s="38" t="b">
        <v>1</v>
      </c>
      <c r="F403" s="39" t="str">
        <f t="array" ref="F403">_xlfn.XLOOKUP($B403, DB[samplingPoint], DB[noLocation])</f>
        <v>WATER SYSTEM (B12)</v>
      </c>
      <c r="G403" s="33" t="s">
        <v>437</v>
      </c>
      <c r="H403" s="40" t="str">
        <f t="array" ref="H403">_xlfn.XLOOKUP($B403, DB[samplingPoint], DB[location])</f>
        <v>After Cartridge filter 5 µm (B12)</v>
      </c>
      <c r="I403" s="39" t="str">
        <f t="array" ref="I403">_xlfn.XLOOKUP($B403, DB[samplingPoint], DB[waterType])</f>
        <v>PRW</v>
      </c>
      <c r="J403" s="43">
        <f t="shared" si="1"/>
        <v>46099</v>
      </c>
      <c r="K403" s="26">
        <v>46102.0</v>
      </c>
      <c r="L403" s="32">
        <v>71.0</v>
      </c>
      <c r="M403" s="32">
        <v>130.0</v>
      </c>
      <c r="N403" s="32">
        <f t="shared" si="2"/>
        <v>101</v>
      </c>
      <c r="O403" s="49"/>
      <c r="P403" s="32">
        <f t="array" ref="P403">_xlfn.XLOOKUP($B403, DB[samplingPoint], DB[Criteria])</f>
        <v>500</v>
      </c>
      <c r="Q403" s="50" t="str">
        <f t="shared" si="3"/>
        <v>PASSED</v>
      </c>
      <c r="R403" s="38" t="b">
        <v>0</v>
      </c>
      <c r="S403" s="35" t="s">
        <v>1003</v>
      </c>
      <c r="T403" s="39" t="s">
        <v>386</v>
      </c>
      <c r="U403" s="32" t="s">
        <v>381</v>
      </c>
    </row>
    <row r="404" ht="22.5" customHeight="1">
      <c r="A404" s="26">
        <v>46098.0</v>
      </c>
      <c r="B404" s="27" t="s">
        <v>434</v>
      </c>
      <c r="C404" s="32" t="str">
        <f t="array" ref="C404">_xlfn.XLOOKUP(B404, DB[samplingPoint], DB[samplingTag])</f>
        <v>V50-11C (12)</v>
      </c>
      <c r="D404" s="33" t="s">
        <v>364</v>
      </c>
      <c r="E404" s="38" t="b">
        <v>1</v>
      </c>
      <c r="F404" s="39" t="str">
        <f t="array" ref="F404">_xlfn.XLOOKUP($B404, DB[samplingPoint], DB[noLocation])</f>
        <v>WATER SYSTEM (B12)</v>
      </c>
      <c r="G404" s="33" t="s">
        <v>437</v>
      </c>
      <c r="H404" s="40" t="str">
        <f t="array" ref="H404">_xlfn.XLOOKUP($B404, DB[samplingPoint], DB[location])</f>
        <v>After RO (Before EDI) (B12)</v>
      </c>
      <c r="I404" s="39" t="str">
        <f t="array" ref="I404">_xlfn.XLOOKUP($B404, DB[samplingPoint], DB[waterType])</f>
        <v>RO water</v>
      </c>
      <c r="J404" s="43">
        <f t="shared" si="1"/>
        <v>46099</v>
      </c>
      <c r="K404" s="26">
        <v>46102.0</v>
      </c>
      <c r="L404" s="32">
        <v>0.0</v>
      </c>
      <c r="M404" s="32">
        <v>0.0</v>
      </c>
      <c r="N404" s="32">
        <f t="shared" si="2"/>
        <v>0</v>
      </c>
      <c r="O404" s="49"/>
      <c r="P404" s="32">
        <f t="array" ref="P404">_xlfn.XLOOKUP($B404, DB[samplingPoint], DB[Criteria])</f>
        <v>500</v>
      </c>
      <c r="Q404" s="50" t="str">
        <f t="shared" si="3"/>
        <v>PASSED</v>
      </c>
      <c r="R404" s="38" t="b">
        <v>0</v>
      </c>
      <c r="S404" s="35" t="s">
        <v>1003</v>
      </c>
      <c r="T404" s="39" t="s">
        <v>386</v>
      </c>
      <c r="U404" s="32" t="s">
        <v>381</v>
      </c>
    </row>
    <row r="405" ht="22.5" customHeight="1">
      <c r="A405" s="26">
        <v>46098.0</v>
      </c>
      <c r="B405" s="27" t="s">
        <v>440</v>
      </c>
      <c r="C405" s="32" t="str">
        <f t="array" ref="C405">_xlfn.XLOOKUP(B405, DB[samplingPoint], DB[samplingTag])</f>
        <v>V50-39 (12)</v>
      </c>
      <c r="D405" s="33" t="s">
        <v>364</v>
      </c>
      <c r="E405" s="38" t="b">
        <v>1</v>
      </c>
      <c r="F405" s="39" t="str">
        <f t="array" ref="F405">_xlfn.XLOOKUP($B405, DB[samplingPoint], DB[noLocation])</f>
        <v>WATER SYSTEM (B12)</v>
      </c>
      <c r="G405" s="33" t="s">
        <v>437</v>
      </c>
      <c r="H405" s="40" t="str">
        <f t="array" ref="H405">_xlfn.XLOOKUP($B405, DB[samplingPoint], DB[location])</f>
        <v>After EDI (B12)</v>
      </c>
      <c r="I405" s="39" t="str">
        <f t="array" ref="I405">_xlfn.XLOOKUP($B405, DB[samplingPoint], DB[waterType])</f>
        <v>PW</v>
      </c>
      <c r="J405" s="43">
        <f t="shared" si="1"/>
        <v>46099</v>
      </c>
      <c r="K405" s="26">
        <v>46102.0</v>
      </c>
      <c r="L405" s="32">
        <v>0.0</v>
      </c>
      <c r="M405" s="32">
        <v>0.0</v>
      </c>
      <c r="N405" s="32">
        <f t="shared" si="2"/>
        <v>0</v>
      </c>
      <c r="O405" s="49"/>
      <c r="P405" s="32">
        <f t="array" ref="P405">_xlfn.XLOOKUP($B405, DB[samplingPoint], DB[Criteria])</f>
        <v>100</v>
      </c>
      <c r="Q405" s="50" t="str">
        <f t="shared" si="3"/>
        <v>PASSED</v>
      </c>
      <c r="R405" s="38" t="b">
        <v>0</v>
      </c>
      <c r="S405" s="35" t="s">
        <v>1003</v>
      </c>
      <c r="T405" s="39" t="s">
        <v>386</v>
      </c>
      <c r="U405" s="32" t="s">
        <v>381</v>
      </c>
    </row>
    <row r="406" ht="22.5" customHeight="1">
      <c r="A406" s="26">
        <v>46098.0</v>
      </c>
      <c r="B406" s="27" t="s">
        <v>430</v>
      </c>
      <c r="C406" s="32" t="str">
        <f t="array" ref="C406">_xlfn.XLOOKUP(B406, DB[samplingPoint], DB[samplingTag])</f>
        <v>SV137.01</v>
      </c>
      <c r="D406" s="33" t="s">
        <v>364</v>
      </c>
      <c r="E406" s="38" t="b">
        <v>1</v>
      </c>
      <c r="F406" s="39" t="str">
        <f t="array" ref="F406">_xlfn.XLOOKUP($B406, DB[samplingPoint], DB[noLocation])</f>
        <v>WATER SYSTEM (B12)</v>
      </c>
      <c r="G406" s="33" t="s">
        <v>437</v>
      </c>
      <c r="H406" s="40" t="str">
        <f t="array" ref="H406">_xlfn.XLOOKUP($B406, DB[samplingPoint], DB[location])</f>
        <v>Return loop (B12)</v>
      </c>
      <c r="I406" s="39" t="str">
        <f t="array" ref="I406">_xlfn.XLOOKUP($B406, DB[samplingPoint], DB[waterType])</f>
        <v>PW</v>
      </c>
      <c r="J406" s="43">
        <f t="shared" si="1"/>
        <v>46099</v>
      </c>
      <c r="K406" s="26">
        <v>46102.0</v>
      </c>
      <c r="L406" s="32">
        <v>0.0</v>
      </c>
      <c r="M406" s="32">
        <v>0.0</v>
      </c>
      <c r="N406" s="32">
        <f t="shared" si="2"/>
        <v>0</v>
      </c>
      <c r="O406" s="49"/>
      <c r="P406" s="32">
        <f t="array" ref="P406">_xlfn.XLOOKUP($B406, DB[samplingPoint], DB[Criteria])</f>
        <v>100</v>
      </c>
      <c r="Q406" s="50" t="str">
        <f t="shared" si="3"/>
        <v>PASSED</v>
      </c>
      <c r="R406" s="38" t="b">
        <v>0</v>
      </c>
      <c r="S406" s="35" t="s">
        <v>1003</v>
      </c>
      <c r="T406" s="39" t="s">
        <v>386</v>
      </c>
      <c r="U406" s="32" t="s">
        <v>381</v>
      </c>
    </row>
    <row r="407" ht="22.5" customHeight="1">
      <c r="A407" s="26">
        <v>46098.0</v>
      </c>
      <c r="B407" s="27" t="s">
        <v>548</v>
      </c>
      <c r="C407" s="32" t="str">
        <f t="array" ref="C407">_xlfn.XLOOKUP(B407, DB[samplingPoint], DB[samplingTag])</f>
        <v>DV136.17</v>
      </c>
      <c r="D407" s="33" t="s">
        <v>364</v>
      </c>
      <c r="E407" s="38" t="b">
        <v>1</v>
      </c>
      <c r="F407" s="39" t="str">
        <f t="array" ref="F407">_xlfn.XLOOKUP($B407, DB[samplingPoint], DB[noLocation])</f>
        <v>12-2-065</v>
      </c>
      <c r="G407" s="33" t="s">
        <v>437</v>
      </c>
      <c r="H407" s="40" t="str">
        <f t="array" ref="H407">_xlfn.XLOOKUP($B407, DB[samplingPoint], DB[location])</f>
        <v>WASHING</v>
      </c>
      <c r="I407" s="39" t="str">
        <f t="array" ref="I407">_xlfn.XLOOKUP($B407, DB[samplingPoint], DB[waterType])</f>
        <v>PW</v>
      </c>
      <c r="J407" s="43">
        <f t="shared" si="1"/>
        <v>46099</v>
      </c>
      <c r="K407" s="26">
        <v>46102.0</v>
      </c>
      <c r="L407" s="32">
        <v>0.0</v>
      </c>
      <c r="M407" s="32">
        <v>0.0</v>
      </c>
      <c r="N407" s="32">
        <f t="shared" si="2"/>
        <v>0</v>
      </c>
      <c r="O407" s="49"/>
      <c r="P407" s="32">
        <f t="array" ref="P407">_xlfn.XLOOKUP($B407, DB[samplingPoint], DB[Criteria])</f>
        <v>100</v>
      </c>
      <c r="Q407" s="50" t="str">
        <f t="shared" si="3"/>
        <v>PASSED</v>
      </c>
      <c r="R407" s="38" t="b">
        <v>0</v>
      </c>
      <c r="S407" s="35" t="s">
        <v>1003</v>
      </c>
      <c r="T407" s="39" t="s">
        <v>386</v>
      </c>
      <c r="U407" s="32" t="s">
        <v>381</v>
      </c>
    </row>
    <row r="408" ht="22.5" customHeight="1">
      <c r="A408" s="26">
        <v>46098.0</v>
      </c>
      <c r="B408" s="27" t="s">
        <v>551</v>
      </c>
      <c r="C408" s="32" t="str">
        <f t="array" ref="C408">_xlfn.XLOOKUP(B408, DB[samplingPoint], DB[samplingTag])</f>
        <v>SV136.16</v>
      </c>
      <c r="D408" s="33" t="s">
        <v>364</v>
      </c>
      <c r="E408" s="38" t="b">
        <v>1</v>
      </c>
      <c r="F408" s="39" t="str">
        <f t="array" ref="F408">_xlfn.XLOOKUP($B408, DB[samplingPoint], DB[noLocation])</f>
        <v>12-2-057</v>
      </c>
      <c r="G408" s="33" t="s">
        <v>437</v>
      </c>
      <c r="H408" s="40" t="str">
        <f t="array" ref="H408">_xlfn.XLOOKUP($B408, DB[samplingPoint], DB[location])</f>
        <v>CIP 2</v>
      </c>
      <c r="I408" s="39" t="str">
        <f t="array" ref="I408">_xlfn.XLOOKUP($B408, DB[samplingPoint], DB[waterType])</f>
        <v>PW</v>
      </c>
      <c r="J408" s="43">
        <f t="shared" si="1"/>
        <v>46099</v>
      </c>
      <c r="K408" s="26">
        <v>46102.0</v>
      </c>
      <c r="L408" s="32">
        <v>0.0</v>
      </c>
      <c r="M408" s="32">
        <v>0.0</v>
      </c>
      <c r="N408" s="32">
        <f t="shared" si="2"/>
        <v>0</v>
      </c>
      <c r="O408" s="49"/>
      <c r="P408" s="32">
        <f t="array" ref="P408">_xlfn.XLOOKUP($B408, DB[samplingPoint], DB[Criteria])</f>
        <v>100</v>
      </c>
      <c r="Q408" s="50" t="str">
        <f t="shared" si="3"/>
        <v>PASSED</v>
      </c>
      <c r="R408" s="38" t="b">
        <v>0</v>
      </c>
      <c r="S408" s="35" t="s">
        <v>1003</v>
      </c>
      <c r="T408" s="39" t="s">
        <v>386</v>
      </c>
      <c r="U408" s="32" t="s">
        <v>381</v>
      </c>
    </row>
    <row r="409" ht="22.5" customHeight="1">
      <c r="A409" s="26">
        <v>46098.0</v>
      </c>
      <c r="B409" s="27" t="s">
        <v>549</v>
      </c>
      <c r="C409" s="32" t="str">
        <f t="array" ref="C409">_xlfn.XLOOKUP(B409, DB[samplingPoint], DB[samplingTag])</f>
        <v>SV136.15</v>
      </c>
      <c r="D409" s="33" t="s">
        <v>364</v>
      </c>
      <c r="E409" s="38" t="b">
        <v>1</v>
      </c>
      <c r="F409" s="39" t="str">
        <f t="array" ref="F409">_xlfn.XLOOKUP($B409, DB[samplingPoint], DB[noLocation])</f>
        <v>12-2-055</v>
      </c>
      <c r="G409" s="33" t="s">
        <v>437</v>
      </c>
      <c r="H409" s="40" t="str">
        <f t="array" ref="H409">_xlfn.XLOOKUP($B409, DB[samplingPoint], DB[location])</f>
        <v>CIP 3</v>
      </c>
      <c r="I409" s="39" t="str">
        <f t="array" ref="I409">_xlfn.XLOOKUP($B409, DB[samplingPoint], DB[waterType])</f>
        <v>PW</v>
      </c>
      <c r="J409" s="43">
        <f t="shared" si="1"/>
        <v>46099</v>
      </c>
      <c r="K409" s="26">
        <v>46102.0</v>
      </c>
      <c r="L409" s="32">
        <v>0.0</v>
      </c>
      <c r="M409" s="32">
        <v>0.0</v>
      </c>
      <c r="N409" s="32">
        <f t="shared" si="2"/>
        <v>0</v>
      </c>
      <c r="O409" s="49"/>
      <c r="P409" s="32">
        <f t="array" ref="P409">_xlfn.XLOOKUP($B409, DB[samplingPoint], DB[Criteria])</f>
        <v>100</v>
      </c>
      <c r="Q409" s="50" t="str">
        <f t="shared" si="3"/>
        <v>PASSED</v>
      </c>
      <c r="R409" s="38" t="b">
        <v>0</v>
      </c>
      <c r="S409" s="35" t="s">
        <v>1003</v>
      </c>
      <c r="T409" s="39" t="s">
        <v>386</v>
      </c>
      <c r="U409" s="32" t="s">
        <v>381</v>
      </c>
    </row>
    <row r="410" ht="22.5" customHeight="1">
      <c r="A410" s="26">
        <v>46098.0</v>
      </c>
      <c r="B410" s="58" t="s">
        <v>545</v>
      </c>
      <c r="C410" s="32" t="str">
        <f t="array" ref="C410">_xlfn.XLOOKUP(B410, DB[samplingPoint], DB[samplingTag])</f>
        <v>DV136.03</v>
      </c>
      <c r="D410" s="33" t="s">
        <v>364</v>
      </c>
      <c r="E410" s="38" t="b">
        <v>1</v>
      </c>
      <c r="F410" s="39" t="str">
        <f t="array" ref="F410">_xlfn.XLOOKUP($B410, DB[samplingPoint], DB[noLocation])</f>
        <v>12-2-053</v>
      </c>
      <c r="G410" s="33" t="s">
        <v>437</v>
      </c>
      <c r="H410" s="40" t="str">
        <f t="array" ref="H410">_xlfn.XLOOKUP($B410, DB[samplingPoint], DB[location])</f>
        <v>IPQC</v>
      </c>
      <c r="I410" s="39" t="str">
        <f t="array" ref="I410">_xlfn.XLOOKUP($B410, DB[samplingPoint], DB[waterType])</f>
        <v>PW</v>
      </c>
      <c r="J410" s="43">
        <f t="shared" si="1"/>
        <v>46099</v>
      </c>
      <c r="K410" s="26">
        <v>46102.0</v>
      </c>
      <c r="L410" s="32">
        <v>0.0</v>
      </c>
      <c r="M410" s="32">
        <v>0.0</v>
      </c>
      <c r="N410" s="32">
        <f t="shared" si="2"/>
        <v>0</v>
      </c>
      <c r="O410" s="49"/>
      <c r="P410" s="32">
        <f t="array" ref="P410">_xlfn.XLOOKUP($B410, DB[samplingPoint], DB[Criteria])</f>
        <v>100</v>
      </c>
      <c r="Q410" s="50" t="str">
        <f t="shared" si="3"/>
        <v>PASSED</v>
      </c>
      <c r="R410" s="38" t="b">
        <v>0</v>
      </c>
      <c r="S410" s="35" t="s">
        <v>1003</v>
      </c>
      <c r="T410" s="39" t="s">
        <v>386</v>
      </c>
      <c r="U410" s="32" t="s">
        <v>381</v>
      </c>
    </row>
    <row r="411" ht="22.5" customHeight="1">
      <c r="A411" s="26">
        <v>46098.0</v>
      </c>
      <c r="B411" s="27" t="s">
        <v>543</v>
      </c>
      <c r="C411" s="32" t="str">
        <f t="array" ref="C411">_xlfn.XLOOKUP(B411, DB[samplingPoint], DB[samplingTag])</f>
        <v>DV136.01</v>
      </c>
      <c r="D411" s="33" t="s">
        <v>364</v>
      </c>
      <c r="E411" s="38" t="b">
        <v>1</v>
      </c>
      <c r="F411" s="39" t="str">
        <f t="array" ref="F411">_xlfn.XLOOKUP($B411, DB[samplingPoint], DB[noLocation])</f>
        <v>12-1-035</v>
      </c>
      <c r="G411" s="33" t="s">
        <v>437</v>
      </c>
      <c r="H411" s="40" t="str">
        <f t="array" ref="H411">_xlfn.XLOOKUP($B411, DB[samplingPoint], DB[location])</f>
        <v>SUGAR TRANSFERRING</v>
      </c>
      <c r="I411" s="39" t="str">
        <f t="array" ref="I411">_xlfn.XLOOKUP($B411, DB[samplingPoint], DB[waterType])</f>
        <v>PW</v>
      </c>
      <c r="J411" s="43">
        <f t="shared" si="1"/>
        <v>46099</v>
      </c>
      <c r="K411" s="26">
        <v>46102.0</v>
      </c>
      <c r="L411" s="32">
        <v>0.0</v>
      </c>
      <c r="M411" s="32">
        <v>0.0</v>
      </c>
      <c r="N411" s="32">
        <f t="shared" si="2"/>
        <v>0</v>
      </c>
      <c r="O411" s="49"/>
      <c r="P411" s="32">
        <f t="array" ref="P411">_xlfn.XLOOKUP($B411, DB[samplingPoint], DB[Criteria])</f>
        <v>100</v>
      </c>
      <c r="Q411" s="50" t="str">
        <f t="shared" si="3"/>
        <v>PASSED</v>
      </c>
      <c r="R411" s="38" t="b">
        <v>0</v>
      </c>
      <c r="S411" s="35" t="s">
        <v>1003</v>
      </c>
      <c r="T411" s="39" t="s">
        <v>386</v>
      </c>
      <c r="U411" s="32" t="s">
        <v>381</v>
      </c>
    </row>
    <row r="412" ht="22.5" customHeight="1">
      <c r="A412" s="26">
        <v>46098.0</v>
      </c>
      <c r="B412" s="27" t="s">
        <v>547</v>
      </c>
      <c r="C412" s="32" t="str">
        <f t="array" ref="C412">_xlfn.XLOOKUP(B412, DB[samplingPoint], DB[samplingTag])</f>
        <v>DV136.16</v>
      </c>
      <c r="D412" s="33" t="s">
        <v>364</v>
      </c>
      <c r="E412" s="38" t="b">
        <v>1</v>
      </c>
      <c r="F412" s="39" t="str">
        <f t="array" ref="F412">_xlfn.XLOOKUP($B412, DB[samplingPoint], DB[noLocation])</f>
        <v>12-1-064</v>
      </c>
      <c r="G412" s="33" t="s">
        <v>437</v>
      </c>
      <c r="H412" s="40" t="str">
        <f t="array" ref="H412">_xlfn.XLOOKUP($B412, DB[samplingPoint], DB[location])</f>
        <v>WASHING</v>
      </c>
      <c r="I412" s="39" t="str">
        <f t="array" ref="I412">_xlfn.XLOOKUP($B412, DB[samplingPoint], DB[waterType])</f>
        <v>PW</v>
      </c>
      <c r="J412" s="43">
        <f t="shared" si="1"/>
        <v>46099</v>
      </c>
      <c r="K412" s="26">
        <v>46102.0</v>
      </c>
      <c r="L412" s="32">
        <v>0.0</v>
      </c>
      <c r="M412" s="32">
        <v>0.0</v>
      </c>
      <c r="N412" s="32">
        <f t="shared" si="2"/>
        <v>0</v>
      </c>
      <c r="O412" s="49"/>
      <c r="P412" s="32">
        <f t="array" ref="P412">_xlfn.XLOOKUP($B412, DB[samplingPoint], DB[Criteria])</f>
        <v>100</v>
      </c>
      <c r="Q412" s="50" t="str">
        <f t="shared" si="3"/>
        <v>PASSED</v>
      </c>
      <c r="R412" s="38" t="b">
        <v>0</v>
      </c>
      <c r="S412" s="35" t="s">
        <v>1003</v>
      </c>
      <c r="T412" s="39" t="s">
        <v>386</v>
      </c>
      <c r="U412" s="32" t="s">
        <v>381</v>
      </c>
    </row>
    <row r="413" ht="22.5" customHeight="1">
      <c r="A413" s="26">
        <v>46098.0</v>
      </c>
      <c r="B413" s="88" t="s">
        <v>546</v>
      </c>
      <c r="C413" s="32" t="str">
        <f t="array" ref="C413">_xlfn.XLOOKUP(B413, DB[samplingPoint], DB[samplingTag])</f>
        <v>DV136.04</v>
      </c>
      <c r="D413" s="33" t="s">
        <v>364</v>
      </c>
      <c r="E413" s="38" t="b">
        <v>1</v>
      </c>
      <c r="F413" s="39" t="str">
        <f t="array" ref="F413">_xlfn.XLOOKUP($B413, DB[samplingPoint], DB[noLocation])</f>
        <v>12-2-077</v>
      </c>
      <c r="G413" s="33" t="s">
        <v>437</v>
      </c>
      <c r="H413" s="40" t="str">
        <f t="array" ref="H413">_xlfn.XLOOKUP($B413, DB[samplingPoint], DB[location])</f>
        <v>WATER SYSTEM ROOM</v>
      </c>
      <c r="I413" s="39" t="str">
        <f t="array" ref="I413">_xlfn.XLOOKUP($B413, DB[samplingPoint], DB[waterType])</f>
        <v>PW</v>
      </c>
      <c r="J413" s="43">
        <f t="shared" si="1"/>
        <v>46099</v>
      </c>
      <c r="K413" s="26">
        <v>46102.0</v>
      </c>
      <c r="L413" s="32">
        <v>0.0</v>
      </c>
      <c r="M413" s="32">
        <v>0.0</v>
      </c>
      <c r="N413" s="32">
        <f t="shared" si="2"/>
        <v>0</v>
      </c>
      <c r="O413" s="49"/>
      <c r="P413" s="32">
        <f t="array" ref="P413">_xlfn.XLOOKUP($B413, DB[samplingPoint], DB[Criteria])</f>
        <v>100</v>
      </c>
      <c r="Q413" s="50" t="str">
        <f t="shared" si="3"/>
        <v>PASSED</v>
      </c>
      <c r="R413" s="38" t="b">
        <v>0</v>
      </c>
      <c r="S413" s="35" t="s">
        <v>1003</v>
      </c>
      <c r="T413" s="39" t="s">
        <v>386</v>
      </c>
      <c r="U413" s="32" t="s">
        <v>381</v>
      </c>
    </row>
    <row r="414" ht="22.5" customHeight="1">
      <c r="A414" s="26">
        <v>46098.0</v>
      </c>
      <c r="B414" s="27" t="s">
        <v>471</v>
      </c>
      <c r="C414" s="32" t="str">
        <f t="array" ref="C414">_xlfn.XLOOKUP(B414, DB[samplingPoint], DB[samplingTag])</f>
        <v>VB-05 (16)</v>
      </c>
      <c r="D414" s="33" t="s">
        <v>364</v>
      </c>
      <c r="E414" s="38" t="b">
        <v>1</v>
      </c>
      <c r="F414" s="39" t="str">
        <f t="array" ref="F414">_xlfn.XLOOKUP($B414, DB[samplingPoint], DB[noLocation])</f>
        <v>WATER SYSTEM (B16)</v>
      </c>
      <c r="G414" s="33" t="s">
        <v>327</v>
      </c>
      <c r="H414" s="40" t="str">
        <f t="array" ref="H414">_xlfn.XLOOKUP($B414, DB[samplingPoint], DB[location])</f>
        <v>After Chlorine circulation tank (B16)</v>
      </c>
      <c r="I414" s="39" t="str">
        <f t="array" ref="I414">_xlfn.XLOOKUP($B414, DB[samplingPoint], DB[waterType])</f>
        <v>PRW</v>
      </c>
      <c r="J414" s="43">
        <f t="shared" si="1"/>
        <v>46099</v>
      </c>
      <c r="K414" s="26">
        <v>46102.0</v>
      </c>
      <c r="L414" s="32">
        <v>145.0</v>
      </c>
      <c r="M414" s="32">
        <v>138.0</v>
      </c>
      <c r="N414" s="32">
        <f t="shared" si="2"/>
        <v>142</v>
      </c>
      <c r="O414" s="49"/>
      <c r="P414" s="32">
        <f t="array" ref="P414">_xlfn.XLOOKUP($B414, DB[samplingPoint], DB[Criteria])</f>
        <v>500</v>
      </c>
      <c r="Q414" s="50" t="str">
        <f t="shared" si="3"/>
        <v>PASSED</v>
      </c>
      <c r="R414" s="38" t="b">
        <v>0</v>
      </c>
      <c r="S414" s="35" t="s">
        <v>1004</v>
      </c>
      <c r="T414" s="39" t="s">
        <v>386</v>
      </c>
      <c r="U414" s="32" t="s">
        <v>381</v>
      </c>
    </row>
    <row r="415" ht="22.5" customHeight="1">
      <c r="A415" s="26">
        <v>46098.0</v>
      </c>
      <c r="B415" s="27" t="s">
        <v>470</v>
      </c>
      <c r="C415" s="32" t="str">
        <f t="array" ref="C415">_xlfn.XLOOKUP(B415, DB[samplingPoint], DB[samplingTag])</f>
        <v>V50-61 (16)</v>
      </c>
      <c r="D415" s="33" t="s">
        <v>364</v>
      </c>
      <c r="E415" s="38" t="b">
        <v>1</v>
      </c>
      <c r="F415" s="39" t="str">
        <f t="array" ref="F415">_xlfn.XLOOKUP($B415, DB[samplingPoint], DB[noLocation])</f>
        <v>WATER SYSTEM (B16)</v>
      </c>
      <c r="G415" s="33" t="s">
        <v>327</v>
      </c>
      <c r="H415" s="40" t="str">
        <f t="array" ref="H415">_xlfn.XLOOKUP($B415, DB[samplingPoint], DB[location])</f>
        <v>After Cartridge filter 5 µm (B16)</v>
      </c>
      <c r="I415" s="39" t="str">
        <f t="array" ref="I415">_xlfn.XLOOKUP($B415, DB[samplingPoint], DB[waterType])</f>
        <v>PRW</v>
      </c>
      <c r="J415" s="43">
        <f t="shared" si="1"/>
        <v>46099</v>
      </c>
      <c r="K415" s="26">
        <v>46102.0</v>
      </c>
      <c r="L415" s="32">
        <v>159.0</v>
      </c>
      <c r="M415" s="32">
        <v>286.0</v>
      </c>
      <c r="N415" s="32">
        <f t="shared" si="2"/>
        <v>223</v>
      </c>
      <c r="O415" s="49"/>
      <c r="P415" s="32">
        <f t="array" ref="P415">_xlfn.XLOOKUP($B415, DB[samplingPoint], DB[Criteria])</f>
        <v>500</v>
      </c>
      <c r="Q415" s="50" t="str">
        <f t="shared" si="3"/>
        <v>PASSED</v>
      </c>
      <c r="R415" s="38" t="b">
        <v>0</v>
      </c>
      <c r="S415" s="35" t="s">
        <v>1004</v>
      </c>
      <c r="T415" s="39" t="s">
        <v>386</v>
      </c>
      <c r="U415" s="32" t="s">
        <v>381</v>
      </c>
    </row>
    <row r="416" ht="22.5" customHeight="1">
      <c r="A416" s="26">
        <v>46098.0</v>
      </c>
      <c r="B416" s="27" t="s">
        <v>466</v>
      </c>
      <c r="C416" s="32" t="str">
        <f t="array" ref="C416">_xlfn.XLOOKUP(B416, DB[samplingPoint], DB[samplingTag])</f>
        <v>V50-11C (16)</v>
      </c>
      <c r="D416" s="33" t="s">
        <v>364</v>
      </c>
      <c r="E416" s="38" t="b">
        <v>1</v>
      </c>
      <c r="F416" s="39" t="str">
        <f t="array" ref="F416">_xlfn.XLOOKUP($B416, DB[samplingPoint], DB[noLocation])</f>
        <v>WATER SYSTEM (B16)</v>
      </c>
      <c r="G416" s="33" t="s">
        <v>327</v>
      </c>
      <c r="H416" s="40" t="str">
        <f t="array" ref="H416">_xlfn.XLOOKUP($B416, DB[samplingPoint], DB[location])</f>
        <v>After RO (Before EDI) (B16)</v>
      </c>
      <c r="I416" s="39" t="str">
        <f t="array" ref="I416">_xlfn.XLOOKUP($B416, DB[samplingPoint], DB[waterType])</f>
        <v>RO water</v>
      </c>
      <c r="J416" s="43">
        <f t="shared" si="1"/>
        <v>46099</v>
      </c>
      <c r="K416" s="26">
        <v>46102.0</v>
      </c>
      <c r="L416" s="32">
        <v>0.0</v>
      </c>
      <c r="M416" s="32">
        <v>0.0</v>
      </c>
      <c r="N416" s="32">
        <f t="shared" si="2"/>
        <v>0</v>
      </c>
      <c r="O416" s="49"/>
      <c r="P416" s="32">
        <f t="array" ref="P416">_xlfn.XLOOKUP($B416, DB[samplingPoint], DB[Criteria])</f>
        <v>500</v>
      </c>
      <c r="Q416" s="50" t="str">
        <f t="shared" si="3"/>
        <v>PASSED</v>
      </c>
      <c r="R416" s="38" t="b">
        <v>0</v>
      </c>
      <c r="S416" s="35" t="s">
        <v>1004</v>
      </c>
      <c r="T416" s="39" t="s">
        <v>386</v>
      </c>
      <c r="U416" s="32" t="s">
        <v>381</v>
      </c>
    </row>
    <row r="417" ht="22.5" customHeight="1">
      <c r="A417" s="26">
        <v>46098.0</v>
      </c>
      <c r="B417" s="27" t="s">
        <v>468</v>
      </c>
      <c r="C417" s="32" t="str">
        <f t="array" ref="C417">_xlfn.XLOOKUP(B417, DB[samplingPoint], DB[samplingTag])</f>
        <v>V50-39 (16)</v>
      </c>
      <c r="D417" s="33" t="s">
        <v>364</v>
      </c>
      <c r="E417" s="38" t="b">
        <v>1</v>
      </c>
      <c r="F417" s="39" t="str">
        <f t="array" ref="F417">_xlfn.XLOOKUP($B417, DB[samplingPoint], DB[noLocation])</f>
        <v>WATER SYSTEM (B16)</v>
      </c>
      <c r="G417" s="33" t="s">
        <v>327</v>
      </c>
      <c r="H417" s="40" t="str">
        <f t="array" ref="H417">_xlfn.XLOOKUP($B417, DB[samplingPoint], DB[location])</f>
        <v>After EDI (B16)</v>
      </c>
      <c r="I417" s="39" t="str">
        <f t="array" ref="I417">_xlfn.XLOOKUP($B417, DB[samplingPoint], DB[waterType])</f>
        <v>PW</v>
      </c>
      <c r="J417" s="43">
        <f t="shared" si="1"/>
        <v>46099</v>
      </c>
      <c r="K417" s="26">
        <v>46102.0</v>
      </c>
      <c r="L417" s="32">
        <v>0.0</v>
      </c>
      <c r="M417" s="32">
        <v>0.0</v>
      </c>
      <c r="N417" s="32">
        <f t="shared" si="2"/>
        <v>0</v>
      </c>
      <c r="O417" s="49"/>
      <c r="P417" s="32">
        <f t="array" ref="P417">_xlfn.XLOOKUP($B417, DB[samplingPoint], DB[Criteria])</f>
        <v>100</v>
      </c>
      <c r="Q417" s="50" t="str">
        <f t="shared" si="3"/>
        <v>PASSED</v>
      </c>
      <c r="R417" s="38" t="b">
        <v>0</v>
      </c>
      <c r="S417" s="35" t="s">
        <v>1004</v>
      </c>
      <c r="T417" s="39" t="s">
        <v>386</v>
      </c>
      <c r="U417" s="32" t="s">
        <v>381</v>
      </c>
    </row>
    <row r="418" ht="22.5" customHeight="1">
      <c r="A418" s="26">
        <v>46098.0</v>
      </c>
      <c r="B418" s="27" t="s">
        <v>464</v>
      </c>
      <c r="C418" s="32" t="str">
        <f t="array" ref="C418">_xlfn.XLOOKUP(B418, DB[samplingPoint], DB[samplingTag])</f>
        <v>SV127.01</v>
      </c>
      <c r="D418" s="33" t="s">
        <v>364</v>
      </c>
      <c r="E418" s="38" t="b">
        <v>1</v>
      </c>
      <c r="F418" s="39" t="str">
        <f t="array" ref="F418">_xlfn.XLOOKUP($B418, DB[samplingPoint], DB[noLocation])</f>
        <v>WATER SYSTEM (B16)</v>
      </c>
      <c r="G418" s="33" t="s">
        <v>327</v>
      </c>
      <c r="H418" s="40" t="str">
        <f t="array" ref="H418">_xlfn.XLOOKUP($B418, DB[samplingPoint], DB[location])</f>
        <v>Return loop (B16)</v>
      </c>
      <c r="I418" s="39" t="str">
        <f t="array" ref="I418">_xlfn.XLOOKUP($B418, DB[samplingPoint], DB[waterType])</f>
        <v>PW</v>
      </c>
      <c r="J418" s="43">
        <f t="shared" si="1"/>
        <v>46099</v>
      </c>
      <c r="K418" s="26">
        <v>46102.0</v>
      </c>
      <c r="L418" s="32">
        <v>0.0</v>
      </c>
      <c r="M418" s="32">
        <v>0.0</v>
      </c>
      <c r="N418" s="32">
        <f t="shared" si="2"/>
        <v>0</v>
      </c>
      <c r="O418" s="49"/>
      <c r="P418" s="32">
        <f t="array" ref="P418">_xlfn.XLOOKUP($B418, DB[samplingPoint], DB[Criteria])</f>
        <v>100</v>
      </c>
      <c r="Q418" s="50" t="str">
        <f t="shared" si="3"/>
        <v>PASSED</v>
      </c>
      <c r="R418" s="38" t="b">
        <v>0</v>
      </c>
      <c r="S418" s="35" t="s">
        <v>1004</v>
      </c>
      <c r="T418" s="39" t="s">
        <v>386</v>
      </c>
      <c r="U418" s="32" t="s">
        <v>381</v>
      </c>
    </row>
    <row r="419" ht="22.5" customHeight="1">
      <c r="A419" s="26">
        <v>46098.0</v>
      </c>
      <c r="B419" s="27" t="s">
        <v>567</v>
      </c>
      <c r="C419" s="32" t="str">
        <f t="array" ref="C419">_xlfn.XLOOKUP(B419, DB[samplingPoint], DB[samplingTag])</f>
        <v>SV126.06</v>
      </c>
      <c r="D419" s="33" t="s">
        <v>364</v>
      </c>
      <c r="E419" s="38" t="b">
        <v>1</v>
      </c>
      <c r="F419" s="39" t="str">
        <f t="array" ref="F419">_xlfn.XLOOKUP($B419, DB[samplingPoint], DB[noLocation])</f>
        <v>16-3-067</v>
      </c>
      <c r="G419" s="33" t="s">
        <v>327</v>
      </c>
      <c r="H419" s="40" t="str">
        <f t="array" ref="H419">_xlfn.XLOOKUP($B419, DB[samplingPoint], DB[location])</f>
        <v>MFG 1</v>
      </c>
      <c r="I419" s="39" t="str">
        <f t="array" ref="I419">_xlfn.XLOOKUP($B419, DB[samplingPoint], DB[waterType])</f>
        <v>PW</v>
      </c>
      <c r="J419" s="43">
        <f t="shared" si="1"/>
        <v>46099</v>
      </c>
      <c r="K419" s="26">
        <v>46102.0</v>
      </c>
      <c r="L419" s="32">
        <v>0.0</v>
      </c>
      <c r="M419" s="32">
        <v>0.0</v>
      </c>
      <c r="N419" s="32">
        <f t="shared" si="2"/>
        <v>0</v>
      </c>
      <c r="O419" s="49"/>
      <c r="P419" s="32">
        <f t="array" ref="P419">_xlfn.XLOOKUP($B419, DB[samplingPoint], DB[Criteria])</f>
        <v>100</v>
      </c>
      <c r="Q419" s="50" t="str">
        <f t="shared" si="3"/>
        <v>PASSED</v>
      </c>
      <c r="R419" s="38" t="b">
        <v>0</v>
      </c>
      <c r="S419" s="35" t="s">
        <v>1004</v>
      </c>
      <c r="T419" s="39" t="s">
        <v>386</v>
      </c>
      <c r="U419" s="32" t="s">
        <v>381</v>
      </c>
    </row>
    <row r="420" ht="22.5" customHeight="1">
      <c r="A420" s="26">
        <v>46098.0</v>
      </c>
      <c r="B420" s="27" t="s">
        <v>569</v>
      </c>
      <c r="C420" s="32" t="str">
        <f t="array" ref="C420">_xlfn.XLOOKUP(B420, DB[samplingPoint], DB[samplingTag])</f>
        <v>SV126.21</v>
      </c>
      <c r="D420" s="33" t="s">
        <v>364</v>
      </c>
      <c r="E420" s="38" t="b">
        <v>1</v>
      </c>
      <c r="F420" s="39" t="str">
        <f t="array" ref="F420">_xlfn.XLOOKUP($B420, DB[samplingPoint], DB[noLocation])</f>
        <v>16-3-090</v>
      </c>
      <c r="G420" s="33" t="s">
        <v>327</v>
      </c>
      <c r="H420" s="40" t="str">
        <f t="array" ref="H420">_xlfn.XLOOKUP($B420, DB[samplingPoint], DB[location])</f>
        <v>CIP 1 (EQUIPMENT REQUIREMENT)</v>
      </c>
      <c r="I420" s="39" t="str">
        <f t="array" ref="I420">_xlfn.XLOOKUP($B420, DB[samplingPoint], DB[waterType])</f>
        <v>PW</v>
      </c>
      <c r="J420" s="43">
        <f t="shared" si="1"/>
        <v>46099</v>
      </c>
      <c r="K420" s="26">
        <v>46102.0</v>
      </c>
      <c r="L420" s="32">
        <v>0.0</v>
      </c>
      <c r="M420" s="32">
        <v>0.0</v>
      </c>
      <c r="N420" s="32">
        <f t="shared" si="2"/>
        <v>0</v>
      </c>
      <c r="O420" s="49"/>
      <c r="P420" s="32">
        <f t="array" ref="P420">_xlfn.XLOOKUP($B420, DB[samplingPoint], DB[Criteria])</f>
        <v>100</v>
      </c>
      <c r="Q420" s="50" t="str">
        <f t="shared" si="3"/>
        <v>PASSED</v>
      </c>
      <c r="R420" s="38" t="b">
        <v>0</v>
      </c>
      <c r="S420" s="35" t="s">
        <v>1004</v>
      </c>
      <c r="T420" s="39" t="s">
        <v>386</v>
      </c>
      <c r="U420" s="32" t="s">
        <v>381</v>
      </c>
    </row>
    <row r="421" ht="22.5" customHeight="1">
      <c r="A421" s="26">
        <v>46098.0</v>
      </c>
      <c r="B421" s="27" t="s">
        <v>562</v>
      </c>
      <c r="C421" s="32" t="str">
        <f t="array" ref="C421">_xlfn.XLOOKUP(B421, DB[samplingPoint], DB[samplingTag])</f>
        <v>DV126.09</v>
      </c>
      <c r="D421" s="33" t="s">
        <v>364</v>
      </c>
      <c r="E421" s="38" t="b">
        <v>1</v>
      </c>
      <c r="F421" s="39" t="str">
        <f t="array" ref="F421">_xlfn.XLOOKUP($B421, DB[samplingPoint], DB[noLocation])</f>
        <v>16-3-090</v>
      </c>
      <c r="G421" s="33" t="s">
        <v>327</v>
      </c>
      <c r="H421" s="40" t="str">
        <f t="array" ref="H421">_xlfn.XLOOKUP($B421, DB[samplingPoint], DB[location])</f>
        <v>CIP 1 (ZINK WASHING)</v>
      </c>
      <c r="I421" s="39" t="str">
        <f t="array" ref="I421">_xlfn.XLOOKUP($B421, DB[samplingPoint], DB[waterType])</f>
        <v>PW</v>
      </c>
      <c r="J421" s="43">
        <f t="shared" si="1"/>
        <v>46099</v>
      </c>
      <c r="K421" s="26">
        <v>46102.0</v>
      </c>
      <c r="L421" s="32">
        <v>0.0</v>
      </c>
      <c r="M421" s="32">
        <v>0.0</v>
      </c>
      <c r="N421" s="32">
        <f t="shared" si="2"/>
        <v>0</v>
      </c>
      <c r="O421" s="49"/>
      <c r="P421" s="32">
        <f t="array" ref="P421">_xlfn.XLOOKUP($B421, DB[samplingPoint], DB[Criteria])</f>
        <v>100</v>
      </c>
      <c r="Q421" s="50" t="str">
        <f t="shared" si="3"/>
        <v>PASSED</v>
      </c>
      <c r="R421" s="38" t="b">
        <v>0</v>
      </c>
      <c r="S421" s="35" t="s">
        <v>1004</v>
      </c>
      <c r="T421" s="39" t="s">
        <v>386</v>
      </c>
      <c r="U421" s="32" t="s">
        <v>381</v>
      </c>
    </row>
    <row r="422" ht="22.5" customHeight="1">
      <c r="A422" s="26">
        <v>46098.0</v>
      </c>
      <c r="B422" s="58" t="s">
        <v>568</v>
      </c>
      <c r="C422" s="32" t="str">
        <f t="array" ref="C422">_xlfn.XLOOKUP(B422, DB[samplingPoint], DB[samplingTag])</f>
        <v>SV126.18</v>
      </c>
      <c r="D422" s="33" t="s">
        <v>364</v>
      </c>
      <c r="E422" s="38" t="b">
        <v>1</v>
      </c>
      <c r="F422" s="39" t="str">
        <f t="array" ref="F422">_xlfn.XLOOKUP($B422, DB[samplingPoint], DB[noLocation])</f>
        <v>16-3-085</v>
      </c>
      <c r="G422" s="33" t="s">
        <v>327</v>
      </c>
      <c r="H422" s="40" t="str">
        <f t="array" ref="H422">_xlfn.XLOOKUP($B422, DB[samplingPoint], DB[location])</f>
        <v>CIP 3 (EQUIPMENT REQUIREMENT)</v>
      </c>
      <c r="I422" s="39" t="str">
        <f t="array" ref="I422">_xlfn.XLOOKUP($B422, DB[samplingPoint], DB[waterType])</f>
        <v>PW</v>
      </c>
      <c r="J422" s="43">
        <f t="shared" si="1"/>
        <v>46099</v>
      </c>
      <c r="K422" s="26">
        <v>46102.0</v>
      </c>
      <c r="L422" s="32">
        <v>0.0</v>
      </c>
      <c r="M422" s="32">
        <v>0.0</v>
      </c>
      <c r="N422" s="32">
        <f t="shared" si="2"/>
        <v>0</v>
      </c>
      <c r="O422" s="49"/>
      <c r="P422" s="32">
        <f t="array" ref="P422">_xlfn.XLOOKUP($B422, DB[samplingPoint], DB[Criteria])</f>
        <v>100</v>
      </c>
      <c r="Q422" s="50" t="str">
        <f t="shared" si="3"/>
        <v>PASSED</v>
      </c>
      <c r="R422" s="38" t="b">
        <v>0</v>
      </c>
      <c r="S422" s="35" t="s">
        <v>1004</v>
      </c>
      <c r="T422" s="39" t="s">
        <v>386</v>
      </c>
      <c r="U422" s="32" t="s">
        <v>381</v>
      </c>
    </row>
    <row r="423" ht="22.5" customHeight="1">
      <c r="A423" s="26">
        <v>46098.0</v>
      </c>
      <c r="B423" s="48" t="s">
        <v>564</v>
      </c>
      <c r="C423" s="32" t="str">
        <f t="array" ref="C423">_xlfn.XLOOKUP(B423, DB[samplingPoint], DB[samplingTag])</f>
        <v>SV126.05</v>
      </c>
      <c r="D423" s="33" t="s">
        <v>364</v>
      </c>
      <c r="E423" s="38" t="b">
        <v>1</v>
      </c>
      <c r="F423" s="39" t="str">
        <f t="array" ref="F423">_xlfn.XLOOKUP($B423, DB[samplingPoint], DB[noLocation])</f>
        <v>16-3-049</v>
      </c>
      <c r="G423" s="33" t="s">
        <v>327</v>
      </c>
      <c r="H423" s="40" t="str">
        <f t="array" ref="H423">_xlfn.XLOOKUP($B423, DB[samplingPoint], DB[location])</f>
        <v>LINEN WASHING</v>
      </c>
      <c r="I423" s="39" t="str">
        <f t="array" ref="I423">_xlfn.XLOOKUP($B423, DB[samplingPoint], DB[waterType])</f>
        <v>PW</v>
      </c>
      <c r="J423" s="43">
        <f t="shared" si="1"/>
        <v>46099</v>
      </c>
      <c r="K423" s="26">
        <v>46102.0</v>
      </c>
      <c r="L423" s="32">
        <v>0.0</v>
      </c>
      <c r="M423" s="32">
        <v>0.0</v>
      </c>
      <c r="N423" s="32">
        <f t="shared" si="2"/>
        <v>0</v>
      </c>
      <c r="O423" s="49"/>
      <c r="P423" s="32">
        <f t="array" ref="P423">_xlfn.XLOOKUP($B423, DB[samplingPoint], DB[Criteria])</f>
        <v>100</v>
      </c>
      <c r="Q423" s="50" t="str">
        <f t="shared" si="3"/>
        <v>PASSED</v>
      </c>
      <c r="R423" s="38" t="b">
        <v>0</v>
      </c>
      <c r="S423" s="35" t="s">
        <v>1004</v>
      </c>
      <c r="T423" s="39" t="s">
        <v>386</v>
      </c>
      <c r="U423" s="32" t="s">
        <v>381</v>
      </c>
    </row>
    <row r="424" ht="22.5" customHeight="1">
      <c r="A424" s="26">
        <v>46098.0</v>
      </c>
      <c r="B424" s="48" t="s">
        <v>558</v>
      </c>
      <c r="C424" s="32" t="str">
        <f t="array" ref="C424">_xlfn.XLOOKUP(B424, DB[samplingPoint], DB[samplingTag])</f>
        <v>DV126.04</v>
      </c>
      <c r="D424" s="33" t="s">
        <v>364</v>
      </c>
      <c r="E424" s="38" t="b">
        <v>1</v>
      </c>
      <c r="F424" s="39" t="str">
        <f t="array" ref="F424">_xlfn.XLOOKUP($B424, DB[samplingPoint], DB[noLocation])</f>
        <v>16-2-010</v>
      </c>
      <c r="G424" s="33" t="s">
        <v>327</v>
      </c>
      <c r="H424" s="40" t="str">
        <f t="array" ref="H424">_xlfn.XLOOKUP($B424, DB[samplingPoint], DB[location])</f>
        <v>WATER SYSTEM (PW)</v>
      </c>
      <c r="I424" s="39" t="str">
        <f t="array" ref="I424">_xlfn.XLOOKUP($B424, DB[samplingPoint], DB[waterType])</f>
        <v>PW</v>
      </c>
      <c r="J424" s="43">
        <f t="shared" si="1"/>
        <v>46099</v>
      </c>
      <c r="K424" s="26">
        <v>46102.0</v>
      </c>
      <c r="L424" s="32">
        <v>0.0</v>
      </c>
      <c r="M424" s="32">
        <v>0.0</v>
      </c>
      <c r="N424" s="32">
        <f t="shared" si="2"/>
        <v>0</v>
      </c>
      <c r="O424" s="49"/>
      <c r="P424" s="32">
        <f t="array" ref="P424">_xlfn.XLOOKUP($B424, DB[samplingPoint], DB[Criteria])</f>
        <v>100</v>
      </c>
      <c r="Q424" s="50" t="str">
        <f t="shared" si="3"/>
        <v>PASSED</v>
      </c>
      <c r="R424" s="38" t="b">
        <v>0</v>
      </c>
      <c r="S424" s="35" t="s">
        <v>1004</v>
      </c>
      <c r="T424" s="39" t="s">
        <v>386</v>
      </c>
      <c r="U424" s="32" t="s">
        <v>381</v>
      </c>
    </row>
    <row r="425" ht="22.5" customHeight="1">
      <c r="A425" s="112">
        <v>46101.0</v>
      </c>
      <c r="B425" s="138" t="s">
        <v>431</v>
      </c>
      <c r="C425" s="32" t="str">
        <f t="array" ref="C425">_xlfn.XLOOKUP(B425, DB[samplingPoint], DB[samplingTag])</f>
        <v>SV-14</v>
      </c>
      <c r="D425" s="33" t="s">
        <v>364</v>
      </c>
      <c r="E425" s="38" t="b">
        <v>1</v>
      </c>
      <c r="F425" s="39" t="str">
        <f t="array" ref="F425">_xlfn.XLOOKUP($B425, DB[samplingPoint], DB[noLocation])</f>
        <v>PROCESS WATER (B19)</v>
      </c>
      <c r="G425" s="33" t="s">
        <v>432</v>
      </c>
      <c r="H425" s="40" t="str">
        <f t="array" ref="H425">_xlfn.XLOOKUP($B425, DB[samplingPoint], DB[location])</f>
        <v>AFTER RO SYSTEM NO.12 SV14</v>
      </c>
      <c r="I425" s="39" t="str">
        <f t="array" ref="I425">_xlfn.XLOOKUP($B425, DB[samplingPoint], DB[waterType])</f>
        <v>PRW</v>
      </c>
      <c r="J425" s="43">
        <f t="shared" si="1"/>
        <v>46102</v>
      </c>
      <c r="K425" s="26">
        <v>46105.0</v>
      </c>
      <c r="L425" s="32">
        <v>0.0</v>
      </c>
      <c r="M425" s="32">
        <v>0.0</v>
      </c>
      <c r="N425" s="32">
        <f t="shared" si="2"/>
        <v>0</v>
      </c>
      <c r="O425" s="49"/>
      <c r="P425" s="32">
        <f t="array" ref="P425">_xlfn.XLOOKUP($B425, DB[samplingPoint], DB[Criteria])</f>
        <v>500</v>
      </c>
      <c r="Q425" s="50" t="str">
        <f t="shared" si="3"/>
        <v>PASSED</v>
      </c>
      <c r="R425" s="38" t="b">
        <v>0</v>
      </c>
      <c r="S425" s="35" t="s">
        <v>1005</v>
      </c>
      <c r="T425" s="39" t="s">
        <v>386</v>
      </c>
      <c r="U425" s="32" t="s">
        <v>381</v>
      </c>
    </row>
    <row r="426" ht="22.5" customHeight="1">
      <c r="A426" s="112">
        <v>46101.0</v>
      </c>
      <c r="B426" s="58" t="s">
        <v>349</v>
      </c>
      <c r="C426" s="32" t="str">
        <f t="array" ref="C426">_xlfn.XLOOKUP(B426, DB[samplingPoint], DB[samplingTag])</f>
        <v>VB-05(10)</v>
      </c>
      <c r="D426" s="33" t="s">
        <v>364</v>
      </c>
      <c r="E426" s="38" t="b">
        <v>1</v>
      </c>
      <c r="F426" s="39" t="str">
        <f t="array" ref="F426">_xlfn.XLOOKUP($B426, DB[samplingPoint], DB[noLocation])</f>
        <v>WATER SYSTEM (B10)</v>
      </c>
      <c r="G426" s="33" t="s">
        <v>180</v>
      </c>
      <c r="H426" s="40" t="str">
        <f t="array" ref="H426">_xlfn.XLOOKUP($B426, DB[samplingPoint], DB[location])</f>
        <v>After Chlorine circulation tank (B10)</v>
      </c>
      <c r="I426" s="39" t="str">
        <f t="array" ref="I426">_xlfn.XLOOKUP($B426, DB[samplingPoint], DB[waterType])</f>
        <v>PRW</v>
      </c>
      <c r="J426" s="43">
        <f t="shared" si="1"/>
        <v>46102</v>
      </c>
      <c r="K426" s="26">
        <v>46105.0</v>
      </c>
      <c r="L426" s="32">
        <v>32.0</v>
      </c>
      <c r="M426" s="32">
        <v>56.0</v>
      </c>
      <c r="N426" s="32">
        <f t="shared" si="2"/>
        <v>44</v>
      </c>
      <c r="O426" s="49"/>
      <c r="P426" s="32">
        <f t="array" ref="P426">_xlfn.XLOOKUP($B426, DB[samplingPoint], DB[Criteria])</f>
        <v>500</v>
      </c>
      <c r="Q426" s="50" t="str">
        <f t="shared" si="3"/>
        <v>PASSED</v>
      </c>
      <c r="R426" s="38" t="b">
        <v>0</v>
      </c>
      <c r="S426" s="35" t="s">
        <v>1006</v>
      </c>
      <c r="T426" s="39" t="s">
        <v>386</v>
      </c>
      <c r="U426" s="32" t="s">
        <v>381</v>
      </c>
    </row>
    <row r="427" ht="22.5" customHeight="1">
      <c r="A427" s="26">
        <v>46101.0</v>
      </c>
      <c r="B427" s="58" t="s">
        <v>366</v>
      </c>
      <c r="C427" s="32" t="str">
        <f t="array" ref="C427">_xlfn.XLOOKUP(B427, DB[samplingPoint], DB[samplingTag])</f>
        <v>V50-61(10)</v>
      </c>
      <c r="D427" s="33" t="s">
        <v>364</v>
      </c>
      <c r="E427" s="38" t="b">
        <v>1</v>
      </c>
      <c r="F427" s="39" t="str">
        <f t="array" ref="F427">_xlfn.XLOOKUP($B427, DB[samplingPoint], DB[noLocation])</f>
        <v>WATER SYSTEM (B10)</v>
      </c>
      <c r="G427" s="33" t="s">
        <v>180</v>
      </c>
      <c r="H427" s="40" t="str">
        <f t="array" ref="H427">_xlfn.XLOOKUP($B427, DB[samplingPoint], DB[location])</f>
        <v>After Cartridge filter 5 µm (B10)</v>
      </c>
      <c r="I427" s="39" t="str">
        <f t="array" ref="I427">_xlfn.XLOOKUP($B427, DB[samplingPoint], DB[waterType])</f>
        <v>PRW</v>
      </c>
      <c r="J427" s="43">
        <f t="shared" si="1"/>
        <v>46102</v>
      </c>
      <c r="K427" s="26">
        <v>46105.0</v>
      </c>
      <c r="L427" s="32">
        <v>134.0</v>
      </c>
      <c r="M427" s="32">
        <v>116.0</v>
      </c>
      <c r="N427" s="32">
        <f t="shared" si="2"/>
        <v>125</v>
      </c>
      <c r="O427" s="49"/>
      <c r="P427" s="32">
        <f t="array" ref="P427">_xlfn.XLOOKUP($B427, DB[samplingPoint], DB[Criteria])</f>
        <v>500</v>
      </c>
      <c r="Q427" s="50" t="str">
        <f t="shared" si="3"/>
        <v>PASSED</v>
      </c>
      <c r="R427" s="38" t="b">
        <v>0</v>
      </c>
      <c r="S427" s="35" t="s">
        <v>1006</v>
      </c>
      <c r="T427" s="39" t="s">
        <v>386</v>
      </c>
      <c r="U427" s="32" t="s">
        <v>381</v>
      </c>
    </row>
    <row r="428" ht="22.5" customHeight="1">
      <c r="A428" s="26">
        <v>46101.0</v>
      </c>
      <c r="B428" s="27" t="s">
        <v>368</v>
      </c>
      <c r="C428" s="32" t="str">
        <f t="array" ref="C428">_xlfn.XLOOKUP(B428, DB[samplingPoint], DB[samplingTag])</f>
        <v>V50-11C(10)</v>
      </c>
      <c r="D428" s="33" t="s">
        <v>364</v>
      </c>
      <c r="E428" s="38" t="b">
        <v>1</v>
      </c>
      <c r="F428" s="39" t="str">
        <f t="array" ref="F428">_xlfn.XLOOKUP($B428, DB[samplingPoint], DB[noLocation])</f>
        <v>WATER SYSTEM (B10)</v>
      </c>
      <c r="G428" s="33" t="s">
        <v>180</v>
      </c>
      <c r="H428" s="40" t="str">
        <f t="array" ref="H428">_xlfn.XLOOKUP($B428, DB[samplingPoint], DB[location])</f>
        <v>After RO (Before EDI) (B10)</v>
      </c>
      <c r="I428" s="39" t="str">
        <f t="array" ref="I428">_xlfn.XLOOKUP($B428, DB[samplingPoint], DB[waterType])</f>
        <v>RO water</v>
      </c>
      <c r="J428" s="43">
        <f t="shared" si="1"/>
        <v>46102</v>
      </c>
      <c r="K428" s="26">
        <v>46105.0</v>
      </c>
      <c r="L428" s="32">
        <v>0.0</v>
      </c>
      <c r="M428" s="32">
        <v>0.0</v>
      </c>
      <c r="N428" s="32">
        <f t="shared" si="2"/>
        <v>0</v>
      </c>
      <c r="O428" s="49"/>
      <c r="P428" s="32">
        <f t="array" ref="P428">_xlfn.XLOOKUP($B428, DB[samplingPoint], DB[Criteria])</f>
        <v>500</v>
      </c>
      <c r="Q428" s="50" t="str">
        <f t="shared" si="3"/>
        <v>PASSED</v>
      </c>
      <c r="R428" s="38" t="b">
        <v>0</v>
      </c>
      <c r="S428" s="35" t="s">
        <v>1006</v>
      </c>
      <c r="T428" s="39" t="s">
        <v>386</v>
      </c>
      <c r="U428" s="32" t="s">
        <v>381</v>
      </c>
    </row>
    <row r="429" ht="22.5" customHeight="1">
      <c r="A429" s="26">
        <v>46101.0</v>
      </c>
      <c r="B429" s="58" t="s">
        <v>374</v>
      </c>
      <c r="C429" s="32" t="str">
        <f t="array" ref="C429">_xlfn.XLOOKUP(B429, DB[samplingPoint], DB[samplingTag])</f>
        <v>V50-39(10)</v>
      </c>
      <c r="D429" s="33" t="s">
        <v>364</v>
      </c>
      <c r="E429" s="38" t="b">
        <v>1</v>
      </c>
      <c r="F429" s="39" t="str">
        <f t="array" ref="F429">_xlfn.XLOOKUP($B429, DB[samplingPoint], DB[noLocation])</f>
        <v>WATER SYSTEM (B10)</v>
      </c>
      <c r="G429" s="33" t="s">
        <v>180</v>
      </c>
      <c r="H429" s="40" t="str">
        <f t="array" ref="H429">_xlfn.XLOOKUP($B429, DB[samplingPoint], DB[location])</f>
        <v>After EDI (B10)</v>
      </c>
      <c r="I429" s="39" t="str">
        <f t="array" ref="I429">_xlfn.XLOOKUP($B429, DB[samplingPoint], DB[waterType])</f>
        <v>PW</v>
      </c>
      <c r="J429" s="43">
        <f t="shared" si="1"/>
        <v>46102</v>
      </c>
      <c r="K429" s="26">
        <v>46105.0</v>
      </c>
      <c r="L429" s="32">
        <v>0.0</v>
      </c>
      <c r="M429" s="32">
        <v>0.0</v>
      </c>
      <c r="N429" s="32">
        <f t="shared" si="2"/>
        <v>0</v>
      </c>
      <c r="O429" s="49"/>
      <c r="P429" s="32">
        <f t="array" ref="P429">_xlfn.XLOOKUP($B429, DB[samplingPoint], DB[Criteria])</f>
        <v>100</v>
      </c>
      <c r="Q429" s="50" t="str">
        <f t="shared" si="3"/>
        <v>PASSED</v>
      </c>
      <c r="R429" s="38" t="b">
        <v>0</v>
      </c>
      <c r="S429" s="35" t="s">
        <v>1006</v>
      </c>
      <c r="T429" s="39" t="s">
        <v>386</v>
      </c>
      <c r="U429" s="32" t="s">
        <v>381</v>
      </c>
    </row>
    <row r="430" ht="22.5" customHeight="1">
      <c r="A430" s="26">
        <v>46101.0</v>
      </c>
      <c r="B430" s="27" t="s">
        <v>390</v>
      </c>
      <c r="C430" s="32" t="str">
        <f t="array" ref="C430">_xlfn.XLOOKUP(B430, DB[samplingPoint], DB[samplingTag])</f>
        <v>SV117.01</v>
      </c>
      <c r="D430" s="33" t="s">
        <v>364</v>
      </c>
      <c r="E430" s="38" t="b">
        <v>1</v>
      </c>
      <c r="F430" s="39" t="str">
        <f t="array" ref="F430">_xlfn.XLOOKUP($B430, DB[samplingPoint], DB[noLocation])</f>
        <v>WATER SYSTEM (B10)</v>
      </c>
      <c r="G430" s="33" t="s">
        <v>180</v>
      </c>
      <c r="H430" s="40" t="str">
        <f t="array" ref="H430">_xlfn.XLOOKUP($B430, DB[samplingPoint], DB[location])</f>
        <v>Return loop (B10)</v>
      </c>
      <c r="I430" s="39" t="str">
        <f t="array" ref="I430">_xlfn.XLOOKUP($B430, DB[samplingPoint], DB[waterType])</f>
        <v>PW</v>
      </c>
      <c r="J430" s="43">
        <f t="shared" si="1"/>
        <v>46102</v>
      </c>
      <c r="K430" s="26">
        <v>46105.0</v>
      </c>
      <c r="L430" s="32">
        <v>0.0</v>
      </c>
      <c r="M430" s="32">
        <v>0.0</v>
      </c>
      <c r="N430" s="32">
        <f t="shared" si="2"/>
        <v>0</v>
      </c>
      <c r="O430" s="49"/>
      <c r="P430" s="32">
        <f t="array" ref="P430">_xlfn.XLOOKUP($B430, DB[samplingPoint], DB[Criteria])</f>
        <v>100</v>
      </c>
      <c r="Q430" s="50" t="str">
        <f t="shared" si="3"/>
        <v>PASSED</v>
      </c>
      <c r="R430" s="38" t="b">
        <v>0</v>
      </c>
      <c r="S430" s="35" t="s">
        <v>1006</v>
      </c>
      <c r="T430" s="39" t="s">
        <v>386</v>
      </c>
      <c r="U430" s="32" t="s">
        <v>381</v>
      </c>
    </row>
    <row r="431" ht="22.5" customHeight="1">
      <c r="A431" s="26">
        <v>46101.0</v>
      </c>
      <c r="B431" s="58" t="s">
        <v>394</v>
      </c>
      <c r="C431" s="32" t="str">
        <f t="array" ref="C431">_xlfn.XLOOKUP(B431, DB[samplingPoint], DB[samplingTag])</f>
        <v>DV116.25</v>
      </c>
      <c r="D431" s="33" t="s">
        <v>364</v>
      </c>
      <c r="E431" s="38" t="b">
        <v>1</v>
      </c>
      <c r="F431" s="39" t="str">
        <f t="array" ref="F431">_xlfn.XLOOKUP($B431, DB[samplingPoint], DB[noLocation])</f>
        <v>10-3-171</v>
      </c>
      <c r="G431" s="33" t="s">
        <v>180</v>
      </c>
      <c r="H431" s="40" t="str">
        <f t="array" ref="H431">_xlfn.XLOOKUP($B431, DB[samplingPoint], DB[location])</f>
        <v>TOOL WASHING-P</v>
      </c>
      <c r="I431" s="39" t="str">
        <f t="array" ref="I431">_xlfn.XLOOKUP($B431, DB[samplingPoint], DB[waterType])</f>
        <v>PW</v>
      </c>
      <c r="J431" s="43">
        <f t="shared" si="1"/>
        <v>46102</v>
      </c>
      <c r="K431" s="26">
        <v>46105.0</v>
      </c>
      <c r="L431" s="32">
        <v>0.0</v>
      </c>
      <c r="M431" s="32">
        <v>0.0</v>
      </c>
      <c r="N431" s="32">
        <f t="shared" si="2"/>
        <v>0</v>
      </c>
      <c r="O431" s="49"/>
      <c r="P431" s="32">
        <f t="array" ref="P431">_xlfn.XLOOKUP($B431, DB[samplingPoint], DB[Criteria])</f>
        <v>100</v>
      </c>
      <c r="Q431" s="50" t="str">
        <f t="shared" si="3"/>
        <v>PASSED</v>
      </c>
      <c r="R431" s="38" t="b">
        <v>0</v>
      </c>
      <c r="S431" s="35" t="s">
        <v>1006</v>
      </c>
      <c r="T431" s="39" t="s">
        <v>386</v>
      </c>
      <c r="U431" s="32" t="s">
        <v>381</v>
      </c>
    </row>
    <row r="432" ht="22.5" customHeight="1">
      <c r="A432" s="26">
        <v>46101.0</v>
      </c>
      <c r="B432" s="27" t="s">
        <v>398</v>
      </c>
      <c r="C432" s="32" t="str">
        <f t="array" ref="C432">_xlfn.XLOOKUP(B432, DB[samplingPoint], DB[samplingTag])</f>
        <v>DV116.24</v>
      </c>
      <c r="D432" s="33" t="s">
        <v>364</v>
      </c>
      <c r="E432" s="38" t="b">
        <v>1</v>
      </c>
      <c r="F432" s="39" t="str">
        <f t="array" ref="F432">_xlfn.XLOOKUP($B432, DB[samplingPoint], DB[noLocation])</f>
        <v>10-3-163</v>
      </c>
      <c r="G432" s="33" t="s">
        <v>180</v>
      </c>
      <c r="H432" s="40" t="str">
        <f t="array" ref="H432">_xlfn.XLOOKUP($B432, DB[samplingPoint], DB[location])</f>
        <v>WET GRANULATION 1-P</v>
      </c>
      <c r="I432" s="39" t="str">
        <f t="array" ref="I432">_xlfn.XLOOKUP($B432, DB[samplingPoint], DB[waterType])</f>
        <v>PW</v>
      </c>
      <c r="J432" s="43">
        <f t="shared" si="1"/>
        <v>46102</v>
      </c>
      <c r="K432" s="26">
        <v>46105.0</v>
      </c>
      <c r="L432" s="32">
        <v>0.0</v>
      </c>
      <c r="M432" s="32">
        <v>0.0</v>
      </c>
      <c r="N432" s="32">
        <f t="shared" si="2"/>
        <v>0</v>
      </c>
      <c r="O432" s="49"/>
      <c r="P432" s="32">
        <f t="array" ref="P432">_xlfn.XLOOKUP($B432, DB[samplingPoint], DB[Criteria])</f>
        <v>100</v>
      </c>
      <c r="Q432" s="50" t="str">
        <f t="shared" si="3"/>
        <v>PASSED</v>
      </c>
      <c r="R432" s="38" t="b">
        <v>0</v>
      </c>
      <c r="S432" s="35" t="s">
        <v>1006</v>
      </c>
      <c r="T432" s="39" t="s">
        <v>386</v>
      </c>
      <c r="U432" s="32" t="s">
        <v>381</v>
      </c>
    </row>
    <row r="433" ht="22.5" customHeight="1">
      <c r="A433" s="26">
        <v>46101.0</v>
      </c>
      <c r="B433" s="58" t="s">
        <v>401</v>
      </c>
      <c r="C433" s="32" t="str">
        <f t="array" ref="C433">_xlfn.XLOOKUP(B433, DB[samplingPoint], DB[samplingTag])</f>
        <v>DV116.23</v>
      </c>
      <c r="D433" s="33" t="s">
        <v>364</v>
      </c>
      <c r="E433" s="38" t="b">
        <v>1</v>
      </c>
      <c r="F433" s="39" t="str">
        <f t="array" ref="F433">_xlfn.XLOOKUP($B433, DB[samplingPoint], DB[noLocation])</f>
        <v>10-3-159</v>
      </c>
      <c r="G433" s="33" t="s">
        <v>180</v>
      </c>
      <c r="H433" s="40" t="str">
        <f t="array" ref="H433">_xlfn.XLOOKUP($B433, DB[samplingPoint], DB[location])</f>
        <v>BINDER PREPARATION-P</v>
      </c>
      <c r="I433" s="39" t="str">
        <f t="array" ref="I433">_xlfn.XLOOKUP($B433, DB[samplingPoint], DB[waterType])</f>
        <v>PW</v>
      </c>
      <c r="J433" s="43">
        <f t="shared" si="1"/>
        <v>46102</v>
      </c>
      <c r="K433" s="26">
        <v>46105.0</v>
      </c>
      <c r="L433" s="32">
        <v>0.0</v>
      </c>
      <c r="M433" s="32">
        <v>0.0</v>
      </c>
      <c r="N433" s="32">
        <f t="shared" si="2"/>
        <v>0</v>
      </c>
      <c r="O433" s="49"/>
      <c r="P433" s="32">
        <f t="array" ref="P433">_xlfn.XLOOKUP($B433, DB[samplingPoint], DB[Criteria])</f>
        <v>100</v>
      </c>
      <c r="Q433" s="50" t="str">
        <f t="shared" si="3"/>
        <v>PASSED</v>
      </c>
      <c r="R433" s="38" t="b">
        <v>0</v>
      </c>
      <c r="S433" s="35" t="s">
        <v>1006</v>
      </c>
      <c r="T433" s="39" t="s">
        <v>386</v>
      </c>
      <c r="U433" s="32" t="s">
        <v>381</v>
      </c>
    </row>
    <row r="434" ht="22.5" customHeight="1">
      <c r="A434" s="26">
        <v>46101.0</v>
      </c>
      <c r="B434" s="27" t="s">
        <v>406</v>
      </c>
      <c r="C434" s="32" t="str">
        <f t="array" ref="C434">_xlfn.XLOOKUP(B434, DB[samplingPoint], DB[samplingTag])</f>
        <v>DV116.21</v>
      </c>
      <c r="D434" s="33" t="s">
        <v>364</v>
      </c>
      <c r="E434" s="38" t="b">
        <v>1</v>
      </c>
      <c r="F434" s="39" t="str">
        <f t="array" ref="F434">_xlfn.XLOOKUP($B434, DB[samplingPoint], DB[noLocation])</f>
        <v>10-3-152</v>
      </c>
      <c r="G434" s="33" t="s">
        <v>180</v>
      </c>
      <c r="H434" s="40" t="str">
        <f t="array" ref="H434">_xlfn.XLOOKUP($B434, DB[samplingPoint], DB[location])</f>
        <v>WASHING-P</v>
      </c>
      <c r="I434" s="39" t="str">
        <f t="array" ref="I434">_xlfn.XLOOKUP($B434, DB[samplingPoint], DB[waterType])</f>
        <v>PW</v>
      </c>
      <c r="J434" s="43">
        <f t="shared" si="1"/>
        <v>46102</v>
      </c>
      <c r="K434" s="26">
        <v>46105.0</v>
      </c>
      <c r="L434" s="32">
        <v>0.0</v>
      </c>
      <c r="M434" s="32">
        <v>0.0</v>
      </c>
      <c r="N434" s="32">
        <f t="shared" si="2"/>
        <v>0</v>
      </c>
      <c r="O434" s="49"/>
      <c r="P434" s="32">
        <f t="array" ref="P434">_xlfn.XLOOKUP($B434, DB[samplingPoint], DB[Criteria])</f>
        <v>100</v>
      </c>
      <c r="Q434" s="50" t="str">
        <f t="shared" si="3"/>
        <v>PASSED</v>
      </c>
      <c r="R434" s="38" t="b">
        <v>0</v>
      </c>
      <c r="S434" s="35" t="s">
        <v>1006</v>
      </c>
      <c r="T434" s="39" t="s">
        <v>386</v>
      </c>
      <c r="U434" s="32" t="s">
        <v>381</v>
      </c>
    </row>
    <row r="435" ht="22.5" customHeight="1">
      <c r="A435" s="26">
        <v>46101.0</v>
      </c>
      <c r="B435" s="58" t="s">
        <v>410</v>
      </c>
      <c r="C435" s="32" t="str">
        <f t="array" ref="C435">_xlfn.XLOOKUP(B435, DB[samplingPoint], DB[samplingTag])</f>
        <v>DV116.22</v>
      </c>
      <c r="D435" s="33" t="s">
        <v>364</v>
      </c>
      <c r="E435" s="38" t="b">
        <v>1</v>
      </c>
      <c r="F435" s="39" t="str">
        <f t="array" ref="F435">_xlfn.XLOOKUP($B435, DB[samplingPoint], DB[noLocation])</f>
        <v>10-3-152</v>
      </c>
      <c r="G435" s="33" t="s">
        <v>180</v>
      </c>
      <c r="H435" s="40" t="str">
        <f t="array" ref="H435">_xlfn.XLOOKUP($B435, DB[samplingPoint], DB[location])</f>
        <v>WASHING-P</v>
      </c>
      <c r="I435" s="39" t="str">
        <f t="array" ref="I435">_xlfn.XLOOKUP($B435, DB[samplingPoint], DB[waterType])</f>
        <v>PW</v>
      </c>
      <c r="J435" s="43">
        <f t="shared" si="1"/>
        <v>46102</v>
      </c>
      <c r="K435" s="26">
        <v>46105.0</v>
      </c>
      <c r="L435" s="32">
        <v>0.0</v>
      </c>
      <c r="M435" s="32">
        <v>0.0</v>
      </c>
      <c r="N435" s="32">
        <f t="shared" si="2"/>
        <v>0</v>
      </c>
      <c r="O435" s="49"/>
      <c r="P435" s="32">
        <f t="array" ref="P435">_xlfn.XLOOKUP($B435, DB[samplingPoint], DB[Criteria])</f>
        <v>100</v>
      </c>
      <c r="Q435" s="50" t="str">
        <f t="shared" si="3"/>
        <v>PASSED</v>
      </c>
      <c r="R435" s="38" t="b">
        <v>0</v>
      </c>
      <c r="S435" s="35" t="s">
        <v>1006</v>
      </c>
      <c r="T435" s="39" t="s">
        <v>386</v>
      </c>
      <c r="U435" s="32" t="s">
        <v>381</v>
      </c>
    </row>
    <row r="436" ht="22.5" customHeight="1">
      <c r="A436" s="26">
        <v>46101.0</v>
      </c>
      <c r="B436" s="27" t="s">
        <v>414</v>
      </c>
      <c r="C436" s="32" t="str">
        <f t="array" ref="C436">_xlfn.XLOOKUP(B436, DB[samplingPoint], DB[samplingTag])</f>
        <v>SV116.13</v>
      </c>
      <c r="D436" s="33" t="s">
        <v>364</v>
      </c>
      <c r="E436" s="38" t="b">
        <v>1</v>
      </c>
      <c r="F436" s="39" t="str">
        <f t="array" ref="F436">_xlfn.XLOOKUP($B436, DB[samplingPoint], DB[noLocation])</f>
        <v>10-3-152</v>
      </c>
      <c r="G436" s="33" t="s">
        <v>180</v>
      </c>
      <c r="H436" s="40" t="str">
        <f t="array" ref="H436">_xlfn.XLOOKUP($B436, DB[samplingPoint], DB[location])</f>
        <v>WASHING-P</v>
      </c>
      <c r="I436" s="39" t="str">
        <f t="array" ref="I436">_xlfn.XLOOKUP($B436, DB[samplingPoint], DB[waterType])</f>
        <v>PW</v>
      </c>
      <c r="J436" s="43">
        <f t="shared" si="1"/>
        <v>46102</v>
      </c>
      <c r="K436" s="26">
        <v>46105.0</v>
      </c>
      <c r="L436" s="32">
        <v>0.0</v>
      </c>
      <c r="M436" s="32">
        <v>0.0</v>
      </c>
      <c r="N436" s="32">
        <f t="shared" si="2"/>
        <v>0</v>
      </c>
      <c r="O436" s="49"/>
      <c r="P436" s="32">
        <f t="array" ref="P436">_xlfn.XLOOKUP($B436, DB[samplingPoint], DB[Criteria])</f>
        <v>100</v>
      </c>
      <c r="Q436" s="50" t="str">
        <f t="shared" si="3"/>
        <v>PASSED</v>
      </c>
      <c r="R436" s="38" t="b">
        <v>0</v>
      </c>
      <c r="S436" s="35" t="s">
        <v>1006</v>
      </c>
      <c r="T436" s="39" t="s">
        <v>386</v>
      </c>
      <c r="U436" s="32" t="s">
        <v>381</v>
      </c>
    </row>
    <row r="437" ht="22.5" customHeight="1">
      <c r="A437" s="26">
        <v>46101.0</v>
      </c>
      <c r="B437" s="58" t="s">
        <v>417</v>
      </c>
      <c r="C437" s="32" t="str">
        <f t="array" ref="C437">_xlfn.XLOOKUP(B437, DB[samplingPoint], DB[samplingTag])</f>
        <v>DV116.20</v>
      </c>
      <c r="D437" s="33" t="s">
        <v>364</v>
      </c>
      <c r="E437" s="38" t="b">
        <v>1</v>
      </c>
      <c r="F437" s="39" t="str">
        <f t="array" ref="F437">_xlfn.XLOOKUP($B437, DB[samplingPoint], DB[noLocation])</f>
        <v>10-3-149</v>
      </c>
      <c r="G437" s="33" t="s">
        <v>180</v>
      </c>
      <c r="H437" s="40" t="str">
        <f t="array" ref="H437">_xlfn.XLOOKUP($B437, DB[samplingPoint], DB[location])</f>
        <v>IPQC-1-P</v>
      </c>
      <c r="I437" s="39" t="str">
        <f t="array" ref="I437">_xlfn.XLOOKUP($B437, DB[samplingPoint], DB[waterType])</f>
        <v>PW</v>
      </c>
      <c r="J437" s="43">
        <f t="shared" si="1"/>
        <v>46102</v>
      </c>
      <c r="K437" s="26">
        <v>46105.0</v>
      </c>
      <c r="L437" s="32">
        <v>0.0</v>
      </c>
      <c r="M437" s="32">
        <v>0.0</v>
      </c>
      <c r="N437" s="32">
        <f t="shared" si="2"/>
        <v>0</v>
      </c>
      <c r="O437" s="49"/>
      <c r="P437" s="32">
        <f t="array" ref="P437">_xlfn.XLOOKUP($B437, DB[samplingPoint], DB[Criteria])</f>
        <v>100</v>
      </c>
      <c r="Q437" s="50" t="str">
        <f t="shared" si="3"/>
        <v>PASSED</v>
      </c>
      <c r="R437" s="38" t="b">
        <v>0</v>
      </c>
      <c r="S437" s="35" t="s">
        <v>1006</v>
      </c>
      <c r="T437" s="39" t="s">
        <v>386</v>
      </c>
      <c r="U437" s="32" t="s">
        <v>381</v>
      </c>
    </row>
    <row r="438" ht="22.5" customHeight="1">
      <c r="A438" s="26">
        <v>46101.0</v>
      </c>
      <c r="B438" s="27" t="s">
        <v>421</v>
      </c>
      <c r="C438" s="32" t="str">
        <f t="array" ref="C438">_xlfn.XLOOKUP(B438, DB[samplingPoint], DB[samplingTag])</f>
        <v>DV116.19</v>
      </c>
      <c r="D438" s="33" t="s">
        <v>364</v>
      </c>
      <c r="E438" s="38" t="b">
        <v>1</v>
      </c>
      <c r="F438" s="39" t="str">
        <f t="array" ref="F438">_xlfn.XLOOKUP($B438, DB[samplingPoint], DB[noLocation])</f>
        <v>10-3-143</v>
      </c>
      <c r="G438" s="33" t="s">
        <v>180</v>
      </c>
      <c r="H438" s="40" t="str">
        <f t="array" ref="H438">_xlfn.XLOOKUP($B438, DB[samplingPoint], DB[location])</f>
        <v>COATING SOLUTION PREP.-P</v>
      </c>
      <c r="I438" s="39" t="str">
        <f t="array" ref="I438">_xlfn.XLOOKUP($B438, DB[samplingPoint], DB[waterType])</f>
        <v>PW</v>
      </c>
      <c r="J438" s="43">
        <f t="shared" si="1"/>
        <v>46102</v>
      </c>
      <c r="K438" s="26">
        <v>46105.0</v>
      </c>
      <c r="L438" s="32">
        <v>0.0</v>
      </c>
      <c r="M438" s="32">
        <v>0.0</v>
      </c>
      <c r="N438" s="32">
        <f t="shared" si="2"/>
        <v>0</v>
      </c>
      <c r="O438" s="49"/>
      <c r="P438" s="32">
        <f t="array" ref="P438">_xlfn.XLOOKUP($B438, DB[samplingPoint], DB[Criteria])</f>
        <v>100</v>
      </c>
      <c r="Q438" s="50" t="str">
        <f t="shared" si="3"/>
        <v>PASSED</v>
      </c>
      <c r="R438" s="38" t="b">
        <v>0</v>
      </c>
      <c r="S438" s="35" t="s">
        <v>1006</v>
      </c>
      <c r="T438" s="39" t="s">
        <v>386</v>
      </c>
      <c r="U438" s="32" t="s">
        <v>381</v>
      </c>
    </row>
    <row r="439" ht="22.5" customHeight="1">
      <c r="A439" s="26">
        <v>46101.0</v>
      </c>
      <c r="B439" s="58" t="s">
        <v>423</v>
      </c>
      <c r="C439" s="32" t="str">
        <f t="array" ref="C439">_xlfn.XLOOKUP(B439, DB[samplingPoint], DB[samplingTag])</f>
        <v>SV116.12</v>
      </c>
      <c r="D439" s="33" t="s">
        <v>364</v>
      </c>
      <c r="E439" s="38" t="b">
        <v>1</v>
      </c>
      <c r="F439" s="39" t="str">
        <f t="array" ref="F439">_xlfn.XLOOKUP($B439, DB[samplingPoint], DB[noLocation])</f>
        <v>10-3-144</v>
      </c>
      <c r="G439" s="33" t="s">
        <v>180</v>
      </c>
      <c r="H439" s="40" t="str">
        <f t="array" ref="H439">_xlfn.XLOOKUP($B439, DB[samplingPoint], DB[location])</f>
        <v>COATING-P</v>
      </c>
      <c r="I439" s="39" t="str">
        <f t="array" ref="I439">_xlfn.XLOOKUP($B439, DB[samplingPoint], DB[waterType])</f>
        <v>PW</v>
      </c>
      <c r="J439" s="43">
        <f t="shared" si="1"/>
        <v>46102</v>
      </c>
      <c r="K439" s="26">
        <v>46105.0</v>
      </c>
      <c r="L439" s="32">
        <v>0.0</v>
      </c>
      <c r="M439" s="32">
        <v>0.0</v>
      </c>
      <c r="N439" s="32">
        <f t="shared" si="2"/>
        <v>0</v>
      </c>
      <c r="O439" s="49"/>
      <c r="P439" s="32">
        <f t="array" ref="P439">_xlfn.XLOOKUP($B439, DB[samplingPoint], DB[Criteria])</f>
        <v>100</v>
      </c>
      <c r="Q439" s="50" t="str">
        <f t="shared" si="3"/>
        <v>PASSED</v>
      </c>
      <c r="R439" s="38" t="b">
        <v>0</v>
      </c>
      <c r="S439" s="35" t="s">
        <v>1006</v>
      </c>
      <c r="T439" s="39" t="s">
        <v>386</v>
      </c>
      <c r="U439" s="32" t="s">
        <v>381</v>
      </c>
    </row>
    <row r="440" ht="22.5" customHeight="1">
      <c r="A440" s="26">
        <v>46101.0</v>
      </c>
      <c r="B440" s="88" t="s">
        <v>425</v>
      </c>
      <c r="C440" s="32" t="str">
        <f t="array" ref="C440">_xlfn.XLOOKUP(B440, DB[samplingPoint], DB[samplingTag])</f>
        <v>DV116.02</v>
      </c>
      <c r="D440" s="33" t="s">
        <v>364</v>
      </c>
      <c r="E440" s="38" t="b">
        <v>1</v>
      </c>
      <c r="F440" s="39" t="str">
        <f t="array" ref="F440">_xlfn.XLOOKUP($B440, DB[samplingPoint], DB[noLocation])</f>
        <v>10-1-115</v>
      </c>
      <c r="G440" s="33" t="s">
        <v>180</v>
      </c>
      <c r="H440" s="40" t="str">
        <f t="array" ref="H440">_xlfn.XLOOKUP($B440, DB[samplingPoint], DB[location])</f>
        <v>WASHING</v>
      </c>
      <c r="I440" s="39" t="str">
        <f t="array" ref="I440">_xlfn.XLOOKUP($B440, DB[samplingPoint], DB[waterType])</f>
        <v>PW</v>
      </c>
      <c r="J440" s="43">
        <f t="shared" si="1"/>
        <v>46102</v>
      </c>
      <c r="K440" s="26">
        <v>46105.0</v>
      </c>
      <c r="L440" s="32">
        <v>0.0</v>
      </c>
      <c r="M440" s="32">
        <v>0.0</v>
      </c>
      <c r="N440" s="32">
        <f t="shared" si="2"/>
        <v>0</v>
      </c>
      <c r="O440" s="49"/>
      <c r="P440" s="32">
        <f t="array" ref="P440">_xlfn.XLOOKUP($B440, DB[samplingPoint], DB[Criteria])</f>
        <v>100</v>
      </c>
      <c r="Q440" s="50" t="str">
        <f t="shared" si="3"/>
        <v>PASSED</v>
      </c>
      <c r="R440" s="38" t="b">
        <v>0</v>
      </c>
      <c r="S440" s="35" t="s">
        <v>1006</v>
      </c>
      <c r="T440" s="39" t="s">
        <v>386</v>
      </c>
      <c r="U440" s="32" t="s">
        <v>381</v>
      </c>
    </row>
    <row r="441" ht="22.5" customHeight="1">
      <c r="A441" s="26">
        <v>46101.0</v>
      </c>
      <c r="B441" s="48" t="s">
        <v>428</v>
      </c>
      <c r="C441" s="32" t="str">
        <f t="array" ref="C441">_xlfn.XLOOKUP(B441, DB[samplingPoint], DB[samplingTag])</f>
        <v>DV116.01</v>
      </c>
      <c r="D441" s="33" t="s">
        <v>364</v>
      </c>
      <c r="E441" s="38" t="b">
        <v>1</v>
      </c>
      <c r="F441" s="39" t="str">
        <f t="array" ref="F441">_xlfn.XLOOKUP($B441, DB[samplingPoint], DB[noLocation])</f>
        <v>10-1-057</v>
      </c>
      <c r="G441" s="33" t="s">
        <v>180</v>
      </c>
      <c r="H441" s="40" t="str">
        <f t="array" ref="H441">_xlfn.XLOOKUP($B441, DB[samplingPoint], DB[location])</f>
        <v>WASHING-P</v>
      </c>
      <c r="I441" s="39" t="str">
        <f t="array" ref="I441">_xlfn.XLOOKUP($B441, DB[samplingPoint], DB[waterType])</f>
        <v>PW</v>
      </c>
      <c r="J441" s="43">
        <f t="shared" si="1"/>
        <v>46102</v>
      </c>
      <c r="K441" s="26">
        <v>46105.0</v>
      </c>
      <c r="L441" s="32">
        <v>0.0</v>
      </c>
      <c r="M441" s="32">
        <v>0.0</v>
      </c>
      <c r="N441" s="32">
        <f t="shared" si="2"/>
        <v>0</v>
      </c>
      <c r="O441" s="49"/>
      <c r="P441" s="32">
        <f t="array" ref="P441">_xlfn.XLOOKUP($B441, DB[samplingPoint], DB[Criteria])</f>
        <v>100</v>
      </c>
      <c r="Q441" s="50" t="str">
        <f t="shared" si="3"/>
        <v>PASSED</v>
      </c>
      <c r="R441" s="38" t="b">
        <v>0</v>
      </c>
      <c r="S441" s="35" t="s">
        <v>1006</v>
      </c>
      <c r="T441" s="39" t="s">
        <v>386</v>
      </c>
      <c r="U441" s="32" t="s">
        <v>381</v>
      </c>
    </row>
    <row r="442" ht="22.5" customHeight="1">
      <c r="A442" s="112">
        <v>46105.0</v>
      </c>
      <c r="B442" s="58" t="s">
        <v>467</v>
      </c>
      <c r="C442" s="32" t="str">
        <f t="array" ref="C442">_xlfn.XLOOKUP(B442, DB[samplingPoint], DB[samplingTag])</f>
        <v>SV123.01</v>
      </c>
      <c r="D442" s="33" t="s">
        <v>436</v>
      </c>
      <c r="E442" s="38" t="b">
        <v>1</v>
      </c>
      <c r="F442" s="39" t="str">
        <f t="array" ref="F442">_xlfn.XLOOKUP($B442, DB[samplingPoint], DB[noLocation])</f>
        <v>WATER SYSTEM (B16)</v>
      </c>
      <c r="G442" s="33" t="s">
        <v>327</v>
      </c>
      <c r="H442" s="40" t="str">
        <f t="array" ref="H442">_xlfn.XLOOKUP($B442, DB[samplingPoint], DB[location])</f>
        <v>After Storage tank (B16)</v>
      </c>
      <c r="I442" s="39" t="str">
        <f t="array" ref="I442">_xlfn.XLOOKUP($B442, DB[samplingPoint], DB[waterType])</f>
        <v>PW</v>
      </c>
      <c r="J442" s="43">
        <f t="shared" si="1"/>
        <v>46106</v>
      </c>
      <c r="K442" s="26">
        <v>46110.0</v>
      </c>
      <c r="L442" s="32">
        <v>0.0</v>
      </c>
      <c r="M442" s="32">
        <v>0.0</v>
      </c>
      <c r="N442" s="32">
        <f t="shared" si="2"/>
        <v>0</v>
      </c>
      <c r="O442" s="49"/>
      <c r="P442" s="32">
        <f t="array" ref="P442">_xlfn.XLOOKUP($B442, DB[samplingPoint], DB[Criteria])</f>
        <v>100</v>
      </c>
      <c r="Q442" s="50" t="str">
        <f t="shared" si="3"/>
        <v>PASSED</v>
      </c>
      <c r="R442" s="38" t="b">
        <v>0</v>
      </c>
      <c r="S442" s="35" t="s">
        <v>1007</v>
      </c>
      <c r="T442" s="39" t="s">
        <v>386</v>
      </c>
      <c r="U442" s="32" t="s">
        <v>381</v>
      </c>
    </row>
    <row r="443" ht="22.5" customHeight="1">
      <c r="A443" s="26">
        <v>46105.0</v>
      </c>
      <c r="B443" s="58" t="s">
        <v>469</v>
      </c>
      <c r="C443" s="32" t="str">
        <f t="array" ref="C443">_xlfn.XLOOKUP(B443, DB[samplingPoint], DB[samplingTag])</f>
        <v>SV125.02</v>
      </c>
      <c r="D443" s="33" t="s">
        <v>436</v>
      </c>
      <c r="E443" s="38" t="b">
        <v>1</v>
      </c>
      <c r="F443" s="39" t="str">
        <f t="array" ref="F443">_xlfn.XLOOKUP($B443, DB[samplingPoint], DB[noLocation])</f>
        <v>WATER SYSTEM (B16)</v>
      </c>
      <c r="G443" s="33" t="s">
        <v>327</v>
      </c>
      <c r="H443" s="40" t="str">
        <f t="array" ref="H443">_xlfn.XLOOKUP($B443, DB[samplingPoint], DB[location])</f>
        <v>After UV (B16)</v>
      </c>
      <c r="I443" s="39" t="str">
        <f t="array" ref="I443">_xlfn.XLOOKUP($B443, DB[samplingPoint], DB[waterType])</f>
        <v>PW</v>
      </c>
      <c r="J443" s="43">
        <f t="shared" si="1"/>
        <v>46106</v>
      </c>
      <c r="K443" s="26">
        <v>46110.0</v>
      </c>
      <c r="L443" s="32">
        <v>50.0</v>
      </c>
      <c r="M443" s="32">
        <v>54.0</v>
      </c>
      <c r="N443" s="32">
        <f t="shared" si="2"/>
        <v>52</v>
      </c>
      <c r="O443" s="49"/>
      <c r="P443" s="32">
        <f t="array" ref="P443">_xlfn.XLOOKUP($B443, DB[samplingPoint], DB[Criteria])</f>
        <v>100</v>
      </c>
      <c r="Q443" s="50" t="str">
        <f t="shared" si="3"/>
        <v>PASSED</v>
      </c>
      <c r="R443" s="38" t="b">
        <v>0</v>
      </c>
      <c r="S443" s="35" t="s">
        <v>1007</v>
      </c>
      <c r="T443" s="39" t="s">
        <v>386</v>
      </c>
      <c r="U443" s="32" t="s">
        <v>381</v>
      </c>
    </row>
    <row r="444" ht="22.5" customHeight="1">
      <c r="A444" s="26">
        <v>46105.0</v>
      </c>
      <c r="B444" s="58" t="s">
        <v>464</v>
      </c>
      <c r="C444" s="32" t="str">
        <f t="array" ref="C444">_xlfn.XLOOKUP(B444, DB[samplingPoint], DB[samplingTag])</f>
        <v>SV127.01</v>
      </c>
      <c r="D444" s="33" t="s">
        <v>436</v>
      </c>
      <c r="E444" s="38" t="b">
        <v>1</v>
      </c>
      <c r="F444" s="39" t="str">
        <f t="array" ref="F444">_xlfn.XLOOKUP($B444, DB[samplingPoint], DB[noLocation])</f>
        <v>WATER SYSTEM (B16)</v>
      </c>
      <c r="G444" s="33" t="s">
        <v>327</v>
      </c>
      <c r="H444" s="40" t="str">
        <f t="array" ref="H444">_xlfn.XLOOKUP($B444, DB[samplingPoint], DB[location])</f>
        <v>Return loop (B16)</v>
      </c>
      <c r="I444" s="39" t="str">
        <f t="array" ref="I444">_xlfn.XLOOKUP($B444, DB[samplingPoint], DB[waterType])</f>
        <v>PW</v>
      </c>
      <c r="J444" s="43">
        <f t="shared" si="1"/>
        <v>46106</v>
      </c>
      <c r="K444" s="26">
        <v>46110.0</v>
      </c>
      <c r="L444" s="32">
        <v>0.0</v>
      </c>
      <c r="M444" s="32">
        <v>0.0</v>
      </c>
      <c r="N444" s="32">
        <f t="shared" si="2"/>
        <v>0</v>
      </c>
      <c r="O444" s="49"/>
      <c r="P444" s="32">
        <f t="array" ref="P444">_xlfn.XLOOKUP($B444, DB[samplingPoint], DB[Criteria])</f>
        <v>100</v>
      </c>
      <c r="Q444" s="50" t="str">
        <f t="shared" si="3"/>
        <v>PASSED</v>
      </c>
      <c r="R444" s="38" t="b">
        <v>0</v>
      </c>
      <c r="S444" s="35" t="s">
        <v>1007</v>
      </c>
      <c r="T444" s="39" t="s">
        <v>386</v>
      </c>
      <c r="U444" s="32" t="s">
        <v>381</v>
      </c>
    </row>
    <row r="445" ht="22.5" customHeight="1">
      <c r="A445" s="26">
        <v>46105.0</v>
      </c>
      <c r="B445" s="48" t="s">
        <v>553</v>
      </c>
      <c r="C445" s="32" t="str">
        <f t="array" ref="C445">_xlfn.XLOOKUP(B445, DB[samplingPoint], DB[samplingTag])</f>
        <v>DV126.10</v>
      </c>
      <c r="D445" s="33" t="s">
        <v>436</v>
      </c>
      <c r="E445" s="38" t="b">
        <v>1</v>
      </c>
      <c r="F445" s="39" t="str">
        <f t="array" ref="F445">_xlfn.XLOOKUP($B445, DB[samplingPoint], DB[noLocation])</f>
        <v>16-3-069</v>
      </c>
      <c r="G445" s="33" t="s">
        <v>327</v>
      </c>
      <c r="H445" s="40" t="str">
        <f t="array" ref="H445">_xlfn.XLOOKUP($B445, DB[samplingPoint], DB[location])</f>
        <v>MFG 2</v>
      </c>
      <c r="I445" s="39" t="str">
        <f t="array" ref="I445">_xlfn.XLOOKUP($B445, DB[samplingPoint], DB[waterType])</f>
        <v>PW</v>
      </c>
      <c r="J445" s="43">
        <f t="shared" si="1"/>
        <v>46106</v>
      </c>
      <c r="K445" s="26">
        <v>46110.0</v>
      </c>
      <c r="L445" s="32">
        <v>0.0</v>
      </c>
      <c r="M445" s="32">
        <v>0.0</v>
      </c>
      <c r="N445" s="32">
        <f t="shared" si="2"/>
        <v>0</v>
      </c>
      <c r="O445" s="49"/>
      <c r="P445" s="32">
        <f t="array" ref="P445">_xlfn.XLOOKUP($B445, DB[samplingPoint], DB[Criteria])</f>
        <v>100</v>
      </c>
      <c r="Q445" s="50" t="str">
        <f t="shared" si="3"/>
        <v>PASSED</v>
      </c>
      <c r="R445" s="38" t="b">
        <v>0</v>
      </c>
      <c r="S445" s="35" t="s">
        <v>1007</v>
      </c>
      <c r="T445" s="39" t="s">
        <v>386</v>
      </c>
      <c r="U445" s="32" t="s">
        <v>381</v>
      </c>
    </row>
    <row r="446" ht="22.5" customHeight="1">
      <c r="A446" s="26">
        <v>46105.0</v>
      </c>
      <c r="B446" s="48" t="s">
        <v>555</v>
      </c>
      <c r="C446" s="32" t="str">
        <f t="array" ref="C446">_xlfn.XLOOKUP(B446, DB[samplingPoint], DB[samplingTag])</f>
        <v>DV126.06</v>
      </c>
      <c r="D446" s="33" t="s">
        <v>436</v>
      </c>
      <c r="E446" s="38" t="b">
        <v>1</v>
      </c>
      <c r="F446" s="39" t="str">
        <f t="array" ref="F446">_xlfn.XLOOKUP($B446, DB[samplingPoint], DB[noLocation])</f>
        <v>16-3-069</v>
      </c>
      <c r="G446" s="33" t="s">
        <v>327</v>
      </c>
      <c r="H446" s="40" t="str">
        <f t="array" ref="H446">_xlfn.XLOOKUP($B446, DB[samplingPoint], DB[location])</f>
        <v>MFG 2</v>
      </c>
      <c r="I446" s="39" t="str">
        <f t="array" ref="I446">_xlfn.XLOOKUP($B446, DB[samplingPoint], DB[waterType])</f>
        <v>PW</v>
      </c>
      <c r="J446" s="43">
        <f t="shared" si="1"/>
        <v>46106</v>
      </c>
      <c r="K446" s="26">
        <v>46110.0</v>
      </c>
      <c r="L446" s="32">
        <v>0.0</v>
      </c>
      <c r="M446" s="32">
        <v>0.0</v>
      </c>
      <c r="N446" s="32">
        <f t="shared" si="2"/>
        <v>0</v>
      </c>
      <c r="O446" s="49"/>
      <c r="P446" s="32">
        <f t="array" ref="P446">_xlfn.XLOOKUP($B446, DB[samplingPoint], DB[Criteria])</f>
        <v>100</v>
      </c>
      <c r="Q446" s="50" t="str">
        <f t="shared" si="3"/>
        <v>PASSED</v>
      </c>
      <c r="R446" s="38" t="b">
        <v>0</v>
      </c>
      <c r="S446" s="35" t="s">
        <v>1007</v>
      </c>
      <c r="T446" s="39" t="s">
        <v>386</v>
      </c>
      <c r="U446" s="32" t="s">
        <v>381</v>
      </c>
    </row>
    <row r="447" ht="22.5" customHeight="1">
      <c r="A447" s="26">
        <v>46105.0</v>
      </c>
      <c r="B447" s="48" t="s">
        <v>557</v>
      </c>
      <c r="C447" s="32" t="str">
        <f t="array" ref="C447">_xlfn.XLOOKUP(B447, DB[samplingPoint], DB[samplingTag])</f>
        <v>SV126.10</v>
      </c>
      <c r="D447" s="33" t="s">
        <v>436</v>
      </c>
      <c r="E447" s="38" t="b">
        <v>1</v>
      </c>
      <c r="F447" s="39" t="str">
        <f t="array" ref="F447">_xlfn.XLOOKUP($B447, DB[samplingPoint], DB[noLocation])</f>
        <v>16-3-071</v>
      </c>
      <c r="G447" s="33" t="s">
        <v>327</v>
      </c>
      <c r="H447" s="40" t="str">
        <f t="array" ref="H447">_xlfn.XLOOKUP($B447, DB[samplingPoint], DB[location])</f>
        <v>MFG 3 (1200L)</v>
      </c>
      <c r="I447" s="39" t="str">
        <f t="array" ref="I447">_xlfn.XLOOKUP($B447, DB[samplingPoint], DB[waterType])</f>
        <v>PW</v>
      </c>
      <c r="J447" s="43">
        <f t="shared" si="1"/>
        <v>46106</v>
      </c>
      <c r="K447" s="26">
        <v>46110.0</v>
      </c>
      <c r="L447" s="32">
        <v>0.0</v>
      </c>
      <c r="M447" s="32">
        <v>0.0</v>
      </c>
      <c r="N447" s="32">
        <f t="shared" si="2"/>
        <v>0</v>
      </c>
      <c r="O447" s="49"/>
      <c r="P447" s="32">
        <f t="array" ref="P447">_xlfn.XLOOKUP($B447, DB[samplingPoint], DB[Criteria])</f>
        <v>100</v>
      </c>
      <c r="Q447" s="50" t="str">
        <f t="shared" si="3"/>
        <v>PASSED</v>
      </c>
      <c r="R447" s="38" t="b">
        <v>0</v>
      </c>
      <c r="S447" s="35" t="s">
        <v>1007</v>
      </c>
      <c r="T447" s="39" t="s">
        <v>386</v>
      </c>
      <c r="U447" s="32" t="s">
        <v>381</v>
      </c>
    </row>
    <row r="448" ht="22.5" customHeight="1">
      <c r="A448" s="26">
        <v>46105.0</v>
      </c>
      <c r="B448" s="48" t="s">
        <v>561</v>
      </c>
      <c r="C448" s="32" t="str">
        <f t="array" ref="C448">_xlfn.XLOOKUP(B448, DB[samplingPoint], DB[samplingTag])</f>
        <v>SV126.09</v>
      </c>
      <c r="D448" s="33" t="s">
        <v>436</v>
      </c>
      <c r="E448" s="38" t="b">
        <v>1</v>
      </c>
      <c r="F448" s="39" t="str">
        <f t="array" ref="F448">_xlfn.XLOOKUP($B448, DB[samplingPoint], DB[noLocation])</f>
        <v>16-3-071</v>
      </c>
      <c r="G448" s="33" t="s">
        <v>327</v>
      </c>
      <c r="H448" s="40" t="str">
        <f t="array" ref="H448">_xlfn.XLOOKUP($B448, DB[samplingPoint], DB[location])</f>
        <v>MFG 3 (5000L)</v>
      </c>
      <c r="I448" s="39" t="str">
        <f t="array" ref="I448">_xlfn.XLOOKUP($B448, DB[samplingPoint], DB[waterType])</f>
        <v>PW</v>
      </c>
      <c r="J448" s="43">
        <f t="shared" si="1"/>
        <v>46106</v>
      </c>
      <c r="K448" s="26">
        <v>46110.0</v>
      </c>
      <c r="L448" s="32">
        <v>0.0</v>
      </c>
      <c r="M448" s="32">
        <v>0.0</v>
      </c>
      <c r="N448" s="32">
        <f t="shared" si="2"/>
        <v>0</v>
      </c>
      <c r="O448" s="49"/>
      <c r="P448" s="32">
        <f t="array" ref="P448">_xlfn.XLOOKUP($B448, DB[samplingPoint], DB[Criteria])</f>
        <v>100</v>
      </c>
      <c r="Q448" s="50" t="str">
        <f t="shared" si="3"/>
        <v>PASSED</v>
      </c>
      <c r="R448" s="38" t="b">
        <v>0</v>
      </c>
      <c r="S448" s="35" t="s">
        <v>1007</v>
      </c>
      <c r="T448" s="39" t="s">
        <v>386</v>
      </c>
      <c r="U448" s="32" t="s">
        <v>381</v>
      </c>
    </row>
    <row r="449" ht="22.5" customHeight="1">
      <c r="A449" s="26">
        <v>46105.0</v>
      </c>
      <c r="B449" s="48" t="s">
        <v>566</v>
      </c>
      <c r="C449" s="32" t="str">
        <f t="array" ref="C449">_xlfn.XLOOKUP(B449, DB[samplingPoint], DB[samplingTag])</f>
        <v>DV126.08</v>
      </c>
      <c r="D449" s="33" t="s">
        <v>436</v>
      </c>
      <c r="E449" s="38" t="b">
        <v>1</v>
      </c>
      <c r="F449" s="39" t="str">
        <f t="array" ref="F449">_xlfn.XLOOKUP($B449, DB[samplingPoint], DB[noLocation])</f>
        <v>16-3-077</v>
      </c>
      <c r="G449" s="33" t="s">
        <v>327</v>
      </c>
      <c r="H449" s="40" t="str">
        <f t="array" ref="H449">_xlfn.XLOOKUP($B449, DB[samplingPoint], DB[location])</f>
        <v>MFG 6</v>
      </c>
      <c r="I449" s="39" t="str">
        <f t="array" ref="I449">_xlfn.XLOOKUP($B449, DB[samplingPoint], DB[waterType])</f>
        <v>PW</v>
      </c>
      <c r="J449" s="43">
        <f t="shared" si="1"/>
        <v>46106</v>
      </c>
      <c r="K449" s="26">
        <v>46110.0</v>
      </c>
      <c r="L449" s="32">
        <v>0.0</v>
      </c>
      <c r="M449" s="32">
        <v>0.0</v>
      </c>
      <c r="N449" s="32">
        <f t="shared" si="2"/>
        <v>0</v>
      </c>
      <c r="O449" s="49"/>
      <c r="P449" s="32">
        <f t="array" ref="P449">_xlfn.XLOOKUP($B449, DB[samplingPoint], DB[Criteria])</f>
        <v>100</v>
      </c>
      <c r="Q449" s="50" t="str">
        <f t="shared" si="3"/>
        <v>PASSED</v>
      </c>
      <c r="R449" s="38" t="b">
        <v>0</v>
      </c>
      <c r="S449" s="35" t="s">
        <v>1007</v>
      </c>
      <c r="T449" s="39" t="s">
        <v>386</v>
      </c>
      <c r="U449" s="32" t="s">
        <v>381</v>
      </c>
    </row>
    <row r="450" ht="22.5" customHeight="1">
      <c r="A450" s="26">
        <v>46105.0</v>
      </c>
      <c r="B450" s="48" t="s">
        <v>563</v>
      </c>
      <c r="C450" s="32" t="str">
        <f t="array" ref="C450">_xlfn.XLOOKUP(B450, DB[samplingPoint], DB[samplingTag])</f>
        <v>DV126.07</v>
      </c>
      <c r="D450" s="33" t="s">
        <v>436</v>
      </c>
      <c r="E450" s="38" t="b">
        <v>1</v>
      </c>
      <c r="F450" s="39" t="str">
        <f t="array" ref="F450">_xlfn.XLOOKUP($B450, DB[samplingPoint], DB[noLocation])</f>
        <v>16-3-077</v>
      </c>
      <c r="G450" s="33" t="s">
        <v>327</v>
      </c>
      <c r="H450" s="40" t="str">
        <f t="array" ref="H450">_xlfn.XLOOKUP($B450, DB[samplingPoint], DB[location])</f>
        <v>MFG 6</v>
      </c>
      <c r="I450" s="39" t="str">
        <f t="array" ref="I450">_xlfn.XLOOKUP($B450, DB[samplingPoint], DB[waterType])</f>
        <v>PW</v>
      </c>
      <c r="J450" s="43">
        <f t="shared" si="1"/>
        <v>46106</v>
      </c>
      <c r="K450" s="26">
        <v>46110.0</v>
      </c>
      <c r="L450" s="32">
        <v>0.0</v>
      </c>
      <c r="M450" s="32">
        <v>0.0</v>
      </c>
      <c r="N450" s="32">
        <f t="shared" si="2"/>
        <v>0</v>
      </c>
      <c r="O450" s="49"/>
      <c r="P450" s="32">
        <f t="array" ref="P450">_xlfn.XLOOKUP($B450, DB[samplingPoint], DB[Criteria])</f>
        <v>100</v>
      </c>
      <c r="Q450" s="50" t="str">
        <f t="shared" si="3"/>
        <v>PASSED</v>
      </c>
      <c r="R450" s="38" t="b">
        <v>0</v>
      </c>
      <c r="S450" s="35" t="s">
        <v>1007</v>
      </c>
      <c r="T450" s="39" t="s">
        <v>386</v>
      </c>
      <c r="U450" s="32" t="s">
        <v>381</v>
      </c>
    </row>
    <row r="451" ht="22.5" customHeight="1">
      <c r="A451" s="26">
        <v>46105.0</v>
      </c>
      <c r="B451" s="48" t="s">
        <v>478</v>
      </c>
      <c r="C451" s="32" t="str">
        <f t="array" ref="C451">_xlfn.XLOOKUP(B451, DB[samplingPoint], DB[samplingTag])</f>
        <v>SV126.14</v>
      </c>
      <c r="D451" s="33" t="s">
        <v>436</v>
      </c>
      <c r="E451" s="38" t="b">
        <v>1</v>
      </c>
      <c r="F451" s="39" t="str">
        <f t="array" ref="F451">_xlfn.XLOOKUP($B451, DB[samplingPoint], DB[noLocation])</f>
        <v>16-3-073</v>
      </c>
      <c r="G451" s="33" t="s">
        <v>327</v>
      </c>
      <c r="H451" s="40" t="str">
        <f t="array" ref="H451">_xlfn.XLOOKUP($B451, DB[samplingPoint], DB[location])</f>
        <v>MFG 4 (400L)</v>
      </c>
      <c r="I451" s="39" t="str">
        <f t="array" ref="I451">_xlfn.XLOOKUP($B451, DB[samplingPoint], DB[waterType])</f>
        <v>PW</v>
      </c>
      <c r="J451" s="43">
        <f t="shared" si="1"/>
        <v>46106</v>
      </c>
      <c r="K451" s="26">
        <v>46110.0</v>
      </c>
      <c r="L451" s="32">
        <v>0.0</v>
      </c>
      <c r="M451" s="32">
        <v>0.0</v>
      </c>
      <c r="N451" s="32">
        <f t="shared" si="2"/>
        <v>0</v>
      </c>
      <c r="O451" s="49"/>
      <c r="P451" s="32">
        <f t="array" ref="P451">_xlfn.XLOOKUP($B451, DB[samplingPoint], DB[Criteria])</f>
        <v>100</v>
      </c>
      <c r="Q451" s="50" t="str">
        <f t="shared" si="3"/>
        <v>PASSED</v>
      </c>
      <c r="R451" s="38" t="b">
        <v>0</v>
      </c>
      <c r="S451" s="35" t="s">
        <v>1007</v>
      </c>
      <c r="T451" s="39" t="s">
        <v>386</v>
      </c>
      <c r="U451" s="32" t="s">
        <v>381</v>
      </c>
    </row>
    <row r="452" ht="22.5" customHeight="1">
      <c r="A452" s="112">
        <v>46105.0</v>
      </c>
      <c r="B452" s="27" t="s">
        <v>435</v>
      </c>
      <c r="C452" s="32" t="str">
        <f t="array" ref="C452">_xlfn.XLOOKUP(B452, DB[samplingPoint], DB[samplingTag])</f>
        <v>SV133.01</v>
      </c>
      <c r="D452" s="33" t="s">
        <v>436</v>
      </c>
      <c r="E452" s="38" t="b">
        <v>1</v>
      </c>
      <c r="F452" s="39" t="str">
        <f t="array" ref="F452">_xlfn.XLOOKUP($B452, DB[samplingPoint], DB[noLocation])</f>
        <v>WATER SYSTEM (B12)</v>
      </c>
      <c r="G452" s="33" t="s">
        <v>437</v>
      </c>
      <c r="H452" s="40" t="str">
        <f t="array" ref="H452">_xlfn.XLOOKUP($B452, DB[samplingPoint], DB[location])</f>
        <v>After Storage tank (B12)</v>
      </c>
      <c r="I452" s="39" t="str">
        <f t="array" ref="I452">_xlfn.XLOOKUP($B452, DB[samplingPoint], DB[waterType])</f>
        <v>PW</v>
      </c>
      <c r="J452" s="43">
        <f t="shared" si="1"/>
        <v>46106</v>
      </c>
      <c r="K452" s="26">
        <v>46110.0</v>
      </c>
      <c r="L452" s="32">
        <v>0.0</v>
      </c>
      <c r="M452" s="32">
        <v>0.0</v>
      </c>
      <c r="N452" s="32">
        <f t="shared" si="2"/>
        <v>0</v>
      </c>
      <c r="O452" s="49"/>
      <c r="P452" s="32">
        <f t="array" ref="P452">_xlfn.XLOOKUP($B452, DB[samplingPoint], DB[Criteria])</f>
        <v>100</v>
      </c>
      <c r="Q452" s="50" t="str">
        <f t="shared" si="3"/>
        <v>PASSED</v>
      </c>
      <c r="R452" s="38" t="b">
        <v>0</v>
      </c>
      <c r="S452" s="35" t="s">
        <v>1008</v>
      </c>
      <c r="T452" s="39" t="s">
        <v>386</v>
      </c>
      <c r="U452" s="32" t="s">
        <v>381</v>
      </c>
    </row>
    <row r="453" ht="22.5" customHeight="1">
      <c r="A453" s="26">
        <v>46105.0</v>
      </c>
      <c r="B453" s="58" t="s">
        <v>438</v>
      </c>
      <c r="C453" s="32" t="str">
        <f t="array" ref="C453">_xlfn.XLOOKUP(B453, DB[samplingPoint], DB[samplingTag])</f>
        <v>SV135.02</v>
      </c>
      <c r="D453" s="33" t="s">
        <v>436</v>
      </c>
      <c r="E453" s="38" t="b">
        <v>1</v>
      </c>
      <c r="F453" s="39" t="str">
        <f t="array" ref="F453">_xlfn.XLOOKUP($B453, DB[samplingPoint], DB[noLocation])</f>
        <v>WATER SYSTEM (B12)</v>
      </c>
      <c r="G453" s="33" t="s">
        <v>437</v>
      </c>
      <c r="H453" s="40" t="str">
        <f t="array" ref="H453">_xlfn.XLOOKUP($B453, DB[samplingPoint], DB[location])</f>
        <v>After UV (B12)</v>
      </c>
      <c r="I453" s="39" t="str">
        <f t="array" ref="I453">_xlfn.XLOOKUP($B453, DB[samplingPoint], DB[waterType])</f>
        <v>PW</v>
      </c>
      <c r="J453" s="43">
        <f t="shared" si="1"/>
        <v>46106</v>
      </c>
      <c r="K453" s="26">
        <v>46110.0</v>
      </c>
      <c r="L453" s="32">
        <v>0.0</v>
      </c>
      <c r="M453" s="32">
        <v>0.0</v>
      </c>
      <c r="N453" s="32">
        <f t="shared" si="2"/>
        <v>0</v>
      </c>
      <c r="O453" s="49"/>
      <c r="P453" s="32">
        <f t="array" ref="P453">_xlfn.XLOOKUP($B453, DB[samplingPoint], DB[Criteria])</f>
        <v>100</v>
      </c>
      <c r="Q453" s="50" t="str">
        <f t="shared" si="3"/>
        <v>PASSED</v>
      </c>
      <c r="R453" s="38" t="b">
        <v>0</v>
      </c>
      <c r="S453" s="35" t="s">
        <v>1008</v>
      </c>
      <c r="T453" s="39" t="s">
        <v>386</v>
      </c>
      <c r="U453" s="32" t="s">
        <v>381</v>
      </c>
    </row>
    <row r="454" ht="22.5" customHeight="1">
      <c r="A454" s="26">
        <v>46105.0</v>
      </c>
      <c r="B454" s="27" t="s">
        <v>430</v>
      </c>
      <c r="C454" s="32" t="str">
        <f t="array" ref="C454">_xlfn.XLOOKUP(B454, DB[samplingPoint], DB[samplingTag])</f>
        <v>SV137.01</v>
      </c>
      <c r="D454" s="33" t="s">
        <v>436</v>
      </c>
      <c r="E454" s="38" t="b">
        <v>1</v>
      </c>
      <c r="F454" s="39" t="str">
        <f t="array" ref="F454">_xlfn.XLOOKUP($B454, DB[samplingPoint], DB[noLocation])</f>
        <v>WATER SYSTEM (B12)</v>
      </c>
      <c r="G454" s="33" t="s">
        <v>437</v>
      </c>
      <c r="H454" s="40" t="str">
        <f t="array" ref="H454">_xlfn.XLOOKUP($B454, DB[samplingPoint], DB[location])</f>
        <v>Return loop (B12)</v>
      </c>
      <c r="I454" s="39" t="str">
        <f t="array" ref="I454">_xlfn.XLOOKUP($B454, DB[samplingPoint], DB[waterType])</f>
        <v>PW</v>
      </c>
      <c r="J454" s="43">
        <f t="shared" si="1"/>
        <v>46106</v>
      </c>
      <c r="K454" s="26">
        <v>46110.0</v>
      </c>
      <c r="L454" s="32">
        <v>0.0</v>
      </c>
      <c r="M454" s="32">
        <v>0.0</v>
      </c>
      <c r="N454" s="32">
        <f t="shared" si="2"/>
        <v>0</v>
      </c>
      <c r="O454" s="49"/>
      <c r="P454" s="32">
        <f t="array" ref="P454">_xlfn.XLOOKUP($B454, DB[samplingPoint], DB[Criteria])</f>
        <v>100</v>
      </c>
      <c r="Q454" s="50" t="str">
        <f t="shared" si="3"/>
        <v>PASSED</v>
      </c>
      <c r="R454" s="38" t="b">
        <v>0</v>
      </c>
      <c r="S454" s="35" t="s">
        <v>1008</v>
      </c>
      <c r="T454" s="39" t="s">
        <v>386</v>
      </c>
      <c r="U454" s="32" t="s">
        <v>381</v>
      </c>
    </row>
    <row r="455" ht="22.5" customHeight="1">
      <c r="A455" s="26">
        <v>46105.0</v>
      </c>
      <c r="B455" s="48" t="s">
        <v>443</v>
      </c>
      <c r="C455" s="32" t="str">
        <f t="array" ref="C455">_xlfn.XLOOKUP(B455, DB[samplingPoint], DB[samplingTag])</f>
        <v>SV136.09</v>
      </c>
      <c r="D455" s="33" t="s">
        <v>436</v>
      </c>
      <c r="E455" s="38" t="b">
        <v>1</v>
      </c>
      <c r="F455" s="39" t="str">
        <f t="array" ref="F455">_xlfn.XLOOKUP($B455, DB[samplingPoint], DB[noLocation])</f>
        <v>12-2-039</v>
      </c>
      <c r="G455" s="33" t="s">
        <v>437</v>
      </c>
      <c r="H455" s="40" t="str">
        <f t="array" ref="H455">_xlfn.XLOOKUP($B455, DB[samplingPoint], DB[location])</f>
        <v>MFG 1</v>
      </c>
      <c r="I455" s="39" t="str">
        <f t="array" ref="I455">_xlfn.XLOOKUP($B455, DB[samplingPoint], DB[waterType])</f>
        <v>PW</v>
      </c>
      <c r="J455" s="43">
        <f t="shared" si="1"/>
        <v>46106</v>
      </c>
      <c r="K455" s="26">
        <v>46110.0</v>
      </c>
      <c r="L455" s="32">
        <v>0.0</v>
      </c>
      <c r="M455" s="32">
        <v>0.0</v>
      </c>
      <c r="N455" s="32">
        <f t="shared" si="2"/>
        <v>0</v>
      </c>
      <c r="O455" s="49"/>
      <c r="P455" s="32">
        <f t="array" ref="P455">_xlfn.XLOOKUP($B455, DB[samplingPoint], DB[Criteria])</f>
        <v>100</v>
      </c>
      <c r="Q455" s="50" t="str">
        <f t="shared" si="3"/>
        <v>PASSED</v>
      </c>
      <c r="R455" s="38" t="b">
        <v>0</v>
      </c>
      <c r="S455" s="35" t="s">
        <v>1008</v>
      </c>
      <c r="T455" s="39" t="s">
        <v>386</v>
      </c>
      <c r="U455" s="32" t="s">
        <v>381</v>
      </c>
    </row>
    <row r="456" ht="22.5" customHeight="1">
      <c r="A456" s="26">
        <v>46105.0</v>
      </c>
      <c r="B456" s="48" t="s">
        <v>445</v>
      </c>
      <c r="C456" s="32" t="str">
        <f t="array" ref="C456">_xlfn.XLOOKUP(B456, DB[samplingPoint], DB[samplingTag])</f>
        <v>SV136.10</v>
      </c>
      <c r="D456" s="33" t="s">
        <v>436</v>
      </c>
      <c r="E456" s="38" t="b">
        <v>1</v>
      </c>
      <c r="F456" s="39" t="str">
        <f t="array" ref="F456">_xlfn.XLOOKUP($B456, DB[samplingPoint], DB[noLocation])</f>
        <v>12-2-041</v>
      </c>
      <c r="G456" s="33" t="s">
        <v>437</v>
      </c>
      <c r="H456" s="40" t="str">
        <f t="array" ref="H456">_xlfn.XLOOKUP($B456, DB[samplingPoint], DB[location])</f>
        <v>MFG 2</v>
      </c>
      <c r="I456" s="39" t="str">
        <f t="array" ref="I456">_xlfn.XLOOKUP($B456, DB[samplingPoint], DB[waterType])</f>
        <v>PW</v>
      </c>
      <c r="J456" s="43">
        <f t="shared" si="1"/>
        <v>46106</v>
      </c>
      <c r="K456" s="26">
        <v>46110.0</v>
      </c>
      <c r="L456" s="32">
        <v>0.0</v>
      </c>
      <c r="M456" s="32">
        <v>0.0</v>
      </c>
      <c r="N456" s="32">
        <f t="shared" si="2"/>
        <v>0</v>
      </c>
      <c r="O456" s="49"/>
      <c r="P456" s="32">
        <f t="array" ref="P456">_xlfn.XLOOKUP($B456, DB[samplingPoint], DB[Criteria])</f>
        <v>100</v>
      </c>
      <c r="Q456" s="50" t="str">
        <f t="shared" si="3"/>
        <v>PASSED</v>
      </c>
      <c r="R456" s="38" t="b">
        <v>0</v>
      </c>
      <c r="S456" s="35" t="s">
        <v>1008</v>
      </c>
      <c r="T456" s="39" t="s">
        <v>386</v>
      </c>
      <c r="U456" s="32" t="s">
        <v>381</v>
      </c>
    </row>
    <row r="457" ht="22.5" customHeight="1">
      <c r="A457" s="26">
        <v>46105.0</v>
      </c>
      <c r="B457" s="48" t="s">
        <v>449</v>
      </c>
      <c r="C457" s="32" t="str">
        <f t="array" ref="C457">_xlfn.XLOOKUP(B457, DB[samplingPoint], DB[samplingTag])</f>
        <v>SV136.11</v>
      </c>
      <c r="D457" s="33" t="s">
        <v>436</v>
      </c>
      <c r="E457" s="38" t="b">
        <v>1</v>
      </c>
      <c r="F457" s="39" t="str">
        <f t="array" ref="F457">_xlfn.XLOOKUP($B457, DB[samplingPoint], DB[noLocation])</f>
        <v>12-2-043</v>
      </c>
      <c r="G457" s="33" t="s">
        <v>437</v>
      </c>
      <c r="H457" s="40" t="str">
        <f t="array" ref="H457">_xlfn.XLOOKUP($B457, DB[samplingPoint], DB[location])</f>
        <v>MFG 3</v>
      </c>
      <c r="I457" s="39" t="str">
        <f t="array" ref="I457">_xlfn.XLOOKUP($B457, DB[samplingPoint], DB[waterType])</f>
        <v>PW</v>
      </c>
      <c r="J457" s="43">
        <f t="shared" si="1"/>
        <v>46106</v>
      </c>
      <c r="K457" s="26">
        <v>46110.0</v>
      </c>
      <c r="L457" s="32">
        <v>0.0</v>
      </c>
      <c r="M457" s="32">
        <v>0.0</v>
      </c>
      <c r="N457" s="32">
        <f t="shared" si="2"/>
        <v>0</v>
      </c>
      <c r="O457" s="49"/>
      <c r="P457" s="32">
        <f t="array" ref="P457">_xlfn.XLOOKUP($B457, DB[samplingPoint], DB[Criteria])</f>
        <v>100</v>
      </c>
      <c r="Q457" s="50" t="str">
        <f t="shared" si="3"/>
        <v>PASSED</v>
      </c>
      <c r="R457" s="38" t="b">
        <v>0</v>
      </c>
      <c r="S457" s="35" t="s">
        <v>1008</v>
      </c>
      <c r="T457" s="39" t="s">
        <v>386</v>
      </c>
      <c r="U457" s="32" t="s">
        <v>381</v>
      </c>
    </row>
    <row r="458" ht="22.5" customHeight="1">
      <c r="A458" s="26">
        <v>46105.0</v>
      </c>
      <c r="B458" s="48" t="s">
        <v>453</v>
      </c>
      <c r="C458" s="32" t="str">
        <f t="array" ref="C458">_xlfn.XLOOKUP(B458, DB[samplingPoint], DB[samplingTag])</f>
        <v>SV136.13</v>
      </c>
      <c r="D458" s="33" t="s">
        <v>436</v>
      </c>
      <c r="E458" s="38" t="b">
        <v>1</v>
      </c>
      <c r="F458" s="39" t="str">
        <f t="array" ref="F458">_xlfn.XLOOKUP($B458, DB[samplingPoint], DB[noLocation])</f>
        <v>12-2-043</v>
      </c>
      <c r="G458" s="33" t="s">
        <v>437</v>
      </c>
      <c r="H458" s="40" t="str">
        <f t="array" ref="H458">_xlfn.XLOOKUP($B458, DB[samplingPoint], DB[location])</f>
        <v>MFG 3</v>
      </c>
      <c r="I458" s="39" t="str">
        <f t="array" ref="I458">_xlfn.XLOOKUP($B458, DB[samplingPoint], DB[waterType])</f>
        <v>PW</v>
      </c>
      <c r="J458" s="43">
        <f t="shared" si="1"/>
        <v>46106</v>
      </c>
      <c r="K458" s="26">
        <v>46110.0</v>
      </c>
      <c r="L458" s="32">
        <v>0.0</v>
      </c>
      <c r="M458" s="32">
        <v>0.0</v>
      </c>
      <c r="N458" s="32">
        <f t="shared" si="2"/>
        <v>0</v>
      </c>
      <c r="O458" s="49"/>
      <c r="P458" s="32">
        <f t="array" ref="P458">_xlfn.XLOOKUP($B458, DB[samplingPoint], DB[Criteria])</f>
        <v>100</v>
      </c>
      <c r="Q458" s="50" t="str">
        <f t="shared" si="3"/>
        <v>PASSED</v>
      </c>
      <c r="R458" s="38" t="b">
        <v>0</v>
      </c>
      <c r="S458" s="35" t="s">
        <v>1008</v>
      </c>
      <c r="T458" s="39" t="s">
        <v>386</v>
      </c>
      <c r="U458" s="32" t="s">
        <v>381</v>
      </c>
    </row>
    <row r="459" ht="22.5" customHeight="1">
      <c r="A459" s="26">
        <v>46105.0</v>
      </c>
      <c r="B459" s="48" t="s">
        <v>455</v>
      </c>
      <c r="C459" s="32" t="str">
        <f t="array" ref="C459">_xlfn.XLOOKUP(B459, DB[samplingPoint], DB[samplingTag])</f>
        <v>SV136.08</v>
      </c>
      <c r="D459" s="33" t="s">
        <v>436</v>
      </c>
      <c r="E459" s="38" t="b">
        <v>1</v>
      </c>
      <c r="F459" s="39" t="str">
        <f t="array" ref="F459">_xlfn.XLOOKUP($B459, DB[samplingPoint], DB[noLocation])</f>
        <v>12-2-043</v>
      </c>
      <c r="G459" s="33" t="s">
        <v>437</v>
      </c>
      <c r="H459" s="40" t="str">
        <f t="array" ref="H459">_xlfn.XLOOKUP($B459, DB[samplingPoint], DB[location])</f>
        <v>MFG 3</v>
      </c>
      <c r="I459" s="39" t="str">
        <f t="array" ref="I459">_xlfn.XLOOKUP($B459, DB[samplingPoint], DB[waterType])</f>
        <v>PW</v>
      </c>
      <c r="J459" s="43">
        <f t="shared" si="1"/>
        <v>46106</v>
      </c>
      <c r="K459" s="26">
        <v>46110.0</v>
      </c>
      <c r="L459" s="32">
        <v>0.0</v>
      </c>
      <c r="M459" s="32">
        <v>0.0</v>
      </c>
      <c r="N459" s="32">
        <f t="shared" si="2"/>
        <v>0</v>
      </c>
      <c r="O459" s="49"/>
      <c r="P459" s="32">
        <f t="array" ref="P459">_xlfn.XLOOKUP($B459, DB[samplingPoint], DB[Criteria])</f>
        <v>100</v>
      </c>
      <c r="Q459" s="50" t="str">
        <f t="shared" si="3"/>
        <v>PASSED</v>
      </c>
      <c r="R459" s="38" t="b">
        <v>0</v>
      </c>
      <c r="S459" s="35" t="s">
        <v>1008</v>
      </c>
      <c r="T459" s="39" t="s">
        <v>386</v>
      </c>
      <c r="U459" s="32" t="s">
        <v>381</v>
      </c>
    </row>
    <row r="460" ht="22.5" customHeight="1">
      <c r="A460" s="26">
        <v>46105.0</v>
      </c>
      <c r="B460" s="48" t="s">
        <v>458</v>
      </c>
      <c r="C460" s="32" t="str">
        <f t="array" ref="C460">_xlfn.XLOOKUP(B460, DB[samplingPoint], DB[samplingTag])</f>
        <v>SV136.14</v>
      </c>
      <c r="D460" s="33" t="s">
        <v>436</v>
      </c>
      <c r="E460" s="38" t="b">
        <v>1</v>
      </c>
      <c r="F460" s="39" t="str">
        <f t="array" ref="F460">_xlfn.XLOOKUP($B460, DB[samplingPoint], DB[noLocation])</f>
        <v>12-2-045</v>
      </c>
      <c r="G460" s="33" t="s">
        <v>437</v>
      </c>
      <c r="H460" s="40" t="str">
        <f t="array" ref="H460">_xlfn.XLOOKUP($B460, DB[samplingPoint], DB[location])</f>
        <v>MFG 4</v>
      </c>
      <c r="I460" s="39" t="str">
        <f t="array" ref="I460">_xlfn.XLOOKUP($B460, DB[samplingPoint], DB[waterType])</f>
        <v>PW</v>
      </c>
      <c r="J460" s="43">
        <f t="shared" si="1"/>
        <v>46106</v>
      </c>
      <c r="K460" s="26">
        <v>46110.0</v>
      </c>
      <c r="L460" s="32">
        <v>0.0</v>
      </c>
      <c r="M460" s="32">
        <v>0.0</v>
      </c>
      <c r="N460" s="32">
        <f t="shared" si="2"/>
        <v>0</v>
      </c>
      <c r="O460" s="49"/>
      <c r="P460" s="32">
        <f t="array" ref="P460">_xlfn.XLOOKUP($B460, DB[samplingPoint], DB[Criteria])</f>
        <v>100</v>
      </c>
      <c r="Q460" s="50" t="str">
        <f t="shared" si="3"/>
        <v>PASSED</v>
      </c>
      <c r="R460" s="38" t="b">
        <v>0</v>
      </c>
      <c r="S460" s="35" t="s">
        <v>1008</v>
      </c>
      <c r="T460" s="39" t="s">
        <v>386</v>
      </c>
      <c r="U460" s="32" t="s">
        <v>381</v>
      </c>
    </row>
    <row r="461" ht="22.5" customHeight="1">
      <c r="A461" s="26">
        <v>46105.0</v>
      </c>
      <c r="B461" s="48" t="s">
        <v>460</v>
      </c>
      <c r="C461" s="32" t="str">
        <f t="array" ref="C461">_xlfn.XLOOKUP(B461, DB[samplingPoint], DB[samplingTag])</f>
        <v>SV136.02</v>
      </c>
      <c r="D461" s="33" t="s">
        <v>436</v>
      </c>
      <c r="E461" s="38" t="b">
        <v>1</v>
      </c>
      <c r="F461" s="39" t="str">
        <f t="array" ref="F461">_xlfn.XLOOKUP($B461, DB[samplingPoint], DB[noLocation])</f>
        <v>12-2-024</v>
      </c>
      <c r="G461" s="33" t="s">
        <v>437</v>
      </c>
      <c r="H461" s="40" t="str">
        <f t="array" ref="H461">_xlfn.XLOOKUP($B461, DB[samplingPoint], DB[location])</f>
        <v>LIQUORICE EXTRACT</v>
      </c>
      <c r="I461" s="39" t="str">
        <f t="array" ref="I461">_xlfn.XLOOKUP($B461, DB[samplingPoint], DB[waterType])</f>
        <v>PW</v>
      </c>
      <c r="J461" s="43">
        <f t="shared" si="1"/>
        <v>46106</v>
      </c>
      <c r="K461" s="26">
        <v>46110.0</v>
      </c>
      <c r="L461" s="32">
        <v>0.0</v>
      </c>
      <c r="M461" s="32">
        <v>0.0</v>
      </c>
      <c r="N461" s="32">
        <f t="shared" si="2"/>
        <v>0</v>
      </c>
      <c r="O461" s="49"/>
      <c r="P461" s="32">
        <f t="array" ref="P461">_xlfn.XLOOKUP($B461, DB[samplingPoint], DB[Criteria])</f>
        <v>100</v>
      </c>
      <c r="Q461" s="50" t="str">
        <f t="shared" si="3"/>
        <v>PASSED</v>
      </c>
      <c r="R461" s="38" t="b">
        <v>0</v>
      </c>
      <c r="S461" s="35" t="s">
        <v>1008</v>
      </c>
      <c r="T461" s="39" t="s">
        <v>386</v>
      </c>
      <c r="U461" s="32" t="s">
        <v>381</v>
      </c>
    </row>
    <row r="462" ht="22.5" customHeight="1">
      <c r="A462" s="26">
        <v>46105.0</v>
      </c>
      <c r="B462" s="48" t="s">
        <v>463</v>
      </c>
      <c r="C462" s="32" t="str">
        <f t="array" ref="C462">_xlfn.XLOOKUP(B462, DB[samplingPoint], DB[samplingTag])</f>
        <v>DV136.08</v>
      </c>
      <c r="D462" s="33" t="s">
        <v>436</v>
      </c>
      <c r="E462" s="38" t="b">
        <v>1</v>
      </c>
      <c r="F462" s="39" t="str">
        <f t="array" ref="F462">_xlfn.XLOOKUP($B462, DB[samplingPoint], DB[noLocation])</f>
        <v>12-3-042</v>
      </c>
      <c r="G462" s="33" t="s">
        <v>437</v>
      </c>
      <c r="H462" s="40" t="str">
        <f t="array" ref="H462">_xlfn.XLOOKUP($B462, DB[samplingPoint], DB[location])</f>
        <v>SAMPLE PREPARATION</v>
      </c>
      <c r="I462" s="39" t="str">
        <f t="array" ref="I462">_xlfn.XLOOKUP($B462, DB[samplingPoint], DB[waterType])</f>
        <v>PW</v>
      </c>
      <c r="J462" s="43">
        <f t="shared" si="1"/>
        <v>46106</v>
      </c>
      <c r="K462" s="26">
        <v>46110.0</v>
      </c>
      <c r="L462" s="32">
        <v>26.0</v>
      </c>
      <c r="M462" s="32">
        <v>27.0</v>
      </c>
      <c r="N462" s="32">
        <f t="shared" si="2"/>
        <v>27</v>
      </c>
      <c r="O462" s="49"/>
      <c r="P462" s="32">
        <f t="array" ref="P462">_xlfn.XLOOKUP($B462, DB[samplingPoint], DB[Criteria])</f>
        <v>100</v>
      </c>
      <c r="Q462" s="50" t="str">
        <f t="shared" si="3"/>
        <v>PASSED</v>
      </c>
      <c r="R462" s="38" t="b">
        <v>0</v>
      </c>
      <c r="S462" s="35" t="s">
        <v>1008</v>
      </c>
      <c r="T462" s="39" t="s">
        <v>386</v>
      </c>
      <c r="U462" s="32" t="s">
        <v>381</v>
      </c>
    </row>
    <row r="463" ht="22.5" customHeight="1">
      <c r="A463" s="26">
        <v>46105.0</v>
      </c>
      <c r="B463" s="48" t="s">
        <v>465</v>
      </c>
      <c r="C463" s="32" t="str">
        <f t="array" ref="C463">_xlfn.XLOOKUP(B463, DB[samplingPoint], DB[samplingTag])</f>
        <v>DV136.09</v>
      </c>
      <c r="D463" s="33" t="s">
        <v>436</v>
      </c>
      <c r="E463" s="38" t="b">
        <v>1</v>
      </c>
      <c r="F463" s="39" t="str">
        <f t="array" ref="F463">_xlfn.XLOOKUP($B463, DB[samplingPoint], DB[noLocation])</f>
        <v>12-3-042</v>
      </c>
      <c r="G463" s="33" t="s">
        <v>437</v>
      </c>
      <c r="H463" s="40" t="str">
        <f t="array" ref="H463">_xlfn.XLOOKUP($B463, DB[samplingPoint], DB[location])</f>
        <v>SAMPLE PREPARATION</v>
      </c>
      <c r="I463" s="39" t="str">
        <f t="array" ref="I463">_xlfn.XLOOKUP($B463, DB[samplingPoint], DB[waterType])</f>
        <v>PW</v>
      </c>
      <c r="J463" s="43">
        <f t="shared" si="1"/>
        <v>46106</v>
      </c>
      <c r="K463" s="26">
        <v>46110.0</v>
      </c>
      <c r="L463" s="32">
        <v>36.0</v>
      </c>
      <c r="M463" s="32">
        <v>16.0</v>
      </c>
      <c r="N463" s="32">
        <f t="shared" si="2"/>
        <v>26</v>
      </c>
      <c r="O463" s="49"/>
      <c r="P463" s="32">
        <f t="array" ref="P463">_xlfn.XLOOKUP($B463, DB[samplingPoint], DB[Criteria])</f>
        <v>100</v>
      </c>
      <c r="Q463" s="50" t="str">
        <f t="shared" si="3"/>
        <v>PASSED</v>
      </c>
      <c r="R463" s="38" t="b">
        <v>0</v>
      </c>
      <c r="S463" s="35" t="s">
        <v>1008</v>
      </c>
      <c r="T463" s="39" t="s">
        <v>386</v>
      </c>
      <c r="U463" s="32" t="s">
        <v>381</v>
      </c>
    </row>
    <row r="464" ht="22.5" customHeight="1">
      <c r="A464" s="112">
        <v>46108.0</v>
      </c>
      <c r="B464" s="27" t="s">
        <v>380</v>
      </c>
      <c r="C464" s="32" t="str">
        <f t="array" ref="C464">_xlfn.XLOOKUP(B464, DB[samplingPoint], DB[samplingTag])</f>
        <v>SV113.01</v>
      </c>
      <c r="D464" s="33" t="s">
        <v>436</v>
      </c>
      <c r="E464" s="38" t="b">
        <v>1</v>
      </c>
      <c r="F464" s="39" t="str">
        <f t="array" ref="F464">_xlfn.XLOOKUP($B464, DB[samplingPoint], DB[noLocation])</f>
        <v>WATER SYSTEM (B10)</v>
      </c>
      <c r="G464" s="33" t="s">
        <v>180</v>
      </c>
      <c r="H464" s="40" t="str">
        <f t="array" ref="H464">_xlfn.XLOOKUP($B464, DB[samplingPoint], DB[location])</f>
        <v>After Storage tank (B10)</v>
      </c>
      <c r="I464" s="39" t="str">
        <f t="array" ref="I464">_xlfn.XLOOKUP($B464, DB[samplingPoint], DB[waterType])</f>
        <v>PW</v>
      </c>
      <c r="J464" s="43">
        <f t="shared" si="1"/>
        <v>46109</v>
      </c>
      <c r="K464" s="26">
        <v>46112.0</v>
      </c>
      <c r="L464" s="32">
        <v>0.0</v>
      </c>
      <c r="M464" s="32">
        <v>0.0</v>
      </c>
      <c r="N464" s="32">
        <f t="shared" si="2"/>
        <v>0</v>
      </c>
      <c r="O464" s="49"/>
      <c r="P464" s="32">
        <f t="array" ref="P464">_xlfn.XLOOKUP($B464, DB[samplingPoint], DB[Criteria])</f>
        <v>100</v>
      </c>
      <c r="Q464" s="50" t="str">
        <f t="shared" si="3"/>
        <v>PASSED</v>
      </c>
      <c r="R464" s="38" t="b">
        <v>0</v>
      </c>
      <c r="S464" s="35" t="s">
        <v>1009</v>
      </c>
      <c r="T464" s="39" t="s">
        <v>386</v>
      </c>
      <c r="U464" s="32" t="s">
        <v>381</v>
      </c>
    </row>
    <row r="465" ht="22.5" customHeight="1">
      <c r="A465" s="26">
        <v>46108.0</v>
      </c>
      <c r="B465" s="58" t="s">
        <v>385</v>
      </c>
      <c r="C465" s="32" t="str">
        <f t="array" ref="C465">_xlfn.XLOOKUP(B465, DB[samplingPoint], DB[samplingTag])</f>
        <v>SV115.02</v>
      </c>
      <c r="D465" s="33" t="s">
        <v>436</v>
      </c>
      <c r="E465" s="38" t="b">
        <v>1</v>
      </c>
      <c r="F465" s="39" t="str">
        <f t="array" ref="F465">_xlfn.XLOOKUP($B465, DB[samplingPoint], DB[noLocation])</f>
        <v>WATER SYSTEM (B10)</v>
      </c>
      <c r="G465" s="33" t="s">
        <v>180</v>
      </c>
      <c r="H465" s="40" t="str">
        <f t="array" ref="H465">_xlfn.XLOOKUP($B465, DB[samplingPoint], DB[location])</f>
        <v>After UV (B10)</v>
      </c>
      <c r="I465" s="39" t="str">
        <f t="array" ref="I465">_xlfn.XLOOKUP($B465, DB[samplingPoint], DB[waterType])</f>
        <v>PW</v>
      </c>
      <c r="J465" s="43">
        <f t="shared" si="1"/>
        <v>46109</v>
      </c>
      <c r="K465" s="26">
        <v>46112.0</v>
      </c>
      <c r="L465" s="32">
        <v>0.0</v>
      </c>
      <c r="M465" s="32">
        <v>0.0</v>
      </c>
      <c r="N465" s="32">
        <f t="shared" si="2"/>
        <v>0</v>
      </c>
      <c r="O465" s="49"/>
      <c r="P465" s="32">
        <f t="array" ref="P465">_xlfn.XLOOKUP($B465, DB[samplingPoint], DB[Criteria])</f>
        <v>100</v>
      </c>
      <c r="Q465" s="50" t="str">
        <f t="shared" si="3"/>
        <v>PASSED</v>
      </c>
      <c r="R465" s="38" t="b">
        <v>0</v>
      </c>
      <c r="S465" s="35" t="s">
        <v>1009</v>
      </c>
      <c r="T465" s="39" t="s">
        <v>386</v>
      </c>
      <c r="U465" s="32" t="s">
        <v>381</v>
      </c>
    </row>
    <row r="466" ht="22.5" customHeight="1">
      <c r="A466" s="26">
        <v>46108.0</v>
      </c>
      <c r="B466" s="27" t="s">
        <v>390</v>
      </c>
      <c r="C466" s="32" t="str">
        <f t="array" ref="C466">_xlfn.XLOOKUP(B466, DB[samplingPoint], DB[samplingTag])</f>
        <v>SV117.01</v>
      </c>
      <c r="D466" s="33" t="s">
        <v>436</v>
      </c>
      <c r="E466" s="38" t="b">
        <v>1</v>
      </c>
      <c r="F466" s="39" t="str">
        <f t="array" ref="F466">_xlfn.XLOOKUP($B466, DB[samplingPoint], DB[noLocation])</f>
        <v>WATER SYSTEM (B10)</v>
      </c>
      <c r="G466" s="33" t="s">
        <v>180</v>
      </c>
      <c r="H466" s="40" t="str">
        <f t="array" ref="H466">_xlfn.XLOOKUP($B466, DB[samplingPoint], DB[location])</f>
        <v>Return loop (B10)</v>
      </c>
      <c r="I466" s="39" t="str">
        <f t="array" ref="I466">_xlfn.XLOOKUP($B466, DB[samplingPoint], DB[waterType])</f>
        <v>PW</v>
      </c>
      <c r="J466" s="43">
        <f t="shared" si="1"/>
        <v>46109</v>
      </c>
      <c r="K466" s="26">
        <v>46112.0</v>
      </c>
      <c r="L466" s="32">
        <v>0.0</v>
      </c>
      <c r="M466" s="32">
        <v>0.0</v>
      </c>
      <c r="N466" s="32">
        <f t="shared" si="2"/>
        <v>0</v>
      </c>
      <c r="O466" s="49"/>
      <c r="P466" s="32">
        <f t="array" ref="P466">_xlfn.XLOOKUP($B466, DB[samplingPoint], DB[Criteria])</f>
        <v>100</v>
      </c>
      <c r="Q466" s="50" t="str">
        <f t="shared" si="3"/>
        <v>PASSED</v>
      </c>
      <c r="R466" s="38" t="b">
        <v>0</v>
      </c>
      <c r="S466" s="35" t="s">
        <v>1009</v>
      </c>
      <c r="T466" s="39" t="s">
        <v>386</v>
      </c>
      <c r="U466" s="32" t="s">
        <v>381</v>
      </c>
    </row>
    <row r="467" ht="22.5" customHeight="1">
      <c r="A467" s="26">
        <v>46108.0</v>
      </c>
      <c r="B467" s="48" t="s">
        <v>491</v>
      </c>
      <c r="C467" s="32" t="str">
        <f t="array" ref="C467">_xlfn.XLOOKUP(B467, DB[samplingPoint], DB[samplingTag])</f>
        <v>SV116.15</v>
      </c>
      <c r="D467" s="33" t="s">
        <v>436</v>
      </c>
      <c r="E467" s="38" t="b">
        <v>1</v>
      </c>
      <c r="F467" s="39" t="str">
        <f t="array" ref="F467">_xlfn.XLOOKUP($B467, DB[samplingPoint], DB[noLocation])</f>
        <v>10-4-012</v>
      </c>
      <c r="G467" s="33" t="s">
        <v>180</v>
      </c>
      <c r="H467" s="40" t="str">
        <f t="array" ref="H467">_xlfn.XLOOKUP($B467, DB[samplingPoint], DB[location])</f>
        <v>CIP SKID-1 FOR BIN WASHING-1</v>
      </c>
      <c r="I467" s="39" t="str">
        <f t="array" ref="I467">_xlfn.XLOOKUP($B467, DB[samplingPoint], DB[waterType])</f>
        <v>PW</v>
      </c>
      <c r="J467" s="43">
        <f t="shared" si="1"/>
        <v>46109</v>
      </c>
      <c r="K467" s="26">
        <v>46112.0</v>
      </c>
      <c r="L467" s="32">
        <v>0.0</v>
      </c>
      <c r="M467" s="32">
        <v>0.0</v>
      </c>
      <c r="N467" s="32">
        <f t="shared" si="2"/>
        <v>0</v>
      </c>
      <c r="O467" s="49"/>
      <c r="P467" s="32">
        <f t="array" ref="P467">_xlfn.XLOOKUP($B467, DB[samplingPoint], DB[Criteria])</f>
        <v>100</v>
      </c>
      <c r="Q467" s="50" t="str">
        <f t="shared" si="3"/>
        <v>PASSED</v>
      </c>
      <c r="R467" s="38" t="b">
        <v>0</v>
      </c>
      <c r="S467" s="35" t="s">
        <v>1009</v>
      </c>
      <c r="T467" s="39" t="s">
        <v>386</v>
      </c>
      <c r="U467" s="32" t="s">
        <v>381</v>
      </c>
    </row>
    <row r="468" ht="22.5" customHeight="1">
      <c r="A468" s="26">
        <v>46108.0</v>
      </c>
      <c r="B468" s="48" t="s">
        <v>493</v>
      </c>
      <c r="C468" s="32" t="str">
        <f t="array" ref="C468">_xlfn.XLOOKUP(B468, DB[samplingPoint], DB[samplingTag])</f>
        <v>SV116.16</v>
      </c>
      <c r="D468" s="33" t="s">
        <v>436</v>
      </c>
      <c r="E468" s="38" t="b">
        <v>1</v>
      </c>
      <c r="F468" s="39" t="str">
        <f t="array" ref="F468">_xlfn.XLOOKUP($B468, DB[samplingPoint], DB[noLocation])</f>
        <v>10-4-012</v>
      </c>
      <c r="G468" s="33" t="s">
        <v>180</v>
      </c>
      <c r="H468" s="40" t="str">
        <f t="array" ref="H468">_xlfn.XLOOKUP($B468, DB[samplingPoint], DB[location])</f>
        <v>WIP SKID-3 FOR GRANULATION POTENT</v>
      </c>
      <c r="I468" s="39" t="str">
        <f t="array" ref="I468">_xlfn.XLOOKUP($B468, DB[samplingPoint], DB[waterType])</f>
        <v>PW</v>
      </c>
      <c r="J468" s="43">
        <f t="shared" si="1"/>
        <v>46109</v>
      </c>
      <c r="K468" s="26">
        <v>46112.0</v>
      </c>
      <c r="L468" s="32">
        <v>0.0</v>
      </c>
      <c r="M468" s="32">
        <v>0.0</v>
      </c>
      <c r="N468" s="32">
        <f t="shared" si="2"/>
        <v>0</v>
      </c>
      <c r="O468" s="49"/>
      <c r="P468" s="32">
        <f t="array" ref="P468">_xlfn.XLOOKUP($B468, DB[samplingPoint], DB[Criteria])</f>
        <v>100</v>
      </c>
      <c r="Q468" s="50" t="str">
        <f t="shared" si="3"/>
        <v>PASSED</v>
      </c>
      <c r="R468" s="38" t="b">
        <v>0</v>
      </c>
      <c r="S468" s="35" t="s">
        <v>1009</v>
      </c>
      <c r="T468" s="39" t="s">
        <v>386</v>
      </c>
      <c r="U468" s="32" t="s">
        <v>381</v>
      </c>
    </row>
    <row r="469" ht="22.5" customHeight="1">
      <c r="A469" s="26">
        <v>46108.0</v>
      </c>
      <c r="B469" s="48" t="s">
        <v>494</v>
      </c>
      <c r="C469" s="32" t="str">
        <f t="array" ref="C469">_xlfn.XLOOKUP(B469, DB[samplingPoint], DB[samplingTag])</f>
        <v>SV116.17</v>
      </c>
      <c r="D469" s="33" t="s">
        <v>436</v>
      </c>
      <c r="E469" s="38" t="b">
        <v>1</v>
      </c>
      <c r="F469" s="39" t="str">
        <f t="array" ref="F469">_xlfn.XLOOKUP($B469, DB[samplingPoint], DB[noLocation])</f>
        <v>10-4-012</v>
      </c>
      <c r="G469" s="33" t="s">
        <v>180</v>
      </c>
      <c r="H469" s="40" t="str">
        <f t="array" ref="H469">_xlfn.XLOOKUP($B469, DB[samplingPoint], DB[location])</f>
        <v>CIP SKID-2 FOR BIN WASHING-1</v>
      </c>
      <c r="I469" s="39" t="str">
        <f t="array" ref="I469">_xlfn.XLOOKUP($B469, DB[samplingPoint], DB[waterType])</f>
        <v>PW</v>
      </c>
      <c r="J469" s="43">
        <f t="shared" si="1"/>
        <v>46109</v>
      </c>
      <c r="K469" s="26">
        <v>46112.0</v>
      </c>
      <c r="L469" s="32">
        <v>0.0</v>
      </c>
      <c r="M469" s="32">
        <v>0.0</v>
      </c>
      <c r="N469" s="32">
        <f t="shared" si="2"/>
        <v>0</v>
      </c>
      <c r="O469" s="49"/>
      <c r="P469" s="32">
        <f t="array" ref="P469">_xlfn.XLOOKUP($B469, DB[samplingPoint], DB[Criteria])</f>
        <v>100</v>
      </c>
      <c r="Q469" s="50" t="str">
        <f t="shared" si="3"/>
        <v>PASSED</v>
      </c>
      <c r="R469" s="38" t="b">
        <v>0</v>
      </c>
      <c r="S469" s="35" t="s">
        <v>1009</v>
      </c>
      <c r="T469" s="39" t="s">
        <v>386</v>
      </c>
      <c r="U469" s="32" t="s">
        <v>381</v>
      </c>
    </row>
    <row r="470" ht="22.5" customHeight="1">
      <c r="A470" s="26">
        <v>46108.0</v>
      </c>
      <c r="B470" s="48" t="s">
        <v>495</v>
      </c>
      <c r="C470" s="32" t="str">
        <f t="array" ref="C470">_xlfn.XLOOKUP(B470, DB[samplingPoint], DB[samplingTag])</f>
        <v>SV116.18</v>
      </c>
      <c r="D470" s="33" t="s">
        <v>436</v>
      </c>
      <c r="E470" s="38" t="b">
        <v>1</v>
      </c>
      <c r="F470" s="39" t="str">
        <f t="array" ref="F470">_xlfn.XLOOKUP($B470, DB[samplingPoint], DB[noLocation])</f>
        <v>10-4-012</v>
      </c>
      <c r="G470" s="33" t="s">
        <v>180</v>
      </c>
      <c r="H470" s="40" t="str">
        <f t="array" ref="H470">_xlfn.XLOOKUP($B470, DB[samplingPoint], DB[location])</f>
        <v>WIP SKID-1 FOR GRANULATION NON POTENT</v>
      </c>
      <c r="I470" s="39" t="str">
        <f t="array" ref="I470">_xlfn.XLOOKUP($B470, DB[samplingPoint], DB[waterType])</f>
        <v>PW</v>
      </c>
      <c r="J470" s="43">
        <f t="shared" si="1"/>
        <v>46109</v>
      </c>
      <c r="K470" s="26">
        <v>46112.0</v>
      </c>
      <c r="L470" s="32">
        <v>0.0</v>
      </c>
      <c r="M470" s="32">
        <v>0.0</v>
      </c>
      <c r="N470" s="32">
        <f t="shared" si="2"/>
        <v>0</v>
      </c>
      <c r="O470" s="49"/>
      <c r="P470" s="32">
        <f t="array" ref="P470">_xlfn.XLOOKUP($B470, DB[samplingPoint], DB[Criteria])</f>
        <v>100</v>
      </c>
      <c r="Q470" s="50" t="str">
        <f t="shared" si="3"/>
        <v>PASSED</v>
      </c>
      <c r="R470" s="38" t="b">
        <v>0</v>
      </c>
      <c r="S470" s="35" t="s">
        <v>1009</v>
      </c>
      <c r="T470" s="39" t="s">
        <v>386</v>
      </c>
      <c r="U470" s="32" t="s">
        <v>381</v>
      </c>
    </row>
    <row r="471" ht="22.5" customHeight="1">
      <c r="A471" s="26">
        <v>46108.0</v>
      </c>
      <c r="B471" s="48" t="s">
        <v>496</v>
      </c>
      <c r="C471" s="32" t="str">
        <f t="array" ref="C471">_xlfn.XLOOKUP(B471, DB[samplingPoint], DB[samplingTag])</f>
        <v>SV116.19</v>
      </c>
      <c r="D471" s="33" t="s">
        <v>436</v>
      </c>
      <c r="E471" s="38" t="b">
        <v>1</v>
      </c>
      <c r="F471" s="39" t="str">
        <f t="array" ref="F471">_xlfn.XLOOKUP($B471, DB[samplingPoint], DB[noLocation])</f>
        <v>10-4-012</v>
      </c>
      <c r="G471" s="33" t="s">
        <v>180</v>
      </c>
      <c r="H471" s="40" t="str">
        <f t="array" ref="H471">_xlfn.XLOOKUP($B471, DB[samplingPoint], DB[location])</f>
        <v>WIP SKID-2 FOR GRANULATION NON POTENT</v>
      </c>
      <c r="I471" s="39" t="str">
        <f t="array" ref="I471">_xlfn.XLOOKUP($B471, DB[samplingPoint], DB[waterType])</f>
        <v>PW</v>
      </c>
      <c r="J471" s="43">
        <f t="shared" si="1"/>
        <v>46109</v>
      </c>
      <c r="K471" s="26">
        <v>46112.0</v>
      </c>
      <c r="L471" s="32">
        <v>0.0</v>
      </c>
      <c r="M471" s="32">
        <v>0.0</v>
      </c>
      <c r="N471" s="32">
        <f t="shared" si="2"/>
        <v>0</v>
      </c>
      <c r="O471" s="49"/>
      <c r="P471" s="32">
        <f t="array" ref="P471">_xlfn.XLOOKUP($B471, DB[samplingPoint], DB[Criteria])</f>
        <v>100</v>
      </c>
      <c r="Q471" s="50" t="str">
        <f t="shared" si="3"/>
        <v>PASSED</v>
      </c>
      <c r="R471" s="38" t="b">
        <v>0</v>
      </c>
      <c r="S471" s="35" t="s">
        <v>1009</v>
      </c>
      <c r="T471" s="39" t="s">
        <v>386</v>
      </c>
      <c r="U471" s="32" t="s">
        <v>381</v>
      </c>
    </row>
    <row r="472" ht="22.5" customHeight="1">
      <c r="A472" s="26">
        <v>46108.0</v>
      </c>
      <c r="B472" s="48" t="s">
        <v>498</v>
      </c>
      <c r="C472" s="32" t="str">
        <f t="array" ref="C472">_xlfn.XLOOKUP(B472, DB[samplingPoint], DB[samplingTag])</f>
        <v>SV116.02</v>
      </c>
      <c r="D472" s="33" t="s">
        <v>436</v>
      </c>
      <c r="E472" s="38" t="b">
        <v>1</v>
      </c>
      <c r="F472" s="39" t="str">
        <f t="array" ref="F472">_xlfn.XLOOKUP($B472, DB[samplingPoint], DB[noLocation])</f>
        <v>10-2-037</v>
      </c>
      <c r="G472" s="33" t="s">
        <v>180</v>
      </c>
      <c r="H472" s="40" t="str">
        <f t="array" ref="H472">_xlfn.XLOOKUP($B472, DB[samplingPoint], DB[location])</f>
        <v>SKID FOR BIN WASHING-2</v>
      </c>
      <c r="I472" s="39" t="str">
        <f t="array" ref="I472">_xlfn.XLOOKUP($B472, DB[samplingPoint], DB[waterType])</f>
        <v>PW</v>
      </c>
      <c r="J472" s="43">
        <f t="shared" si="1"/>
        <v>46109</v>
      </c>
      <c r="K472" s="26">
        <v>46112.0</v>
      </c>
      <c r="L472" s="32">
        <v>0.0</v>
      </c>
      <c r="M472" s="32">
        <v>0.0</v>
      </c>
      <c r="N472" s="32">
        <f t="shared" si="2"/>
        <v>0</v>
      </c>
      <c r="O472" s="49"/>
      <c r="P472" s="32">
        <f t="array" ref="P472">_xlfn.XLOOKUP($B472, DB[samplingPoint], DB[Criteria])</f>
        <v>100</v>
      </c>
      <c r="Q472" s="50" t="str">
        <f t="shared" si="3"/>
        <v>PASSED</v>
      </c>
      <c r="R472" s="38" t="b">
        <v>0</v>
      </c>
      <c r="S472" s="35" t="s">
        <v>1009</v>
      </c>
      <c r="T472" s="39" t="s">
        <v>386</v>
      </c>
      <c r="U472" s="32" t="s">
        <v>381</v>
      </c>
    </row>
    <row r="473" ht="22.5" customHeight="1">
      <c r="A473" s="26">
        <v>46108.0</v>
      </c>
      <c r="B473" s="48" t="s">
        <v>499</v>
      </c>
      <c r="C473" s="32" t="str">
        <f t="array" ref="C473">_xlfn.XLOOKUP(B473, DB[samplingPoint], DB[samplingTag])</f>
        <v>SV116.01</v>
      </c>
      <c r="D473" s="33" t="s">
        <v>436</v>
      </c>
      <c r="E473" s="38" t="b">
        <v>1</v>
      </c>
      <c r="F473" s="39" t="str">
        <f t="array" ref="F473">_xlfn.XLOOKUP($B473, DB[samplingPoint], DB[noLocation])</f>
        <v>10-2-021</v>
      </c>
      <c r="G473" s="33" t="s">
        <v>180</v>
      </c>
      <c r="H473" s="40" t="str">
        <f t="array" ref="H473">_xlfn.XLOOKUP($B473, DB[samplingPoint], DB[location])</f>
        <v>INSTRUMENT-1</v>
      </c>
      <c r="I473" s="39" t="str">
        <f t="array" ref="I473">_xlfn.XLOOKUP($B473, DB[samplingPoint], DB[waterType])</f>
        <v>PW</v>
      </c>
      <c r="J473" s="43">
        <f t="shared" si="1"/>
        <v>46109</v>
      </c>
      <c r="K473" s="26">
        <v>46112.0</v>
      </c>
      <c r="L473" s="32">
        <v>0.0</v>
      </c>
      <c r="M473" s="32">
        <v>0.0</v>
      </c>
      <c r="N473" s="32">
        <f t="shared" si="2"/>
        <v>0</v>
      </c>
      <c r="O473" s="49"/>
      <c r="P473" s="32">
        <f t="array" ref="P473">_xlfn.XLOOKUP($B473, DB[samplingPoint], DB[Criteria])</f>
        <v>100</v>
      </c>
      <c r="Q473" s="50" t="str">
        <f t="shared" si="3"/>
        <v>PASSED</v>
      </c>
      <c r="R473" s="38" t="b">
        <v>0</v>
      </c>
      <c r="S473" s="35" t="s">
        <v>1009</v>
      </c>
      <c r="T473" s="39" t="s">
        <v>386</v>
      </c>
      <c r="U473" s="32" t="s">
        <v>381</v>
      </c>
    </row>
    <row r="474" ht="22.5" customHeight="1">
      <c r="A474" s="26">
        <v>46108.0</v>
      </c>
      <c r="B474" s="48" t="s">
        <v>502</v>
      </c>
      <c r="C474" s="32" t="str">
        <f t="array" ref="C474">_xlfn.XLOOKUP(B474, DB[samplingPoint], DB[samplingTag])</f>
        <v>DV116.26</v>
      </c>
      <c r="D474" s="33" t="s">
        <v>436</v>
      </c>
      <c r="E474" s="38" t="b">
        <v>1</v>
      </c>
      <c r="F474" s="39" t="str">
        <f t="array" ref="F474">_xlfn.XLOOKUP($B474, DB[samplingPoint], DB[noLocation])</f>
        <v>10-4-015</v>
      </c>
      <c r="G474" s="33" t="s">
        <v>180</v>
      </c>
      <c r="H474" s="40" t="str">
        <f t="array" ref="H474">_xlfn.XLOOKUP($B474, DB[samplingPoint], DB[location])</f>
        <v>WATER SYSTEM ROOM</v>
      </c>
      <c r="I474" s="39" t="str">
        <f t="array" ref="I474">_xlfn.XLOOKUP($B474, DB[samplingPoint], DB[waterType])</f>
        <v>PW</v>
      </c>
      <c r="J474" s="43">
        <f t="shared" si="1"/>
        <v>46109</v>
      </c>
      <c r="K474" s="26">
        <v>46112.0</v>
      </c>
      <c r="L474" s="32">
        <v>0.0</v>
      </c>
      <c r="M474" s="32">
        <v>0.0</v>
      </c>
      <c r="N474" s="32">
        <f t="shared" si="2"/>
        <v>0</v>
      </c>
      <c r="O474" s="49"/>
      <c r="P474" s="32">
        <f t="array" ref="P474">_xlfn.XLOOKUP($B474, DB[samplingPoint], DB[Criteria])</f>
        <v>100</v>
      </c>
      <c r="Q474" s="50" t="str">
        <f t="shared" si="3"/>
        <v>PASSED</v>
      </c>
      <c r="R474" s="38" t="b">
        <v>0</v>
      </c>
      <c r="S474" s="35" t="s">
        <v>1009</v>
      </c>
      <c r="T474" s="39" t="s">
        <v>386</v>
      </c>
      <c r="U474" s="32" t="s">
        <v>381</v>
      </c>
    </row>
    <row r="475" ht="22.5" customHeight="1">
      <c r="A475" s="26">
        <v>46115.0</v>
      </c>
      <c r="B475" s="138" t="s">
        <v>431</v>
      </c>
      <c r="C475" s="32" t="str">
        <f t="array" ref="C475">_xlfn.XLOOKUP(B475, DB[samplingPoint], DB[samplingTag])</f>
        <v>SV-14</v>
      </c>
      <c r="D475" s="33" t="s">
        <v>375</v>
      </c>
      <c r="E475" s="38" t="b">
        <v>1</v>
      </c>
      <c r="F475" s="39" t="str">
        <f t="array" ref="F475">_xlfn.XLOOKUP($B475, DB[samplingPoint], DB[noLocation])</f>
        <v>PROCESS WATER (B19)</v>
      </c>
      <c r="G475" s="33" t="s">
        <v>432</v>
      </c>
      <c r="H475" s="40" t="str">
        <f t="array" ref="H475">_xlfn.XLOOKUP($B475, DB[samplingPoint], DB[location])</f>
        <v>AFTER RO SYSTEM NO.12 SV14</v>
      </c>
      <c r="I475" s="39" t="str">
        <f t="array" ref="I475">_xlfn.XLOOKUP($B475, DB[samplingPoint], DB[waterType])</f>
        <v>PRW</v>
      </c>
      <c r="J475" s="43">
        <f t="shared" si="1"/>
        <v>46116</v>
      </c>
      <c r="K475" s="26">
        <v>46120.0</v>
      </c>
      <c r="L475" s="32">
        <v>0.0</v>
      </c>
      <c r="M475" s="32">
        <v>0.0</v>
      </c>
      <c r="N475" s="32">
        <f t="shared" si="2"/>
        <v>0</v>
      </c>
      <c r="O475" s="49"/>
      <c r="P475" s="32">
        <f t="array" ref="P475">_xlfn.XLOOKUP($B475, DB[samplingPoint], DB[Criteria])</f>
        <v>500</v>
      </c>
      <c r="Q475" s="50" t="str">
        <f t="shared" si="3"/>
        <v>PASSED</v>
      </c>
      <c r="R475" s="38" t="b">
        <v>0</v>
      </c>
      <c r="S475" s="35" t="s">
        <v>1010</v>
      </c>
      <c r="T475" s="39" t="s">
        <v>386</v>
      </c>
      <c r="U475" s="32" t="s">
        <v>381</v>
      </c>
    </row>
    <row r="476" ht="22.5" customHeight="1">
      <c r="A476" s="26">
        <v>46115.0</v>
      </c>
      <c r="B476" s="58" t="s">
        <v>349</v>
      </c>
      <c r="C476" s="32" t="str">
        <f t="array" ref="C476">_xlfn.XLOOKUP(B476, DB[samplingPoint], DB[samplingTag])</f>
        <v>VB-05(10)</v>
      </c>
      <c r="D476" s="33" t="s">
        <v>375</v>
      </c>
      <c r="E476" s="38" t="b">
        <v>1</v>
      </c>
      <c r="F476" s="39" t="str">
        <f t="array" ref="F476">_xlfn.XLOOKUP($B476, DB[samplingPoint], DB[noLocation])</f>
        <v>WATER SYSTEM (B10)</v>
      </c>
      <c r="G476" s="33" t="s">
        <v>180</v>
      </c>
      <c r="H476" s="40" t="str">
        <f t="array" ref="H476">_xlfn.XLOOKUP($B476, DB[samplingPoint], DB[location])</f>
        <v>After Chlorine circulation tank (B10)</v>
      </c>
      <c r="I476" s="39" t="str">
        <f t="array" ref="I476">_xlfn.XLOOKUP($B476, DB[samplingPoint], DB[waterType])</f>
        <v>PRW</v>
      </c>
      <c r="J476" s="43">
        <f t="shared" si="1"/>
        <v>46116</v>
      </c>
      <c r="K476" s="26">
        <v>46120.0</v>
      </c>
      <c r="L476" s="32">
        <v>0.0</v>
      </c>
      <c r="M476" s="32">
        <v>0.0</v>
      </c>
      <c r="N476" s="32">
        <f t="shared" si="2"/>
        <v>0</v>
      </c>
      <c r="O476" s="49"/>
      <c r="P476" s="32">
        <f t="array" ref="P476">_xlfn.XLOOKUP($B476, DB[samplingPoint], DB[Criteria])</f>
        <v>500</v>
      </c>
      <c r="Q476" s="50" t="str">
        <f t="shared" si="3"/>
        <v>PASSED</v>
      </c>
      <c r="R476" s="38" t="b">
        <v>0</v>
      </c>
      <c r="S476" s="35" t="s">
        <v>1013</v>
      </c>
      <c r="T476" s="39" t="s">
        <v>386</v>
      </c>
      <c r="U476" s="32" t="s">
        <v>381</v>
      </c>
    </row>
    <row r="477" ht="22.5" customHeight="1">
      <c r="A477" s="26">
        <v>46115.0</v>
      </c>
      <c r="B477" s="58" t="s">
        <v>366</v>
      </c>
      <c r="C477" s="32" t="str">
        <f t="array" ref="C477">_xlfn.XLOOKUP(B477, DB[samplingPoint], DB[samplingTag])</f>
        <v>V50-61(10)</v>
      </c>
      <c r="D477" s="33" t="s">
        <v>375</v>
      </c>
      <c r="E477" s="38" t="b">
        <v>1</v>
      </c>
      <c r="F477" s="39" t="str">
        <f t="array" ref="F477">_xlfn.XLOOKUP($B477, DB[samplingPoint], DB[noLocation])</f>
        <v>WATER SYSTEM (B10)</v>
      </c>
      <c r="G477" s="33" t="s">
        <v>180</v>
      </c>
      <c r="H477" s="40" t="str">
        <f t="array" ref="H477">_xlfn.XLOOKUP($B477, DB[samplingPoint], DB[location])</f>
        <v>After Cartridge filter 5 µm (B10)</v>
      </c>
      <c r="I477" s="39" t="str">
        <f t="array" ref="I477">_xlfn.XLOOKUP($B477, DB[samplingPoint], DB[waterType])</f>
        <v>PRW</v>
      </c>
      <c r="J477" s="43">
        <f t="shared" si="1"/>
        <v>46116</v>
      </c>
      <c r="K477" s="26">
        <v>46120.0</v>
      </c>
      <c r="L477" s="32">
        <v>0.0</v>
      </c>
      <c r="M477" s="32">
        <v>0.0</v>
      </c>
      <c r="N477" s="32">
        <f t="shared" si="2"/>
        <v>0</v>
      </c>
      <c r="O477" s="49"/>
      <c r="P477" s="32">
        <f t="array" ref="P477">_xlfn.XLOOKUP($B477, DB[samplingPoint], DB[Criteria])</f>
        <v>500</v>
      </c>
      <c r="Q477" s="50" t="str">
        <f t="shared" si="3"/>
        <v>PASSED</v>
      </c>
      <c r="R477" s="38" t="b">
        <v>0</v>
      </c>
      <c r="S477" s="35" t="s">
        <v>1013</v>
      </c>
      <c r="T477" s="39" t="s">
        <v>386</v>
      </c>
      <c r="U477" s="32" t="s">
        <v>381</v>
      </c>
    </row>
    <row r="478" ht="22.5" customHeight="1">
      <c r="A478" s="26">
        <v>46115.0</v>
      </c>
      <c r="B478" s="27" t="s">
        <v>368</v>
      </c>
      <c r="C478" s="32" t="str">
        <f t="array" ref="C478">_xlfn.XLOOKUP(B478, DB[samplingPoint], DB[samplingTag])</f>
        <v>V50-11C(10)</v>
      </c>
      <c r="D478" s="33" t="s">
        <v>375</v>
      </c>
      <c r="E478" s="38" t="b">
        <v>1</v>
      </c>
      <c r="F478" s="39" t="str">
        <f t="array" ref="F478">_xlfn.XLOOKUP($B478, DB[samplingPoint], DB[noLocation])</f>
        <v>WATER SYSTEM (B10)</v>
      </c>
      <c r="G478" s="33" t="s">
        <v>180</v>
      </c>
      <c r="H478" s="40" t="str">
        <f t="array" ref="H478">_xlfn.XLOOKUP($B478, DB[samplingPoint], DB[location])</f>
        <v>After RO (Before EDI) (B10)</v>
      </c>
      <c r="I478" s="39" t="str">
        <f t="array" ref="I478">_xlfn.XLOOKUP($B478, DB[samplingPoint], DB[waterType])</f>
        <v>RO water</v>
      </c>
      <c r="J478" s="43">
        <f t="shared" si="1"/>
        <v>46116</v>
      </c>
      <c r="K478" s="26">
        <v>46120.0</v>
      </c>
      <c r="L478" s="32">
        <v>0.0</v>
      </c>
      <c r="M478" s="32">
        <v>0.0</v>
      </c>
      <c r="N478" s="32">
        <f t="shared" si="2"/>
        <v>0</v>
      </c>
      <c r="O478" s="49"/>
      <c r="P478" s="32">
        <f t="array" ref="P478">_xlfn.XLOOKUP($B478, DB[samplingPoint], DB[Criteria])</f>
        <v>500</v>
      </c>
      <c r="Q478" s="50" t="str">
        <f t="shared" si="3"/>
        <v>PASSED</v>
      </c>
      <c r="R478" s="38" t="b">
        <v>0</v>
      </c>
      <c r="S478" s="35" t="s">
        <v>1013</v>
      </c>
      <c r="T478" s="39" t="s">
        <v>386</v>
      </c>
      <c r="U478" s="32" t="s">
        <v>381</v>
      </c>
    </row>
    <row r="479" ht="22.5" customHeight="1">
      <c r="A479" s="26">
        <v>46115.0</v>
      </c>
      <c r="B479" s="58" t="s">
        <v>374</v>
      </c>
      <c r="C479" s="32" t="str">
        <f t="array" ref="C479">_xlfn.XLOOKUP(B479, DB[samplingPoint], DB[samplingTag])</f>
        <v>V50-39(10)</v>
      </c>
      <c r="D479" s="33" t="s">
        <v>375</v>
      </c>
      <c r="E479" s="38" t="b">
        <v>1</v>
      </c>
      <c r="F479" s="39" t="str">
        <f t="array" ref="F479">_xlfn.XLOOKUP($B479, DB[samplingPoint], DB[noLocation])</f>
        <v>WATER SYSTEM (B10)</v>
      </c>
      <c r="G479" s="33" t="s">
        <v>180</v>
      </c>
      <c r="H479" s="40" t="str">
        <f t="array" ref="H479">_xlfn.XLOOKUP($B479, DB[samplingPoint], DB[location])</f>
        <v>After EDI (B10)</v>
      </c>
      <c r="I479" s="39" t="str">
        <f t="array" ref="I479">_xlfn.XLOOKUP($B479, DB[samplingPoint], DB[waterType])</f>
        <v>PW</v>
      </c>
      <c r="J479" s="43">
        <f t="shared" si="1"/>
        <v>46116</v>
      </c>
      <c r="K479" s="26">
        <v>46120.0</v>
      </c>
      <c r="L479" s="32">
        <v>0.0</v>
      </c>
      <c r="M479" s="32">
        <v>0.0</v>
      </c>
      <c r="N479" s="32">
        <f t="shared" si="2"/>
        <v>0</v>
      </c>
      <c r="O479" s="49"/>
      <c r="P479" s="32">
        <f t="array" ref="P479">_xlfn.XLOOKUP($B479, DB[samplingPoint], DB[Criteria])</f>
        <v>100</v>
      </c>
      <c r="Q479" s="50" t="str">
        <f t="shared" si="3"/>
        <v>PASSED</v>
      </c>
      <c r="R479" s="38" t="b">
        <v>0</v>
      </c>
      <c r="S479" s="35" t="s">
        <v>1013</v>
      </c>
      <c r="T479" s="39" t="s">
        <v>386</v>
      </c>
      <c r="U479" s="32" t="s">
        <v>381</v>
      </c>
    </row>
    <row r="480" ht="22.5" customHeight="1">
      <c r="A480" s="26">
        <v>46115.0</v>
      </c>
      <c r="B480" s="27" t="s">
        <v>390</v>
      </c>
      <c r="C480" s="32" t="str">
        <f t="array" ref="C480">_xlfn.XLOOKUP(B480, DB[samplingPoint], DB[samplingTag])</f>
        <v>SV117.01</v>
      </c>
      <c r="D480" s="33" t="s">
        <v>375</v>
      </c>
      <c r="E480" s="38" t="b">
        <v>1</v>
      </c>
      <c r="F480" s="39" t="str">
        <f t="array" ref="F480">_xlfn.XLOOKUP($B480, DB[samplingPoint], DB[noLocation])</f>
        <v>WATER SYSTEM (B10)</v>
      </c>
      <c r="G480" s="33" t="s">
        <v>180</v>
      </c>
      <c r="H480" s="40" t="str">
        <f t="array" ref="H480">_xlfn.XLOOKUP($B480, DB[samplingPoint], DB[location])</f>
        <v>Return loop (B10)</v>
      </c>
      <c r="I480" s="39" t="str">
        <f t="array" ref="I480">_xlfn.XLOOKUP($B480, DB[samplingPoint], DB[waterType])</f>
        <v>PW</v>
      </c>
      <c r="J480" s="43">
        <f t="shared" si="1"/>
        <v>46116</v>
      </c>
      <c r="K480" s="26">
        <v>46120.0</v>
      </c>
      <c r="L480" s="32">
        <v>0.0</v>
      </c>
      <c r="M480" s="32">
        <v>0.0</v>
      </c>
      <c r="N480" s="32">
        <f t="shared" si="2"/>
        <v>0</v>
      </c>
      <c r="O480" s="49"/>
      <c r="P480" s="32">
        <f t="array" ref="P480">_xlfn.XLOOKUP($B480, DB[samplingPoint], DB[Criteria])</f>
        <v>100</v>
      </c>
      <c r="Q480" s="50" t="str">
        <f t="shared" si="3"/>
        <v>PASSED</v>
      </c>
      <c r="R480" s="38" t="b">
        <v>0</v>
      </c>
      <c r="S480" s="35" t="s">
        <v>1013</v>
      </c>
      <c r="T480" s="39" t="s">
        <v>386</v>
      </c>
      <c r="U480" s="32" t="s">
        <v>381</v>
      </c>
    </row>
    <row r="481" ht="22.5" customHeight="1">
      <c r="A481" s="26">
        <v>46115.0</v>
      </c>
      <c r="B481" s="27" t="s">
        <v>489</v>
      </c>
      <c r="C481" s="32" t="str">
        <f t="array" ref="C481">_xlfn.XLOOKUP(B481, DB[samplingPoint], DB[samplingTag])</f>
        <v>DV116.18</v>
      </c>
      <c r="D481" s="33" t="s">
        <v>375</v>
      </c>
      <c r="E481" s="38" t="b">
        <v>1</v>
      </c>
      <c r="F481" s="39" t="str">
        <f t="array" ref="F481">_xlfn.XLOOKUP($B481, DB[samplingPoint], DB[noLocation])</f>
        <v>10-3-111</v>
      </c>
      <c r="G481" s="33" t="s">
        <v>180</v>
      </c>
      <c r="H481" s="40" t="str">
        <f t="array" ref="H481">_xlfn.XLOOKUP($B481, DB[samplingPoint], DB[location])</f>
        <v>WET GRANULATION-5</v>
      </c>
      <c r="I481" s="39" t="str">
        <f t="array" ref="I481">_xlfn.XLOOKUP($B481, DB[samplingPoint], DB[waterType])</f>
        <v>PW</v>
      </c>
      <c r="J481" s="43">
        <f t="shared" si="1"/>
        <v>46116</v>
      </c>
      <c r="K481" s="26">
        <v>46120.0</v>
      </c>
      <c r="L481" s="32">
        <v>0.0</v>
      </c>
      <c r="M481" s="32">
        <v>0.0</v>
      </c>
      <c r="N481" s="32">
        <f t="shared" si="2"/>
        <v>0</v>
      </c>
      <c r="O481" s="49"/>
      <c r="P481" s="32">
        <f t="array" ref="P481">_xlfn.XLOOKUP($B481, DB[samplingPoint], DB[Criteria])</f>
        <v>100</v>
      </c>
      <c r="Q481" s="50" t="str">
        <f t="shared" si="3"/>
        <v>PASSED</v>
      </c>
      <c r="R481" s="38" t="b">
        <v>0</v>
      </c>
      <c r="S481" s="35" t="s">
        <v>1013</v>
      </c>
      <c r="T481" s="39" t="s">
        <v>386</v>
      </c>
      <c r="U481" s="32" t="s">
        <v>381</v>
      </c>
    </row>
    <row r="482" ht="22.5" customHeight="1">
      <c r="A482" s="26">
        <v>46115.0</v>
      </c>
      <c r="B482" s="58" t="s">
        <v>485</v>
      </c>
      <c r="C482" s="32" t="str">
        <f t="array" ref="C482">_xlfn.XLOOKUP(B482, DB[samplingPoint], DB[samplingTag])</f>
        <v>DV116.16</v>
      </c>
      <c r="D482" s="33" t="s">
        <v>375</v>
      </c>
      <c r="E482" s="38" t="b">
        <v>1</v>
      </c>
      <c r="F482" s="39" t="str">
        <f t="array" ref="F482">_xlfn.XLOOKUP($B482, DB[samplingPoint], DB[noLocation])</f>
        <v>10-3-107</v>
      </c>
      <c r="G482" s="33" t="s">
        <v>180</v>
      </c>
      <c r="H482" s="40" t="str">
        <f t="array" ref="H482">_xlfn.XLOOKUP($B482, DB[samplingPoint], DB[location])</f>
        <v>WET GRANULATION-2</v>
      </c>
      <c r="I482" s="39" t="str">
        <f t="array" ref="I482">_xlfn.XLOOKUP($B482, DB[samplingPoint], DB[waterType])</f>
        <v>PW</v>
      </c>
      <c r="J482" s="43">
        <f t="shared" si="1"/>
        <v>46116</v>
      </c>
      <c r="K482" s="26">
        <v>46120.0</v>
      </c>
      <c r="L482" s="32">
        <v>0.0</v>
      </c>
      <c r="M482" s="32">
        <v>0.0</v>
      </c>
      <c r="N482" s="32">
        <f t="shared" si="2"/>
        <v>0</v>
      </c>
      <c r="O482" s="49"/>
      <c r="P482" s="32">
        <f t="array" ref="P482">_xlfn.XLOOKUP($B482, DB[samplingPoint], DB[Criteria])</f>
        <v>100</v>
      </c>
      <c r="Q482" s="50" t="str">
        <f t="shared" si="3"/>
        <v>PASSED</v>
      </c>
      <c r="R482" s="38" t="b">
        <v>0</v>
      </c>
      <c r="S482" s="35" t="s">
        <v>1013</v>
      </c>
      <c r="T482" s="39" t="s">
        <v>386</v>
      </c>
      <c r="U482" s="32" t="s">
        <v>381</v>
      </c>
    </row>
    <row r="483" ht="22.5" customHeight="1">
      <c r="A483" s="26">
        <v>46115.0</v>
      </c>
      <c r="B483" s="27" t="s">
        <v>492</v>
      </c>
      <c r="C483" s="32" t="str">
        <f t="array" ref="C483">_xlfn.XLOOKUP(B483, DB[samplingPoint], DB[samplingTag])</f>
        <v>SV116.11</v>
      </c>
      <c r="D483" s="33" t="s">
        <v>375</v>
      </c>
      <c r="E483" s="38" t="b">
        <v>1</v>
      </c>
      <c r="F483" s="39" t="str">
        <f t="array" ref="F483">_xlfn.XLOOKUP($B483, DB[samplingPoint], DB[noLocation])</f>
        <v>10-3-107</v>
      </c>
      <c r="G483" s="33" t="s">
        <v>180</v>
      </c>
      <c r="H483" s="40" t="str">
        <f t="array" ref="H483">_xlfn.XLOOKUP($B483, DB[samplingPoint], DB[location])</f>
        <v>WET GRANULATION-2</v>
      </c>
      <c r="I483" s="39" t="str">
        <f t="array" ref="I483">_xlfn.XLOOKUP($B483, DB[samplingPoint], DB[waterType])</f>
        <v>PW</v>
      </c>
      <c r="J483" s="43">
        <f t="shared" si="1"/>
        <v>46116</v>
      </c>
      <c r="K483" s="26">
        <v>46120.0</v>
      </c>
      <c r="L483" s="32">
        <v>0.0</v>
      </c>
      <c r="M483" s="32">
        <v>0.0</v>
      </c>
      <c r="N483" s="32">
        <f t="shared" si="2"/>
        <v>0</v>
      </c>
      <c r="O483" s="49"/>
      <c r="P483" s="32">
        <f t="array" ref="P483">_xlfn.XLOOKUP($B483, DB[samplingPoint], DB[Criteria])</f>
        <v>100</v>
      </c>
      <c r="Q483" s="50" t="str">
        <f t="shared" si="3"/>
        <v>PASSED</v>
      </c>
      <c r="R483" s="38" t="b">
        <v>0</v>
      </c>
      <c r="S483" s="35" t="s">
        <v>1013</v>
      </c>
      <c r="T483" s="39" t="s">
        <v>386</v>
      </c>
      <c r="U483" s="32" t="s">
        <v>381</v>
      </c>
    </row>
    <row r="484" ht="22.5" customHeight="1">
      <c r="A484" s="26">
        <v>46115.0</v>
      </c>
      <c r="B484" s="58" t="s">
        <v>482</v>
      </c>
      <c r="C484" s="32" t="str">
        <f t="array" ref="C484">_xlfn.XLOOKUP(B484, DB[samplingPoint], DB[samplingTag])</f>
        <v>DV116.14</v>
      </c>
      <c r="D484" s="33" t="s">
        <v>375</v>
      </c>
      <c r="E484" s="38" t="b">
        <v>1</v>
      </c>
      <c r="F484" s="39" t="str">
        <f t="array" ref="F484">_xlfn.XLOOKUP($B484, DB[samplingPoint], DB[noLocation])</f>
        <v>10-3-086</v>
      </c>
      <c r="G484" s="33" t="s">
        <v>180</v>
      </c>
      <c r="H484" s="40" t="str">
        <f t="array" ref="H484">_xlfn.XLOOKUP($B484, DB[samplingPoint], DB[location])</f>
        <v>TOOL WASHING</v>
      </c>
      <c r="I484" s="39" t="str">
        <f t="array" ref="I484">_xlfn.XLOOKUP($B484, DB[samplingPoint], DB[waterType])</f>
        <v>PW</v>
      </c>
      <c r="J484" s="43">
        <f t="shared" si="1"/>
        <v>46116</v>
      </c>
      <c r="K484" s="26">
        <v>46120.0</v>
      </c>
      <c r="L484" s="32">
        <v>0.0</v>
      </c>
      <c r="M484" s="32">
        <v>0.0</v>
      </c>
      <c r="N484" s="32">
        <f t="shared" si="2"/>
        <v>0</v>
      </c>
      <c r="O484" s="49"/>
      <c r="P484" s="32">
        <f t="array" ref="P484">_xlfn.XLOOKUP($B484, DB[samplingPoint], DB[Criteria])</f>
        <v>100</v>
      </c>
      <c r="Q484" s="50" t="str">
        <f t="shared" si="3"/>
        <v>PASSED</v>
      </c>
      <c r="R484" s="38" t="b">
        <v>0</v>
      </c>
      <c r="S484" s="35" t="s">
        <v>1013</v>
      </c>
      <c r="T484" s="39" t="s">
        <v>386</v>
      </c>
      <c r="U484" s="32" t="s">
        <v>381</v>
      </c>
    </row>
    <row r="485" ht="22.5" customHeight="1">
      <c r="A485" s="26">
        <v>46115.0</v>
      </c>
      <c r="B485" s="27" t="s">
        <v>490</v>
      </c>
      <c r="C485" s="32" t="str">
        <f t="array" ref="C485">_xlfn.XLOOKUP(B485, DB[samplingPoint], DB[samplingTag])</f>
        <v>SV116.09</v>
      </c>
      <c r="D485" s="33" t="s">
        <v>375</v>
      </c>
      <c r="E485" s="38" t="b">
        <v>1</v>
      </c>
      <c r="F485" s="39" t="str">
        <f t="array" ref="F485">_xlfn.XLOOKUP($B485, DB[samplingPoint], DB[noLocation])</f>
        <v>10-3-078</v>
      </c>
      <c r="G485" s="33" t="s">
        <v>180</v>
      </c>
      <c r="H485" s="40" t="str">
        <f t="array" ref="H485">_xlfn.XLOOKUP($B485, DB[samplingPoint], DB[location])</f>
        <v>WASHING</v>
      </c>
      <c r="I485" s="39" t="str">
        <f t="array" ref="I485">_xlfn.XLOOKUP($B485, DB[samplingPoint], DB[waterType])</f>
        <v>PW</v>
      </c>
      <c r="J485" s="43">
        <f t="shared" si="1"/>
        <v>46116</v>
      </c>
      <c r="K485" s="26">
        <v>46120.0</v>
      </c>
      <c r="L485" s="32">
        <v>0.0</v>
      </c>
      <c r="M485" s="32">
        <v>0.0</v>
      </c>
      <c r="N485" s="32">
        <f t="shared" si="2"/>
        <v>0</v>
      </c>
      <c r="O485" s="49"/>
      <c r="P485" s="32">
        <f t="array" ref="P485">_xlfn.XLOOKUP($B485, DB[samplingPoint], DB[Criteria])</f>
        <v>100</v>
      </c>
      <c r="Q485" s="50" t="str">
        <f t="shared" si="3"/>
        <v>PASSED</v>
      </c>
      <c r="R485" s="38" t="b">
        <v>0</v>
      </c>
      <c r="S485" s="35" t="s">
        <v>1013</v>
      </c>
      <c r="T485" s="39" t="s">
        <v>386</v>
      </c>
      <c r="U485" s="32" t="s">
        <v>381</v>
      </c>
    </row>
    <row r="486" ht="22.5" customHeight="1">
      <c r="A486" s="26">
        <v>46115.0</v>
      </c>
      <c r="B486" s="58" t="s">
        <v>479</v>
      </c>
      <c r="C486" s="32" t="str">
        <f t="array" ref="C486">_xlfn.XLOOKUP(B486, DB[samplingPoint], DB[samplingTag])</f>
        <v>DV116.13</v>
      </c>
      <c r="D486" s="33" t="s">
        <v>375</v>
      </c>
      <c r="E486" s="38" t="b">
        <v>1</v>
      </c>
      <c r="F486" s="39" t="str">
        <f t="array" ref="F486">_xlfn.XLOOKUP($B486, DB[samplingPoint], DB[noLocation])</f>
        <v>10-3-078</v>
      </c>
      <c r="G486" s="33" t="s">
        <v>180</v>
      </c>
      <c r="H486" s="40" t="str">
        <f t="array" ref="H486">_xlfn.XLOOKUP($B486, DB[samplingPoint], DB[location])</f>
        <v>WASHING</v>
      </c>
      <c r="I486" s="39" t="str">
        <f t="array" ref="I486">_xlfn.XLOOKUP($B486, DB[samplingPoint], DB[waterType])</f>
        <v>PW</v>
      </c>
      <c r="J486" s="43">
        <f t="shared" si="1"/>
        <v>46116</v>
      </c>
      <c r="K486" s="26">
        <v>46120.0</v>
      </c>
      <c r="L486" s="32">
        <v>0.0</v>
      </c>
      <c r="M486" s="32">
        <v>0.0</v>
      </c>
      <c r="N486" s="32">
        <f t="shared" si="2"/>
        <v>0</v>
      </c>
      <c r="O486" s="49"/>
      <c r="P486" s="32">
        <f t="array" ref="P486">_xlfn.XLOOKUP($B486, DB[samplingPoint], DB[Criteria])</f>
        <v>100</v>
      </c>
      <c r="Q486" s="50" t="str">
        <f t="shared" si="3"/>
        <v>PASSED</v>
      </c>
      <c r="R486" s="38" t="b">
        <v>0</v>
      </c>
      <c r="S486" s="35" t="s">
        <v>1013</v>
      </c>
      <c r="T486" s="39" t="s">
        <v>386</v>
      </c>
      <c r="U486" s="32" t="s">
        <v>381</v>
      </c>
    </row>
    <row r="487" ht="22.5" customHeight="1">
      <c r="A487" s="26">
        <v>46115.0</v>
      </c>
      <c r="B487" s="27" t="s">
        <v>476</v>
      </c>
      <c r="C487" s="32" t="str">
        <f t="array" ref="C487">_xlfn.XLOOKUP(B487, DB[samplingPoint], DB[samplingTag])</f>
        <v>DV116.12</v>
      </c>
      <c r="D487" s="33" t="s">
        <v>375</v>
      </c>
      <c r="E487" s="38" t="b">
        <v>1</v>
      </c>
      <c r="F487" s="39" t="str">
        <f t="array" ref="F487">_xlfn.XLOOKUP($B487, DB[samplingPoint], DB[noLocation])</f>
        <v>10-3-078</v>
      </c>
      <c r="G487" s="33" t="s">
        <v>180</v>
      </c>
      <c r="H487" s="40" t="str">
        <f t="array" ref="H487">_xlfn.XLOOKUP($B487, DB[samplingPoint], DB[location])</f>
        <v>WASHING</v>
      </c>
      <c r="I487" s="39" t="str">
        <f t="array" ref="I487">_xlfn.XLOOKUP($B487, DB[samplingPoint], DB[waterType])</f>
        <v>PW</v>
      </c>
      <c r="J487" s="43">
        <f t="shared" si="1"/>
        <v>46116</v>
      </c>
      <c r="K487" s="26">
        <v>46120.0</v>
      </c>
      <c r="L487" s="32">
        <v>0.0</v>
      </c>
      <c r="M487" s="32">
        <v>0.0</v>
      </c>
      <c r="N487" s="32">
        <f t="shared" si="2"/>
        <v>0</v>
      </c>
      <c r="O487" s="49"/>
      <c r="P487" s="32">
        <f t="array" ref="P487">_xlfn.XLOOKUP($B487, DB[samplingPoint], DB[Criteria])</f>
        <v>100</v>
      </c>
      <c r="Q487" s="50" t="str">
        <f t="shared" si="3"/>
        <v>PASSED</v>
      </c>
      <c r="R487" s="38" t="b">
        <v>0</v>
      </c>
      <c r="S487" s="35" t="s">
        <v>1013</v>
      </c>
      <c r="T487" s="39" t="s">
        <v>386</v>
      </c>
      <c r="U487" s="32" t="s">
        <v>381</v>
      </c>
    </row>
    <row r="488" ht="22.5" customHeight="1">
      <c r="A488" s="26">
        <v>46115.0</v>
      </c>
      <c r="B488" s="27" t="s">
        <v>536</v>
      </c>
      <c r="C488" s="32" t="str">
        <f t="array" ref="C488">_xlfn.XLOOKUP(B488, DB[samplingPoint], DB[samplingTag])</f>
        <v>SV116.05</v>
      </c>
      <c r="D488" s="33" t="s">
        <v>375</v>
      </c>
      <c r="E488" s="38" t="b">
        <v>1</v>
      </c>
      <c r="F488" s="39" t="str">
        <f t="array" ref="F488">_xlfn.XLOOKUP($B488, DB[samplingPoint], DB[noLocation])</f>
        <v>10-3-062</v>
      </c>
      <c r="G488" s="33" t="s">
        <v>180</v>
      </c>
      <c r="H488" s="40" t="str">
        <f t="array" ref="H488">_xlfn.XLOOKUP($B488, DB[samplingPoint], DB[location])</f>
        <v>COATING ROOM-3</v>
      </c>
      <c r="I488" s="39" t="str">
        <f t="array" ref="I488">_xlfn.XLOOKUP($B488, DB[samplingPoint], DB[waterType])</f>
        <v>PW</v>
      </c>
      <c r="J488" s="43">
        <f t="shared" si="1"/>
        <v>46116</v>
      </c>
      <c r="K488" s="26">
        <v>46120.0</v>
      </c>
      <c r="L488" s="32">
        <v>0.0</v>
      </c>
      <c r="M488" s="32">
        <v>0.0</v>
      </c>
      <c r="N488" s="32">
        <f t="shared" si="2"/>
        <v>0</v>
      </c>
      <c r="O488" s="49"/>
      <c r="P488" s="32">
        <f t="array" ref="P488">_xlfn.XLOOKUP($B488, DB[samplingPoint], DB[Criteria])</f>
        <v>100</v>
      </c>
      <c r="Q488" s="50" t="str">
        <f t="shared" si="3"/>
        <v>PASSED</v>
      </c>
      <c r="R488" s="38" t="b">
        <v>0</v>
      </c>
      <c r="S488" s="35" t="s">
        <v>1013</v>
      </c>
      <c r="T488" s="39" t="s">
        <v>386</v>
      </c>
      <c r="U488" s="32" t="s">
        <v>381</v>
      </c>
    </row>
    <row r="489" ht="22.5" customHeight="1">
      <c r="A489" s="26">
        <v>46115.0</v>
      </c>
      <c r="B489" s="58" t="s">
        <v>535</v>
      </c>
      <c r="C489" s="32" t="str">
        <f t="array" ref="C489">_xlfn.XLOOKUP(B489, DB[samplingPoint], DB[samplingTag])</f>
        <v>SV116.04</v>
      </c>
      <c r="D489" s="33" t="s">
        <v>375</v>
      </c>
      <c r="E489" s="38" t="b">
        <v>1</v>
      </c>
      <c r="F489" s="39" t="str">
        <f t="array" ref="F489">_xlfn.XLOOKUP($B489, DB[samplingPoint], DB[noLocation])</f>
        <v>10-3-061</v>
      </c>
      <c r="G489" s="33" t="s">
        <v>180</v>
      </c>
      <c r="H489" s="40" t="str">
        <f t="array" ref="H489">_xlfn.XLOOKUP($B489, DB[samplingPoint], DB[location])</f>
        <v>COATING ROOM-2</v>
      </c>
      <c r="I489" s="39" t="str">
        <f t="array" ref="I489">_xlfn.XLOOKUP($B489, DB[samplingPoint], DB[waterType])</f>
        <v>PW</v>
      </c>
      <c r="J489" s="43">
        <f t="shared" si="1"/>
        <v>46116</v>
      </c>
      <c r="K489" s="26">
        <v>46120.0</v>
      </c>
      <c r="L489" s="32">
        <v>0.0</v>
      </c>
      <c r="M489" s="32">
        <v>0.0</v>
      </c>
      <c r="N489" s="32">
        <f t="shared" si="2"/>
        <v>0</v>
      </c>
      <c r="O489" s="49"/>
      <c r="P489" s="32">
        <f t="array" ref="P489">_xlfn.XLOOKUP($B489, DB[samplingPoint], DB[Criteria])</f>
        <v>100</v>
      </c>
      <c r="Q489" s="50" t="str">
        <f t="shared" si="3"/>
        <v>PASSED</v>
      </c>
      <c r="R489" s="38" t="b">
        <v>0</v>
      </c>
      <c r="S489" s="35" t="s">
        <v>1013</v>
      </c>
      <c r="T489" s="39" t="s">
        <v>386</v>
      </c>
      <c r="U489" s="32" t="s">
        <v>381</v>
      </c>
    </row>
    <row r="490" ht="22.5" customHeight="1">
      <c r="A490" s="26">
        <v>46115.0</v>
      </c>
      <c r="B490" s="27" t="s">
        <v>529</v>
      </c>
      <c r="C490" s="32" t="str">
        <f t="array" ref="C490">_xlfn.XLOOKUP(B490, DB[samplingPoint], DB[samplingTag])</f>
        <v>DV116.09</v>
      </c>
      <c r="D490" s="33" t="s">
        <v>375</v>
      </c>
      <c r="E490" s="38" t="b">
        <v>1</v>
      </c>
      <c r="F490" s="39" t="str">
        <f t="array" ref="F490">_xlfn.XLOOKUP($B490, DB[samplingPoint], DB[noLocation])</f>
        <v>10-3-060</v>
      </c>
      <c r="G490" s="33" t="s">
        <v>180</v>
      </c>
      <c r="H490" s="40" t="str">
        <f t="array" ref="H490">_xlfn.XLOOKUP($B490, DB[samplingPoint], DB[location])</f>
        <v>COATING SOLUTION PREP.-2</v>
      </c>
      <c r="I490" s="39" t="str">
        <f t="array" ref="I490">_xlfn.XLOOKUP($B490, DB[samplingPoint], DB[waterType])</f>
        <v>PW</v>
      </c>
      <c r="J490" s="43">
        <f t="shared" si="1"/>
        <v>46116</v>
      </c>
      <c r="K490" s="26">
        <v>46120.0</v>
      </c>
      <c r="L490" s="32">
        <v>0.0</v>
      </c>
      <c r="M490" s="32">
        <v>0.0</v>
      </c>
      <c r="N490" s="32">
        <f t="shared" si="2"/>
        <v>0</v>
      </c>
      <c r="O490" s="49"/>
      <c r="P490" s="32">
        <f t="array" ref="P490">_xlfn.XLOOKUP($B490, DB[samplingPoint], DB[Criteria])</f>
        <v>100</v>
      </c>
      <c r="Q490" s="50" t="str">
        <f t="shared" si="3"/>
        <v>PASSED</v>
      </c>
      <c r="R490" s="38" t="b">
        <v>0</v>
      </c>
      <c r="S490" s="35" t="s">
        <v>1013</v>
      </c>
      <c r="T490" s="39" t="s">
        <v>386</v>
      </c>
      <c r="U490" s="32" t="s">
        <v>381</v>
      </c>
    </row>
    <row r="491" ht="22.5" customHeight="1">
      <c r="A491" s="26">
        <v>46115.0</v>
      </c>
      <c r="B491" s="58" t="s">
        <v>528</v>
      </c>
      <c r="C491" s="32" t="str">
        <f t="array" ref="C491">_xlfn.XLOOKUP(B491, DB[samplingPoint], DB[samplingTag])</f>
        <v>DV116.08</v>
      </c>
      <c r="D491" s="33" t="s">
        <v>375</v>
      </c>
      <c r="E491" s="38" t="b">
        <v>1</v>
      </c>
      <c r="F491" s="39" t="str">
        <f t="array" ref="F491">_xlfn.XLOOKUP($B491, DB[samplingPoint], DB[noLocation])</f>
        <v>10-3-059</v>
      </c>
      <c r="G491" s="33" t="s">
        <v>180</v>
      </c>
      <c r="H491" s="40" t="str">
        <f t="array" ref="H491">_xlfn.XLOOKUP($B491, DB[samplingPoint], DB[location])</f>
        <v>COATING SOLUTION PREP.-1</v>
      </c>
      <c r="I491" s="39" t="str">
        <f t="array" ref="I491">_xlfn.XLOOKUP($B491, DB[samplingPoint], DB[waterType])</f>
        <v>PW</v>
      </c>
      <c r="J491" s="43">
        <f t="shared" si="1"/>
        <v>46116</v>
      </c>
      <c r="K491" s="26">
        <v>46120.0</v>
      </c>
      <c r="L491" s="32">
        <v>0.0</v>
      </c>
      <c r="M491" s="32">
        <v>0.0</v>
      </c>
      <c r="N491" s="32">
        <f t="shared" si="2"/>
        <v>0</v>
      </c>
      <c r="O491" s="49"/>
      <c r="P491" s="32">
        <f t="array" ref="P491">_xlfn.XLOOKUP($B491, DB[samplingPoint], DB[Criteria])</f>
        <v>100</v>
      </c>
      <c r="Q491" s="50" t="str">
        <f t="shared" si="3"/>
        <v>PASSED</v>
      </c>
      <c r="R491" s="38" t="b">
        <v>0</v>
      </c>
      <c r="S491" s="35" t="s">
        <v>1013</v>
      </c>
      <c r="T491" s="39" t="s">
        <v>386</v>
      </c>
      <c r="U491" s="32" t="s">
        <v>381</v>
      </c>
    </row>
    <row r="492" ht="22.5" customHeight="1">
      <c r="A492" s="26">
        <v>46115.0</v>
      </c>
      <c r="B492" s="27" t="s">
        <v>534</v>
      </c>
      <c r="C492" s="32" t="str">
        <f t="array" ref="C492">_xlfn.XLOOKUP(B492, DB[samplingPoint], DB[samplingTag])</f>
        <v>SV116.03</v>
      </c>
      <c r="D492" s="33" t="s">
        <v>375</v>
      </c>
      <c r="E492" s="38" t="b">
        <v>1</v>
      </c>
      <c r="F492" s="39" t="str">
        <f t="array" ref="F492">_xlfn.XLOOKUP($B492, DB[samplingPoint], DB[noLocation])</f>
        <v>10-3-058</v>
      </c>
      <c r="G492" s="33" t="s">
        <v>180</v>
      </c>
      <c r="H492" s="40" t="str">
        <f t="array" ref="H492">_xlfn.XLOOKUP($B492, DB[samplingPoint], DB[location])</f>
        <v>COATING ROOM-1</v>
      </c>
      <c r="I492" s="39" t="str">
        <f t="array" ref="I492">_xlfn.XLOOKUP($B492, DB[samplingPoint], DB[waterType])</f>
        <v>PW</v>
      </c>
      <c r="J492" s="43">
        <f t="shared" si="1"/>
        <v>46116</v>
      </c>
      <c r="K492" s="26">
        <v>46120.0</v>
      </c>
      <c r="L492" s="32">
        <v>0.0</v>
      </c>
      <c r="M492" s="32">
        <v>0.0</v>
      </c>
      <c r="N492" s="32">
        <f t="shared" si="2"/>
        <v>0</v>
      </c>
      <c r="O492" s="49"/>
      <c r="P492" s="32">
        <f t="array" ref="P492">_xlfn.XLOOKUP($B492, DB[samplingPoint], DB[Criteria])</f>
        <v>100</v>
      </c>
      <c r="Q492" s="50" t="str">
        <f t="shared" si="3"/>
        <v>PASSED</v>
      </c>
      <c r="R492" s="38" t="b">
        <v>0</v>
      </c>
      <c r="S492" s="35" t="s">
        <v>1013</v>
      </c>
      <c r="T492" s="39" t="s">
        <v>386</v>
      </c>
      <c r="U492" s="32" t="s">
        <v>381</v>
      </c>
    </row>
    <row r="493" ht="22.5" customHeight="1">
      <c r="A493" s="26">
        <v>46115.0</v>
      </c>
      <c r="B493" s="58" t="s">
        <v>488</v>
      </c>
      <c r="C493" s="32" t="str">
        <f t="array" ref="C493">_xlfn.XLOOKUP(B493, DB[samplingPoint], DB[samplingTag])</f>
        <v>DV116.17</v>
      </c>
      <c r="D493" s="33" t="s">
        <v>375</v>
      </c>
      <c r="E493" s="38" t="b">
        <v>1</v>
      </c>
      <c r="F493" s="39" t="str">
        <f t="array" ref="F493">_xlfn.XLOOKUP($B493, DB[samplingPoint], DB[noLocation])</f>
        <v>10-3-117</v>
      </c>
      <c r="G493" s="33" t="s">
        <v>180</v>
      </c>
      <c r="H493" s="40" t="str">
        <f t="array" ref="H493">_xlfn.XLOOKUP($B493, DB[samplingPoint], DB[location])</f>
        <v>IPQC-2</v>
      </c>
      <c r="I493" s="39" t="str">
        <f t="array" ref="I493">_xlfn.XLOOKUP($B493, DB[samplingPoint], DB[waterType])</f>
        <v>PW</v>
      </c>
      <c r="J493" s="43">
        <f t="shared" si="1"/>
        <v>46116</v>
      </c>
      <c r="K493" s="26">
        <v>46120.0</v>
      </c>
      <c r="L493" s="32">
        <v>0.0</v>
      </c>
      <c r="M493" s="32">
        <v>0.0</v>
      </c>
      <c r="N493" s="32">
        <f t="shared" si="2"/>
        <v>0</v>
      </c>
      <c r="O493" s="49"/>
      <c r="P493" s="32">
        <f t="array" ref="P493">_xlfn.XLOOKUP($B493, DB[samplingPoint], DB[Criteria])</f>
        <v>100</v>
      </c>
      <c r="Q493" s="50" t="str">
        <f t="shared" si="3"/>
        <v>PASSED</v>
      </c>
      <c r="R493" s="38" t="b">
        <v>0</v>
      </c>
      <c r="S493" s="35" t="s">
        <v>1013</v>
      </c>
      <c r="T493" s="39" t="s">
        <v>386</v>
      </c>
      <c r="U493" s="32" t="s">
        <v>381</v>
      </c>
    </row>
    <row r="494" ht="22.5" customHeight="1">
      <c r="A494" s="26">
        <v>46115.0</v>
      </c>
      <c r="B494" s="27" t="s">
        <v>119</v>
      </c>
      <c r="C494" s="32" t="str">
        <f t="array" ref="C494">_xlfn.XLOOKUP(B494, DB[samplingPoint], DB[samplingTag])</f>
        <v>DV116.15</v>
      </c>
      <c r="D494" s="33" t="s">
        <v>375</v>
      </c>
      <c r="E494" s="38" t="b">
        <v>1</v>
      </c>
      <c r="F494" s="39" t="str">
        <f t="array" ref="F494">_xlfn.XLOOKUP($B494, DB[samplingPoint], DB[noLocation])</f>
        <v>10-3-104</v>
      </c>
      <c r="G494" s="33" t="s">
        <v>180</v>
      </c>
      <c r="H494" s="40" t="str">
        <f t="array" ref="H494">_xlfn.XLOOKUP($B494, DB[samplingPoint], DB[location])</f>
        <v>BINDER PREPARATION</v>
      </c>
      <c r="I494" s="39" t="str">
        <f t="array" ref="I494">_xlfn.XLOOKUP($B494, DB[samplingPoint], DB[waterType])</f>
        <v>PW</v>
      </c>
      <c r="J494" s="43">
        <f t="shared" si="1"/>
        <v>46116</v>
      </c>
      <c r="K494" s="26">
        <v>46120.0</v>
      </c>
      <c r="L494" s="32">
        <v>0.0</v>
      </c>
      <c r="M494" s="32">
        <v>0.0</v>
      </c>
      <c r="N494" s="32">
        <f t="shared" si="2"/>
        <v>0</v>
      </c>
      <c r="O494" s="49"/>
      <c r="P494" s="32">
        <f t="array" ref="P494">_xlfn.XLOOKUP($B494, DB[samplingPoint], DB[Criteria])</f>
        <v>100</v>
      </c>
      <c r="Q494" s="50" t="str">
        <f t="shared" si="3"/>
        <v>PASSED</v>
      </c>
      <c r="R494" s="38" t="b">
        <v>0</v>
      </c>
      <c r="S494" s="35" t="s">
        <v>1013</v>
      </c>
      <c r="T494" s="39" t="s">
        <v>386</v>
      </c>
      <c r="U494" s="32" t="s">
        <v>381</v>
      </c>
    </row>
    <row r="495" ht="22.5" customHeight="1">
      <c r="A495" s="26">
        <v>46115.0</v>
      </c>
      <c r="B495" s="27" t="s">
        <v>430</v>
      </c>
      <c r="C495" s="32" t="str">
        <f t="array" ref="C495">_xlfn.XLOOKUP(B495, DB[samplingPoint], DB[samplingTag])</f>
        <v>SV137.01</v>
      </c>
      <c r="D495" s="33" t="s">
        <v>375</v>
      </c>
      <c r="E495" s="38" t="b">
        <v>1</v>
      </c>
      <c r="F495" s="39" t="str">
        <f t="array" ref="F495">_xlfn.XLOOKUP($B495, DB[samplingPoint], DB[noLocation])</f>
        <v>WATER SYSTEM (B12)</v>
      </c>
      <c r="G495" s="33" t="s">
        <v>437</v>
      </c>
      <c r="H495" s="40" t="str">
        <f t="array" ref="H495">_xlfn.XLOOKUP($B495, DB[samplingPoint], DB[location])</f>
        <v>Return loop (B12)</v>
      </c>
      <c r="I495" s="39" t="str">
        <f t="array" ref="I495">_xlfn.XLOOKUP($B495, DB[samplingPoint], DB[waterType])</f>
        <v>PW</v>
      </c>
      <c r="J495" s="43">
        <f t="shared" si="1"/>
        <v>46116</v>
      </c>
      <c r="K495" s="26">
        <v>46120.0</v>
      </c>
      <c r="L495" s="32">
        <v>0.0</v>
      </c>
      <c r="M495" s="32">
        <v>0.0</v>
      </c>
      <c r="N495" s="32">
        <f t="shared" si="2"/>
        <v>0</v>
      </c>
      <c r="O495" s="49"/>
      <c r="P495" s="32">
        <f t="array" ref="P495">_xlfn.XLOOKUP($B495, DB[samplingPoint], DB[Criteria])</f>
        <v>100</v>
      </c>
      <c r="Q495" s="50" t="str">
        <f t="shared" si="3"/>
        <v>PASSED</v>
      </c>
      <c r="R495" s="38" t="b">
        <v>0</v>
      </c>
      <c r="S495" s="35" t="s">
        <v>1015</v>
      </c>
      <c r="T495" s="39" t="s">
        <v>386</v>
      </c>
      <c r="U495" s="32" t="s">
        <v>381</v>
      </c>
    </row>
    <row r="496" ht="22.5" customHeight="1">
      <c r="A496" s="26">
        <v>46115.0</v>
      </c>
      <c r="B496" s="58" t="s">
        <v>464</v>
      </c>
      <c r="C496" s="32" t="str">
        <f t="array" ref="C496">_xlfn.XLOOKUP(B496, DB[samplingPoint], DB[samplingTag])</f>
        <v>SV127.01</v>
      </c>
      <c r="D496" s="33" t="s">
        <v>375</v>
      </c>
      <c r="E496" s="38" t="b">
        <v>1</v>
      </c>
      <c r="F496" s="39" t="str">
        <f t="array" ref="F496">_xlfn.XLOOKUP($B496, DB[samplingPoint], DB[noLocation])</f>
        <v>WATER SYSTEM (B16)</v>
      </c>
      <c r="G496" s="33" t="s">
        <v>327</v>
      </c>
      <c r="H496" s="40" t="str">
        <f t="array" ref="H496">_xlfn.XLOOKUP($B496, DB[samplingPoint], DB[location])</f>
        <v>Return loop (B16)</v>
      </c>
      <c r="I496" s="39" t="str">
        <f t="array" ref="I496">_xlfn.XLOOKUP($B496, DB[samplingPoint], DB[waterType])</f>
        <v>PW</v>
      </c>
      <c r="J496" s="43">
        <f t="shared" si="1"/>
        <v>46116</v>
      </c>
      <c r="K496" s="26">
        <v>46120.0</v>
      </c>
      <c r="L496" s="32">
        <v>0.0</v>
      </c>
      <c r="M496" s="32">
        <v>0.0</v>
      </c>
      <c r="N496" s="32">
        <f t="shared" si="2"/>
        <v>0</v>
      </c>
      <c r="O496" s="49"/>
      <c r="P496" s="32">
        <f t="array" ref="P496">_xlfn.XLOOKUP($B496, DB[samplingPoint], DB[Criteria])</f>
        <v>100</v>
      </c>
      <c r="Q496" s="50" t="str">
        <f t="shared" si="3"/>
        <v>PASSED</v>
      </c>
      <c r="R496" s="38" t="b">
        <v>0</v>
      </c>
      <c r="S496" s="35" t="s">
        <v>1016</v>
      </c>
      <c r="T496" s="39" t="s">
        <v>386</v>
      </c>
      <c r="U496" s="32" t="s">
        <v>381</v>
      </c>
    </row>
    <row r="497" ht="22.5" customHeight="1">
      <c r="A497" s="112">
        <v>46119.0</v>
      </c>
      <c r="B497" s="58" t="s">
        <v>442</v>
      </c>
      <c r="C497" s="32" t="str">
        <f t="array" ref="C497">_xlfn.XLOOKUP(B497, DB[samplingPoint], DB[samplingTag])</f>
        <v>V50-61 (12)</v>
      </c>
      <c r="D497" s="33" t="s">
        <v>500</v>
      </c>
      <c r="E497" s="38" t="b">
        <v>1</v>
      </c>
      <c r="F497" s="39" t="str">
        <f t="array" ref="F497">_xlfn.XLOOKUP($B497, DB[samplingPoint], DB[noLocation])</f>
        <v>WATER SYSTEM (B12)</v>
      </c>
      <c r="G497" s="33" t="s">
        <v>437</v>
      </c>
      <c r="H497" s="40" t="str">
        <f t="array" ref="H497">_xlfn.XLOOKUP($B497, DB[samplingPoint], DB[location])</f>
        <v>After Cartridge filter 5 µm (B12)</v>
      </c>
      <c r="I497" s="39" t="str">
        <f t="array" ref="I497">_xlfn.XLOOKUP($B497, DB[samplingPoint], DB[waterType])</f>
        <v>PRW</v>
      </c>
      <c r="J497" s="43">
        <f t="shared" si="1"/>
        <v>46120</v>
      </c>
      <c r="K497" s="26">
        <v>46123.0</v>
      </c>
      <c r="L497" s="32">
        <v>71.0</v>
      </c>
      <c r="M497" s="32">
        <v>59.0</v>
      </c>
      <c r="N497" s="32">
        <f t="shared" si="2"/>
        <v>65</v>
      </c>
      <c r="O497" s="49"/>
      <c r="P497" s="32">
        <f t="array" ref="P497">_xlfn.XLOOKUP($B497, DB[samplingPoint], DB[Criteria])</f>
        <v>500</v>
      </c>
      <c r="Q497" s="50" t="str">
        <f t="shared" si="3"/>
        <v>PASSED</v>
      </c>
      <c r="R497" s="38" t="b">
        <v>0</v>
      </c>
      <c r="S497" s="35" t="s">
        <v>1017</v>
      </c>
      <c r="T497" s="39" t="s">
        <v>386</v>
      </c>
      <c r="U497" s="32" t="s">
        <v>381</v>
      </c>
    </row>
    <row r="498" ht="22.5" customHeight="1">
      <c r="A498" s="26">
        <v>46119.0</v>
      </c>
      <c r="B498" s="27" t="s">
        <v>434</v>
      </c>
      <c r="C498" s="32" t="str">
        <f t="array" ref="C498">_xlfn.XLOOKUP(B498, DB[samplingPoint], DB[samplingTag])</f>
        <v>V50-11C (12)</v>
      </c>
      <c r="D498" s="33" t="s">
        <v>500</v>
      </c>
      <c r="E498" s="38" t="b">
        <v>1</v>
      </c>
      <c r="F498" s="39" t="str">
        <f t="array" ref="F498">_xlfn.XLOOKUP($B498, DB[samplingPoint], DB[noLocation])</f>
        <v>WATER SYSTEM (B12)</v>
      </c>
      <c r="G498" s="33" t="s">
        <v>437</v>
      </c>
      <c r="H498" s="40" t="str">
        <f t="array" ref="H498">_xlfn.XLOOKUP($B498, DB[samplingPoint], DB[location])</f>
        <v>After RO (Before EDI) (B12)</v>
      </c>
      <c r="I498" s="39" t="str">
        <f t="array" ref="I498">_xlfn.XLOOKUP($B498, DB[samplingPoint], DB[waterType])</f>
        <v>RO water</v>
      </c>
      <c r="J498" s="43">
        <f t="shared" si="1"/>
        <v>46120</v>
      </c>
      <c r="K498" s="26">
        <v>46123.0</v>
      </c>
      <c r="L498" s="32">
        <v>0.0</v>
      </c>
      <c r="M498" s="32">
        <v>0.0</v>
      </c>
      <c r="N498" s="32">
        <f t="shared" si="2"/>
        <v>0</v>
      </c>
      <c r="O498" s="49"/>
      <c r="P498" s="32">
        <f t="array" ref="P498">_xlfn.XLOOKUP($B498, DB[samplingPoint], DB[Criteria])</f>
        <v>500</v>
      </c>
      <c r="Q498" s="50" t="str">
        <f t="shared" si="3"/>
        <v>PASSED</v>
      </c>
      <c r="R498" s="38" t="b">
        <v>0</v>
      </c>
      <c r="S498" s="35" t="s">
        <v>1017</v>
      </c>
      <c r="T498" s="39" t="s">
        <v>386</v>
      </c>
      <c r="U498" s="32" t="s">
        <v>381</v>
      </c>
    </row>
    <row r="499" ht="22.5" customHeight="1">
      <c r="A499" s="26">
        <v>46119.0</v>
      </c>
      <c r="B499" s="58" t="s">
        <v>440</v>
      </c>
      <c r="C499" s="32" t="str">
        <f t="array" ref="C499">_xlfn.XLOOKUP(B499, DB[samplingPoint], DB[samplingTag])</f>
        <v>V50-39 (12)</v>
      </c>
      <c r="D499" s="33" t="s">
        <v>500</v>
      </c>
      <c r="E499" s="38" t="b">
        <v>1</v>
      </c>
      <c r="F499" s="39" t="str">
        <f t="array" ref="F499">_xlfn.XLOOKUP($B499, DB[samplingPoint], DB[noLocation])</f>
        <v>WATER SYSTEM (B12)</v>
      </c>
      <c r="G499" s="33" t="s">
        <v>437</v>
      </c>
      <c r="H499" s="40" t="str">
        <f t="array" ref="H499">_xlfn.XLOOKUP($B499, DB[samplingPoint], DB[location])</f>
        <v>After EDI (B12)</v>
      </c>
      <c r="I499" s="39" t="str">
        <f t="array" ref="I499">_xlfn.XLOOKUP($B499, DB[samplingPoint], DB[waterType])</f>
        <v>PW</v>
      </c>
      <c r="J499" s="43">
        <f t="shared" si="1"/>
        <v>46120</v>
      </c>
      <c r="K499" s="26">
        <v>46123.0</v>
      </c>
      <c r="L499" s="32">
        <v>0.0</v>
      </c>
      <c r="M499" s="32">
        <v>0.0</v>
      </c>
      <c r="N499" s="32">
        <f t="shared" si="2"/>
        <v>0</v>
      </c>
      <c r="O499" s="49"/>
      <c r="P499" s="32">
        <f t="array" ref="P499">_xlfn.XLOOKUP($B499, DB[samplingPoint], DB[Criteria])</f>
        <v>100</v>
      </c>
      <c r="Q499" s="50" t="str">
        <f t="shared" si="3"/>
        <v>PASSED</v>
      </c>
      <c r="R499" s="38" t="b">
        <v>0</v>
      </c>
      <c r="S499" s="35" t="s">
        <v>1017</v>
      </c>
      <c r="T499" s="39" t="s">
        <v>386</v>
      </c>
      <c r="U499" s="32" t="s">
        <v>381</v>
      </c>
    </row>
    <row r="500" ht="22.5" customHeight="1">
      <c r="A500" s="26">
        <v>46119.0</v>
      </c>
      <c r="B500" s="27" t="s">
        <v>435</v>
      </c>
      <c r="C500" s="32" t="str">
        <f t="array" ref="C500">_xlfn.XLOOKUP(B500, DB[samplingPoint], DB[samplingTag])</f>
        <v>SV133.01</v>
      </c>
      <c r="D500" s="33" t="s">
        <v>500</v>
      </c>
      <c r="E500" s="38" t="b">
        <v>1</v>
      </c>
      <c r="F500" s="39" t="str">
        <f t="array" ref="F500">_xlfn.XLOOKUP($B500, DB[samplingPoint], DB[noLocation])</f>
        <v>WATER SYSTEM (B12)</v>
      </c>
      <c r="G500" s="33" t="s">
        <v>437</v>
      </c>
      <c r="H500" s="40" t="str">
        <f t="array" ref="H500">_xlfn.XLOOKUP($B500, DB[samplingPoint], DB[location])</f>
        <v>After Storage tank (B12)</v>
      </c>
      <c r="I500" s="39" t="str">
        <f t="array" ref="I500">_xlfn.XLOOKUP($B500, DB[samplingPoint], DB[waterType])</f>
        <v>PW</v>
      </c>
      <c r="J500" s="43">
        <f t="shared" si="1"/>
        <v>46120</v>
      </c>
      <c r="K500" s="26">
        <v>46123.0</v>
      </c>
      <c r="L500" s="32">
        <v>0.0</v>
      </c>
      <c r="M500" s="32">
        <v>0.0</v>
      </c>
      <c r="N500" s="32">
        <f t="shared" si="2"/>
        <v>0</v>
      </c>
      <c r="O500" s="49"/>
      <c r="P500" s="32">
        <f t="array" ref="P500">_xlfn.XLOOKUP($B500, DB[samplingPoint], DB[Criteria])</f>
        <v>100</v>
      </c>
      <c r="Q500" s="50" t="str">
        <f t="shared" si="3"/>
        <v>PASSED</v>
      </c>
      <c r="R500" s="38" t="b">
        <v>0</v>
      </c>
      <c r="S500" s="35" t="s">
        <v>1017</v>
      </c>
      <c r="T500" s="39" t="s">
        <v>386</v>
      </c>
      <c r="U500" s="32" t="s">
        <v>381</v>
      </c>
    </row>
    <row r="501" ht="22.5" customHeight="1">
      <c r="A501" s="26">
        <v>46119.0</v>
      </c>
      <c r="B501" s="58" t="s">
        <v>438</v>
      </c>
      <c r="C501" s="32" t="str">
        <f t="array" ref="C501">_xlfn.XLOOKUP(B501, DB[samplingPoint], DB[samplingTag])</f>
        <v>SV135.02</v>
      </c>
      <c r="D501" s="33" t="s">
        <v>500</v>
      </c>
      <c r="E501" s="38" t="b">
        <v>1</v>
      </c>
      <c r="F501" s="39" t="str">
        <f t="array" ref="F501">_xlfn.XLOOKUP($B501, DB[samplingPoint], DB[noLocation])</f>
        <v>WATER SYSTEM (B12)</v>
      </c>
      <c r="G501" s="33" t="s">
        <v>437</v>
      </c>
      <c r="H501" s="40" t="str">
        <f t="array" ref="H501">_xlfn.XLOOKUP($B501, DB[samplingPoint], DB[location])</f>
        <v>After UV (B12)</v>
      </c>
      <c r="I501" s="39" t="str">
        <f t="array" ref="I501">_xlfn.XLOOKUP($B501, DB[samplingPoint], DB[waterType])</f>
        <v>PW</v>
      </c>
      <c r="J501" s="43">
        <f t="shared" si="1"/>
        <v>46120</v>
      </c>
      <c r="K501" s="26">
        <v>46123.0</v>
      </c>
      <c r="L501" s="32">
        <v>0.0</v>
      </c>
      <c r="M501" s="32">
        <v>0.0</v>
      </c>
      <c r="N501" s="32">
        <f t="shared" si="2"/>
        <v>0</v>
      </c>
      <c r="O501" s="49"/>
      <c r="P501" s="32">
        <f t="array" ref="P501">_xlfn.XLOOKUP($B501, DB[samplingPoint], DB[Criteria])</f>
        <v>100</v>
      </c>
      <c r="Q501" s="50" t="str">
        <f t="shared" si="3"/>
        <v>PASSED</v>
      </c>
      <c r="R501" s="38" t="b">
        <v>0</v>
      </c>
      <c r="S501" s="35" t="s">
        <v>1017</v>
      </c>
      <c r="T501" s="39" t="s">
        <v>386</v>
      </c>
      <c r="U501" s="32" t="s">
        <v>381</v>
      </c>
    </row>
    <row r="502" ht="22.5" customHeight="1">
      <c r="A502" s="26">
        <v>46119.0</v>
      </c>
      <c r="B502" s="27" t="s">
        <v>430</v>
      </c>
      <c r="C502" s="32" t="str">
        <f t="array" ref="C502">_xlfn.XLOOKUP(B502, DB[samplingPoint], DB[samplingTag])</f>
        <v>SV137.01</v>
      </c>
      <c r="D502" s="33" t="s">
        <v>500</v>
      </c>
      <c r="E502" s="38" t="b">
        <v>1</v>
      </c>
      <c r="F502" s="39" t="str">
        <f t="array" ref="F502">_xlfn.XLOOKUP($B502, DB[samplingPoint], DB[noLocation])</f>
        <v>WATER SYSTEM (B12)</v>
      </c>
      <c r="G502" s="33" t="s">
        <v>437</v>
      </c>
      <c r="H502" s="40" t="str">
        <f t="array" ref="H502">_xlfn.XLOOKUP($B502, DB[samplingPoint], DB[location])</f>
        <v>Return loop (B12)</v>
      </c>
      <c r="I502" s="39" t="str">
        <f t="array" ref="I502">_xlfn.XLOOKUP($B502, DB[samplingPoint], DB[waterType])</f>
        <v>PW</v>
      </c>
      <c r="J502" s="43">
        <f t="shared" si="1"/>
        <v>46120</v>
      </c>
      <c r="K502" s="26">
        <v>46123.0</v>
      </c>
      <c r="L502" s="32">
        <v>0.0</v>
      </c>
      <c r="M502" s="32">
        <v>0.0</v>
      </c>
      <c r="N502" s="32">
        <f t="shared" si="2"/>
        <v>0</v>
      </c>
      <c r="O502" s="49"/>
      <c r="P502" s="32">
        <f t="array" ref="P502">_xlfn.XLOOKUP($B502, DB[samplingPoint], DB[Criteria])</f>
        <v>100</v>
      </c>
      <c r="Q502" s="50" t="str">
        <f t="shared" si="3"/>
        <v>PASSED</v>
      </c>
      <c r="R502" s="38" t="b">
        <v>0</v>
      </c>
      <c r="S502" s="35" t="s">
        <v>1017</v>
      </c>
      <c r="T502" s="39" t="s">
        <v>386</v>
      </c>
      <c r="U502" s="32" t="s">
        <v>381</v>
      </c>
    </row>
    <row r="503" ht="22.5" customHeight="1">
      <c r="A503" s="26">
        <v>46119.0</v>
      </c>
      <c r="B503" s="58" t="s">
        <v>419</v>
      </c>
      <c r="C503" s="32" t="str">
        <f t="array" ref="C503">_xlfn.XLOOKUP(B503, DB[samplingPoint], DB[samplingTag])</f>
        <v>DV136.15</v>
      </c>
      <c r="D503" s="33" t="s">
        <v>500</v>
      </c>
      <c r="E503" s="38" t="b">
        <v>1</v>
      </c>
      <c r="F503" s="39" t="str">
        <f t="array" ref="F503">_xlfn.XLOOKUP($B503, DB[samplingPoint], DB[noLocation])</f>
        <v>12-3-078</v>
      </c>
      <c r="G503" s="33" t="s">
        <v>437</v>
      </c>
      <c r="H503" s="40" t="str">
        <f t="array" ref="H503">_xlfn.XLOOKUP($B503, DB[samplingPoint], DB[location])</f>
        <v>GLASSWARE WASHING 2</v>
      </c>
      <c r="I503" s="39" t="str">
        <f t="array" ref="I503">_xlfn.XLOOKUP($B503, DB[samplingPoint], DB[waterType])</f>
        <v>PW</v>
      </c>
      <c r="J503" s="43">
        <f t="shared" si="1"/>
        <v>46120</v>
      </c>
      <c r="K503" s="26">
        <v>46123.0</v>
      </c>
      <c r="L503" s="32">
        <v>0.0</v>
      </c>
      <c r="M503" s="32">
        <v>0.0</v>
      </c>
      <c r="N503" s="32">
        <f t="shared" si="2"/>
        <v>0</v>
      </c>
      <c r="O503" s="49"/>
      <c r="P503" s="32">
        <f t="array" ref="P503">_xlfn.XLOOKUP($B503, DB[samplingPoint], DB[Criteria])</f>
        <v>100</v>
      </c>
      <c r="Q503" s="50" t="str">
        <f t="shared" si="3"/>
        <v>PASSED</v>
      </c>
      <c r="R503" s="38" t="b">
        <v>0</v>
      </c>
      <c r="S503" s="35" t="s">
        <v>1017</v>
      </c>
      <c r="T503" s="39" t="s">
        <v>386</v>
      </c>
      <c r="U503" s="32" t="s">
        <v>381</v>
      </c>
    </row>
    <row r="504" ht="22.5" customHeight="1">
      <c r="A504" s="26">
        <v>46119.0</v>
      </c>
      <c r="B504" s="27" t="s">
        <v>409</v>
      </c>
      <c r="C504" s="32" t="str">
        <f t="array" ref="C504">_xlfn.XLOOKUP(B504, DB[samplingPoint], DB[samplingTag])</f>
        <v>DV136.13</v>
      </c>
      <c r="D504" s="33" t="s">
        <v>500</v>
      </c>
      <c r="E504" s="38" t="b">
        <v>1</v>
      </c>
      <c r="F504" s="39" t="str">
        <f t="array" ref="F504">_xlfn.XLOOKUP($B504, DB[samplingPoint], DB[noLocation])</f>
        <v>12-3-057</v>
      </c>
      <c r="G504" s="33" t="s">
        <v>437</v>
      </c>
      <c r="H504" s="40" t="str">
        <f t="array" ref="H504">_xlfn.XLOOKUP($B504, DB[samplingPoint], DB[location])</f>
        <v>STERILIZATION</v>
      </c>
      <c r="I504" s="39" t="str">
        <f t="array" ref="I504">_xlfn.XLOOKUP($B504, DB[samplingPoint], DB[waterType])</f>
        <v>PW</v>
      </c>
      <c r="J504" s="43">
        <f t="shared" si="1"/>
        <v>46120</v>
      </c>
      <c r="K504" s="26">
        <v>46123.0</v>
      </c>
      <c r="L504" s="32">
        <v>0.0</v>
      </c>
      <c r="M504" s="32">
        <v>0.0</v>
      </c>
      <c r="N504" s="32">
        <f t="shared" si="2"/>
        <v>0</v>
      </c>
      <c r="O504" s="49"/>
      <c r="P504" s="32">
        <f t="array" ref="P504">_xlfn.XLOOKUP($B504, DB[samplingPoint], DB[Criteria])</f>
        <v>100</v>
      </c>
      <c r="Q504" s="50" t="str">
        <f t="shared" si="3"/>
        <v>PASSED</v>
      </c>
      <c r="R504" s="38" t="b">
        <v>0</v>
      </c>
      <c r="S504" s="35" t="s">
        <v>1017</v>
      </c>
      <c r="T504" s="39" t="s">
        <v>386</v>
      </c>
      <c r="U504" s="32" t="s">
        <v>381</v>
      </c>
    </row>
    <row r="505" ht="22.5" customHeight="1">
      <c r="A505" s="26">
        <v>46119.0</v>
      </c>
      <c r="B505" s="58" t="s">
        <v>427</v>
      </c>
      <c r="C505" s="32" t="str">
        <f t="array" ref="C505">_xlfn.XLOOKUP(B505, DB[samplingPoint], DB[samplingTag])</f>
        <v>SV136.18</v>
      </c>
      <c r="D505" s="33" t="s">
        <v>500</v>
      </c>
      <c r="E505" s="38" t="b">
        <v>1</v>
      </c>
      <c r="F505" s="39" t="str">
        <f t="array" ref="F505">_xlfn.XLOOKUP($B505, DB[samplingPoint], DB[noLocation])</f>
        <v>12-3-059</v>
      </c>
      <c r="G505" s="33" t="s">
        <v>437</v>
      </c>
      <c r="H505" s="40" t="str">
        <f t="array" ref="H505">_xlfn.XLOOKUP($B505, DB[samplingPoint], DB[location])</f>
        <v>AUTOCLAVE</v>
      </c>
      <c r="I505" s="39" t="str">
        <f t="array" ref="I505">_xlfn.XLOOKUP($B505, DB[samplingPoint], DB[waterType])</f>
        <v>PW</v>
      </c>
      <c r="J505" s="43">
        <f t="shared" si="1"/>
        <v>46120</v>
      </c>
      <c r="K505" s="26">
        <v>46123.0</v>
      </c>
      <c r="L505" s="32">
        <v>0.0</v>
      </c>
      <c r="M505" s="32">
        <v>0.0</v>
      </c>
      <c r="N505" s="32">
        <f t="shared" si="2"/>
        <v>0</v>
      </c>
      <c r="O505" s="49"/>
      <c r="P505" s="32">
        <f t="array" ref="P505">_xlfn.XLOOKUP($B505, DB[samplingPoint], DB[Criteria])</f>
        <v>100</v>
      </c>
      <c r="Q505" s="50" t="str">
        <f t="shared" si="3"/>
        <v>PASSED</v>
      </c>
      <c r="R505" s="38" t="b">
        <v>0</v>
      </c>
      <c r="S505" s="35" t="s">
        <v>1017</v>
      </c>
      <c r="T505" s="39" t="s">
        <v>386</v>
      </c>
      <c r="U505" s="32" t="s">
        <v>381</v>
      </c>
    </row>
    <row r="506" ht="22.5" customHeight="1">
      <c r="A506" s="26">
        <v>46119.0</v>
      </c>
      <c r="B506" s="27" t="s">
        <v>399</v>
      </c>
      <c r="C506" s="32" t="str">
        <f t="array" ref="C506">_xlfn.XLOOKUP(B506, DB[samplingPoint], DB[samplingTag])</f>
        <v>DV136.11</v>
      </c>
      <c r="D506" s="33" t="s">
        <v>500</v>
      </c>
      <c r="E506" s="38" t="b">
        <v>1</v>
      </c>
      <c r="F506" s="39" t="str">
        <f t="array" ref="F506">_xlfn.XLOOKUP($B506, DB[samplingPoint], DB[noLocation])</f>
        <v>12-3-059</v>
      </c>
      <c r="G506" s="33" t="s">
        <v>437</v>
      </c>
      <c r="H506" s="40" t="str">
        <f t="array" ref="H506">_xlfn.XLOOKUP($B506, DB[samplingPoint], DB[location])</f>
        <v>AUTOCLAVE</v>
      </c>
      <c r="I506" s="39" t="str">
        <f t="array" ref="I506">_xlfn.XLOOKUP($B506, DB[samplingPoint], DB[waterType])</f>
        <v>PW</v>
      </c>
      <c r="J506" s="43">
        <f t="shared" si="1"/>
        <v>46120</v>
      </c>
      <c r="K506" s="26">
        <v>46123.0</v>
      </c>
      <c r="L506" s="32">
        <v>0.0</v>
      </c>
      <c r="M506" s="32">
        <v>0.0</v>
      </c>
      <c r="N506" s="32">
        <f t="shared" si="2"/>
        <v>0</v>
      </c>
      <c r="O506" s="49"/>
      <c r="P506" s="32">
        <f t="array" ref="P506">_xlfn.XLOOKUP($B506, DB[samplingPoint], DB[Criteria])</f>
        <v>100</v>
      </c>
      <c r="Q506" s="50" t="str">
        <f t="shared" si="3"/>
        <v>PASSED</v>
      </c>
      <c r="R506" s="38" t="b">
        <v>0</v>
      </c>
      <c r="S506" s="35" t="s">
        <v>1017</v>
      </c>
      <c r="T506" s="39" t="s">
        <v>386</v>
      </c>
      <c r="U506" s="32" t="s">
        <v>381</v>
      </c>
    </row>
    <row r="507" ht="22.5" customHeight="1">
      <c r="A507" s="26">
        <v>46119.0</v>
      </c>
      <c r="B507" s="58" t="s">
        <v>405</v>
      </c>
      <c r="C507" s="32" t="str">
        <f t="array" ref="C507">_xlfn.XLOOKUP(B507, DB[samplingPoint], DB[samplingTag])</f>
        <v>DV136.12</v>
      </c>
      <c r="D507" s="33" t="s">
        <v>500</v>
      </c>
      <c r="E507" s="38" t="b">
        <v>1</v>
      </c>
      <c r="F507" s="39" t="str">
        <f t="array" ref="F507">_xlfn.XLOOKUP($B507, DB[samplingPoint], DB[noLocation])</f>
        <v>12-3-056</v>
      </c>
      <c r="G507" s="33" t="s">
        <v>437</v>
      </c>
      <c r="H507" s="40" t="str">
        <f t="array" ref="H507">_xlfn.XLOOKUP($B507, DB[samplingPoint], DB[location])</f>
        <v>MEDIA PREPARATION</v>
      </c>
      <c r="I507" s="39" t="str">
        <f t="array" ref="I507">_xlfn.XLOOKUP($B507, DB[samplingPoint], DB[waterType])</f>
        <v>PW</v>
      </c>
      <c r="J507" s="43">
        <f t="shared" si="1"/>
        <v>46120</v>
      </c>
      <c r="K507" s="26">
        <v>46123.0</v>
      </c>
      <c r="L507" s="32">
        <v>0.0</v>
      </c>
      <c r="M507" s="32">
        <v>0.0</v>
      </c>
      <c r="N507" s="32">
        <f t="shared" si="2"/>
        <v>0</v>
      </c>
      <c r="O507" s="49"/>
      <c r="P507" s="32">
        <f t="array" ref="P507">_xlfn.XLOOKUP($B507, DB[samplingPoint], DB[Criteria])</f>
        <v>100</v>
      </c>
      <c r="Q507" s="50" t="str">
        <f t="shared" si="3"/>
        <v>PASSED</v>
      </c>
      <c r="R507" s="38" t="b">
        <v>0</v>
      </c>
      <c r="S507" s="35" t="s">
        <v>1017</v>
      </c>
      <c r="T507" s="39" t="s">
        <v>386</v>
      </c>
      <c r="U507" s="32" t="s">
        <v>381</v>
      </c>
    </row>
    <row r="508" ht="22.5" customHeight="1">
      <c r="A508" s="26">
        <v>46119.0</v>
      </c>
      <c r="B508" s="27" t="s">
        <v>393</v>
      </c>
      <c r="C508" s="32" t="str">
        <f t="array" ref="C508">_xlfn.XLOOKUP(B508, DB[samplingPoint], DB[samplingTag])</f>
        <v>DV136.10</v>
      </c>
      <c r="D508" s="33" t="s">
        <v>500</v>
      </c>
      <c r="E508" s="38" t="b">
        <v>1</v>
      </c>
      <c r="F508" s="39" t="str">
        <f t="array" ref="F508">_xlfn.XLOOKUP($B508, DB[samplingPoint], DB[noLocation])</f>
        <v>12-3-056</v>
      </c>
      <c r="G508" s="33" t="s">
        <v>437</v>
      </c>
      <c r="H508" s="40" t="str">
        <f t="array" ref="H508">_xlfn.XLOOKUP($B508, DB[samplingPoint], DB[location])</f>
        <v>MEDIA PREPARATION</v>
      </c>
      <c r="I508" s="39" t="str">
        <f t="array" ref="I508">_xlfn.XLOOKUP($B508, DB[samplingPoint], DB[waterType])</f>
        <v>PW</v>
      </c>
      <c r="J508" s="43">
        <f t="shared" si="1"/>
        <v>46120</v>
      </c>
      <c r="K508" s="26">
        <v>46123.0</v>
      </c>
      <c r="L508" s="32">
        <v>0.0</v>
      </c>
      <c r="M508" s="32">
        <v>0.0</v>
      </c>
      <c r="N508" s="32">
        <f t="shared" si="2"/>
        <v>0</v>
      </c>
      <c r="O508" s="49"/>
      <c r="P508" s="32">
        <f t="array" ref="P508">_xlfn.XLOOKUP($B508, DB[samplingPoint], DB[Criteria])</f>
        <v>100</v>
      </c>
      <c r="Q508" s="50" t="str">
        <f t="shared" si="3"/>
        <v>PASSED</v>
      </c>
      <c r="R508" s="38" t="b">
        <v>0</v>
      </c>
      <c r="S508" s="35" t="s">
        <v>1017</v>
      </c>
      <c r="T508" s="39" t="s">
        <v>386</v>
      </c>
      <c r="U508" s="32" t="s">
        <v>381</v>
      </c>
    </row>
    <row r="509" ht="22.5" customHeight="1">
      <c r="A509" s="26">
        <v>46119.0</v>
      </c>
      <c r="B509" s="58" t="s">
        <v>413</v>
      </c>
      <c r="C509" s="32" t="str">
        <f t="array" ref="C509">_xlfn.XLOOKUP(B509, DB[samplingPoint], DB[samplingTag])</f>
        <v>DV136.14</v>
      </c>
      <c r="D509" s="33" t="s">
        <v>500</v>
      </c>
      <c r="E509" s="38" t="b">
        <v>1</v>
      </c>
      <c r="F509" s="39" t="str">
        <f t="array" ref="F509">_xlfn.XLOOKUP($B509, DB[samplingPoint], DB[noLocation])</f>
        <v>12-3-074</v>
      </c>
      <c r="G509" s="33" t="s">
        <v>437</v>
      </c>
      <c r="H509" s="40" t="str">
        <f t="array" ref="H509">_xlfn.XLOOKUP($B509, DB[samplingPoint], DB[location])</f>
        <v>DECONTAMINATION</v>
      </c>
      <c r="I509" s="39" t="str">
        <f t="array" ref="I509">_xlfn.XLOOKUP($B509, DB[samplingPoint], DB[waterType])</f>
        <v>PW</v>
      </c>
      <c r="J509" s="43">
        <f t="shared" si="1"/>
        <v>46120</v>
      </c>
      <c r="K509" s="26">
        <v>46123.0</v>
      </c>
      <c r="L509" s="32">
        <v>0.0</v>
      </c>
      <c r="M509" s="32">
        <v>0.0</v>
      </c>
      <c r="N509" s="32">
        <f t="shared" si="2"/>
        <v>0</v>
      </c>
      <c r="O509" s="49"/>
      <c r="P509" s="32">
        <f t="array" ref="P509">_xlfn.XLOOKUP($B509, DB[samplingPoint], DB[Criteria])</f>
        <v>100</v>
      </c>
      <c r="Q509" s="50" t="str">
        <f t="shared" si="3"/>
        <v>PASSED</v>
      </c>
      <c r="R509" s="38" t="b">
        <v>0</v>
      </c>
      <c r="S509" s="35" t="s">
        <v>1017</v>
      </c>
      <c r="T509" s="39" t="s">
        <v>386</v>
      </c>
      <c r="U509" s="32" t="s">
        <v>381</v>
      </c>
    </row>
    <row r="510" ht="22.5" customHeight="1">
      <c r="A510" s="26">
        <v>46119.0</v>
      </c>
      <c r="B510" s="27" t="s">
        <v>422</v>
      </c>
      <c r="C510" s="32" t="str">
        <f t="array" ref="C510">_xlfn.XLOOKUP(B510, DB[samplingPoint], DB[samplingTag])</f>
        <v>DV136.18</v>
      </c>
      <c r="D510" s="33" t="s">
        <v>500</v>
      </c>
      <c r="E510" s="38" t="b">
        <v>1</v>
      </c>
      <c r="F510" s="39" t="str">
        <f t="array" ref="F510">_xlfn.XLOOKUP($B510, DB[samplingPoint], DB[noLocation])</f>
        <v>12-3-037</v>
      </c>
      <c r="G510" s="33" t="s">
        <v>437</v>
      </c>
      <c r="H510" s="40" t="str">
        <f t="array" ref="H510">_xlfn.XLOOKUP($B510, DB[samplingPoint], DB[location])</f>
        <v>GLASSWARE WASHING 1</v>
      </c>
      <c r="I510" s="39" t="str">
        <f t="array" ref="I510">_xlfn.XLOOKUP($B510, DB[samplingPoint], DB[waterType])</f>
        <v>PW</v>
      </c>
      <c r="J510" s="43">
        <f t="shared" si="1"/>
        <v>46120</v>
      </c>
      <c r="K510" s="26">
        <v>46123.0</v>
      </c>
      <c r="L510" s="32">
        <v>0.0</v>
      </c>
      <c r="M510" s="32">
        <v>0.0</v>
      </c>
      <c r="N510" s="32">
        <f t="shared" si="2"/>
        <v>0</v>
      </c>
      <c r="O510" s="49"/>
      <c r="P510" s="32">
        <f t="array" ref="P510">_xlfn.XLOOKUP($B510, DB[samplingPoint], DB[Criteria])</f>
        <v>100</v>
      </c>
      <c r="Q510" s="50" t="str">
        <f t="shared" si="3"/>
        <v>PASSED</v>
      </c>
      <c r="R510" s="38" t="b">
        <v>0</v>
      </c>
      <c r="S510" s="35" t="s">
        <v>1017</v>
      </c>
      <c r="T510" s="39" t="s">
        <v>386</v>
      </c>
      <c r="U510" s="32" t="s">
        <v>381</v>
      </c>
    </row>
    <row r="511" ht="22.5" customHeight="1">
      <c r="A511" s="26">
        <v>46119.0</v>
      </c>
      <c r="B511" s="58" t="s">
        <v>373</v>
      </c>
      <c r="C511" s="32" t="str">
        <f t="array" ref="C511">_xlfn.XLOOKUP(B511, DB[samplingPoint], DB[samplingTag])</f>
        <v>DV136.05</v>
      </c>
      <c r="D511" s="33" t="s">
        <v>500</v>
      </c>
      <c r="E511" s="38" t="b">
        <v>1</v>
      </c>
      <c r="F511" s="39" t="str">
        <f t="array" ref="F511">_xlfn.XLOOKUP($B511, DB[samplingPoint], DB[noLocation])</f>
        <v>12-3-037</v>
      </c>
      <c r="G511" s="33" t="s">
        <v>437</v>
      </c>
      <c r="H511" s="40" t="str">
        <f t="array" ref="H511">_xlfn.XLOOKUP($B511, DB[samplingPoint], DB[location])</f>
        <v>GLASSWARE WASHING 1</v>
      </c>
      <c r="I511" s="39" t="str">
        <f t="array" ref="I511">_xlfn.XLOOKUP($B511, DB[samplingPoint], DB[waterType])</f>
        <v>PW</v>
      </c>
      <c r="J511" s="43">
        <f t="shared" si="1"/>
        <v>46120</v>
      </c>
      <c r="K511" s="26">
        <v>46123.0</v>
      </c>
      <c r="L511" s="32">
        <v>0.0</v>
      </c>
      <c r="M511" s="32">
        <v>0.0</v>
      </c>
      <c r="N511" s="32">
        <f t="shared" si="2"/>
        <v>0</v>
      </c>
      <c r="O511" s="49"/>
      <c r="P511" s="32">
        <f t="array" ref="P511">_xlfn.XLOOKUP($B511, DB[samplingPoint], DB[Criteria])</f>
        <v>100</v>
      </c>
      <c r="Q511" s="50" t="str">
        <f t="shared" si="3"/>
        <v>PASSED</v>
      </c>
      <c r="R511" s="38" t="b">
        <v>0</v>
      </c>
      <c r="S511" s="35" t="s">
        <v>1017</v>
      </c>
      <c r="T511" s="39" t="s">
        <v>386</v>
      </c>
      <c r="U511" s="32" t="s">
        <v>381</v>
      </c>
    </row>
    <row r="512" ht="22.5" customHeight="1">
      <c r="A512" s="26">
        <v>46119.0</v>
      </c>
      <c r="B512" s="27" t="s">
        <v>389</v>
      </c>
      <c r="C512" s="32" t="str">
        <f t="array" ref="C512">_xlfn.XLOOKUP(B512, DB[samplingPoint], DB[samplingTag])</f>
        <v>DV136.06</v>
      </c>
      <c r="D512" s="33" t="s">
        <v>500</v>
      </c>
      <c r="E512" s="38" t="b">
        <v>1</v>
      </c>
      <c r="F512" s="39" t="str">
        <f t="array" ref="F512">_xlfn.XLOOKUP($B512, DB[samplingPoint], DB[noLocation])</f>
        <v>12-3-037</v>
      </c>
      <c r="G512" s="33" t="s">
        <v>437</v>
      </c>
      <c r="H512" s="40" t="str">
        <f t="array" ref="H512">_xlfn.XLOOKUP($B512, DB[samplingPoint], DB[location])</f>
        <v>GLASSWARE WASHING 1</v>
      </c>
      <c r="I512" s="39" t="str">
        <f t="array" ref="I512">_xlfn.XLOOKUP($B512, DB[samplingPoint], DB[waterType])</f>
        <v>PW</v>
      </c>
      <c r="J512" s="43">
        <f t="shared" si="1"/>
        <v>46120</v>
      </c>
      <c r="K512" s="26">
        <v>46123.0</v>
      </c>
      <c r="L512" s="32">
        <v>0.0</v>
      </c>
      <c r="M512" s="32">
        <v>0.0</v>
      </c>
      <c r="N512" s="32">
        <f t="shared" si="2"/>
        <v>0</v>
      </c>
      <c r="O512" s="49"/>
      <c r="P512" s="32">
        <f t="array" ref="P512">_xlfn.XLOOKUP($B512, DB[samplingPoint], DB[Criteria])</f>
        <v>100</v>
      </c>
      <c r="Q512" s="50" t="str">
        <f t="shared" si="3"/>
        <v>PASSED</v>
      </c>
      <c r="R512" s="38" t="b">
        <v>0</v>
      </c>
      <c r="S512" s="35" t="s">
        <v>1017</v>
      </c>
      <c r="T512" s="39" t="s">
        <v>386</v>
      </c>
      <c r="U512" s="32" t="s">
        <v>381</v>
      </c>
    </row>
    <row r="513" ht="22.5" customHeight="1">
      <c r="A513" s="26">
        <v>46119.0</v>
      </c>
      <c r="B513" s="58" t="s">
        <v>508</v>
      </c>
      <c r="C513" s="32" t="str">
        <f t="array" ref="C513">_xlfn.XLOOKUP(B513, DB[samplingPoint], DB[samplingTag])</f>
        <v>DV136.07</v>
      </c>
      <c r="D513" s="33" t="s">
        <v>500</v>
      </c>
      <c r="E513" s="38" t="b">
        <v>1</v>
      </c>
      <c r="F513" s="39" t="str">
        <f t="array" ref="F513">_xlfn.XLOOKUP($B513, DB[samplingPoint], DB[noLocation])</f>
        <v>12-3-039</v>
      </c>
      <c r="G513" s="33" t="s">
        <v>437</v>
      </c>
      <c r="H513" s="40" t="str">
        <f t="array" ref="H513">_xlfn.XLOOKUP($B513, DB[samplingPoint], DB[location])</f>
        <v>INSTRUMENT 7</v>
      </c>
      <c r="I513" s="39" t="str">
        <f t="array" ref="I513">_xlfn.XLOOKUP($B513, DB[samplingPoint], DB[waterType])</f>
        <v>PW</v>
      </c>
      <c r="J513" s="43">
        <f t="shared" si="1"/>
        <v>46120</v>
      </c>
      <c r="K513" s="26">
        <v>46123.0</v>
      </c>
      <c r="L513" s="32">
        <v>0.0</v>
      </c>
      <c r="M513" s="32">
        <v>0.0</v>
      </c>
      <c r="N513" s="32">
        <f t="shared" si="2"/>
        <v>0</v>
      </c>
      <c r="O513" s="49"/>
      <c r="P513" s="32">
        <f t="array" ref="P513">_xlfn.XLOOKUP($B513, DB[samplingPoint], DB[Criteria])</f>
        <v>100</v>
      </c>
      <c r="Q513" s="50" t="str">
        <f t="shared" si="3"/>
        <v>PASSED</v>
      </c>
      <c r="R513" s="38" t="b">
        <v>0</v>
      </c>
      <c r="S513" s="35" t="s">
        <v>1017</v>
      </c>
      <c r="T513" s="39" t="s">
        <v>386</v>
      </c>
      <c r="U513" s="32" t="s">
        <v>381</v>
      </c>
    </row>
    <row r="514" ht="22.5" customHeight="1">
      <c r="A514" s="26">
        <v>46119.0</v>
      </c>
      <c r="B514" s="27" t="s">
        <v>463</v>
      </c>
      <c r="C514" s="32" t="str">
        <f t="array" ref="C514">_xlfn.XLOOKUP(B514, DB[samplingPoint], DB[samplingTag])</f>
        <v>DV136.08</v>
      </c>
      <c r="D514" s="33" t="s">
        <v>500</v>
      </c>
      <c r="E514" s="38" t="b">
        <v>1</v>
      </c>
      <c r="F514" s="39" t="str">
        <f t="array" ref="F514">_xlfn.XLOOKUP($B514, DB[samplingPoint], DB[noLocation])</f>
        <v>12-3-042</v>
      </c>
      <c r="G514" s="33" t="s">
        <v>437</v>
      </c>
      <c r="H514" s="40" t="str">
        <f t="array" ref="H514">_xlfn.XLOOKUP($B514, DB[samplingPoint], DB[location])</f>
        <v>SAMPLE PREPARATION</v>
      </c>
      <c r="I514" s="39" t="str">
        <f t="array" ref="I514">_xlfn.XLOOKUP($B514, DB[samplingPoint], DB[waterType])</f>
        <v>PW</v>
      </c>
      <c r="J514" s="43">
        <f t="shared" si="1"/>
        <v>46120</v>
      </c>
      <c r="K514" s="26">
        <v>46123.0</v>
      </c>
      <c r="L514" s="32">
        <v>0.0</v>
      </c>
      <c r="M514" s="32">
        <v>0.0</v>
      </c>
      <c r="N514" s="32">
        <f t="shared" si="2"/>
        <v>0</v>
      </c>
      <c r="O514" s="49"/>
      <c r="P514" s="32">
        <f t="array" ref="P514">_xlfn.XLOOKUP($B514, DB[samplingPoint], DB[Criteria])</f>
        <v>100</v>
      </c>
      <c r="Q514" s="50" t="str">
        <f t="shared" si="3"/>
        <v>PASSED</v>
      </c>
      <c r="R514" s="38" t="b">
        <v>0</v>
      </c>
      <c r="S514" s="35" t="s">
        <v>1017</v>
      </c>
      <c r="T514" s="39" t="s">
        <v>386</v>
      </c>
      <c r="U514" s="32" t="s">
        <v>381</v>
      </c>
    </row>
    <row r="515" ht="22.5" customHeight="1">
      <c r="A515" s="26">
        <v>46119.0</v>
      </c>
      <c r="B515" s="58" t="s">
        <v>465</v>
      </c>
      <c r="C515" s="32" t="str">
        <f t="array" ref="C515">_xlfn.XLOOKUP(B515, DB[samplingPoint], DB[samplingTag])</f>
        <v>DV136.09</v>
      </c>
      <c r="D515" s="33" t="s">
        <v>500</v>
      </c>
      <c r="E515" s="38" t="b">
        <v>1</v>
      </c>
      <c r="F515" s="39" t="str">
        <f t="array" ref="F515">_xlfn.XLOOKUP($B515, DB[samplingPoint], DB[noLocation])</f>
        <v>12-3-042</v>
      </c>
      <c r="G515" s="33" t="s">
        <v>437</v>
      </c>
      <c r="H515" s="40" t="str">
        <f t="array" ref="H515">_xlfn.XLOOKUP($B515, DB[samplingPoint], DB[location])</f>
        <v>SAMPLE PREPARATION</v>
      </c>
      <c r="I515" s="39" t="str">
        <f t="array" ref="I515">_xlfn.XLOOKUP($B515, DB[samplingPoint], DB[waterType])</f>
        <v>PW</v>
      </c>
      <c r="J515" s="43">
        <f t="shared" si="1"/>
        <v>46120</v>
      </c>
      <c r="K515" s="26">
        <v>46123.0</v>
      </c>
      <c r="L515" s="32">
        <v>15.0</v>
      </c>
      <c r="M515" s="32">
        <v>18.0</v>
      </c>
      <c r="N515" s="32">
        <f t="shared" si="2"/>
        <v>17</v>
      </c>
      <c r="O515" s="49"/>
      <c r="P515" s="32">
        <f t="array" ref="P515">_xlfn.XLOOKUP($B515, DB[samplingPoint], DB[Criteria])</f>
        <v>100</v>
      </c>
      <c r="Q515" s="50" t="str">
        <f t="shared" si="3"/>
        <v>PASSED</v>
      </c>
      <c r="R515" s="38" t="b">
        <v>0</v>
      </c>
      <c r="S515" s="35" t="s">
        <v>1017</v>
      </c>
      <c r="T515" s="39" t="s">
        <v>386</v>
      </c>
      <c r="U515" s="32" t="s">
        <v>381</v>
      </c>
    </row>
    <row r="516" ht="22.5" customHeight="1">
      <c r="A516" s="112">
        <v>46119.0</v>
      </c>
      <c r="B516" s="203" t="s">
        <v>471</v>
      </c>
      <c r="C516" s="32" t="str">
        <f t="array" ref="C516">_xlfn.XLOOKUP(B516, DB[samplingPoint], DB[samplingTag])</f>
        <v>VB-05 (16)</v>
      </c>
      <c r="D516" s="33" t="s">
        <v>500</v>
      </c>
      <c r="E516" s="38" t="b">
        <v>1</v>
      </c>
      <c r="F516" s="39" t="str">
        <f t="array" ref="F516">_xlfn.XLOOKUP($B516, DB[samplingPoint], DB[noLocation])</f>
        <v>WATER SYSTEM (B16)</v>
      </c>
      <c r="G516" s="33" t="s">
        <v>327</v>
      </c>
      <c r="H516" s="40" t="str">
        <f t="array" ref="H516">_xlfn.XLOOKUP($B516, DB[samplingPoint], DB[location])</f>
        <v>After Chlorine circulation tank (B16)</v>
      </c>
      <c r="I516" s="39" t="str">
        <f t="array" ref="I516">_xlfn.XLOOKUP($B516, DB[samplingPoint], DB[waterType])</f>
        <v>PRW</v>
      </c>
      <c r="J516" s="43">
        <f t="shared" si="1"/>
        <v>46120</v>
      </c>
      <c r="K516" s="26">
        <v>46123.0</v>
      </c>
      <c r="L516" s="32">
        <v>0.0</v>
      </c>
      <c r="M516" s="32">
        <v>0.0</v>
      </c>
      <c r="N516" s="32">
        <f t="shared" si="2"/>
        <v>0</v>
      </c>
      <c r="O516" s="49"/>
      <c r="P516" s="32">
        <f t="array" ref="P516">_xlfn.XLOOKUP($B516, DB[samplingPoint], DB[Criteria])</f>
        <v>500</v>
      </c>
      <c r="Q516" s="50" t="str">
        <f t="shared" si="3"/>
        <v>PASSED</v>
      </c>
      <c r="R516" s="38" t="b">
        <v>0</v>
      </c>
      <c r="S516" s="35" t="s">
        <v>1019</v>
      </c>
      <c r="T516" s="39" t="s">
        <v>386</v>
      </c>
      <c r="U516" s="32" t="s">
        <v>381</v>
      </c>
    </row>
    <row r="517" ht="22.5" customHeight="1">
      <c r="A517" s="26">
        <v>46119.0</v>
      </c>
      <c r="B517" s="27" t="s">
        <v>470</v>
      </c>
      <c r="C517" s="32" t="str">
        <f t="array" ref="C517">_xlfn.XLOOKUP(B517, DB[samplingPoint], DB[samplingTag])</f>
        <v>V50-61 (16)</v>
      </c>
      <c r="D517" s="33" t="s">
        <v>500</v>
      </c>
      <c r="E517" s="38" t="b">
        <v>1</v>
      </c>
      <c r="F517" s="39" t="str">
        <f t="array" ref="F517">_xlfn.XLOOKUP($B517, DB[samplingPoint], DB[noLocation])</f>
        <v>WATER SYSTEM (B16)</v>
      </c>
      <c r="G517" s="33" t="s">
        <v>327</v>
      </c>
      <c r="H517" s="40" t="str">
        <f t="array" ref="H517">_xlfn.XLOOKUP($B517, DB[samplingPoint], DB[location])</f>
        <v>After Cartridge filter 5 µm (B16)</v>
      </c>
      <c r="I517" s="39" t="str">
        <f t="array" ref="I517">_xlfn.XLOOKUP($B517, DB[samplingPoint], DB[waterType])</f>
        <v>PRW</v>
      </c>
      <c r="J517" s="43">
        <f t="shared" si="1"/>
        <v>46120</v>
      </c>
      <c r="K517" s="26">
        <v>46123.0</v>
      </c>
      <c r="L517" s="32">
        <v>60.0</v>
      </c>
      <c r="M517" s="32">
        <v>69.0</v>
      </c>
      <c r="N517" s="32">
        <f t="shared" si="2"/>
        <v>65</v>
      </c>
      <c r="O517" s="49"/>
      <c r="P517" s="32">
        <f t="array" ref="P517">_xlfn.XLOOKUP($B517, DB[samplingPoint], DB[Criteria])</f>
        <v>500</v>
      </c>
      <c r="Q517" s="50" t="str">
        <f t="shared" si="3"/>
        <v>PASSED</v>
      </c>
      <c r="R517" s="38" t="b">
        <v>0</v>
      </c>
      <c r="S517" s="35" t="s">
        <v>1019</v>
      </c>
      <c r="T517" s="39" t="s">
        <v>386</v>
      </c>
      <c r="U517" s="32" t="s">
        <v>381</v>
      </c>
    </row>
    <row r="518" ht="22.5" customHeight="1">
      <c r="A518" s="26">
        <v>46119.0</v>
      </c>
      <c r="B518" s="58" t="s">
        <v>466</v>
      </c>
      <c r="C518" s="32" t="str">
        <f t="array" ref="C518">_xlfn.XLOOKUP(B518, DB[samplingPoint], DB[samplingTag])</f>
        <v>V50-11C (16)</v>
      </c>
      <c r="D518" s="33" t="s">
        <v>500</v>
      </c>
      <c r="E518" s="38" t="b">
        <v>1</v>
      </c>
      <c r="F518" s="39" t="str">
        <f t="array" ref="F518">_xlfn.XLOOKUP($B518, DB[samplingPoint], DB[noLocation])</f>
        <v>WATER SYSTEM (B16)</v>
      </c>
      <c r="G518" s="33" t="s">
        <v>327</v>
      </c>
      <c r="H518" s="40" t="str">
        <f t="array" ref="H518">_xlfn.XLOOKUP($B518, DB[samplingPoint], DB[location])</f>
        <v>After RO (Before EDI) (B16)</v>
      </c>
      <c r="I518" s="39" t="str">
        <f t="array" ref="I518">_xlfn.XLOOKUP($B518, DB[samplingPoint], DB[waterType])</f>
        <v>RO water</v>
      </c>
      <c r="J518" s="43">
        <f t="shared" si="1"/>
        <v>46120</v>
      </c>
      <c r="K518" s="26">
        <v>46123.0</v>
      </c>
      <c r="L518" s="32">
        <v>0.0</v>
      </c>
      <c r="M518" s="32">
        <v>0.0</v>
      </c>
      <c r="N518" s="32">
        <f t="shared" si="2"/>
        <v>0</v>
      </c>
      <c r="O518" s="49"/>
      <c r="P518" s="32">
        <f t="array" ref="P518">_xlfn.XLOOKUP($B518, DB[samplingPoint], DB[Criteria])</f>
        <v>500</v>
      </c>
      <c r="Q518" s="50" t="str">
        <f t="shared" si="3"/>
        <v>PASSED</v>
      </c>
      <c r="R518" s="38" t="b">
        <v>0</v>
      </c>
      <c r="S518" s="35" t="s">
        <v>1019</v>
      </c>
      <c r="T518" s="39" t="s">
        <v>386</v>
      </c>
      <c r="U518" s="32" t="s">
        <v>381</v>
      </c>
    </row>
    <row r="519" ht="22.5" customHeight="1">
      <c r="A519" s="26">
        <v>46119.0</v>
      </c>
      <c r="B519" s="27" t="s">
        <v>468</v>
      </c>
      <c r="C519" s="32" t="str">
        <f t="array" ref="C519">_xlfn.XLOOKUP(B519, DB[samplingPoint], DB[samplingTag])</f>
        <v>V50-39 (16)</v>
      </c>
      <c r="D519" s="33" t="s">
        <v>500</v>
      </c>
      <c r="E519" s="38" t="b">
        <v>1</v>
      </c>
      <c r="F519" s="39" t="str">
        <f t="array" ref="F519">_xlfn.XLOOKUP($B519, DB[samplingPoint], DB[noLocation])</f>
        <v>WATER SYSTEM (B16)</v>
      </c>
      <c r="G519" s="33" t="s">
        <v>327</v>
      </c>
      <c r="H519" s="40" t="str">
        <f t="array" ref="H519">_xlfn.XLOOKUP($B519, DB[samplingPoint], DB[location])</f>
        <v>After EDI (B16)</v>
      </c>
      <c r="I519" s="39" t="str">
        <f t="array" ref="I519">_xlfn.XLOOKUP($B519, DB[samplingPoint], DB[waterType])</f>
        <v>PW</v>
      </c>
      <c r="J519" s="43">
        <f t="shared" si="1"/>
        <v>46120</v>
      </c>
      <c r="K519" s="26">
        <v>46123.0</v>
      </c>
      <c r="L519" s="32">
        <v>0.0</v>
      </c>
      <c r="M519" s="32">
        <v>0.0</v>
      </c>
      <c r="N519" s="32">
        <f t="shared" si="2"/>
        <v>0</v>
      </c>
      <c r="O519" s="49"/>
      <c r="P519" s="32">
        <f t="array" ref="P519">_xlfn.XLOOKUP($B519, DB[samplingPoint], DB[Criteria])</f>
        <v>100</v>
      </c>
      <c r="Q519" s="50" t="str">
        <f t="shared" si="3"/>
        <v>PASSED</v>
      </c>
      <c r="R519" s="38" t="b">
        <v>0</v>
      </c>
      <c r="S519" s="35" t="s">
        <v>1019</v>
      </c>
      <c r="T519" s="39" t="s">
        <v>386</v>
      </c>
      <c r="U519" s="32" t="s">
        <v>381</v>
      </c>
    </row>
    <row r="520" ht="22.5" customHeight="1">
      <c r="A520" s="26">
        <v>46119.0</v>
      </c>
      <c r="B520" s="58" t="s">
        <v>467</v>
      </c>
      <c r="C520" s="32" t="str">
        <f t="array" ref="C520">_xlfn.XLOOKUP(B520, DB[samplingPoint], DB[samplingTag])</f>
        <v>SV123.01</v>
      </c>
      <c r="D520" s="33" t="s">
        <v>500</v>
      </c>
      <c r="E520" s="38" t="b">
        <v>1</v>
      </c>
      <c r="F520" s="39" t="str">
        <f t="array" ref="F520">_xlfn.XLOOKUP($B520, DB[samplingPoint], DB[noLocation])</f>
        <v>WATER SYSTEM (B16)</v>
      </c>
      <c r="G520" s="33" t="s">
        <v>327</v>
      </c>
      <c r="H520" s="40" t="str">
        <f t="array" ref="H520">_xlfn.XLOOKUP($B520, DB[samplingPoint], DB[location])</f>
        <v>After Storage tank (B16)</v>
      </c>
      <c r="I520" s="39" t="str">
        <f t="array" ref="I520">_xlfn.XLOOKUP($B520, DB[samplingPoint], DB[waterType])</f>
        <v>PW</v>
      </c>
      <c r="J520" s="43">
        <f t="shared" si="1"/>
        <v>46120</v>
      </c>
      <c r="K520" s="26">
        <v>46123.0</v>
      </c>
      <c r="L520" s="32">
        <v>0.0</v>
      </c>
      <c r="M520" s="32">
        <v>0.0</v>
      </c>
      <c r="N520" s="32">
        <f t="shared" si="2"/>
        <v>0</v>
      </c>
      <c r="O520" s="49"/>
      <c r="P520" s="32">
        <f t="array" ref="P520">_xlfn.XLOOKUP($B520, DB[samplingPoint], DB[Criteria])</f>
        <v>100</v>
      </c>
      <c r="Q520" s="50" t="str">
        <f t="shared" si="3"/>
        <v>PASSED</v>
      </c>
      <c r="R520" s="38" t="b">
        <v>0</v>
      </c>
      <c r="S520" s="35" t="s">
        <v>1019</v>
      </c>
      <c r="T520" s="39" t="s">
        <v>386</v>
      </c>
      <c r="U520" s="32" t="s">
        <v>381</v>
      </c>
    </row>
    <row r="521" ht="22.5" customHeight="1">
      <c r="A521" s="26">
        <v>46119.0</v>
      </c>
      <c r="B521" s="58" t="s">
        <v>469</v>
      </c>
      <c r="C521" s="32" t="str">
        <f t="array" ref="C521">_xlfn.XLOOKUP(B521, DB[samplingPoint], DB[samplingTag])</f>
        <v>SV125.02</v>
      </c>
      <c r="D521" s="33" t="s">
        <v>500</v>
      </c>
      <c r="E521" s="38" t="b">
        <v>1</v>
      </c>
      <c r="F521" s="39" t="str">
        <f t="array" ref="F521">_xlfn.XLOOKUP($B521, DB[samplingPoint], DB[noLocation])</f>
        <v>WATER SYSTEM (B16)</v>
      </c>
      <c r="G521" s="33" t="s">
        <v>327</v>
      </c>
      <c r="H521" s="40" t="str">
        <f t="array" ref="H521">_xlfn.XLOOKUP($B521, DB[samplingPoint], DB[location])</f>
        <v>After UV (B16)</v>
      </c>
      <c r="I521" s="39" t="str">
        <f t="array" ref="I521">_xlfn.XLOOKUP($B521, DB[samplingPoint], DB[waterType])</f>
        <v>PW</v>
      </c>
      <c r="J521" s="43">
        <f t="shared" si="1"/>
        <v>46120</v>
      </c>
      <c r="K521" s="26">
        <v>46123.0</v>
      </c>
      <c r="L521" s="32">
        <v>0.0</v>
      </c>
      <c r="M521" s="32">
        <v>0.0</v>
      </c>
      <c r="N521" s="32">
        <f t="shared" si="2"/>
        <v>0</v>
      </c>
      <c r="O521" s="49"/>
      <c r="P521" s="32">
        <f t="array" ref="P521">_xlfn.XLOOKUP($B521, DB[samplingPoint], DB[Criteria])</f>
        <v>100</v>
      </c>
      <c r="Q521" s="50" t="str">
        <f t="shared" si="3"/>
        <v>PASSED</v>
      </c>
      <c r="R521" s="38" t="b">
        <v>0</v>
      </c>
      <c r="S521" s="35" t="s">
        <v>1019</v>
      </c>
      <c r="T521" s="39" t="s">
        <v>386</v>
      </c>
      <c r="U521" s="32" t="s">
        <v>381</v>
      </c>
    </row>
    <row r="522" ht="22.5" customHeight="1">
      <c r="A522" s="26">
        <v>46119.0</v>
      </c>
      <c r="B522" s="58" t="s">
        <v>464</v>
      </c>
      <c r="C522" s="32" t="str">
        <f t="array" ref="C522">_xlfn.XLOOKUP(B522, DB[samplingPoint], DB[samplingTag])</f>
        <v>SV127.01</v>
      </c>
      <c r="D522" s="33" t="s">
        <v>500</v>
      </c>
      <c r="E522" s="38" t="b">
        <v>1</v>
      </c>
      <c r="F522" s="39" t="str">
        <f t="array" ref="F522">_xlfn.XLOOKUP($B522, DB[samplingPoint], DB[noLocation])</f>
        <v>WATER SYSTEM (B16)</v>
      </c>
      <c r="G522" s="33" t="s">
        <v>327</v>
      </c>
      <c r="H522" s="40" t="str">
        <f t="array" ref="H522">_xlfn.XLOOKUP($B522, DB[samplingPoint], DB[location])</f>
        <v>Return loop (B16)</v>
      </c>
      <c r="I522" s="39" t="str">
        <f t="array" ref="I522">_xlfn.XLOOKUP($B522, DB[samplingPoint], DB[waterType])</f>
        <v>PW</v>
      </c>
      <c r="J522" s="43">
        <f t="shared" si="1"/>
        <v>46120</v>
      </c>
      <c r="K522" s="26">
        <v>46123.0</v>
      </c>
      <c r="L522" s="32">
        <v>0.0</v>
      </c>
      <c r="M522" s="32">
        <v>0.0</v>
      </c>
      <c r="N522" s="32">
        <f t="shared" si="2"/>
        <v>0</v>
      </c>
      <c r="O522" s="49"/>
      <c r="P522" s="32">
        <f t="array" ref="P522">_xlfn.XLOOKUP($B522, DB[samplingPoint], DB[Criteria])</f>
        <v>100</v>
      </c>
      <c r="Q522" s="50" t="str">
        <f t="shared" si="3"/>
        <v>PASSED</v>
      </c>
      <c r="R522" s="38" t="b">
        <v>0</v>
      </c>
      <c r="S522" s="35" t="s">
        <v>1019</v>
      </c>
      <c r="T522" s="39" t="s">
        <v>386</v>
      </c>
      <c r="U522" s="32" t="s">
        <v>381</v>
      </c>
    </row>
    <row r="523" ht="22.5" customHeight="1">
      <c r="A523" s="26">
        <v>46119.0</v>
      </c>
      <c r="B523" s="27" t="s">
        <v>451</v>
      </c>
      <c r="C523" s="32" t="str">
        <f t="array" ref="C523">_xlfn.XLOOKUP(B523, DB[samplingPoint], DB[samplingTag])</f>
        <v>DV126.02</v>
      </c>
      <c r="D523" s="33" t="s">
        <v>500</v>
      </c>
      <c r="E523" s="38" t="b">
        <v>1</v>
      </c>
      <c r="F523" s="39" t="str">
        <f t="array" ref="F523">_xlfn.XLOOKUP($B523, DB[samplingPoint], DB[noLocation])</f>
        <v>16-1-082</v>
      </c>
      <c r="G523" s="33" t="s">
        <v>327</v>
      </c>
      <c r="H523" s="40" t="str">
        <f t="array" ref="H523">_xlfn.XLOOKUP($B523, DB[samplingPoint], DB[location])</f>
        <v>WASHING</v>
      </c>
      <c r="I523" s="39" t="str">
        <f t="array" ref="I523">_xlfn.XLOOKUP($B523, DB[samplingPoint], DB[waterType])</f>
        <v>PW</v>
      </c>
      <c r="J523" s="43">
        <f t="shared" si="1"/>
        <v>46120</v>
      </c>
      <c r="K523" s="26">
        <v>46123.0</v>
      </c>
      <c r="L523" s="32">
        <v>0.0</v>
      </c>
      <c r="M523" s="32">
        <v>0.0</v>
      </c>
      <c r="N523" s="32">
        <f t="shared" si="2"/>
        <v>0</v>
      </c>
      <c r="O523" s="49"/>
      <c r="P523" s="32">
        <f t="array" ref="P523">_xlfn.XLOOKUP($B523, DB[samplingPoint], DB[Criteria])</f>
        <v>100</v>
      </c>
      <c r="Q523" s="50" t="str">
        <f t="shared" si="3"/>
        <v>PASSED</v>
      </c>
      <c r="R523" s="38" t="b">
        <v>0</v>
      </c>
      <c r="S523" s="35" t="s">
        <v>1019</v>
      </c>
      <c r="T523" s="39" t="s">
        <v>386</v>
      </c>
      <c r="U523" s="32" t="s">
        <v>381</v>
      </c>
    </row>
    <row r="524" ht="22.5" customHeight="1">
      <c r="A524" s="26">
        <v>46119.0</v>
      </c>
      <c r="B524" s="58" t="s">
        <v>447</v>
      </c>
      <c r="C524" s="32" t="str">
        <f t="array" ref="C524">_xlfn.XLOOKUP(B524, DB[samplingPoint], DB[samplingTag])</f>
        <v>DV126.01</v>
      </c>
      <c r="D524" s="33" t="s">
        <v>500</v>
      </c>
      <c r="E524" s="38" t="b">
        <v>1</v>
      </c>
      <c r="F524" s="39" t="str">
        <f t="array" ref="F524">_xlfn.XLOOKUP($B524, DB[samplingPoint], DB[noLocation])</f>
        <v>16-1-082</v>
      </c>
      <c r="G524" s="33" t="s">
        <v>327</v>
      </c>
      <c r="H524" s="40" t="str">
        <f t="array" ref="H524">_xlfn.XLOOKUP($B524, DB[samplingPoint], DB[location])</f>
        <v>WASHING</v>
      </c>
      <c r="I524" s="39" t="str">
        <f t="array" ref="I524">_xlfn.XLOOKUP($B524, DB[samplingPoint], DB[waterType])</f>
        <v>PW</v>
      </c>
      <c r="J524" s="43">
        <f t="shared" si="1"/>
        <v>46120</v>
      </c>
      <c r="K524" s="26">
        <v>46123.0</v>
      </c>
      <c r="L524" s="32">
        <v>0.0</v>
      </c>
      <c r="M524" s="32">
        <v>0.0</v>
      </c>
      <c r="N524" s="32">
        <f t="shared" si="2"/>
        <v>0</v>
      </c>
      <c r="O524" s="49"/>
      <c r="P524" s="32">
        <f t="array" ref="P524">_xlfn.XLOOKUP($B524, DB[samplingPoint], DB[Criteria])</f>
        <v>100</v>
      </c>
      <c r="Q524" s="50" t="str">
        <f t="shared" si="3"/>
        <v>PASSED</v>
      </c>
      <c r="R524" s="38" t="b">
        <v>0</v>
      </c>
      <c r="S524" s="35" t="s">
        <v>1019</v>
      </c>
      <c r="T524" s="39" t="s">
        <v>386</v>
      </c>
      <c r="U524" s="32" t="s">
        <v>381</v>
      </c>
    </row>
    <row r="525" ht="22.5" customHeight="1">
      <c r="A525" s="26">
        <v>46119.0</v>
      </c>
      <c r="B525" s="27" t="s">
        <v>459</v>
      </c>
      <c r="C525" s="32" t="str">
        <f t="array" ref="C525">_xlfn.XLOOKUP(B525, DB[samplingPoint], DB[samplingTag])</f>
        <v>SV126.02</v>
      </c>
      <c r="D525" s="33" t="s">
        <v>500</v>
      </c>
      <c r="E525" s="38" t="b">
        <v>1</v>
      </c>
      <c r="F525" s="39" t="str">
        <f t="array" ref="F525">_xlfn.XLOOKUP($B525, DB[samplingPoint], DB[noLocation])</f>
        <v>16-1-098</v>
      </c>
      <c r="G525" s="33" t="s">
        <v>327</v>
      </c>
      <c r="H525" s="40" t="str">
        <f t="array" ref="H525">_xlfn.XLOOKUP($B525, DB[samplingPoint], DB[location])</f>
        <v>CIP/SIP (EQUIPMENT REQUIREMENT – 200L)</v>
      </c>
      <c r="I525" s="39" t="str">
        <f t="array" ref="I525">_xlfn.XLOOKUP($B525, DB[samplingPoint], DB[waterType])</f>
        <v>PW</v>
      </c>
      <c r="J525" s="43">
        <f t="shared" si="1"/>
        <v>46120</v>
      </c>
      <c r="K525" s="26">
        <v>46123.0</v>
      </c>
      <c r="L525" s="32">
        <v>0.0</v>
      </c>
      <c r="M525" s="32">
        <v>0.0</v>
      </c>
      <c r="N525" s="32">
        <f t="shared" si="2"/>
        <v>0</v>
      </c>
      <c r="O525" s="49"/>
      <c r="P525" s="32">
        <f t="array" ref="P525">_xlfn.XLOOKUP($B525, DB[samplingPoint], DB[Criteria])</f>
        <v>100</v>
      </c>
      <c r="Q525" s="50" t="str">
        <f t="shared" si="3"/>
        <v>PASSED</v>
      </c>
      <c r="R525" s="38" t="b">
        <v>0</v>
      </c>
      <c r="S525" s="35" t="s">
        <v>1019</v>
      </c>
      <c r="T525" s="39" t="s">
        <v>386</v>
      </c>
      <c r="U525" s="32" t="s">
        <v>381</v>
      </c>
    </row>
    <row r="526" ht="22.5" customHeight="1">
      <c r="A526" s="26">
        <v>46119.0</v>
      </c>
      <c r="B526" s="58" t="s">
        <v>454</v>
      </c>
      <c r="C526" s="32" t="str">
        <f t="array" ref="C526">_xlfn.XLOOKUP(B526, DB[samplingPoint], DB[samplingTag])</f>
        <v>DV126.03</v>
      </c>
      <c r="D526" s="33" t="s">
        <v>500</v>
      </c>
      <c r="E526" s="38" t="b">
        <v>1</v>
      </c>
      <c r="F526" s="39" t="str">
        <f t="array" ref="F526">_xlfn.XLOOKUP($B526, DB[samplingPoint], DB[noLocation])</f>
        <v>16-1-098</v>
      </c>
      <c r="G526" s="33" t="s">
        <v>327</v>
      </c>
      <c r="H526" s="40" t="str">
        <f t="array" ref="H526">_xlfn.XLOOKUP($B526, DB[samplingPoint], DB[location])</f>
        <v>CIP/SIP (SINK WASHING)</v>
      </c>
      <c r="I526" s="39" t="str">
        <f t="array" ref="I526">_xlfn.XLOOKUP($B526, DB[samplingPoint], DB[waterType])</f>
        <v>PW</v>
      </c>
      <c r="J526" s="43">
        <f t="shared" si="1"/>
        <v>46120</v>
      </c>
      <c r="K526" s="26">
        <v>46123.0</v>
      </c>
      <c r="L526" s="32">
        <v>0.0</v>
      </c>
      <c r="M526" s="32">
        <v>0.0</v>
      </c>
      <c r="N526" s="32">
        <f t="shared" si="2"/>
        <v>0</v>
      </c>
      <c r="O526" s="49"/>
      <c r="P526" s="32">
        <f t="array" ref="P526">_xlfn.XLOOKUP($B526, DB[samplingPoint], DB[Criteria])</f>
        <v>100</v>
      </c>
      <c r="Q526" s="50" t="str">
        <f t="shared" si="3"/>
        <v>PASSED</v>
      </c>
      <c r="R526" s="38" t="b">
        <v>0</v>
      </c>
      <c r="S526" s="35" t="s">
        <v>1019</v>
      </c>
      <c r="T526" s="39" t="s">
        <v>386</v>
      </c>
      <c r="U526" s="32" t="s">
        <v>381</v>
      </c>
    </row>
    <row r="527" ht="22.5" customHeight="1">
      <c r="A527" s="26">
        <v>46119.0</v>
      </c>
      <c r="B527" s="27" t="s">
        <v>457</v>
      </c>
      <c r="C527" s="32" t="str">
        <f t="array" ref="C527">_xlfn.XLOOKUP(B527, DB[samplingPoint], DB[samplingTag])</f>
        <v>SV126.01</v>
      </c>
      <c r="D527" s="33" t="s">
        <v>500</v>
      </c>
      <c r="E527" s="38" t="b">
        <v>1</v>
      </c>
      <c r="F527" s="39" t="str">
        <f t="array" ref="F527">_xlfn.XLOOKUP($B527, DB[samplingPoint], DB[noLocation])</f>
        <v>16-1-092</v>
      </c>
      <c r="G527" s="33" t="s">
        <v>327</v>
      </c>
      <c r="H527" s="40" t="str">
        <f t="array" ref="H527">_xlfn.XLOOKUP($B527, DB[samplingPoint], DB[location])</f>
        <v>LINEN WASHING</v>
      </c>
      <c r="I527" s="39" t="str">
        <f t="array" ref="I527">_xlfn.XLOOKUP($B527, DB[samplingPoint], DB[waterType])</f>
        <v>PW</v>
      </c>
      <c r="J527" s="43">
        <f t="shared" si="1"/>
        <v>46120</v>
      </c>
      <c r="K527" s="26">
        <v>46123.0</v>
      </c>
      <c r="L527" s="32">
        <v>0.0</v>
      </c>
      <c r="M527" s="32">
        <v>0.0</v>
      </c>
      <c r="N527" s="32">
        <f t="shared" si="2"/>
        <v>0</v>
      </c>
      <c r="O527" s="49"/>
      <c r="P527" s="32">
        <f t="array" ref="P527">_xlfn.XLOOKUP($B527, DB[samplingPoint], DB[Criteria])</f>
        <v>100</v>
      </c>
      <c r="Q527" s="50" t="str">
        <f t="shared" si="3"/>
        <v>PASSED</v>
      </c>
      <c r="R527" s="38" t="b">
        <v>0</v>
      </c>
      <c r="S527" s="35" t="s">
        <v>1019</v>
      </c>
      <c r="T527" s="39" t="s">
        <v>386</v>
      </c>
      <c r="U527" s="32" t="s">
        <v>381</v>
      </c>
    </row>
    <row r="528" ht="22.5" customHeight="1">
      <c r="A528" s="26">
        <v>46119.0</v>
      </c>
      <c r="B528" s="88" t="s">
        <v>553</v>
      </c>
      <c r="C528" s="32" t="str">
        <f t="array" ref="C528">_xlfn.XLOOKUP(B528, DB[samplingPoint], DB[samplingTag])</f>
        <v>DV126.10</v>
      </c>
      <c r="D528" s="33" t="s">
        <v>500</v>
      </c>
      <c r="E528" s="38" t="b">
        <v>1</v>
      </c>
      <c r="F528" s="39" t="str">
        <f t="array" ref="F528">_xlfn.XLOOKUP($B528, DB[samplingPoint], DB[noLocation])</f>
        <v>16-3-069</v>
      </c>
      <c r="G528" s="33" t="s">
        <v>327</v>
      </c>
      <c r="H528" s="40" t="str">
        <f t="array" ref="H528">_xlfn.XLOOKUP($B528, DB[samplingPoint], DB[location])</f>
        <v>MFG 2</v>
      </c>
      <c r="I528" s="39" t="str">
        <f t="array" ref="I528">_xlfn.XLOOKUP($B528, DB[samplingPoint], DB[waterType])</f>
        <v>PW</v>
      </c>
      <c r="J528" s="43">
        <f t="shared" si="1"/>
        <v>46120</v>
      </c>
      <c r="K528" s="26">
        <v>46123.0</v>
      </c>
      <c r="L528" s="32">
        <v>0.0</v>
      </c>
      <c r="M528" s="32">
        <v>0.0</v>
      </c>
      <c r="N528" s="32">
        <f t="shared" si="2"/>
        <v>0</v>
      </c>
      <c r="O528" s="49"/>
      <c r="P528" s="32">
        <f t="array" ref="P528">_xlfn.XLOOKUP($B528, DB[samplingPoint], DB[Criteria])</f>
        <v>100</v>
      </c>
      <c r="Q528" s="50" t="str">
        <f t="shared" si="3"/>
        <v>PASSED</v>
      </c>
      <c r="R528" s="38" t="b">
        <v>0</v>
      </c>
      <c r="S528" s="35" t="s">
        <v>1019</v>
      </c>
      <c r="T528" s="39" t="s">
        <v>386</v>
      </c>
      <c r="U528" s="32" t="s">
        <v>381</v>
      </c>
    </row>
    <row r="529" ht="22.5" customHeight="1">
      <c r="A529" s="26">
        <v>46119.0</v>
      </c>
      <c r="B529" s="88" t="s">
        <v>555</v>
      </c>
      <c r="C529" s="32" t="str">
        <f t="array" ref="C529">_xlfn.XLOOKUP(B529, DB[samplingPoint], DB[samplingTag])</f>
        <v>DV126.06</v>
      </c>
      <c r="D529" s="33" t="s">
        <v>500</v>
      </c>
      <c r="E529" s="38" t="b">
        <v>1</v>
      </c>
      <c r="F529" s="39" t="str">
        <f t="array" ref="F529">_xlfn.XLOOKUP($B529, DB[samplingPoint], DB[noLocation])</f>
        <v>16-3-069</v>
      </c>
      <c r="G529" s="33" t="s">
        <v>327</v>
      </c>
      <c r="H529" s="40" t="str">
        <f t="array" ref="H529">_xlfn.XLOOKUP($B529, DB[samplingPoint], DB[location])</f>
        <v>MFG 2</v>
      </c>
      <c r="I529" s="39" t="str">
        <f t="array" ref="I529">_xlfn.XLOOKUP($B529, DB[samplingPoint], DB[waterType])</f>
        <v>PW</v>
      </c>
      <c r="J529" s="43">
        <f t="shared" si="1"/>
        <v>46120</v>
      </c>
      <c r="K529" s="26">
        <v>46123.0</v>
      </c>
      <c r="L529" s="32">
        <v>0.0</v>
      </c>
      <c r="M529" s="32">
        <v>0.0</v>
      </c>
      <c r="N529" s="32">
        <f t="shared" si="2"/>
        <v>0</v>
      </c>
      <c r="O529" s="49"/>
      <c r="P529" s="32">
        <f t="array" ref="P529">_xlfn.XLOOKUP($B529, DB[samplingPoint], DB[Criteria])</f>
        <v>100</v>
      </c>
      <c r="Q529" s="50" t="str">
        <f t="shared" si="3"/>
        <v>PASSED</v>
      </c>
      <c r="R529" s="38" t="b">
        <v>0</v>
      </c>
      <c r="S529" s="35" t="s">
        <v>1019</v>
      </c>
      <c r="T529" s="39" t="s">
        <v>386</v>
      </c>
      <c r="U529" s="32" t="s">
        <v>381</v>
      </c>
    </row>
    <row r="530" ht="22.5" customHeight="1">
      <c r="A530" s="26">
        <v>46119.0</v>
      </c>
      <c r="B530" s="88" t="s">
        <v>483</v>
      </c>
      <c r="C530" s="32" t="str">
        <f t="array" ref="C530">_xlfn.XLOOKUP(B530, DB[samplingPoint], DB[samplingTag])</f>
        <v>DV126.05</v>
      </c>
      <c r="D530" s="33" t="s">
        <v>500</v>
      </c>
      <c r="E530" s="38" t="b">
        <v>1</v>
      </c>
      <c r="F530" s="39" t="str">
        <f t="array" ref="F530">_xlfn.XLOOKUP($B530, DB[samplingPoint], DB[noLocation])</f>
        <v>16-3-054</v>
      </c>
      <c r="G530" s="33" t="s">
        <v>327</v>
      </c>
      <c r="H530" s="40" t="str">
        <f t="array" ref="H530">_xlfn.XLOOKUP($B530, DB[samplingPoint], DB[location])</f>
        <v>WASHING</v>
      </c>
      <c r="I530" s="39" t="str">
        <f t="array" ref="I530">_xlfn.XLOOKUP($B530, DB[samplingPoint], DB[waterType])</f>
        <v>PW</v>
      </c>
      <c r="J530" s="43">
        <f t="shared" si="1"/>
        <v>46120</v>
      </c>
      <c r="K530" s="26">
        <v>46123.0</v>
      </c>
      <c r="L530" s="32">
        <v>0.0</v>
      </c>
      <c r="M530" s="32">
        <v>0.0</v>
      </c>
      <c r="N530" s="32">
        <f t="shared" si="2"/>
        <v>0</v>
      </c>
      <c r="O530" s="49"/>
      <c r="P530" s="32">
        <f t="array" ref="P530">_xlfn.XLOOKUP($B530, DB[samplingPoint], DB[Criteria])</f>
        <v>100</v>
      </c>
      <c r="Q530" s="50" t="str">
        <f t="shared" si="3"/>
        <v>PASSED</v>
      </c>
      <c r="R530" s="38" t="b">
        <v>0</v>
      </c>
      <c r="S530" s="35" t="s">
        <v>1019</v>
      </c>
      <c r="T530" s="39" t="s">
        <v>386</v>
      </c>
      <c r="U530" s="32" t="s">
        <v>381</v>
      </c>
    </row>
    <row r="531" ht="22.5" customHeight="1">
      <c r="A531" s="112">
        <v>46122.0</v>
      </c>
      <c r="B531" s="27" t="s">
        <v>380</v>
      </c>
      <c r="C531" s="32" t="str">
        <f t="array" ref="C531">_xlfn.XLOOKUP(B531, DB[samplingPoint], DB[samplingTag])</f>
        <v>SV113.01</v>
      </c>
      <c r="D531" s="33" t="s">
        <v>500</v>
      </c>
      <c r="E531" s="38" t="b">
        <v>1</v>
      </c>
      <c r="F531" s="39" t="str">
        <f t="array" ref="F531">_xlfn.XLOOKUP($B531, DB[samplingPoint], DB[noLocation])</f>
        <v>WATER SYSTEM (B10)</v>
      </c>
      <c r="G531" s="33" t="s">
        <v>180</v>
      </c>
      <c r="H531" s="40" t="str">
        <f t="array" ref="H531">_xlfn.XLOOKUP($B531, DB[samplingPoint], DB[location])</f>
        <v>After Storage tank (B10)</v>
      </c>
      <c r="I531" s="39" t="str">
        <f t="array" ref="I531">_xlfn.XLOOKUP($B531, DB[samplingPoint], DB[waterType])</f>
        <v>PW</v>
      </c>
      <c r="J531" s="43">
        <f t="shared" si="1"/>
        <v>46123</v>
      </c>
      <c r="K531" s="26">
        <v>46127.0</v>
      </c>
      <c r="L531" s="32">
        <v>0.0</v>
      </c>
      <c r="M531" s="32">
        <v>0.0</v>
      </c>
      <c r="N531" s="32">
        <f t="shared" si="2"/>
        <v>0</v>
      </c>
      <c r="O531" s="49"/>
      <c r="P531" s="32">
        <f t="array" ref="P531">_xlfn.XLOOKUP($B531, DB[samplingPoint], DB[Criteria])</f>
        <v>100</v>
      </c>
      <c r="Q531" s="50" t="str">
        <f t="shared" si="3"/>
        <v>PASSED</v>
      </c>
      <c r="R531" s="38" t="b">
        <v>0</v>
      </c>
      <c r="S531" s="35" t="s">
        <v>31</v>
      </c>
      <c r="T531" s="39" t="s">
        <v>386</v>
      </c>
      <c r="U531" s="32" t="s">
        <v>304</v>
      </c>
    </row>
    <row r="532" ht="22.5" customHeight="1">
      <c r="A532" s="26">
        <v>46122.0</v>
      </c>
      <c r="B532" s="58" t="s">
        <v>385</v>
      </c>
      <c r="C532" s="32" t="str">
        <f t="array" ref="C532">_xlfn.XLOOKUP(B532, DB[samplingPoint], DB[samplingTag])</f>
        <v>SV115.02</v>
      </c>
      <c r="D532" s="33" t="s">
        <v>500</v>
      </c>
      <c r="E532" s="38" t="b">
        <v>1</v>
      </c>
      <c r="F532" s="39" t="str">
        <f t="array" ref="F532">_xlfn.XLOOKUP($B532, DB[samplingPoint], DB[noLocation])</f>
        <v>WATER SYSTEM (B10)</v>
      </c>
      <c r="G532" s="33" t="s">
        <v>180</v>
      </c>
      <c r="H532" s="40" t="str">
        <f t="array" ref="H532">_xlfn.XLOOKUP($B532, DB[samplingPoint], DB[location])</f>
        <v>After UV (B10)</v>
      </c>
      <c r="I532" s="39" t="str">
        <f t="array" ref="I532">_xlfn.XLOOKUP($B532, DB[samplingPoint], DB[waterType])</f>
        <v>PW</v>
      </c>
      <c r="J532" s="43">
        <f t="shared" si="1"/>
        <v>46123</v>
      </c>
      <c r="K532" s="26">
        <v>46127.0</v>
      </c>
      <c r="L532" s="32">
        <v>0.0</v>
      </c>
      <c r="M532" s="32">
        <v>0.0</v>
      </c>
      <c r="N532" s="32">
        <f t="shared" si="2"/>
        <v>0</v>
      </c>
      <c r="O532" s="49"/>
      <c r="P532" s="32">
        <f t="array" ref="P532">_xlfn.XLOOKUP($B532, DB[samplingPoint], DB[Criteria])</f>
        <v>100</v>
      </c>
      <c r="Q532" s="50" t="str">
        <f t="shared" si="3"/>
        <v>PASSED</v>
      </c>
      <c r="R532" s="38" t="b">
        <v>0</v>
      </c>
      <c r="S532" s="35" t="s">
        <v>31</v>
      </c>
      <c r="T532" s="39" t="s">
        <v>386</v>
      </c>
      <c r="U532" s="32" t="s">
        <v>304</v>
      </c>
    </row>
    <row r="533" ht="22.5" customHeight="1">
      <c r="A533" s="26">
        <v>46122.0</v>
      </c>
      <c r="B533" s="27" t="s">
        <v>390</v>
      </c>
      <c r="C533" s="32" t="str">
        <f t="array" ref="C533">_xlfn.XLOOKUP(B533, DB[samplingPoint], DB[samplingTag])</f>
        <v>SV117.01</v>
      </c>
      <c r="D533" s="33" t="s">
        <v>500</v>
      </c>
      <c r="E533" s="38" t="b">
        <v>1</v>
      </c>
      <c r="F533" s="39" t="str">
        <f t="array" ref="F533">_xlfn.XLOOKUP($B533, DB[samplingPoint], DB[noLocation])</f>
        <v>WATER SYSTEM (B10)</v>
      </c>
      <c r="G533" s="33" t="s">
        <v>180</v>
      </c>
      <c r="H533" s="40" t="str">
        <f t="array" ref="H533">_xlfn.XLOOKUP($B533, DB[samplingPoint], DB[location])</f>
        <v>Return loop (B10)</v>
      </c>
      <c r="I533" s="39" t="str">
        <f t="array" ref="I533">_xlfn.XLOOKUP($B533, DB[samplingPoint], DB[waterType])</f>
        <v>PW</v>
      </c>
      <c r="J533" s="43">
        <f t="shared" si="1"/>
        <v>46123</v>
      </c>
      <c r="K533" s="26">
        <v>46127.0</v>
      </c>
      <c r="L533" s="32">
        <v>0.0</v>
      </c>
      <c r="M533" s="32">
        <v>0.0</v>
      </c>
      <c r="N533" s="32">
        <f t="shared" si="2"/>
        <v>0</v>
      </c>
      <c r="O533" s="49"/>
      <c r="P533" s="32">
        <f t="array" ref="P533">_xlfn.XLOOKUP($B533, DB[samplingPoint], DB[Criteria])</f>
        <v>100</v>
      </c>
      <c r="Q533" s="50" t="str">
        <f t="shared" si="3"/>
        <v>PASSED</v>
      </c>
      <c r="R533" s="38" t="b">
        <v>0</v>
      </c>
      <c r="S533" s="35" t="s">
        <v>31</v>
      </c>
      <c r="T533" s="39" t="s">
        <v>386</v>
      </c>
      <c r="U533" s="32" t="s">
        <v>304</v>
      </c>
    </row>
    <row r="534" ht="22.5" customHeight="1">
      <c r="A534" s="26">
        <v>46122.0</v>
      </c>
      <c r="B534" s="58" t="s">
        <v>394</v>
      </c>
      <c r="C534" s="32" t="str">
        <f t="array" ref="C534">_xlfn.XLOOKUP(B534, DB[samplingPoint], DB[samplingTag])</f>
        <v>DV116.25</v>
      </c>
      <c r="D534" s="33" t="s">
        <v>500</v>
      </c>
      <c r="E534" s="38" t="b">
        <v>1</v>
      </c>
      <c r="F534" s="39" t="str">
        <f t="array" ref="F534">_xlfn.XLOOKUP($B534, DB[samplingPoint], DB[noLocation])</f>
        <v>10-3-171</v>
      </c>
      <c r="G534" s="33" t="s">
        <v>180</v>
      </c>
      <c r="H534" s="40" t="str">
        <f t="array" ref="H534">_xlfn.XLOOKUP($B534, DB[samplingPoint], DB[location])</f>
        <v>TOOL WASHING-P</v>
      </c>
      <c r="I534" s="39" t="str">
        <f t="array" ref="I534">_xlfn.XLOOKUP($B534, DB[samplingPoint], DB[waterType])</f>
        <v>PW</v>
      </c>
      <c r="J534" s="43">
        <f t="shared" si="1"/>
        <v>46123</v>
      </c>
      <c r="K534" s="26">
        <v>46127.0</v>
      </c>
      <c r="L534" s="32">
        <v>0.0</v>
      </c>
      <c r="M534" s="32">
        <v>0.0</v>
      </c>
      <c r="N534" s="32">
        <f t="shared" si="2"/>
        <v>0</v>
      </c>
      <c r="O534" s="49"/>
      <c r="P534" s="32">
        <f t="array" ref="P534">_xlfn.XLOOKUP($B534, DB[samplingPoint], DB[Criteria])</f>
        <v>100</v>
      </c>
      <c r="Q534" s="50" t="str">
        <f t="shared" si="3"/>
        <v>PASSED</v>
      </c>
      <c r="R534" s="38" t="b">
        <v>0</v>
      </c>
      <c r="S534" s="35" t="s">
        <v>31</v>
      </c>
      <c r="T534" s="39" t="s">
        <v>386</v>
      </c>
      <c r="U534" s="32" t="s">
        <v>304</v>
      </c>
    </row>
    <row r="535" ht="22.5" customHeight="1">
      <c r="A535" s="26">
        <v>46122.0</v>
      </c>
      <c r="B535" s="27" t="s">
        <v>398</v>
      </c>
      <c r="C535" s="32" t="str">
        <f t="array" ref="C535">_xlfn.XLOOKUP(B535, DB[samplingPoint], DB[samplingTag])</f>
        <v>DV116.24</v>
      </c>
      <c r="D535" s="33" t="s">
        <v>500</v>
      </c>
      <c r="E535" s="38" t="b">
        <v>1</v>
      </c>
      <c r="F535" s="39" t="str">
        <f t="array" ref="F535">_xlfn.XLOOKUP($B535, DB[samplingPoint], DB[noLocation])</f>
        <v>10-3-163</v>
      </c>
      <c r="G535" s="33" t="s">
        <v>180</v>
      </c>
      <c r="H535" s="40" t="str">
        <f t="array" ref="H535">_xlfn.XLOOKUP($B535, DB[samplingPoint], DB[location])</f>
        <v>WET GRANULATION 1-P</v>
      </c>
      <c r="I535" s="39" t="str">
        <f t="array" ref="I535">_xlfn.XLOOKUP($B535, DB[samplingPoint], DB[waterType])</f>
        <v>PW</v>
      </c>
      <c r="J535" s="43">
        <f t="shared" si="1"/>
        <v>46123</v>
      </c>
      <c r="K535" s="26">
        <v>46127.0</v>
      </c>
      <c r="L535" s="32">
        <v>0.0</v>
      </c>
      <c r="M535" s="32">
        <v>0.0</v>
      </c>
      <c r="N535" s="32">
        <f t="shared" si="2"/>
        <v>0</v>
      </c>
      <c r="O535" s="49"/>
      <c r="P535" s="32">
        <f t="array" ref="P535">_xlfn.XLOOKUP($B535, DB[samplingPoint], DB[Criteria])</f>
        <v>100</v>
      </c>
      <c r="Q535" s="50" t="str">
        <f t="shared" si="3"/>
        <v>PASSED</v>
      </c>
      <c r="R535" s="38" t="b">
        <v>0</v>
      </c>
      <c r="S535" s="35" t="s">
        <v>31</v>
      </c>
      <c r="T535" s="39" t="s">
        <v>386</v>
      </c>
      <c r="U535" s="32" t="s">
        <v>304</v>
      </c>
    </row>
    <row r="536" ht="22.5" customHeight="1">
      <c r="A536" s="26">
        <v>46122.0</v>
      </c>
      <c r="B536" s="58" t="s">
        <v>401</v>
      </c>
      <c r="C536" s="32" t="str">
        <f t="array" ref="C536">_xlfn.XLOOKUP(B536, DB[samplingPoint], DB[samplingTag])</f>
        <v>DV116.23</v>
      </c>
      <c r="D536" s="33" t="s">
        <v>500</v>
      </c>
      <c r="E536" s="38" t="b">
        <v>1</v>
      </c>
      <c r="F536" s="39" t="str">
        <f t="array" ref="F536">_xlfn.XLOOKUP($B536, DB[samplingPoint], DB[noLocation])</f>
        <v>10-3-159</v>
      </c>
      <c r="G536" s="33" t="s">
        <v>180</v>
      </c>
      <c r="H536" s="40" t="str">
        <f t="array" ref="H536">_xlfn.XLOOKUP($B536, DB[samplingPoint], DB[location])</f>
        <v>BINDER PREPARATION-P</v>
      </c>
      <c r="I536" s="39" t="str">
        <f t="array" ref="I536">_xlfn.XLOOKUP($B536, DB[samplingPoint], DB[waterType])</f>
        <v>PW</v>
      </c>
      <c r="J536" s="43">
        <f t="shared" si="1"/>
        <v>46123</v>
      </c>
      <c r="K536" s="26">
        <v>46127.0</v>
      </c>
      <c r="L536" s="32">
        <v>0.0</v>
      </c>
      <c r="M536" s="32">
        <v>0.0</v>
      </c>
      <c r="N536" s="32">
        <f t="shared" si="2"/>
        <v>0</v>
      </c>
      <c r="O536" s="49"/>
      <c r="P536" s="32">
        <f t="array" ref="P536">_xlfn.XLOOKUP($B536, DB[samplingPoint], DB[Criteria])</f>
        <v>100</v>
      </c>
      <c r="Q536" s="50" t="str">
        <f t="shared" si="3"/>
        <v>PASSED</v>
      </c>
      <c r="R536" s="38" t="b">
        <v>0</v>
      </c>
      <c r="S536" s="35" t="s">
        <v>31</v>
      </c>
      <c r="T536" s="39" t="s">
        <v>386</v>
      </c>
      <c r="U536" s="32" t="s">
        <v>304</v>
      </c>
    </row>
    <row r="537" ht="22.5" customHeight="1">
      <c r="A537" s="26">
        <v>46122.0</v>
      </c>
      <c r="B537" s="27" t="s">
        <v>406</v>
      </c>
      <c r="C537" s="32" t="str">
        <f t="array" ref="C537">_xlfn.XLOOKUP(B537, DB[samplingPoint], DB[samplingTag])</f>
        <v>DV116.21</v>
      </c>
      <c r="D537" s="33" t="s">
        <v>500</v>
      </c>
      <c r="E537" s="38" t="b">
        <v>1</v>
      </c>
      <c r="F537" s="39" t="str">
        <f t="array" ref="F537">_xlfn.XLOOKUP($B537, DB[samplingPoint], DB[noLocation])</f>
        <v>10-3-152</v>
      </c>
      <c r="G537" s="33" t="s">
        <v>180</v>
      </c>
      <c r="H537" s="40" t="str">
        <f t="array" ref="H537">_xlfn.XLOOKUP($B537, DB[samplingPoint], DB[location])</f>
        <v>WASHING-P</v>
      </c>
      <c r="I537" s="39" t="str">
        <f t="array" ref="I537">_xlfn.XLOOKUP($B537, DB[samplingPoint], DB[waterType])</f>
        <v>PW</v>
      </c>
      <c r="J537" s="43">
        <f t="shared" si="1"/>
        <v>46123</v>
      </c>
      <c r="K537" s="26">
        <v>46127.0</v>
      </c>
      <c r="L537" s="32">
        <v>0.0</v>
      </c>
      <c r="M537" s="32">
        <v>0.0</v>
      </c>
      <c r="N537" s="32">
        <f t="shared" si="2"/>
        <v>0</v>
      </c>
      <c r="O537" s="49"/>
      <c r="P537" s="32">
        <f t="array" ref="P537">_xlfn.XLOOKUP($B537, DB[samplingPoint], DB[Criteria])</f>
        <v>100</v>
      </c>
      <c r="Q537" s="50" t="str">
        <f t="shared" si="3"/>
        <v>PASSED</v>
      </c>
      <c r="R537" s="38" t="b">
        <v>0</v>
      </c>
      <c r="S537" s="35" t="s">
        <v>31</v>
      </c>
      <c r="T537" s="39" t="s">
        <v>386</v>
      </c>
      <c r="U537" s="32" t="s">
        <v>304</v>
      </c>
    </row>
    <row r="538" ht="22.5" customHeight="1">
      <c r="A538" s="26">
        <v>46122.0</v>
      </c>
      <c r="B538" s="58" t="s">
        <v>410</v>
      </c>
      <c r="C538" s="32" t="str">
        <f t="array" ref="C538">_xlfn.XLOOKUP(B538, DB[samplingPoint], DB[samplingTag])</f>
        <v>DV116.22</v>
      </c>
      <c r="D538" s="33" t="s">
        <v>500</v>
      </c>
      <c r="E538" s="38" t="b">
        <v>1</v>
      </c>
      <c r="F538" s="39" t="str">
        <f t="array" ref="F538">_xlfn.XLOOKUP($B538, DB[samplingPoint], DB[noLocation])</f>
        <v>10-3-152</v>
      </c>
      <c r="G538" s="33" t="s">
        <v>180</v>
      </c>
      <c r="H538" s="40" t="str">
        <f t="array" ref="H538">_xlfn.XLOOKUP($B538, DB[samplingPoint], DB[location])</f>
        <v>WASHING-P</v>
      </c>
      <c r="I538" s="39" t="str">
        <f t="array" ref="I538">_xlfn.XLOOKUP($B538, DB[samplingPoint], DB[waterType])</f>
        <v>PW</v>
      </c>
      <c r="J538" s="43">
        <f t="shared" si="1"/>
        <v>46123</v>
      </c>
      <c r="K538" s="26">
        <v>46127.0</v>
      </c>
      <c r="L538" s="32">
        <v>0.0</v>
      </c>
      <c r="M538" s="32">
        <v>0.0</v>
      </c>
      <c r="N538" s="32">
        <f t="shared" si="2"/>
        <v>0</v>
      </c>
      <c r="O538" s="49"/>
      <c r="P538" s="32">
        <f t="array" ref="P538">_xlfn.XLOOKUP($B538, DB[samplingPoint], DB[Criteria])</f>
        <v>100</v>
      </c>
      <c r="Q538" s="50" t="str">
        <f t="shared" si="3"/>
        <v>PASSED</v>
      </c>
      <c r="R538" s="38" t="b">
        <v>0</v>
      </c>
      <c r="S538" s="35" t="s">
        <v>31</v>
      </c>
      <c r="T538" s="39" t="s">
        <v>386</v>
      </c>
      <c r="U538" s="32" t="s">
        <v>304</v>
      </c>
    </row>
    <row r="539" ht="22.5" customHeight="1">
      <c r="A539" s="26">
        <v>46122.0</v>
      </c>
      <c r="B539" s="27" t="s">
        <v>414</v>
      </c>
      <c r="C539" s="32" t="str">
        <f t="array" ref="C539">_xlfn.XLOOKUP(B539, DB[samplingPoint], DB[samplingTag])</f>
        <v>SV116.13</v>
      </c>
      <c r="D539" s="33" t="s">
        <v>500</v>
      </c>
      <c r="E539" s="38" t="b">
        <v>1</v>
      </c>
      <c r="F539" s="39" t="str">
        <f t="array" ref="F539">_xlfn.XLOOKUP($B539, DB[samplingPoint], DB[noLocation])</f>
        <v>10-3-152</v>
      </c>
      <c r="G539" s="33" t="s">
        <v>180</v>
      </c>
      <c r="H539" s="40" t="str">
        <f t="array" ref="H539">_xlfn.XLOOKUP($B539, DB[samplingPoint], DB[location])</f>
        <v>WASHING-P</v>
      </c>
      <c r="I539" s="39" t="str">
        <f t="array" ref="I539">_xlfn.XLOOKUP($B539, DB[samplingPoint], DB[waterType])</f>
        <v>PW</v>
      </c>
      <c r="J539" s="43">
        <f t="shared" si="1"/>
        <v>46123</v>
      </c>
      <c r="K539" s="26">
        <v>46127.0</v>
      </c>
      <c r="L539" s="32">
        <v>0.0</v>
      </c>
      <c r="M539" s="32">
        <v>0.0</v>
      </c>
      <c r="N539" s="32">
        <f t="shared" si="2"/>
        <v>0</v>
      </c>
      <c r="O539" s="49"/>
      <c r="P539" s="32">
        <f t="array" ref="P539">_xlfn.XLOOKUP($B539, DB[samplingPoint], DB[Criteria])</f>
        <v>100</v>
      </c>
      <c r="Q539" s="50" t="str">
        <f t="shared" si="3"/>
        <v>PASSED</v>
      </c>
      <c r="R539" s="38" t="b">
        <v>0</v>
      </c>
      <c r="S539" s="35" t="s">
        <v>31</v>
      </c>
      <c r="T539" s="39" t="s">
        <v>386</v>
      </c>
      <c r="U539" s="32" t="s">
        <v>304</v>
      </c>
    </row>
    <row r="540" ht="22.5" customHeight="1">
      <c r="A540" s="26">
        <v>46122.0</v>
      </c>
      <c r="B540" s="58" t="s">
        <v>417</v>
      </c>
      <c r="C540" s="32" t="str">
        <f t="array" ref="C540">_xlfn.XLOOKUP(B540, DB[samplingPoint], DB[samplingTag])</f>
        <v>DV116.20</v>
      </c>
      <c r="D540" s="33" t="s">
        <v>500</v>
      </c>
      <c r="E540" s="38" t="b">
        <v>1</v>
      </c>
      <c r="F540" s="39" t="str">
        <f t="array" ref="F540">_xlfn.XLOOKUP($B540, DB[samplingPoint], DB[noLocation])</f>
        <v>10-3-149</v>
      </c>
      <c r="G540" s="33" t="s">
        <v>180</v>
      </c>
      <c r="H540" s="40" t="str">
        <f t="array" ref="H540">_xlfn.XLOOKUP($B540, DB[samplingPoint], DB[location])</f>
        <v>IPQC-1-P</v>
      </c>
      <c r="I540" s="39" t="str">
        <f t="array" ref="I540">_xlfn.XLOOKUP($B540, DB[samplingPoint], DB[waterType])</f>
        <v>PW</v>
      </c>
      <c r="J540" s="43">
        <f t="shared" si="1"/>
        <v>46123</v>
      </c>
      <c r="K540" s="26">
        <v>46127.0</v>
      </c>
      <c r="L540" s="32">
        <v>0.0</v>
      </c>
      <c r="M540" s="32">
        <v>0.0</v>
      </c>
      <c r="N540" s="32">
        <f t="shared" si="2"/>
        <v>0</v>
      </c>
      <c r="O540" s="49"/>
      <c r="P540" s="32">
        <f t="array" ref="P540">_xlfn.XLOOKUP($B540, DB[samplingPoint], DB[Criteria])</f>
        <v>100</v>
      </c>
      <c r="Q540" s="50" t="str">
        <f t="shared" si="3"/>
        <v>PASSED</v>
      </c>
      <c r="R540" s="38" t="b">
        <v>0</v>
      </c>
      <c r="S540" s="35" t="s">
        <v>31</v>
      </c>
      <c r="T540" s="39" t="s">
        <v>386</v>
      </c>
      <c r="U540" s="32" t="s">
        <v>304</v>
      </c>
    </row>
    <row r="541" ht="22.5" customHeight="1">
      <c r="A541" s="26">
        <v>46122.0</v>
      </c>
      <c r="B541" s="27" t="s">
        <v>421</v>
      </c>
      <c r="C541" s="32" t="str">
        <f t="array" ref="C541">_xlfn.XLOOKUP(B541, DB[samplingPoint], DB[samplingTag])</f>
        <v>DV116.19</v>
      </c>
      <c r="D541" s="33" t="s">
        <v>500</v>
      </c>
      <c r="E541" s="38" t="b">
        <v>1</v>
      </c>
      <c r="F541" s="39" t="str">
        <f t="array" ref="F541">_xlfn.XLOOKUP($B541, DB[samplingPoint], DB[noLocation])</f>
        <v>10-3-143</v>
      </c>
      <c r="G541" s="33" t="s">
        <v>180</v>
      </c>
      <c r="H541" s="40" t="str">
        <f t="array" ref="H541">_xlfn.XLOOKUP($B541, DB[samplingPoint], DB[location])</f>
        <v>COATING SOLUTION PREP.-P</v>
      </c>
      <c r="I541" s="39" t="str">
        <f t="array" ref="I541">_xlfn.XLOOKUP($B541, DB[samplingPoint], DB[waterType])</f>
        <v>PW</v>
      </c>
      <c r="J541" s="43">
        <f t="shared" si="1"/>
        <v>46123</v>
      </c>
      <c r="K541" s="26">
        <v>46127.0</v>
      </c>
      <c r="L541" s="32">
        <v>0.0</v>
      </c>
      <c r="M541" s="32">
        <v>0.0</v>
      </c>
      <c r="N541" s="32">
        <f t="shared" si="2"/>
        <v>0</v>
      </c>
      <c r="O541" s="49"/>
      <c r="P541" s="32">
        <f t="array" ref="P541">_xlfn.XLOOKUP($B541, DB[samplingPoint], DB[Criteria])</f>
        <v>100</v>
      </c>
      <c r="Q541" s="50" t="str">
        <f t="shared" si="3"/>
        <v>PASSED</v>
      </c>
      <c r="R541" s="38" t="b">
        <v>0</v>
      </c>
      <c r="S541" s="35" t="s">
        <v>31</v>
      </c>
      <c r="T541" s="39" t="s">
        <v>386</v>
      </c>
      <c r="U541" s="32" t="s">
        <v>304</v>
      </c>
    </row>
    <row r="542" ht="22.5" customHeight="1">
      <c r="A542" s="26">
        <v>46122.0</v>
      </c>
      <c r="B542" s="58" t="s">
        <v>423</v>
      </c>
      <c r="C542" s="32" t="str">
        <f t="array" ref="C542">_xlfn.XLOOKUP(B542, DB[samplingPoint], DB[samplingTag])</f>
        <v>SV116.12</v>
      </c>
      <c r="D542" s="33" t="s">
        <v>500</v>
      </c>
      <c r="E542" s="38" t="b">
        <v>1</v>
      </c>
      <c r="F542" s="39" t="str">
        <f t="array" ref="F542">_xlfn.XLOOKUP($B542, DB[samplingPoint], DB[noLocation])</f>
        <v>10-3-144</v>
      </c>
      <c r="G542" s="33" t="s">
        <v>180</v>
      </c>
      <c r="H542" s="40" t="str">
        <f t="array" ref="H542">_xlfn.XLOOKUP($B542, DB[samplingPoint], DB[location])</f>
        <v>COATING-P</v>
      </c>
      <c r="I542" s="39" t="str">
        <f t="array" ref="I542">_xlfn.XLOOKUP($B542, DB[samplingPoint], DB[waterType])</f>
        <v>PW</v>
      </c>
      <c r="J542" s="43">
        <f t="shared" si="1"/>
        <v>46123</v>
      </c>
      <c r="K542" s="26">
        <v>46127.0</v>
      </c>
      <c r="L542" s="32">
        <v>0.0</v>
      </c>
      <c r="M542" s="32">
        <v>0.0</v>
      </c>
      <c r="N542" s="32">
        <f t="shared" si="2"/>
        <v>0</v>
      </c>
      <c r="O542" s="49"/>
      <c r="P542" s="32">
        <f t="array" ref="P542">_xlfn.XLOOKUP($B542, DB[samplingPoint], DB[Criteria])</f>
        <v>100</v>
      </c>
      <c r="Q542" s="50" t="str">
        <f t="shared" si="3"/>
        <v>PASSED</v>
      </c>
      <c r="R542" s="38" t="b">
        <v>0</v>
      </c>
      <c r="S542" s="35" t="s">
        <v>31</v>
      </c>
      <c r="T542" s="39" t="s">
        <v>386</v>
      </c>
      <c r="U542" s="32" t="s">
        <v>304</v>
      </c>
    </row>
    <row r="543" ht="22.5" customHeight="1">
      <c r="A543" s="26">
        <v>46122.0</v>
      </c>
      <c r="B543" s="48" t="s">
        <v>541</v>
      </c>
      <c r="C543" s="32" t="str">
        <f t="array" ref="C543">_xlfn.XLOOKUP(B543, DB[samplingPoint], DB[samplingTag])</f>
        <v>SV116.08</v>
      </c>
      <c r="D543" s="33" t="s">
        <v>500</v>
      </c>
      <c r="E543" s="38" t="b">
        <v>1</v>
      </c>
      <c r="F543" s="39" t="str">
        <f t="array" ref="F543">_xlfn.XLOOKUP($B543, DB[samplingPoint], DB[noLocation])</f>
        <v>10-3-067</v>
      </c>
      <c r="G543" s="33" t="s">
        <v>180</v>
      </c>
      <c r="H543" s="40" t="str">
        <f t="array" ref="H543">_xlfn.XLOOKUP($B543, DB[samplingPoint], DB[location])</f>
        <v>COATING ROOM-6</v>
      </c>
      <c r="I543" s="39" t="str">
        <f t="array" ref="I543">_xlfn.XLOOKUP($B543, DB[samplingPoint], DB[waterType])</f>
        <v>PW</v>
      </c>
      <c r="J543" s="43">
        <f t="shared" si="1"/>
        <v>46123</v>
      </c>
      <c r="K543" s="26">
        <v>46127.0</v>
      </c>
      <c r="L543" s="32">
        <v>0.0</v>
      </c>
      <c r="M543" s="32">
        <v>0.0</v>
      </c>
      <c r="N543" s="32">
        <f t="shared" si="2"/>
        <v>0</v>
      </c>
      <c r="O543" s="49"/>
      <c r="P543" s="32">
        <f t="array" ref="P543">_xlfn.XLOOKUP($B543, DB[samplingPoint], DB[Criteria])</f>
        <v>100</v>
      </c>
      <c r="Q543" s="50" t="str">
        <f t="shared" si="3"/>
        <v>PASSED</v>
      </c>
      <c r="R543" s="38" t="b">
        <v>0</v>
      </c>
      <c r="S543" s="35" t="s">
        <v>31</v>
      </c>
      <c r="T543" s="39" t="s">
        <v>386</v>
      </c>
      <c r="U543" s="32" t="s">
        <v>304</v>
      </c>
    </row>
    <row r="544" ht="22.5" customHeight="1">
      <c r="A544" s="26">
        <v>46122.0</v>
      </c>
      <c r="B544" s="48" t="s">
        <v>532</v>
      </c>
      <c r="C544" s="32" t="str">
        <f t="array" ref="C544">_xlfn.XLOOKUP(B544, DB[samplingPoint], DB[samplingTag])</f>
        <v>DV116.11</v>
      </c>
      <c r="D544" s="33" t="s">
        <v>500</v>
      </c>
      <c r="E544" s="38" t="b">
        <v>1</v>
      </c>
      <c r="F544" s="39" t="str">
        <f t="array" ref="F544">_xlfn.XLOOKUP($B544, DB[samplingPoint], DB[noLocation])</f>
        <v>10-3-066</v>
      </c>
      <c r="G544" s="33" t="s">
        <v>180</v>
      </c>
      <c r="H544" s="40" t="str">
        <f t="array" ref="H544">_xlfn.XLOOKUP($B544, DB[samplingPoint], DB[location])</f>
        <v>COATING SOLUTION PREP.-4</v>
      </c>
      <c r="I544" s="39" t="str">
        <f t="array" ref="I544">_xlfn.XLOOKUP($B544, DB[samplingPoint], DB[waterType])</f>
        <v>PW</v>
      </c>
      <c r="J544" s="43">
        <f t="shared" si="1"/>
        <v>46123</v>
      </c>
      <c r="K544" s="26">
        <v>46127.0</v>
      </c>
      <c r="L544" s="32">
        <v>0.0</v>
      </c>
      <c r="M544" s="32">
        <v>0.0</v>
      </c>
      <c r="N544" s="32">
        <f t="shared" si="2"/>
        <v>0</v>
      </c>
      <c r="O544" s="49"/>
      <c r="P544" s="32">
        <f t="array" ref="P544">_xlfn.XLOOKUP($B544, DB[samplingPoint], DB[Criteria])</f>
        <v>100</v>
      </c>
      <c r="Q544" s="50" t="str">
        <f t="shared" si="3"/>
        <v>PASSED</v>
      </c>
      <c r="R544" s="38" t="b">
        <v>0</v>
      </c>
      <c r="S544" s="35" t="s">
        <v>31</v>
      </c>
      <c r="T544" s="39" t="s">
        <v>386</v>
      </c>
      <c r="U544" s="32" t="s">
        <v>304</v>
      </c>
    </row>
    <row r="545" ht="22.5" customHeight="1">
      <c r="A545" s="26">
        <v>46122.0</v>
      </c>
      <c r="B545" s="48" t="s">
        <v>531</v>
      </c>
      <c r="C545" s="32" t="str">
        <f t="array" ref="C545">_xlfn.XLOOKUP(B545, DB[samplingPoint], DB[samplingTag])</f>
        <v>DV116.10</v>
      </c>
      <c r="D545" s="33" t="s">
        <v>500</v>
      </c>
      <c r="E545" s="38" t="b">
        <v>1</v>
      </c>
      <c r="F545" s="39" t="str">
        <f t="array" ref="F545">_xlfn.XLOOKUP($B545, DB[samplingPoint], DB[noLocation])</f>
        <v>10-3-065</v>
      </c>
      <c r="G545" s="33" t="s">
        <v>180</v>
      </c>
      <c r="H545" s="40" t="str">
        <f t="array" ref="H545">_xlfn.XLOOKUP($B545, DB[samplingPoint], DB[location])</f>
        <v>COATING SOLUTION PREP.-3</v>
      </c>
      <c r="I545" s="39" t="str">
        <f t="array" ref="I545">_xlfn.XLOOKUP($B545, DB[samplingPoint], DB[waterType])</f>
        <v>PW</v>
      </c>
      <c r="J545" s="43">
        <f t="shared" si="1"/>
        <v>46123</v>
      </c>
      <c r="K545" s="26">
        <v>46127.0</v>
      </c>
      <c r="L545" s="32">
        <v>0.0</v>
      </c>
      <c r="M545" s="32">
        <v>0.0</v>
      </c>
      <c r="N545" s="32">
        <f t="shared" si="2"/>
        <v>0</v>
      </c>
      <c r="O545" s="49"/>
      <c r="P545" s="32">
        <f t="array" ref="P545">_xlfn.XLOOKUP($B545, DB[samplingPoint], DB[Criteria])</f>
        <v>100</v>
      </c>
      <c r="Q545" s="50" t="str">
        <f t="shared" si="3"/>
        <v>PASSED</v>
      </c>
      <c r="R545" s="38" t="b">
        <v>0</v>
      </c>
      <c r="S545" s="35" t="s">
        <v>31</v>
      </c>
      <c r="T545" s="39" t="s">
        <v>386</v>
      </c>
      <c r="U545" s="32" t="s">
        <v>304</v>
      </c>
    </row>
    <row r="546" ht="22.5" customHeight="1">
      <c r="A546" s="26">
        <v>46122.0</v>
      </c>
      <c r="B546" s="48" t="s">
        <v>539</v>
      </c>
      <c r="C546" s="32" t="str">
        <f t="array" ref="C546">_xlfn.XLOOKUP(B546, DB[samplingPoint], DB[samplingTag])</f>
        <v>SV116.07</v>
      </c>
      <c r="D546" s="33" t="s">
        <v>500</v>
      </c>
      <c r="E546" s="38" t="b">
        <v>1</v>
      </c>
      <c r="F546" s="39" t="str">
        <f t="array" ref="F546">_xlfn.XLOOKUP($B546, DB[samplingPoint], DB[noLocation])</f>
        <v>10-3-064</v>
      </c>
      <c r="G546" s="33" t="s">
        <v>180</v>
      </c>
      <c r="H546" s="40" t="str">
        <f t="array" ref="H546">_xlfn.XLOOKUP($B546, DB[samplingPoint], DB[location])</f>
        <v>COATING ROOM-5</v>
      </c>
      <c r="I546" s="39" t="str">
        <f t="array" ref="I546">_xlfn.XLOOKUP($B546, DB[samplingPoint], DB[waterType])</f>
        <v>PW</v>
      </c>
      <c r="J546" s="43">
        <f t="shared" si="1"/>
        <v>46123</v>
      </c>
      <c r="K546" s="26">
        <v>46127.0</v>
      </c>
      <c r="L546" s="32">
        <v>0.0</v>
      </c>
      <c r="M546" s="32">
        <v>0.0</v>
      </c>
      <c r="N546" s="32">
        <f t="shared" si="2"/>
        <v>0</v>
      </c>
      <c r="O546" s="49"/>
      <c r="P546" s="32">
        <f t="array" ref="P546">_xlfn.XLOOKUP($B546, DB[samplingPoint], DB[Criteria])</f>
        <v>100</v>
      </c>
      <c r="Q546" s="50" t="str">
        <f t="shared" si="3"/>
        <v>PASSED</v>
      </c>
      <c r="R546" s="38" t="b">
        <v>0</v>
      </c>
      <c r="S546" s="35" t="s">
        <v>31</v>
      </c>
      <c r="T546" s="39" t="s">
        <v>386</v>
      </c>
      <c r="U546" s="32" t="s">
        <v>304</v>
      </c>
    </row>
    <row r="547" ht="22.5" customHeight="1">
      <c r="A547" s="26">
        <v>46122.0</v>
      </c>
      <c r="B547" s="48" t="s">
        <v>538</v>
      </c>
      <c r="C547" s="32" t="str">
        <f t="array" ref="C547">_xlfn.XLOOKUP(B547, DB[samplingPoint], DB[samplingTag])</f>
        <v>SV116.06</v>
      </c>
      <c r="D547" s="33" t="s">
        <v>500</v>
      </c>
      <c r="E547" s="38" t="b">
        <v>1</v>
      </c>
      <c r="F547" s="39" t="str">
        <f t="array" ref="F547">_xlfn.XLOOKUP($B547, DB[samplingPoint], DB[noLocation])</f>
        <v>10-3-063</v>
      </c>
      <c r="G547" s="33" t="s">
        <v>180</v>
      </c>
      <c r="H547" s="40" t="str">
        <f t="array" ref="H547">_xlfn.XLOOKUP($B547, DB[samplingPoint], DB[location])</f>
        <v>COATING ROOM-4</v>
      </c>
      <c r="I547" s="39" t="str">
        <f t="array" ref="I547">_xlfn.XLOOKUP($B547, DB[samplingPoint], DB[waterType])</f>
        <v>PW</v>
      </c>
      <c r="J547" s="43">
        <f t="shared" si="1"/>
        <v>46123</v>
      </c>
      <c r="K547" s="26">
        <v>46127.0</v>
      </c>
      <c r="L547" s="32">
        <v>0.0</v>
      </c>
      <c r="M547" s="32">
        <v>0.0</v>
      </c>
      <c r="N547" s="32">
        <f t="shared" si="2"/>
        <v>0</v>
      </c>
      <c r="O547" s="49"/>
      <c r="P547" s="32">
        <f t="array" ref="P547">_xlfn.XLOOKUP($B547, DB[samplingPoint], DB[Criteria])</f>
        <v>100</v>
      </c>
      <c r="Q547" s="50" t="str">
        <f t="shared" si="3"/>
        <v>PASSED</v>
      </c>
      <c r="R547" s="38" t="b">
        <v>0</v>
      </c>
      <c r="S547" s="35" t="s">
        <v>31</v>
      </c>
      <c r="T547" s="39" t="s">
        <v>386</v>
      </c>
      <c r="U547" s="32" t="s">
        <v>304</v>
      </c>
    </row>
    <row r="548" ht="22.5" customHeight="1">
      <c r="A548" s="26">
        <v>46122.0</v>
      </c>
      <c r="B548" s="48" t="s">
        <v>425</v>
      </c>
      <c r="C548" s="32" t="str">
        <f t="array" ref="C548">_xlfn.XLOOKUP(B548, DB[samplingPoint], DB[samplingTag])</f>
        <v>DV116.02</v>
      </c>
      <c r="D548" s="33" t="s">
        <v>500</v>
      </c>
      <c r="E548" s="38" t="b">
        <v>1</v>
      </c>
      <c r="F548" s="39" t="str">
        <f t="array" ref="F548">_xlfn.XLOOKUP($B548, DB[samplingPoint], DB[noLocation])</f>
        <v>10-1-115</v>
      </c>
      <c r="G548" s="33" t="s">
        <v>180</v>
      </c>
      <c r="H548" s="40" t="str">
        <f t="array" ref="H548">_xlfn.XLOOKUP($B548, DB[samplingPoint], DB[location])</f>
        <v>WASHING</v>
      </c>
      <c r="I548" s="39" t="str">
        <f t="array" ref="I548">_xlfn.XLOOKUP($B548, DB[samplingPoint], DB[waterType])</f>
        <v>PW</v>
      </c>
      <c r="J548" s="43">
        <f t="shared" si="1"/>
        <v>46123</v>
      </c>
      <c r="K548" s="26">
        <v>46127.0</v>
      </c>
      <c r="L548" s="32">
        <v>0.0</v>
      </c>
      <c r="M548" s="32">
        <v>0.0</v>
      </c>
      <c r="N548" s="32">
        <f t="shared" si="2"/>
        <v>0</v>
      </c>
      <c r="O548" s="49"/>
      <c r="P548" s="32">
        <f t="array" ref="P548">_xlfn.XLOOKUP($B548, DB[samplingPoint], DB[Criteria])</f>
        <v>100</v>
      </c>
      <c r="Q548" s="50" t="str">
        <f t="shared" si="3"/>
        <v>PASSED</v>
      </c>
      <c r="R548" s="38" t="b">
        <v>0</v>
      </c>
      <c r="S548" s="35" t="s">
        <v>31</v>
      </c>
      <c r="T548" s="39" t="s">
        <v>386</v>
      </c>
      <c r="U548" s="32" t="s">
        <v>304</v>
      </c>
    </row>
    <row r="549" ht="22.5" customHeight="1">
      <c r="A549" s="26">
        <v>46122.0</v>
      </c>
      <c r="B549" s="48" t="s">
        <v>428</v>
      </c>
      <c r="C549" s="32" t="str">
        <f t="array" ref="C549">_xlfn.XLOOKUP(B549, DB[samplingPoint], DB[samplingTag])</f>
        <v>DV116.01</v>
      </c>
      <c r="D549" s="33" t="s">
        <v>500</v>
      </c>
      <c r="E549" s="38" t="b">
        <v>1</v>
      </c>
      <c r="F549" s="39" t="str">
        <f t="array" ref="F549">_xlfn.XLOOKUP($B549, DB[samplingPoint], DB[noLocation])</f>
        <v>10-1-057</v>
      </c>
      <c r="G549" s="33" t="s">
        <v>180</v>
      </c>
      <c r="H549" s="40" t="str">
        <f t="array" ref="H549">_xlfn.XLOOKUP($B549, DB[samplingPoint], DB[location])</f>
        <v>WASHING-P</v>
      </c>
      <c r="I549" s="39" t="str">
        <f t="array" ref="I549">_xlfn.XLOOKUP($B549, DB[samplingPoint], DB[waterType])</f>
        <v>PW</v>
      </c>
      <c r="J549" s="43">
        <f t="shared" si="1"/>
        <v>46123</v>
      </c>
      <c r="K549" s="26">
        <v>46127.0</v>
      </c>
      <c r="L549" s="32">
        <v>3.0</v>
      </c>
      <c r="M549" s="32">
        <v>0.0</v>
      </c>
      <c r="N549" s="32">
        <f t="shared" si="2"/>
        <v>2</v>
      </c>
      <c r="O549" s="49"/>
      <c r="P549" s="32">
        <f t="array" ref="P549">_xlfn.XLOOKUP($B549, DB[samplingPoint], DB[Criteria])</f>
        <v>100</v>
      </c>
      <c r="Q549" s="50" t="str">
        <f t="shared" si="3"/>
        <v>PASSED</v>
      </c>
      <c r="R549" s="38" t="b">
        <v>0</v>
      </c>
      <c r="S549" s="35" t="s">
        <v>31</v>
      </c>
      <c r="T549" s="39" t="s">
        <v>386</v>
      </c>
      <c r="U549" s="32" t="s">
        <v>304</v>
      </c>
    </row>
    <row r="550" ht="22.5" customHeight="1">
      <c r="A550" s="26">
        <v>46122.0</v>
      </c>
      <c r="B550" s="48" t="s">
        <v>575</v>
      </c>
      <c r="C550" s="32" t="str">
        <f t="array" ref="C550">_xlfn.XLOOKUP(B550, DB[samplingPoint], DB[samplingTag])</f>
        <v>#N/A</v>
      </c>
      <c r="D550" s="108"/>
      <c r="E550" s="38" t="b">
        <v>1</v>
      </c>
      <c r="F550" s="39" t="str">
        <f t="array" ref="F550">_xlfn.XLOOKUP($B550, DB[samplingPoint], DB[noLocation])</f>
        <v>#N/A</v>
      </c>
      <c r="G550" s="108"/>
      <c r="H550" s="40" t="str">
        <f t="array" ref="H550">_xlfn.XLOOKUP($B550, DB[samplingPoint], DB[location])</f>
        <v>#N/A</v>
      </c>
      <c r="I550" s="39" t="str">
        <f t="array" ref="I550">_xlfn.XLOOKUP($B550, DB[samplingPoint], DB[waterType])</f>
        <v>#N/A</v>
      </c>
      <c r="J550" s="43">
        <f t="shared" si="1"/>
        <v>46123</v>
      </c>
      <c r="K550" s="26">
        <v>46127.0</v>
      </c>
      <c r="L550" s="32">
        <v>0.0</v>
      </c>
      <c r="M550" s="32">
        <v>0.0</v>
      </c>
      <c r="N550" s="32">
        <f t="shared" si="2"/>
        <v>0</v>
      </c>
      <c r="O550" s="49"/>
      <c r="P550" s="32" t="str">
        <f t="array" ref="P550">_xlfn.XLOOKUP($B550, DB[samplingPoint], DB[Criteria])</f>
        <v>#N/A</v>
      </c>
      <c r="Q550" s="50" t="str">
        <f t="shared" si="3"/>
        <v>NA</v>
      </c>
      <c r="R550" s="38" t="b">
        <v>0</v>
      </c>
      <c r="S550" s="35" t="s">
        <v>34</v>
      </c>
      <c r="T550" s="39" t="s">
        <v>386</v>
      </c>
      <c r="U550" s="32" t="s">
        <v>304</v>
      </c>
    </row>
    <row r="551" ht="22.5" customHeight="1">
      <c r="A551" s="112">
        <v>46133.0</v>
      </c>
      <c r="B551" s="113" t="s">
        <v>471</v>
      </c>
      <c r="C551" s="32" t="str">
        <f t="array" ref="C551">_xlfn.XLOOKUP(B551, DB[samplingPoint], DB[samplingTag])</f>
        <v>VB-05 (16)</v>
      </c>
      <c r="D551" s="33" t="s">
        <v>364</v>
      </c>
      <c r="E551" s="38" t="b">
        <v>1</v>
      </c>
      <c r="F551" s="39" t="str">
        <f t="array" ref="F551">_xlfn.XLOOKUP($B551, DB[samplingPoint], DB[noLocation])</f>
        <v>WATER SYSTEM (B16)</v>
      </c>
      <c r="G551" s="33" t="s">
        <v>327</v>
      </c>
      <c r="H551" s="40" t="str">
        <f t="array" ref="H551">_xlfn.XLOOKUP($B551, DB[samplingPoint], DB[location])</f>
        <v>After Chlorine circulation tank (B16)</v>
      </c>
      <c r="I551" s="39" t="str">
        <f t="array" ref="I551">_xlfn.XLOOKUP($B551, DB[samplingPoint], DB[waterType])</f>
        <v>PRW</v>
      </c>
      <c r="J551" s="43">
        <f t="shared" si="1"/>
        <v>46134</v>
      </c>
      <c r="K551" s="26">
        <v>46137.0</v>
      </c>
      <c r="L551" s="32">
        <v>0.0</v>
      </c>
      <c r="M551" s="32">
        <v>0.0</v>
      </c>
      <c r="N551" s="32">
        <f t="shared" si="2"/>
        <v>0</v>
      </c>
      <c r="O551" s="49"/>
      <c r="P551" s="32">
        <f t="array" ref="P551">_xlfn.XLOOKUP($B551, DB[samplingPoint], DB[Criteria])</f>
        <v>500</v>
      </c>
      <c r="Q551" s="50" t="str">
        <f t="shared" si="3"/>
        <v>PASSED</v>
      </c>
      <c r="R551" s="38" t="b">
        <v>0</v>
      </c>
      <c r="S551" s="35" t="s">
        <v>1021</v>
      </c>
      <c r="T551" s="39" t="s">
        <v>386</v>
      </c>
      <c r="U551" s="32" t="s">
        <v>381</v>
      </c>
    </row>
    <row r="552" ht="22.5" customHeight="1">
      <c r="A552" s="26">
        <v>46133.0</v>
      </c>
      <c r="B552" s="27" t="s">
        <v>470</v>
      </c>
      <c r="C552" s="32" t="str">
        <f t="array" ref="C552">_xlfn.XLOOKUP(B552, DB[samplingPoint], DB[samplingTag])</f>
        <v>V50-61 (16)</v>
      </c>
      <c r="D552" s="33" t="s">
        <v>364</v>
      </c>
      <c r="E552" s="38" t="b">
        <v>1</v>
      </c>
      <c r="F552" s="39" t="str">
        <f t="array" ref="F552">_xlfn.XLOOKUP($B552, DB[samplingPoint], DB[noLocation])</f>
        <v>WATER SYSTEM (B16)</v>
      </c>
      <c r="G552" s="33" t="s">
        <v>327</v>
      </c>
      <c r="H552" s="40" t="str">
        <f t="array" ref="H552">_xlfn.XLOOKUP($B552, DB[samplingPoint], DB[location])</f>
        <v>After Cartridge filter 5 µm (B16)</v>
      </c>
      <c r="I552" s="39" t="str">
        <f t="array" ref="I552">_xlfn.XLOOKUP($B552, DB[samplingPoint], DB[waterType])</f>
        <v>PRW</v>
      </c>
      <c r="J552" s="43">
        <f t="shared" si="1"/>
        <v>46134</v>
      </c>
      <c r="K552" s="26">
        <v>46137.0</v>
      </c>
      <c r="L552" s="32">
        <v>321.0</v>
      </c>
      <c r="M552" s="32">
        <v>340.0</v>
      </c>
      <c r="N552" s="32">
        <f t="shared" si="2"/>
        <v>331</v>
      </c>
      <c r="O552" s="49"/>
      <c r="P552" s="32">
        <f t="array" ref="P552">_xlfn.XLOOKUP($B552, DB[samplingPoint], DB[Criteria])</f>
        <v>500</v>
      </c>
      <c r="Q552" s="50" t="str">
        <f t="shared" si="3"/>
        <v>PASSED</v>
      </c>
      <c r="R552" s="38" t="b">
        <v>0</v>
      </c>
      <c r="S552" s="35" t="s">
        <v>1021</v>
      </c>
      <c r="T552" s="39" t="s">
        <v>386</v>
      </c>
      <c r="U552" s="32" t="s">
        <v>381</v>
      </c>
    </row>
    <row r="553" ht="22.5" customHeight="1">
      <c r="A553" s="26">
        <v>46133.0</v>
      </c>
      <c r="B553" s="58" t="s">
        <v>466</v>
      </c>
      <c r="C553" s="32" t="str">
        <f t="array" ref="C553">_xlfn.XLOOKUP(B553, DB[samplingPoint], DB[samplingTag])</f>
        <v>V50-11C (16)</v>
      </c>
      <c r="D553" s="33" t="s">
        <v>364</v>
      </c>
      <c r="E553" s="38" t="b">
        <v>1</v>
      </c>
      <c r="F553" s="39" t="str">
        <f t="array" ref="F553">_xlfn.XLOOKUP($B553, DB[samplingPoint], DB[noLocation])</f>
        <v>WATER SYSTEM (B16)</v>
      </c>
      <c r="G553" s="33" t="s">
        <v>327</v>
      </c>
      <c r="H553" s="40" t="str">
        <f t="array" ref="H553">_xlfn.XLOOKUP($B553, DB[samplingPoint], DB[location])</f>
        <v>After RO (Before EDI) (B16)</v>
      </c>
      <c r="I553" s="39" t="str">
        <f t="array" ref="I553">_xlfn.XLOOKUP($B553, DB[samplingPoint], DB[waterType])</f>
        <v>RO water</v>
      </c>
      <c r="J553" s="43">
        <f t="shared" si="1"/>
        <v>46134</v>
      </c>
      <c r="K553" s="26">
        <v>46137.0</v>
      </c>
      <c r="L553" s="32">
        <v>0.0</v>
      </c>
      <c r="M553" s="32">
        <v>0.0</v>
      </c>
      <c r="N553" s="32">
        <f t="shared" si="2"/>
        <v>0</v>
      </c>
      <c r="O553" s="49"/>
      <c r="P553" s="32">
        <f t="array" ref="P553">_xlfn.XLOOKUP($B553, DB[samplingPoint], DB[Criteria])</f>
        <v>500</v>
      </c>
      <c r="Q553" s="50" t="str">
        <f t="shared" si="3"/>
        <v>PASSED</v>
      </c>
      <c r="R553" s="38" t="b">
        <v>0</v>
      </c>
      <c r="S553" s="35" t="s">
        <v>1021</v>
      </c>
      <c r="T553" s="39" t="s">
        <v>386</v>
      </c>
      <c r="U553" s="32" t="s">
        <v>381</v>
      </c>
    </row>
    <row r="554" ht="22.5" customHeight="1">
      <c r="A554" s="26">
        <v>46133.0</v>
      </c>
      <c r="B554" s="27" t="s">
        <v>468</v>
      </c>
      <c r="C554" s="32" t="str">
        <f t="array" ref="C554">_xlfn.XLOOKUP(B554, DB[samplingPoint], DB[samplingTag])</f>
        <v>V50-39 (16)</v>
      </c>
      <c r="D554" s="33" t="s">
        <v>364</v>
      </c>
      <c r="E554" s="38" t="b">
        <v>1</v>
      </c>
      <c r="F554" s="39" t="str">
        <f t="array" ref="F554">_xlfn.XLOOKUP($B554, DB[samplingPoint], DB[noLocation])</f>
        <v>WATER SYSTEM (B16)</v>
      </c>
      <c r="G554" s="33" t="s">
        <v>327</v>
      </c>
      <c r="H554" s="40" t="str">
        <f t="array" ref="H554">_xlfn.XLOOKUP($B554, DB[samplingPoint], DB[location])</f>
        <v>After EDI (B16)</v>
      </c>
      <c r="I554" s="39" t="str">
        <f t="array" ref="I554">_xlfn.XLOOKUP($B554, DB[samplingPoint], DB[waterType])</f>
        <v>PW</v>
      </c>
      <c r="J554" s="43">
        <f t="shared" si="1"/>
        <v>46134</v>
      </c>
      <c r="K554" s="26">
        <v>46137.0</v>
      </c>
      <c r="L554" s="32">
        <v>0.0</v>
      </c>
      <c r="M554" s="32">
        <v>0.0</v>
      </c>
      <c r="N554" s="32">
        <f t="shared" si="2"/>
        <v>0</v>
      </c>
      <c r="O554" s="49"/>
      <c r="P554" s="32">
        <f t="array" ref="P554">_xlfn.XLOOKUP($B554, DB[samplingPoint], DB[Criteria])</f>
        <v>100</v>
      </c>
      <c r="Q554" s="50" t="str">
        <f t="shared" si="3"/>
        <v>PASSED</v>
      </c>
      <c r="R554" s="38" t="b">
        <v>0</v>
      </c>
      <c r="S554" s="35" t="s">
        <v>1021</v>
      </c>
      <c r="T554" s="39" t="s">
        <v>386</v>
      </c>
      <c r="U554" s="32" t="s">
        <v>381</v>
      </c>
    </row>
    <row r="555" ht="22.5" customHeight="1">
      <c r="A555" s="26">
        <v>46133.0</v>
      </c>
      <c r="B555" s="90" t="s">
        <v>464</v>
      </c>
      <c r="C555" s="32" t="str">
        <f t="array" ref="C555">_xlfn.XLOOKUP(B555, DB[samplingPoint], DB[samplingTag])</f>
        <v>SV127.01</v>
      </c>
      <c r="D555" s="33" t="s">
        <v>364</v>
      </c>
      <c r="E555" s="38" t="b">
        <v>1</v>
      </c>
      <c r="F555" s="39" t="str">
        <f t="array" ref="F555">_xlfn.XLOOKUP($B555, DB[samplingPoint], DB[noLocation])</f>
        <v>WATER SYSTEM (B16)</v>
      </c>
      <c r="G555" s="33" t="s">
        <v>327</v>
      </c>
      <c r="H555" s="40" t="str">
        <f t="array" ref="H555">_xlfn.XLOOKUP($B555, DB[samplingPoint], DB[location])</f>
        <v>Return loop (B16)</v>
      </c>
      <c r="I555" s="39" t="str">
        <f t="array" ref="I555">_xlfn.XLOOKUP($B555, DB[samplingPoint], DB[waterType])</f>
        <v>PW</v>
      </c>
      <c r="J555" s="43">
        <f t="shared" si="1"/>
        <v>46134</v>
      </c>
      <c r="K555" s="26">
        <v>46137.0</v>
      </c>
      <c r="L555" s="32">
        <v>0.0</v>
      </c>
      <c r="M555" s="32">
        <v>0.0</v>
      </c>
      <c r="N555" s="32">
        <f t="shared" si="2"/>
        <v>0</v>
      </c>
      <c r="O555" s="49"/>
      <c r="P555" s="32">
        <f t="array" ref="P555">_xlfn.XLOOKUP($B555, DB[samplingPoint], DB[Criteria])</f>
        <v>100</v>
      </c>
      <c r="Q555" s="50" t="str">
        <f t="shared" si="3"/>
        <v>PASSED</v>
      </c>
      <c r="R555" s="38" t="b">
        <v>0</v>
      </c>
      <c r="S555" s="35" t="s">
        <v>1021</v>
      </c>
      <c r="T555" s="39" t="s">
        <v>386</v>
      </c>
      <c r="U555" s="32" t="s">
        <v>381</v>
      </c>
    </row>
    <row r="556" ht="22.5" customHeight="1">
      <c r="A556" s="26">
        <v>46133.0</v>
      </c>
      <c r="B556" s="48" t="s">
        <v>567</v>
      </c>
      <c r="C556" s="32" t="str">
        <f t="array" ref="C556">_xlfn.XLOOKUP(B556, DB[samplingPoint], DB[samplingTag])</f>
        <v>SV126.06</v>
      </c>
      <c r="D556" s="33" t="s">
        <v>364</v>
      </c>
      <c r="E556" s="38" t="b">
        <v>1</v>
      </c>
      <c r="F556" s="39" t="str">
        <f t="array" ref="F556">_xlfn.XLOOKUP($B556, DB[samplingPoint], DB[noLocation])</f>
        <v>16-3-067</v>
      </c>
      <c r="G556" s="33" t="s">
        <v>327</v>
      </c>
      <c r="H556" s="40" t="str">
        <f t="array" ref="H556">_xlfn.XLOOKUP($B556, DB[samplingPoint], DB[location])</f>
        <v>MFG 1</v>
      </c>
      <c r="I556" s="39" t="str">
        <f t="array" ref="I556">_xlfn.XLOOKUP($B556, DB[samplingPoint], DB[waterType])</f>
        <v>PW</v>
      </c>
      <c r="J556" s="43">
        <f t="shared" si="1"/>
        <v>46134</v>
      </c>
      <c r="K556" s="26">
        <v>46137.0</v>
      </c>
      <c r="L556" s="32">
        <v>0.0</v>
      </c>
      <c r="M556" s="32">
        <v>0.0</v>
      </c>
      <c r="N556" s="32">
        <f t="shared" si="2"/>
        <v>0</v>
      </c>
      <c r="O556" s="49"/>
      <c r="P556" s="32">
        <f t="array" ref="P556">_xlfn.XLOOKUP($B556, DB[samplingPoint], DB[Criteria])</f>
        <v>100</v>
      </c>
      <c r="Q556" s="50" t="str">
        <f t="shared" si="3"/>
        <v>PASSED</v>
      </c>
      <c r="R556" s="38" t="b">
        <v>0</v>
      </c>
      <c r="S556" s="35" t="s">
        <v>1021</v>
      </c>
      <c r="T556" s="39" t="s">
        <v>386</v>
      </c>
      <c r="U556" s="32" t="s">
        <v>381</v>
      </c>
    </row>
    <row r="557" ht="22.5" customHeight="1">
      <c r="A557" s="26">
        <v>46133.0</v>
      </c>
      <c r="B557" s="48" t="s">
        <v>569</v>
      </c>
      <c r="C557" s="32" t="str">
        <f t="array" ref="C557">_xlfn.XLOOKUP(B557, DB[samplingPoint], DB[samplingTag])</f>
        <v>SV126.21</v>
      </c>
      <c r="D557" s="33" t="s">
        <v>364</v>
      </c>
      <c r="E557" s="38" t="b">
        <v>1</v>
      </c>
      <c r="F557" s="39" t="str">
        <f t="array" ref="F557">_xlfn.XLOOKUP($B557, DB[samplingPoint], DB[noLocation])</f>
        <v>16-3-090</v>
      </c>
      <c r="G557" s="33" t="s">
        <v>327</v>
      </c>
      <c r="H557" s="40" t="str">
        <f t="array" ref="H557">_xlfn.XLOOKUP($B557, DB[samplingPoint], DB[location])</f>
        <v>CIP 1 (EQUIPMENT REQUIREMENT)</v>
      </c>
      <c r="I557" s="39" t="str">
        <f t="array" ref="I557">_xlfn.XLOOKUP($B557, DB[samplingPoint], DB[waterType])</f>
        <v>PW</v>
      </c>
      <c r="J557" s="43">
        <f t="shared" si="1"/>
        <v>46134</v>
      </c>
      <c r="K557" s="26">
        <v>46137.0</v>
      </c>
      <c r="L557" s="32">
        <v>0.0</v>
      </c>
      <c r="M557" s="32">
        <v>0.0</v>
      </c>
      <c r="N557" s="32">
        <f t="shared" si="2"/>
        <v>0</v>
      </c>
      <c r="O557" s="49"/>
      <c r="P557" s="32">
        <f t="array" ref="P557">_xlfn.XLOOKUP($B557, DB[samplingPoint], DB[Criteria])</f>
        <v>100</v>
      </c>
      <c r="Q557" s="50" t="str">
        <f t="shared" si="3"/>
        <v>PASSED</v>
      </c>
      <c r="R557" s="38" t="b">
        <v>0</v>
      </c>
      <c r="S557" s="35" t="s">
        <v>1021</v>
      </c>
      <c r="T557" s="39" t="s">
        <v>386</v>
      </c>
      <c r="U557" s="32" t="s">
        <v>381</v>
      </c>
    </row>
    <row r="558" ht="22.5" customHeight="1">
      <c r="A558" s="26">
        <v>46133.0</v>
      </c>
      <c r="B558" s="48" t="s">
        <v>562</v>
      </c>
      <c r="C558" s="32" t="str">
        <f t="array" ref="C558">_xlfn.XLOOKUP(B558, DB[samplingPoint], DB[samplingTag])</f>
        <v>DV126.09</v>
      </c>
      <c r="D558" s="33" t="s">
        <v>364</v>
      </c>
      <c r="E558" s="38" t="b">
        <v>1</v>
      </c>
      <c r="F558" s="39" t="str">
        <f t="array" ref="F558">_xlfn.XLOOKUP($B558, DB[samplingPoint], DB[noLocation])</f>
        <v>16-3-090</v>
      </c>
      <c r="G558" s="33" t="s">
        <v>327</v>
      </c>
      <c r="H558" s="40" t="str">
        <f t="array" ref="H558">_xlfn.XLOOKUP($B558, DB[samplingPoint], DB[location])</f>
        <v>CIP 1 (ZINK WASHING)</v>
      </c>
      <c r="I558" s="39" t="str">
        <f t="array" ref="I558">_xlfn.XLOOKUP($B558, DB[samplingPoint], DB[waterType])</f>
        <v>PW</v>
      </c>
      <c r="J558" s="43">
        <f t="shared" si="1"/>
        <v>46134</v>
      </c>
      <c r="K558" s="26">
        <v>46137.0</v>
      </c>
      <c r="L558" s="32">
        <v>0.0</v>
      </c>
      <c r="M558" s="32">
        <v>0.0</v>
      </c>
      <c r="N558" s="32">
        <f t="shared" si="2"/>
        <v>0</v>
      </c>
      <c r="O558" s="49"/>
      <c r="P558" s="32">
        <f t="array" ref="P558">_xlfn.XLOOKUP($B558, DB[samplingPoint], DB[Criteria])</f>
        <v>100</v>
      </c>
      <c r="Q558" s="50" t="str">
        <f t="shared" si="3"/>
        <v>PASSED</v>
      </c>
      <c r="R558" s="38" t="b">
        <v>0</v>
      </c>
      <c r="S558" s="35" t="s">
        <v>1021</v>
      </c>
      <c r="T558" s="39" t="s">
        <v>386</v>
      </c>
      <c r="U558" s="32" t="s">
        <v>381</v>
      </c>
    </row>
    <row r="559" ht="22.5" customHeight="1">
      <c r="A559" s="26">
        <v>46133.0</v>
      </c>
      <c r="B559" s="48" t="s">
        <v>568</v>
      </c>
      <c r="C559" s="32" t="str">
        <f t="array" ref="C559">_xlfn.XLOOKUP(B559, DB[samplingPoint], DB[samplingTag])</f>
        <v>SV126.18</v>
      </c>
      <c r="D559" s="33" t="s">
        <v>364</v>
      </c>
      <c r="E559" s="38" t="b">
        <v>1</v>
      </c>
      <c r="F559" s="39" t="str">
        <f t="array" ref="F559">_xlfn.XLOOKUP($B559, DB[samplingPoint], DB[noLocation])</f>
        <v>16-3-085</v>
      </c>
      <c r="G559" s="33" t="s">
        <v>327</v>
      </c>
      <c r="H559" s="40" t="str">
        <f t="array" ref="H559">_xlfn.XLOOKUP($B559, DB[samplingPoint], DB[location])</f>
        <v>CIP 3 (EQUIPMENT REQUIREMENT)</v>
      </c>
      <c r="I559" s="39" t="str">
        <f t="array" ref="I559">_xlfn.XLOOKUP($B559, DB[samplingPoint], DB[waterType])</f>
        <v>PW</v>
      </c>
      <c r="J559" s="43">
        <f t="shared" si="1"/>
        <v>46134</v>
      </c>
      <c r="K559" s="26">
        <v>46137.0</v>
      </c>
      <c r="L559" s="32">
        <v>0.0</v>
      </c>
      <c r="M559" s="32">
        <v>0.0</v>
      </c>
      <c r="N559" s="32">
        <f t="shared" si="2"/>
        <v>0</v>
      </c>
      <c r="O559" s="49"/>
      <c r="P559" s="32">
        <f t="array" ref="P559">_xlfn.XLOOKUP($B559, DB[samplingPoint], DB[Criteria])</f>
        <v>100</v>
      </c>
      <c r="Q559" s="50" t="str">
        <f t="shared" si="3"/>
        <v>PASSED</v>
      </c>
      <c r="R559" s="38" t="b">
        <v>0</v>
      </c>
      <c r="S559" s="35" t="s">
        <v>1021</v>
      </c>
      <c r="T559" s="39" t="s">
        <v>386</v>
      </c>
      <c r="U559" s="32" t="s">
        <v>381</v>
      </c>
    </row>
    <row r="560" ht="22.5" customHeight="1">
      <c r="A560" s="26">
        <v>46133.0</v>
      </c>
      <c r="B560" s="48" t="s">
        <v>566</v>
      </c>
      <c r="C560" s="32" t="str">
        <f t="array" ref="C560">_xlfn.XLOOKUP(B560, DB[samplingPoint], DB[samplingTag])</f>
        <v>DV126.08</v>
      </c>
      <c r="D560" s="33" t="s">
        <v>364</v>
      </c>
      <c r="E560" s="38" t="b">
        <v>1</v>
      </c>
      <c r="F560" s="39" t="str">
        <f t="array" ref="F560">_xlfn.XLOOKUP($B560, DB[samplingPoint], DB[noLocation])</f>
        <v>16-3-077</v>
      </c>
      <c r="G560" s="33" t="s">
        <v>327</v>
      </c>
      <c r="H560" s="40" t="str">
        <f t="array" ref="H560">_xlfn.XLOOKUP($B560, DB[samplingPoint], DB[location])</f>
        <v>MFG 6</v>
      </c>
      <c r="I560" s="39" t="str">
        <f t="array" ref="I560">_xlfn.XLOOKUP($B560, DB[samplingPoint], DB[waterType])</f>
        <v>PW</v>
      </c>
      <c r="J560" s="43">
        <f t="shared" si="1"/>
        <v>46134</v>
      </c>
      <c r="K560" s="26">
        <v>46137.0</v>
      </c>
      <c r="L560" s="32">
        <v>0.0</v>
      </c>
      <c r="M560" s="32">
        <v>0.0</v>
      </c>
      <c r="N560" s="32">
        <f t="shared" si="2"/>
        <v>0</v>
      </c>
      <c r="O560" s="49"/>
      <c r="P560" s="32">
        <f t="array" ref="P560">_xlfn.XLOOKUP($B560, DB[samplingPoint], DB[Criteria])</f>
        <v>100</v>
      </c>
      <c r="Q560" s="50" t="str">
        <f t="shared" si="3"/>
        <v>PASSED</v>
      </c>
      <c r="R560" s="38" t="b">
        <v>0</v>
      </c>
      <c r="S560" s="35" t="s">
        <v>1021</v>
      </c>
      <c r="T560" s="39" t="s">
        <v>386</v>
      </c>
      <c r="U560" s="32" t="s">
        <v>381</v>
      </c>
    </row>
    <row r="561" ht="22.5" customHeight="1">
      <c r="A561" s="26">
        <v>46133.0</v>
      </c>
      <c r="B561" s="48" t="s">
        <v>563</v>
      </c>
      <c r="C561" s="32" t="str">
        <f t="array" ref="C561">_xlfn.XLOOKUP(B561, DB[samplingPoint], DB[samplingTag])</f>
        <v>DV126.07</v>
      </c>
      <c r="D561" s="33" t="s">
        <v>364</v>
      </c>
      <c r="E561" s="38" t="b">
        <v>1</v>
      </c>
      <c r="F561" s="39" t="str">
        <f t="array" ref="F561">_xlfn.XLOOKUP($B561, DB[samplingPoint], DB[noLocation])</f>
        <v>16-3-077</v>
      </c>
      <c r="G561" s="33" t="s">
        <v>327</v>
      </c>
      <c r="H561" s="40" t="str">
        <f t="array" ref="H561">_xlfn.XLOOKUP($B561, DB[samplingPoint], DB[location])</f>
        <v>MFG 6</v>
      </c>
      <c r="I561" s="39" t="str">
        <f t="array" ref="I561">_xlfn.XLOOKUP($B561, DB[samplingPoint], DB[waterType])</f>
        <v>PW</v>
      </c>
      <c r="J561" s="43">
        <f t="shared" si="1"/>
        <v>46134</v>
      </c>
      <c r="K561" s="26">
        <v>46137.0</v>
      </c>
      <c r="L561" s="32">
        <v>0.0</v>
      </c>
      <c r="M561" s="32">
        <v>0.0</v>
      </c>
      <c r="N561" s="32">
        <f t="shared" si="2"/>
        <v>0</v>
      </c>
      <c r="O561" s="49"/>
      <c r="P561" s="32">
        <f t="array" ref="P561">_xlfn.XLOOKUP($B561, DB[samplingPoint], DB[Criteria])</f>
        <v>100</v>
      </c>
      <c r="Q561" s="50" t="str">
        <f t="shared" si="3"/>
        <v>PASSED</v>
      </c>
      <c r="R561" s="38" t="b">
        <v>0</v>
      </c>
      <c r="S561" s="35" t="s">
        <v>1021</v>
      </c>
      <c r="T561" s="39" t="s">
        <v>386</v>
      </c>
      <c r="U561" s="32" t="s">
        <v>381</v>
      </c>
    </row>
    <row r="562" ht="22.5" customHeight="1">
      <c r="A562" s="26">
        <v>46133.0</v>
      </c>
      <c r="B562" s="48" t="s">
        <v>564</v>
      </c>
      <c r="C562" s="32" t="str">
        <f t="array" ref="C562">_xlfn.XLOOKUP(B562, DB[samplingPoint], DB[samplingTag])</f>
        <v>SV126.05</v>
      </c>
      <c r="D562" s="33" t="s">
        <v>364</v>
      </c>
      <c r="E562" s="38" t="b">
        <v>1</v>
      </c>
      <c r="F562" s="39" t="str">
        <f t="array" ref="F562">_xlfn.XLOOKUP($B562, DB[samplingPoint], DB[noLocation])</f>
        <v>16-3-049</v>
      </c>
      <c r="G562" s="33" t="s">
        <v>327</v>
      </c>
      <c r="H562" s="40" t="str">
        <f t="array" ref="H562">_xlfn.XLOOKUP($B562, DB[samplingPoint], DB[location])</f>
        <v>LINEN WASHING</v>
      </c>
      <c r="I562" s="39" t="str">
        <f t="array" ref="I562">_xlfn.XLOOKUP($B562, DB[samplingPoint], DB[waterType])</f>
        <v>PW</v>
      </c>
      <c r="J562" s="43">
        <f t="shared" si="1"/>
        <v>46134</v>
      </c>
      <c r="K562" s="26">
        <v>46137.0</v>
      </c>
      <c r="L562" s="32">
        <v>0.0</v>
      </c>
      <c r="M562" s="32">
        <v>0.0</v>
      </c>
      <c r="N562" s="32">
        <f t="shared" si="2"/>
        <v>0</v>
      </c>
      <c r="O562" s="49"/>
      <c r="P562" s="32">
        <f t="array" ref="P562">_xlfn.XLOOKUP($B562, DB[samplingPoint], DB[Criteria])</f>
        <v>100</v>
      </c>
      <c r="Q562" s="50" t="str">
        <f t="shared" si="3"/>
        <v>PASSED</v>
      </c>
      <c r="R562" s="38" t="b">
        <v>0</v>
      </c>
      <c r="S562" s="35" t="s">
        <v>1021</v>
      </c>
      <c r="T562" s="39" t="s">
        <v>386</v>
      </c>
      <c r="U562" s="32" t="s">
        <v>381</v>
      </c>
    </row>
    <row r="563" ht="22.5" customHeight="1">
      <c r="A563" s="26">
        <v>46133.0</v>
      </c>
      <c r="B563" s="48" t="s">
        <v>558</v>
      </c>
      <c r="C563" s="32" t="str">
        <f t="array" ref="C563">_xlfn.XLOOKUP(B563, DB[samplingPoint], DB[samplingTag])</f>
        <v>DV126.04</v>
      </c>
      <c r="D563" s="33" t="s">
        <v>364</v>
      </c>
      <c r="E563" s="38" t="b">
        <v>1</v>
      </c>
      <c r="F563" s="39" t="str">
        <f t="array" ref="F563">_xlfn.XLOOKUP($B563, DB[samplingPoint], DB[noLocation])</f>
        <v>16-2-010</v>
      </c>
      <c r="G563" s="33" t="s">
        <v>327</v>
      </c>
      <c r="H563" s="40" t="str">
        <f t="array" ref="H563">_xlfn.XLOOKUP($B563, DB[samplingPoint], DB[location])</f>
        <v>WATER SYSTEM (PW)</v>
      </c>
      <c r="I563" s="39" t="str">
        <f t="array" ref="I563">_xlfn.XLOOKUP($B563, DB[samplingPoint], DB[waterType])</f>
        <v>PW</v>
      </c>
      <c r="J563" s="43">
        <f t="shared" si="1"/>
        <v>46134</v>
      </c>
      <c r="K563" s="26">
        <v>46137.0</v>
      </c>
      <c r="L563" s="32">
        <v>0.0</v>
      </c>
      <c r="M563" s="32">
        <v>0.0</v>
      </c>
      <c r="N563" s="32">
        <f t="shared" si="2"/>
        <v>0</v>
      </c>
      <c r="O563" s="49"/>
      <c r="P563" s="32">
        <f t="array" ref="P563">_xlfn.XLOOKUP($B563, DB[samplingPoint], DB[Criteria])</f>
        <v>100</v>
      </c>
      <c r="Q563" s="50" t="str">
        <f t="shared" si="3"/>
        <v>PASSED</v>
      </c>
      <c r="R563" s="38" t="b">
        <v>0</v>
      </c>
      <c r="S563" s="35" t="s">
        <v>1021</v>
      </c>
      <c r="T563" s="39" t="s">
        <v>386</v>
      </c>
      <c r="U563" s="32" t="s">
        <v>381</v>
      </c>
    </row>
    <row r="564" ht="22.5" customHeight="1">
      <c r="A564" s="112">
        <v>46133.0</v>
      </c>
      <c r="B564" s="58" t="s">
        <v>442</v>
      </c>
      <c r="C564" s="32" t="str">
        <f t="array" ref="C564">_xlfn.XLOOKUP(B564, DB[samplingPoint], DB[samplingTag])</f>
        <v>V50-61 (12)</v>
      </c>
      <c r="D564" s="33" t="s">
        <v>364</v>
      </c>
      <c r="E564" s="38" t="b">
        <v>1</v>
      </c>
      <c r="F564" s="39" t="str">
        <f t="array" ref="F564">_xlfn.XLOOKUP($B564, DB[samplingPoint], DB[noLocation])</f>
        <v>WATER SYSTEM (B12)</v>
      </c>
      <c r="G564" s="33" t="s">
        <v>437</v>
      </c>
      <c r="H564" s="40" t="str">
        <f t="array" ref="H564">_xlfn.XLOOKUP($B564, DB[samplingPoint], DB[location])</f>
        <v>After Cartridge filter 5 µm (B12)</v>
      </c>
      <c r="I564" s="39" t="str">
        <f t="array" ref="I564">_xlfn.XLOOKUP($B564, DB[samplingPoint], DB[waterType])</f>
        <v>PRW</v>
      </c>
      <c r="J564" s="43">
        <f t="shared" si="1"/>
        <v>46134</v>
      </c>
      <c r="K564" s="26">
        <v>46137.0</v>
      </c>
      <c r="L564" s="32">
        <v>76.0</v>
      </c>
      <c r="M564" s="32">
        <v>77.0</v>
      </c>
      <c r="N564" s="32">
        <f t="shared" si="2"/>
        <v>77</v>
      </c>
      <c r="O564" s="49"/>
      <c r="P564" s="32">
        <f t="array" ref="P564">_xlfn.XLOOKUP($B564, DB[samplingPoint], DB[Criteria])</f>
        <v>500</v>
      </c>
      <c r="Q564" s="50" t="str">
        <f t="shared" si="3"/>
        <v>PASSED</v>
      </c>
      <c r="R564" s="38" t="b">
        <v>0</v>
      </c>
      <c r="S564" s="35" t="s">
        <v>1022</v>
      </c>
      <c r="T564" s="39" t="s">
        <v>386</v>
      </c>
      <c r="U564" s="32" t="s">
        <v>381</v>
      </c>
    </row>
    <row r="565" ht="22.5" customHeight="1">
      <c r="A565" s="26">
        <v>46133.0</v>
      </c>
      <c r="B565" s="27" t="s">
        <v>434</v>
      </c>
      <c r="C565" s="32" t="str">
        <f t="array" ref="C565">_xlfn.XLOOKUP(B565, DB[samplingPoint], DB[samplingTag])</f>
        <v>V50-11C (12)</v>
      </c>
      <c r="D565" s="33" t="s">
        <v>364</v>
      </c>
      <c r="E565" s="38" t="b">
        <v>1</v>
      </c>
      <c r="F565" s="39" t="str">
        <f t="array" ref="F565">_xlfn.XLOOKUP($B565, DB[samplingPoint], DB[noLocation])</f>
        <v>WATER SYSTEM (B12)</v>
      </c>
      <c r="G565" s="33" t="s">
        <v>437</v>
      </c>
      <c r="H565" s="40" t="str">
        <f t="array" ref="H565">_xlfn.XLOOKUP($B565, DB[samplingPoint], DB[location])</f>
        <v>After RO (Before EDI) (B12)</v>
      </c>
      <c r="I565" s="39" t="str">
        <f t="array" ref="I565">_xlfn.XLOOKUP($B565, DB[samplingPoint], DB[waterType])</f>
        <v>RO water</v>
      </c>
      <c r="J565" s="43">
        <f t="shared" si="1"/>
        <v>46134</v>
      </c>
      <c r="K565" s="26">
        <v>46137.0</v>
      </c>
      <c r="L565" s="32">
        <v>0.0</v>
      </c>
      <c r="M565" s="32">
        <v>0.0</v>
      </c>
      <c r="N565" s="32">
        <f t="shared" si="2"/>
        <v>0</v>
      </c>
      <c r="O565" s="49"/>
      <c r="P565" s="32">
        <f t="array" ref="P565">_xlfn.XLOOKUP($B565, DB[samplingPoint], DB[Criteria])</f>
        <v>500</v>
      </c>
      <c r="Q565" s="50" t="str">
        <f t="shared" si="3"/>
        <v>PASSED</v>
      </c>
      <c r="R565" s="38" t="b">
        <v>0</v>
      </c>
      <c r="S565" s="35" t="s">
        <v>1022</v>
      </c>
      <c r="T565" s="39" t="s">
        <v>386</v>
      </c>
      <c r="U565" s="32" t="s">
        <v>381</v>
      </c>
    </row>
    <row r="566" ht="22.5" customHeight="1">
      <c r="A566" s="26">
        <v>46133.0</v>
      </c>
      <c r="B566" s="58" t="s">
        <v>440</v>
      </c>
      <c r="C566" s="32" t="str">
        <f t="array" ref="C566">_xlfn.XLOOKUP(B566, DB[samplingPoint], DB[samplingTag])</f>
        <v>V50-39 (12)</v>
      </c>
      <c r="D566" s="33" t="s">
        <v>364</v>
      </c>
      <c r="E566" s="38" t="b">
        <v>1</v>
      </c>
      <c r="F566" s="39" t="str">
        <f t="array" ref="F566">_xlfn.XLOOKUP($B566, DB[samplingPoint], DB[noLocation])</f>
        <v>WATER SYSTEM (B12)</v>
      </c>
      <c r="G566" s="33" t="s">
        <v>437</v>
      </c>
      <c r="H566" s="40" t="str">
        <f t="array" ref="H566">_xlfn.XLOOKUP($B566, DB[samplingPoint], DB[location])</f>
        <v>After EDI (B12)</v>
      </c>
      <c r="I566" s="39" t="str">
        <f t="array" ref="I566">_xlfn.XLOOKUP($B566, DB[samplingPoint], DB[waterType])</f>
        <v>PW</v>
      </c>
      <c r="J566" s="43">
        <f t="shared" si="1"/>
        <v>46134</v>
      </c>
      <c r="K566" s="26">
        <v>46137.0</v>
      </c>
      <c r="L566" s="32">
        <v>0.0</v>
      </c>
      <c r="M566" s="32">
        <v>0.0</v>
      </c>
      <c r="N566" s="32">
        <f t="shared" si="2"/>
        <v>0</v>
      </c>
      <c r="O566" s="49"/>
      <c r="P566" s="32">
        <f t="array" ref="P566">_xlfn.XLOOKUP($B566, DB[samplingPoint], DB[Criteria])</f>
        <v>100</v>
      </c>
      <c r="Q566" s="50" t="str">
        <f t="shared" si="3"/>
        <v>PASSED</v>
      </c>
      <c r="R566" s="38" t="b">
        <v>0</v>
      </c>
      <c r="S566" s="35" t="s">
        <v>1022</v>
      </c>
      <c r="T566" s="39" t="s">
        <v>386</v>
      </c>
      <c r="U566" s="32" t="s">
        <v>381</v>
      </c>
    </row>
    <row r="567" ht="22.5" customHeight="1">
      <c r="A567" s="26">
        <v>46133.0</v>
      </c>
      <c r="B567" s="27" t="s">
        <v>430</v>
      </c>
      <c r="C567" s="32" t="str">
        <f t="array" ref="C567">_xlfn.XLOOKUP(B567, DB[samplingPoint], DB[samplingTag])</f>
        <v>SV137.01</v>
      </c>
      <c r="D567" s="33" t="s">
        <v>364</v>
      </c>
      <c r="E567" s="38" t="b">
        <v>1</v>
      </c>
      <c r="F567" s="39" t="str">
        <f t="array" ref="F567">_xlfn.XLOOKUP($B567, DB[samplingPoint], DB[noLocation])</f>
        <v>WATER SYSTEM (B12)</v>
      </c>
      <c r="G567" s="33" t="s">
        <v>437</v>
      </c>
      <c r="H567" s="40" t="str">
        <f t="array" ref="H567">_xlfn.XLOOKUP($B567, DB[samplingPoint], DB[location])</f>
        <v>Return loop (B12)</v>
      </c>
      <c r="I567" s="39" t="str">
        <f t="array" ref="I567">_xlfn.XLOOKUP($B567, DB[samplingPoint], DB[waterType])</f>
        <v>PW</v>
      </c>
      <c r="J567" s="43">
        <f t="shared" si="1"/>
        <v>46134</v>
      </c>
      <c r="K567" s="26">
        <v>46137.0</v>
      </c>
      <c r="L567" s="32">
        <v>0.0</v>
      </c>
      <c r="M567" s="32">
        <v>0.0</v>
      </c>
      <c r="N567" s="32">
        <f t="shared" si="2"/>
        <v>0</v>
      </c>
      <c r="O567" s="49"/>
      <c r="P567" s="32">
        <f t="array" ref="P567">_xlfn.XLOOKUP($B567, DB[samplingPoint], DB[Criteria])</f>
        <v>100</v>
      </c>
      <c r="Q567" s="50" t="str">
        <f t="shared" si="3"/>
        <v>PASSED</v>
      </c>
      <c r="R567" s="38" t="b">
        <v>0</v>
      </c>
      <c r="S567" s="35" t="s">
        <v>1022</v>
      </c>
      <c r="T567" s="39" t="s">
        <v>386</v>
      </c>
      <c r="U567" s="32" t="s">
        <v>381</v>
      </c>
    </row>
    <row r="568" ht="22.5" customHeight="1">
      <c r="A568" s="26">
        <v>46133.0</v>
      </c>
      <c r="B568" s="88" t="s">
        <v>548</v>
      </c>
      <c r="C568" s="32" t="str">
        <f t="array" ref="C568">_xlfn.XLOOKUP(B568, DB[samplingPoint], DB[samplingTag])</f>
        <v>DV136.17</v>
      </c>
      <c r="D568" s="33" t="s">
        <v>364</v>
      </c>
      <c r="E568" s="38" t="b">
        <v>1</v>
      </c>
      <c r="F568" s="39" t="str">
        <f t="array" ref="F568">_xlfn.XLOOKUP($B568, DB[samplingPoint], DB[noLocation])</f>
        <v>12-2-065</v>
      </c>
      <c r="G568" s="33" t="s">
        <v>437</v>
      </c>
      <c r="H568" s="40" t="str">
        <f t="array" ref="H568">_xlfn.XLOOKUP($B568, DB[samplingPoint], DB[location])</f>
        <v>WASHING</v>
      </c>
      <c r="I568" s="39" t="str">
        <f t="array" ref="I568">_xlfn.XLOOKUP($B568, DB[samplingPoint], DB[waterType])</f>
        <v>PW</v>
      </c>
      <c r="J568" s="43">
        <f t="shared" si="1"/>
        <v>46134</v>
      </c>
      <c r="K568" s="26">
        <v>46137.0</v>
      </c>
      <c r="L568" s="32">
        <v>11.0</v>
      </c>
      <c r="M568" s="32">
        <v>4.0</v>
      </c>
      <c r="N568" s="32">
        <f t="shared" si="2"/>
        <v>8</v>
      </c>
      <c r="O568" s="49"/>
      <c r="P568" s="32">
        <f t="array" ref="P568">_xlfn.XLOOKUP($B568, DB[samplingPoint], DB[Criteria])</f>
        <v>100</v>
      </c>
      <c r="Q568" s="50" t="str">
        <f t="shared" si="3"/>
        <v>PASSED</v>
      </c>
      <c r="R568" s="38" t="b">
        <v>0</v>
      </c>
      <c r="S568" s="35" t="s">
        <v>1022</v>
      </c>
      <c r="T568" s="39" t="s">
        <v>386</v>
      </c>
      <c r="U568" s="32" t="s">
        <v>381</v>
      </c>
    </row>
    <row r="569" ht="22.5" customHeight="1">
      <c r="A569" s="26">
        <v>46133.0</v>
      </c>
      <c r="B569" s="88" t="s">
        <v>551</v>
      </c>
      <c r="C569" s="32" t="str">
        <f t="array" ref="C569">_xlfn.XLOOKUP(B569, DB[samplingPoint], DB[samplingTag])</f>
        <v>SV136.16</v>
      </c>
      <c r="D569" s="33" t="s">
        <v>364</v>
      </c>
      <c r="E569" s="38" t="b">
        <v>1</v>
      </c>
      <c r="F569" s="39" t="str">
        <f t="array" ref="F569">_xlfn.XLOOKUP($B569, DB[samplingPoint], DB[noLocation])</f>
        <v>12-2-057</v>
      </c>
      <c r="G569" s="33" t="s">
        <v>437</v>
      </c>
      <c r="H569" s="40" t="str">
        <f t="array" ref="H569">_xlfn.XLOOKUP($B569, DB[samplingPoint], DB[location])</f>
        <v>CIP 2</v>
      </c>
      <c r="I569" s="39" t="str">
        <f t="array" ref="I569">_xlfn.XLOOKUP($B569, DB[samplingPoint], DB[waterType])</f>
        <v>PW</v>
      </c>
      <c r="J569" s="43">
        <f t="shared" si="1"/>
        <v>46134</v>
      </c>
      <c r="K569" s="26">
        <v>46137.0</v>
      </c>
      <c r="L569" s="32">
        <v>0.0</v>
      </c>
      <c r="M569" s="32">
        <v>0.0</v>
      </c>
      <c r="N569" s="32">
        <f t="shared" si="2"/>
        <v>0</v>
      </c>
      <c r="O569" s="49"/>
      <c r="P569" s="32">
        <f t="array" ref="P569">_xlfn.XLOOKUP($B569, DB[samplingPoint], DB[Criteria])</f>
        <v>100</v>
      </c>
      <c r="Q569" s="50" t="str">
        <f t="shared" si="3"/>
        <v>PASSED</v>
      </c>
      <c r="R569" s="38" t="b">
        <v>0</v>
      </c>
      <c r="S569" s="35" t="s">
        <v>1022</v>
      </c>
      <c r="T569" s="39" t="s">
        <v>386</v>
      </c>
      <c r="U569" s="32" t="s">
        <v>381</v>
      </c>
    </row>
    <row r="570" ht="22.5" customHeight="1">
      <c r="A570" s="26">
        <v>46133.0</v>
      </c>
      <c r="B570" s="88" t="s">
        <v>443</v>
      </c>
      <c r="C570" s="32" t="str">
        <f t="array" ref="C570">_xlfn.XLOOKUP(B570, DB[samplingPoint], DB[samplingTag])</f>
        <v>SV136.09</v>
      </c>
      <c r="D570" s="33" t="s">
        <v>364</v>
      </c>
      <c r="E570" s="38" t="b">
        <v>1</v>
      </c>
      <c r="F570" s="39" t="str">
        <f t="array" ref="F570">_xlfn.XLOOKUP($B570, DB[samplingPoint], DB[noLocation])</f>
        <v>12-2-039</v>
      </c>
      <c r="G570" s="33" t="s">
        <v>437</v>
      </c>
      <c r="H570" s="40" t="str">
        <f t="array" ref="H570">_xlfn.XLOOKUP($B570, DB[samplingPoint], DB[location])</f>
        <v>MFG 1</v>
      </c>
      <c r="I570" s="39" t="str">
        <f t="array" ref="I570">_xlfn.XLOOKUP($B570, DB[samplingPoint], DB[waterType])</f>
        <v>PW</v>
      </c>
      <c r="J570" s="43">
        <f t="shared" si="1"/>
        <v>46134</v>
      </c>
      <c r="K570" s="26">
        <v>46137.0</v>
      </c>
      <c r="L570" s="32">
        <v>0.0</v>
      </c>
      <c r="M570" s="32">
        <v>0.0</v>
      </c>
      <c r="N570" s="32">
        <f t="shared" si="2"/>
        <v>0</v>
      </c>
      <c r="O570" s="49"/>
      <c r="P570" s="32">
        <f t="array" ref="P570">_xlfn.XLOOKUP($B570, DB[samplingPoint], DB[Criteria])</f>
        <v>100</v>
      </c>
      <c r="Q570" s="50" t="str">
        <f t="shared" si="3"/>
        <v>PASSED</v>
      </c>
      <c r="R570" s="38" t="b">
        <v>0</v>
      </c>
      <c r="S570" s="35" t="s">
        <v>1022</v>
      </c>
      <c r="T570" s="39" t="s">
        <v>386</v>
      </c>
      <c r="U570" s="32" t="s">
        <v>381</v>
      </c>
    </row>
    <row r="571" ht="22.5" customHeight="1">
      <c r="A571" s="26">
        <v>46133.0</v>
      </c>
      <c r="B571" s="88" t="s">
        <v>445</v>
      </c>
      <c r="C571" s="32" t="str">
        <f t="array" ref="C571">_xlfn.XLOOKUP(B571, DB[samplingPoint], DB[samplingTag])</f>
        <v>SV136.10</v>
      </c>
      <c r="D571" s="33" t="s">
        <v>364</v>
      </c>
      <c r="E571" s="38" t="b">
        <v>1</v>
      </c>
      <c r="F571" s="39" t="str">
        <f t="array" ref="F571">_xlfn.XLOOKUP($B571, DB[samplingPoint], DB[noLocation])</f>
        <v>12-2-041</v>
      </c>
      <c r="G571" s="33" t="s">
        <v>437</v>
      </c>
      <c r="H571" s="40" t="str">
        <f t="array" ref="H571">_xlfn.XLOOKUP($B571, DB[samplingPoint], DB[location])</f>
        <v>MFG 2</v>
      </c>
      <c r="I571" s="39" t="str">
        <f t="array" ref="I571">_xlfn.XLOOKUP($B571, DB[samplingPoint], DB[waterType])</f>
        <v>PW</v>
      </c>
      <c r="J571" s="43">
        <f t="shared" si="1"/>
        <v>46134</v>
      </c>
      <c r="K571" s="26">
        <v>46137.0</v>
      </c>
      <c r="L571" s="32">
        <v>0.0</v>
      </c>
      <c r="M571" s="32">
        <v>0.0</v>
      </c>
      <c r="N571" s="32">
        <f t="shared" si="2"/>
        <v>0</v>
      </c>
      <c r="O571" s="49"/>
      <c r="P571" s="32">
        <f t="array" ref="P571">_xlfn.XLOOKUP($B571, DB[samplingPoint], DB[Criteria])</f>
        <v>100</v>
      </c>
      <c r="Q571" s="50" t="str">
        <f t="shared" si="3"/>
        <v>PASSED</v>
      </c>
      <c r="R571" s="38" t="b">
        <v>0</v>
      </c>
      <c r="S571" s="35" t="s">
        <v>1022</v>
      </c>
      <c r="T571" s="39" t="s">
        <v>386</v>
      </c>
      <c r="U571" s="32" t="s">
        <v>381</v>
      </c>
    </row>
    <row r="572" ht="22.5" customHeight="1">
      <c r="A572" s="26">
        <v>46133.0</v>
      </c>
      <c r="B572" s="88" t="s">
        <v>549</v>
      </c>
      <c r="C572" s="32" t="str">
        <f t="array" ref="C572">_xlfn.XLOOKUP(B572, DB[samplingPoint], DB[samplingTag])</f>
        <v>SV136.15</v>
      </c>
      <c r="D572" s="33" t="s">
        <v>364</v>
      </c>
      <c r="E572" s="38" t="b">
        <v>1</v>
      </c>
      <c r="F572" s="39" t="str">
        <f t="array" ref="F572">_xlfn.XLOOKUP($B572, DB[samplingPoint], DB[noLocation])</f>
        <v>12-2-055</v>
      </c>
      <c r="G572" s="33" t="s">
        <v>437</v>
      </c>
      <c r="H572" s="40" t="str">
        <f t="array" ref="H572">_xlfn.XLOOKUP($B572, DB[samplingPoint], DB[location])</f>
        <v>CIP 3</v>
      </c>
      <c r="I572" s="39" t="str">
        <f t="array" ref="I572">_xlfn.XLOOKUP($B572, DB[samplingPoint], DB[waterType])</f>
        <v>PW</v>
      </c>
      <c r="J572" s="43">
        <f t="shared" si="1"/>
        <v>46134</v>
      </c>
      <c r="K572" s="26">
        <v>46137.0</v>
      </c>
      <c r="L572" s="32">
        <v>0.0</v>
      </c>
      <c r="M572" s="32">
        <v>0.0</v>
      </c>
      <c r="N572" s="32">
        <f t="shared" si="2"/>
        <v>0</v>
      </c>
      <c r="O572" s="49"/>
      <c r="P572" s="32">
        <f t="array" ref="P572">_xlfn.XLOOKUP($B572, DB[samplingPoint], DB[Criteria])</f>
        <v>100</v>
      </c>
      <c r="Q572" s="50" t="str">
        <f t="shared" si="3"/>
        <v>PASSED</v>
      </c>
      <c r="R572" s="38" t="b">
        <v>0</v>
      </c>
      <c r="S572" s="35" t="s">
        <v>1022</v>
      </c>
      <c r="T572" s="39" t="s">
        <v>386</v>
      </c>
      <c r="U572" s="32" t="s">
        <v>381</v>
      </c>
    </row>
    <row r="573" ht="22.5" customHeight="1">
      <c r="A573" s="26">
        <v>46133.0</v>
      </c>
      <c r="B573" s="88" t="s">
        <v>458</v>
      </c>
      <c r="C573" s="32" t="str">
        <f t="array" ref="C573">_xlfn.XLOOKUP(B573, DB[samplingPoint], DB[samplingTag])</f>
        <v>SV136.14</v>
      </c>
      <c r="D573" s="33" t="s">
        <v>364</v>
      </c>
      <c r="E573" s="38" t="b">
        <v>1</v>
      </c>
      <c r="F573" s="39" t="str">
        <f t="array" ref="F573">_xlfn.XLOOKUP($B573, DB[samplingPoint], DB[noLocation])</f>
        <v>12-2-045</v>
      </c>
      <c r="G573" s="33" t="s">
        <v>437</v>
      </c>
      <c r="H573" s="40" t="str">
        <f t="array" ref="H573">_xlfn.XLOOKUP($B573, DB[samplingPoint], DB[location])</f>
        <v>MFG 4</v>
      </c>
      <c r="I573" s="39" t="str">
        <f t="array" ref="I573">_xlfn.XLOOKUP($B573, DB[samplingPoint], DB[waterType])</f>
        <v>PW</v>
      </c>
      <c r="J573" s="43">
        <f t="shared" si="1"/>
        <v>46134</v>
      </c>
      <c r="K573" s="26">
        <v>46137.0</v>
      </c>
      <c r="L573" s="32">
        <v>0.0</v>
      </c>
      <c r="M573" s="32">
        <v>0.0</v>
      </c>
      <c r="N573" s="32">
        <f t="shared" si="2"/>
        <v>0</v>
      </c>
      <c r="O573" s="49"/>
      <c r="P573" s="32">
        <f t="array" ref="P573">_xlfn.XLOOKUP($B573, DB[samplingPoint], DB[Criteria])</f>
        <v>100</v>
      </c>
      <c r="Q573" s="50" t="str">
        <f t="shared" si="3"/>
        <v>PASSED</v>
      </c>
      <c r="R573" s="38" t="b">
        <v>0</v>
      </c>
      <c r="S573" s="35" t="s">
        <v>1022</v>
      </c>
      <c r="T573" s="39" t="s">
        <v>386</v>
      </c>
      <c r="U573" s="32" t="s">
        <v>381</v>
      </c>
    </row>
    <row r="574" ht="22.5" customHeight="1">
      <c r="A574" s="26">
        <v>46133.0</v>
      </c>
      <c r="B574" s="88" t="s">
        <v>545</v>
      </c>
      <c r="C574" s="32" t="str">
        <f t="array" ref="C574">_xlfn.XLOOKUP(B574, DB[samplingPoint], DB[samplingTag])</f>
        <v>DV136.03</v>
      </c>
      <c r="D574" s="33" t="s">
        <v>364</v>
      </c>
      <c r="E574" s="38" t="b">
        <v>1</v>
      </c>
      <c r="F574" s="39" t="str">
        <f t="array" ref="F574">_xlfn.XLOOKUP($B574, DB[samplingPoint], DB[noLocation])</f>
        <v>12-2-053</v>
      </c>
      <c r="G574" s="33" t="s">
        <v>437</v>
      </c>
      <c r="H574" s="40" t="str">
        <f t="array" ref="H574">_xlfn.XLOOKUP($B574, DB[samplingPoint], DB[location])</f>
        <v>IPQC</v>
      </c>
      <c r="I574" s="39" t="str">
        <f t="array" ref="I574">_xlfn.XLOOKUP($B574, DB[samplingPoint], DB[waterType])</f>
        <v>PW</v>
      </c>
      <c r="J574" s="43">
        <f t="shared" si="1"/>
        <v>46134</v>
      </c>
      <c r="K574" s="26">
        <v>46137.0</v>
      </c>
      <c r="L574" s="32">
        <v>0.0</v>
      </c>
      <c r="M574" s="32">
        <v>0.0</v>
      </c>
      <c r="N574" s="32">
        <f t="shared" si="2"/>
        <v>0</v>
      </c>
      <c r="O574" s="49"/>
      <c r="P574" s="32">
        <f t="array" ref="P574">_xlfn.XLOOKUP($B574, DB[samplingPoint], DB[Criteria])</f>
        <v>100</v>
      </c>
      <c r="Q574" s="50" t="str">
        <f t="shared" si="3"/>
        <v>PASSED</v>
      </c>
      <c r="R574" s="38" t="b">
        <v>0</v>
      </c>
      <c r="S574" s="35" t="s">
        <v>1022</v>
      </c>
      <c r="T574" s="39" t="s">
        <v>386</v>
      </c>
      <c r="U574" s="32" t="s">
        <v>381</v>
      </c>
    </row>
    <row r="575" ht="22.5" customHeight="1">
      <c r="A575" s="26">
        <v>46133.0</v>
      </c>
      <c r="B575" s="88" t="s">
        <v>460</v>
      </c>
      <c r="C575" s="32" t="str">
        <f t="array" ref="C575">_xlfn.XLOOKUP(B575, DB[samplingPoint], DB[samplingTag])</f>
        <v>SV136.02</v>
      </c>
      <c r="D575" s="33" t="s">
        <v>364</v>
      </c>
      <c r="E575" s="38" t="b">
        <v>1</v>
      </c>
      <c r="F575" s="39" t="str">
        <f t="array" ref="F575">_xlfn.XLOOKUP($B575, DB[samplingPoint], DB[noLocation])</f>
        <v>12-2-024</v>
      </c>
      <c r="G575" s="33" t="s">
        <v>437</v>
      </c>
      <c r="H575" s="40" t="str">
        <f t="array" ref="H575">_xlfn.XLOOKUP($B575, DB[samplingPoint], DB[location])</f>
        <v>LIQUORICE EXTRACT</v>
      </c>
      <c r="I575" s="39" t="str">
        <f t="array" ref="I575">_xlfn.XLOOKUP($B575, DB[samplingPoint], DB[waterType])</f>
        <v>PW</v>
      </c>
      <c r="J575" s="43">
        <f t="shared" si="1"/>
        <v>46134</v>
      </c>
      <c r="K575" s="26">
        <v>46137.0</v>
      </c>
      <c r="L575" s="32">
        <v>0.0</v>
      </c>
      <c r="M575" s="32">
        <v>0.0</v>
      </c>
      <c r="N575" s="32">
        <f t="shared" si="2"/>
        <v>0</v>
      </c>
      <c r="O575" s="49"/>
      <c r="P575" s="32">
        <f t="array" ref="P575">_xlfn.XLOOKUP($B575, DB[samplingPoint], DB[Criteria])</f>
        <v>100</v>
      </c>
      <c r="Q575" s="50" t="str">
        <f t="shared" si="3"/>
        <v>PASSED</v>
      </c>
      <c r="R575" s="38" t="b">
        <v>0</v>
      </c>
      <c r="S575" s="35" t="s">
        <v>1022</v>
      </c>
      <c r="T575" s="39" t="s">
        <v>386</v>
      </c>
      <c r="U575" s="32" t="s">
        <v>381</v>
      </c>
    </row>
    <row r="576" ht="22.5" customHeight="1">
      <c r="A576" s="26">
        <v>46133.0</v>
      </c>
      <c r="B576" s="88" t="s">
        <v>543</v>
      </c>
      <c r="C576" s="32" t="str">
        <f t="array" ref="C576">_xlfn.XLOOKUP(B576, DB[samplingPoint], DB[samplingTag])</f>
        <v>DV136.01</v>
      </c>
      <c r="D576" s="33" t="s">
        <v>364</v>
      </c>
      <c r="E576" s="38" t="b">
        <v>1</v>
      </c>
      <c r="F576" s="39" t="str">
        <f t="array" ref="F576">_xlfn.XLOOKUP($B576, DB[samplingPoint], DB[noLocation])</f>
        <v>12-1-035</v>
      </c>
      <c r="G576" s="33" t="s">
        <v>437</v>
      </c>
      <c r="H576" s="40" t="str">
        <f t="array" ref="H576">_xlfn.XLOOKUP($B576, DB[samplingPoint], DB[location])</f>
        <v>SUGAR TRANSFERRING</v>
      </c>
      <c r="I576" s="39" t="str">
        <f t="array" ref="I576">_xlfn.XLOOKUP($B576, DB[samplingPoint], DB[waterType])</f>
        <v>PW</v>
      </c>
      <c r="J576" s="43">
        <f t="shared" si="1"/>
        <v>46134</v>
      </c>
      <c r="K576" s="26">
        <v>46137.0</v>
      </c>
      <c r="L576" s="32">
        <v>0.0</v>
      </c>
      <c r="M576" s="32">
        <v>0.0</v>
      </c>
      <c r="N576" s="32">
        <f t="shared" si="2"/>
        <v>0</v>
      </c>
      <c r="O576" s="49"/>
      <c r="P576" s="32">
        <f t="array" ref="P576">_xlfn.XLOOKUP($B576, DB[samplingPoint], DB[Criteria])</f>
        <v>100</v>
      </c>
      <c r="Q576" s="50" t="str">
        <f t="shared" si="3"/>
        <v>PASSED</v>
      </c>
      <c r="R576" s="38" t="b">
        <v>0</v>
      </c>
      <c r="S576" s="35" t="s">
        <v>1022</v>
      </c>
      <c r="T576" s="39" t="s">
        <v>386</v>
      </c>
      <c r="U576" s="32" t="s">
        <v>381</v>
      </c>
    </row>
    <row r="577" ht="22.5" customHeight="1">
      <c r="A577" s="26">
        <v>46133.0</v>
      </c>
      <c r="B577" s="88" t="s">
        <v>547</v>
      </c>
      <c r="C577" s="32" t="str">
        <f t="array" ref="C577">_xlfn.XLOOKUP(B577, DB[samplingPoint], DB[samplingTag])</f>
        <v>DV136.16</v>
      </c>
      <c r="D577" s="33" t="s">
        <v>364</v>
      </c>
      <c r="E577" s="38" t="b">
        <v>1</v>
      </c>
      <c r="F577" s="39" t="str">
        <f t="array" ref="F577">_xlfn.XLOOKUP($B577, DB[samplingPoint], DB[noLocation])</f>
        <v>12-1-064</v>
      </c>
      <c r="G577" s="33" t="s">
        <v>437</v>
      </c>
      <c r="H577" s="40" t="str">
        <f t="array" ref="H577">_xlfn.XLOOKUP($B577, DB[samplingPoint], DB[location])</f>
        <v>WASHING</v>
      </c>
      <c r="I577" s="39" t="str">
        <f t="array" ref="I577">_xlfn.XLOOKUP($B577, DB[samplingPoint], DB[waterType])</f>
        <v>PW</v>
      </c>
      <c r="J577" s="43">
        <f t="shared" si="1"/>
        <v>46134</v>
      </c>
      <c r="K577" s="26">
        <v>46137.0</v>
      </c>
      <c r="L577" s="32">
        <v>0.0</v>
      </c>
      <c r="M577" s="32">
        <v>0.0</v>
      </c>
      <c r="N577" s="32">
        <f t="shared" si="2"/>
        <v>0</v>
      </c>
      <c r="O577" s="49"/>
      <c r="P577" s="32">
        <f t="array" ref="P577">_xlfn.XLOOKUP($B577, DB[samplingPoint], DB[Criteria])</f>
        <v>100</v>
      </c>
      <c r="Q577" s="50" t="str">
        <f t="shared" si="3"/>
        <v>PASSED</v>
      </c>
      <c r="R577" s="38" t="b">
        <v>0</v>
      </c>
      <c r="S577" s="35" t="s">
        <v>1022</v>
      </c>
      <c r="T577" s="39" t="s">
        <v>386</v>
      </c>
      <c r="U577" s="32" t="s">
        <v>381</v>
      </c>
    </row>
    <row r="578" ht="22.5" customHeight="1">
      <c r="A578" s="26">
        <v>46133.0</v>
      </c>
      <c r="B578" s="88" t="s">
        <v>546</v>
      </c>
      <c r="C578" s="32" t="str">
        <f t="array" ref="C578">_xlfn.XLOOKUP(B578, DB[samplingPoint], DB[samplingTag])</f>
        <v>DV136.04</v>
      </c>
      <c r="D578" s="33" t="s">
        <v>364</v>
      </c>
      <c r="E578" s="38" t="b">
        <v>1</v>
      </c>
      <c r="F578" s="39" t="str">
        <f t="array" ref="F578">_xlfn.XLOOKUP($B578, DB[samplingPoint], DB[noLocation])</f>
        <v>12-2-077</v>
      </c>
      <c r="G578" s="33" t="s">
        <v>437</v>
      </c>
      <c r="H578" s="40" t="str">
        <f t="array" ref="H578">_xlfn.XLOOKUP($B578, DB[samplingPoint], DB[location])</f>
        <v>WATER SYSTEM ROOM</v>
      </c>
      <c r="I578" s="39" t="str">
        <f t="array" ref="I578">_xlfn.XLOOKUP($B578, DB[samplingPoint], DB[waterType])</f>
        <v>PW</v>
      </c>
      <c r="J578" s="43">
        <f t="shared" si="1"/>
        <v>46134</v>
      </c>
      <c r="K578" s="26">
        <v>46137.0</v>
      </c>
      <c r="L578" s="32">
        <v>0.0</v>
      </c>
      <c r="M578" s="32">
        <v>0.0</v>
      </c>
      <c r="N578" s="32">
        <f t="shared" si="2"/>
        <v>0</v>
      </c>
      <c r="O578" s="49"/>
      <c r="P578" s="32">
        <f t="array" ref="P578">_xlfn.XLOOKUP($B578, DB[samplingPoint], DB[Criteria])</f>
        <v>100</v>
      </c>
      <c r="Q578" s="50" t="str">
        <f t="shared" si="3"/>
        <v>PASSED</v>
      </c>
      <c r="R578" s="38" t="b">
        <v>0</v>
      </c>
      <c r="S578" s="35" t="s">
        <v>1022</v>
      </c>
      <c r="T578" s="39" t="s">
        <v>386</v>
      </c>
      <c r="U578" s="32" t="s">
        <v>381</v>
      </c>
    </row>
    <row r="579" ht="22.5" customHeight="1">
      <c r="A579" s="26">
        <v>46136.0</v>
      </c>
      <c r="B579" s="73" t="s">
        <v>431</v>
      </c>
      <c r="C579" s="32" t="str">
        <f t="array" ref="C579">_xlfn.XLOOKUP(B579, DB[samplingPoint], DB[samplingTag])</f>
        <v>SV-14</v>
      </c>
      <c r="D579" s="33" t="s">
        <v>364</v>
      </c>
      <c r="E579" s="38" t="b">
        <v>1</v>
      </c>
      <c r="F579" s="39" t="str">
        <f t="array" ref="F579">_xlfn.XLOOKUP($B579, DB[samplingPoint], DB[noLocation])</f>
        <v>PROCESS WATER (B19)</v>
      </c>
      <c r="G579" s="33" t="e">
        <v>#N/A</v>
      </c>
      <c r="H579" s="40" t="str">
        <f t="array" ref="H579">_xlfn.XLOOKUP($B579, DB[samplingPoint], DB[location])</f>
        <v>AFTER RO SYSTEM NO.12 SV14</v>
      </c>
      <c r="I579" s="39" t="str">
        <f t="array" ref="I579">_xlfn.XLOOKUP($B579, DB[samplingPoint], DB[waterType])</f>
        <v>PRW</v>
      </c>
      <c r="J579" s="43">
        <f t="shared" si="1"/>
        <v>46137</v>
      </c>
      <c r="K579" s="26">
        <v>46141.0</v>
      </c>
      <c r="L579" s="32">
        <v>181.0</v>
      </c>
      <c r="M579" s="32">
        <v>141.0</v>
      </c>
      <c r="N579" s="32">
        <f t="shared" si="2"/>
        <v>161</v>
      </c>
      <c r="O579" s="49"/>
      <c r="P579" s="32">
        <f t="array" ref="P579">_xlfn.XLOOKUP($B579, DB[samplingPoint], DB[Criteria])</f>
        <v>500</v>
      </c>
      <c r="Q579" s="50" t="str">
        <f t="shared" si="3"/>
        <v>PASSED</v>
      </c>
      <c r="R579" s="38" t="b">
        <v>0</v>
      </c>
      <c r="S579" s="35" t="s">
        <v>1023</v>
      </c>
      <c r="T579" s="39" t="s">
        <v>386</v>
      </c>
      <c r="U579" s="32" t="s">
        <v>381</v>
      </c>
    </row>
    <row r="580" ht="22.5" customHeight="1">
      <c r="A580" s="26">
        <v>46136.0</v>
      </c>
      <c r="B580" s="48" t="s">
        <v>349</v>
      </c>
      <c r="C580" s="32" t="str">
        <f t="array" ref="C580">_xlfn.XLOOKUP(B580, DB[samplingPoint], DB[samplingTag])</f>
        <v>VB-05(10)</v>
      </c>
      <c r="D580" s="33" t="s">
        <v>364</v>
      </c>
      <c r="E580" s="38" t="b">
        <v>1</v>
      </c>
      <c r="F580" s="39" t="str">
        <f t="array" ref="F580">_xlfn.XLOOKUP($B580, DB[samplingPoint], DB[noLocation])</f>
        <v>WATER SYSTEM (B10)</v>
      </c>
      <c r="G580" s="33" t="s">
        <v>180</v>
      </c>
      <c r="H580" s="40" t="str">
        <f t="array" ref="H580">_xlfn.XLOOKUP($B580, DB[samplingPoint], DB[location])</f>
        <v>After Chlorine circulation tank (B10)</v>
      </c>
      <c r="I580" s="39" t="str">
        <f t="array" ref="I580">_xlfn.XLOOKUP($B580, DB[samplingPoint], DB[waterType])</f>
        <v>PRW</v>
      </c>
      <c r="J580" s="43">
        <f t="shared" si="1"/>
        <v>46137</v>
      </c>
      <c r="K580" s="26">
        <v>46141.0</v>
      </c>
      <c r="L580" s="32">
        <v>43.0</v>
      </c>
      <c r="M580" s="32">
        <v>42.0</v>
      </c>
      <c r="N580" s="32">
        <f t="shared" si="2"/>
        <v>43</v>
      </c>
      <c r="O580" s="49"/>
      <c r="P580" s="32">
        <f t="array" ref="P580">_xlfn.XLOOKUP($B580, DB[samplingPoint], DB[Criteria])</f>
        <v>500</v>
      </c>
      <c r="Q580" s="50" t="str">
        <f t="shared" si="3"/>
        <v>PASSED</v>
      </c>
      <c r="R580" s="38" t="b">
        <v>0</v>
      </c>
      <c r="S580" s="35" t="s">
        <v>1024</v>
      </c>
      <c r="T580" s="39" t="s">
        <v>386</v>
      </c>
      <c r="U580" s="32" t="s">
        <v>381</v>
      </c>
    </row>
    <row r="581" ht="22.5" customHeight="1">
      <c r="A581" s="26">
        <v>46136.0</v>
      </c>
      <c r="B581" s="58" t="s">
        <v>366</v>
      </c>
      <c r="C581" s="32" t="str">
        <f t="array" ref="C581">_xlfn.XLOOKUP(B581, DB[samplingPoint], DB[samplingTag])</f>
        <v>V50-61(10)</v>
      </c>
      <c r="D581" s="33" t="s">
        <v>364</v>
      </c>
      <c r="E581" s="38" t="b">
        <v>1</v>
      </c>
      <c r="F581" s="39" t="str">
        <f t="array" ref="F581">_xlfn.XLOOKUP($B581, DB[samplingPoint], DB[noLocation])</f>
        <v>WATER SYSTEM (B10)</v>
      </c>
      <c r="G581" s="33" t="s">
        <v>180</v>
      </c>
      <c r="H581" s="40" t="str">
        <f t="array" ref="H581">_xlfn.XLOOKUP($B581, DB[samplingPoint], DB[location])</f>
        <v>After Cartridge filter 5 µm (B10)</v>
      </c>
      <c r="I581" s="39" t="str">
        <f t="array" ref="I581">_xlfn.XLOOKUP($B581, DB[samplingPoint], DB[waterType])</f>
        <v>PRW</v>
      </c>
      <c r="J581" s="43">
        <f t="shared" si="1"/>
        <v>46137</v>
      </c>
      <c r="K581" s="26">
        <v>46141.0</v>
      </c>
      <c r="L581" s="32">
        <v>4.0</v>
      </c>
      <c r="M581" s="32">
        <v>0.0</v>
      </c>
      <c r="N581" s="32">
        <f t="shared" si="2"/>
        <v>2</v>
      </c>
      <c r="O581" s="49"/>
      <c r="P581" s="32">
        <f t="array" ref="P581">_xlfn.XLOOKUP($B581, DB[samplingPoint], DB[Criteria])</f>
        <v>500</v>
      </c>
      <c r="Q581" s="50" t="str">
        <f t="shared" si="3"/>
        <v>PASSED</v>
      </c>
      <c r="R581" s="38" t="b">
        <v>0</v>
      </c>
      <c r="S581" s="35" t="s">
        <v>1024</v>
      </c>
      <c r="T581" s="39" t="s">
        <v>386</v>
      </c>
      <c r="U581" s="32" t="s">
        <v>381</v>
      </c>
    </row>
    <row r="582" ht="22.5" customHeight="1">
      <c r="A582" s="26">
        <v>46136.0</v>
      </c>
      <c r="B582" s="27" t="s">
        <v>368</v>
      </c>
      <c r="C582" s="32" t="str">
        <f t="array" ref="C582">_xlfn.XLOOKUP(B582, DB[samplingPoint], DB[samplingTag])</f>
        <v>V50-11C(10)</v>
      </c>
      <c r="D582" s="33" t="s">
        <v>364</v>
      </c>
      <c r="E582" s="38" t="b">
        <v>1</v>
      </c>
      <c r="F582" s="39" t="str">
        <f t="array" ref="F582">_xlfn.XLOOKUP($B582, DB[samplingPoint], DB[noLocation])</f>
        <v>WATER SYSTEM (B10)</v>
      </c>
      <c r="G582" s="33" t="s">
        <v>180</v>
      </c>
      <c r="H582" s="40" t="str">
        <f t="array" ref="H582">_xlfn.XLOOKUP($B582, DB[samplingPoint], DB[location])</f>
        <v>After RO (Before EDI) (B10)</v>
      </c>
      <c r="I582" s="39" t="str">
        <f t="array" ref="I582">_xlfn.XLOOKUP($B582, DB[samplingPoint], DB[waterType])</f>
        <v>RO water</v>
      </c>
      <c r="J582" s="43">
        <f t="shared" si="1"/>
        <v>46137</v>
      </c>
      <c r="K582" s="26">
        <v>46141.0</v>
      </c>
      <c r="L582" s="32">
        <v>0.0</v>
      </c>
      <c r="M582" s="32">
        <v>0.0</v>
      </c>
      <c r="N582" s="32">
        <f t="shared" si="2"/>
        <v>0</v>
      </c>
      <c r="O582" s="49"/>
      <c r="P582" s="32">
        <f t="array" ref="P582">_xlfn.XLOOKUP($B582, DB[samplingPoint], DB[Criteria])</f>
        <v>500</v>
      </c>
      <c r="Q582" s="50" t="str">
        <f t="shared" si="3"/>
        <v>PASSED</v>
      </c>
      <c r="R582" s="38" t="b">
        <v>0</v>
      </c>
      <c r="S582" s="35" t="s">
        <v>1024</v>
      </c>
      <c r="T582" s="39" t="s">
        <v>386</v>
      </c>
      <c r="U582" s="32" t="s">
        <v>381</v>
      </c>
    </row>
    <row r="583" ht="22.5" customHeight="1">
      <c r="A583" s="26">
        <v>46136.0</v>
      </c>
      <c r="B583" s="58" t="s">
        <v>374</v>
      </c>
      <c r="C583" s="32" t="str">
        <f t="array" ref="C583">_xlfn.XLOOKUP(B583, DB[samplingPoint], DB[samplingTag])</f>
        <v>V50-39(10)</v>
      </c>
      <c r="D583" s="33" t="s">
        <v>364</v>
      </c>
      <c r="E583" s="38" t="b">
        <v>1</v>
      </c>
      <c r="F583" s="39" t="str">
        <f t="array" ref="F583">_xlfn.XLOOKUP($B583, DB[samplingPoint], DB[noLocation])</f>
        <v>WATER SYSTEM (B10)</v>
      </c>
      <c r="G583" s="33" t="s">
        <v>180</v>
      </c>
      <c r="H583" s="40" t="str">
        <f t="array" ref="H583">_xlfn.XLOOKUP($B583, DB[samplingPoint], DB[location])</f>
        <v>After EDI (B10)</v>
      </c>
      <c r="I583" s="39" t="str">
        <f t="array" ref="I583">_xlfn.XLOOKUP($B583, DB[samplingPoint], DB[waterType])</f>
        <v>PW</v>
      </c>
      <c r="J583" s="43">
        <f t="shared" si="1"/>
        <v>46137</v>
      </c>
      <c r="K583" s="26">
        <v>46141.0</v>
      </c>
      <c r="L583" s="32">
        <v>0.0</v>
      </c>
      <c r="M583" s="32">
        <v>0.0</v>
      </c>
      <c r="N583" s="32">
        <f t="shared" si="2"/>
        <v>0</v>
      </c>
      <c r="O583" s="49"/>
      <c r="P583" s="32">
        <f t="array" ref="P583">_xlfn.XLOOKUP($B583, DB[samplingPoint], DB[Criteria])</f>
        <v>100</v>
      </c>
      <c r="Q583" s="50" t="str">
        <f t="shared" si="3"/>
        <v>PASSED</v>
      </c>
      <c r="R583" s="38" t="b">
        <v>0</v>
      </c>
      <c r="S583" s="35" t="s">
        <v>1024</v>
      </c>
      <c r="T583" s="39" t="s">
        <v>386</v>
      </c>
      <c r="U583" s="32" t="s">
        <v>381</v>
      </c>
    </row>
    <row r="584" ht="22.5" customHeight="1">
      <c r="A584" s="26">
        <v>46136.0</v>
      </c>
      <c r="B584" s="27" t="s">
        <v>380</v>
      </c>
      <c r="C584" s="32" t="str">
        <f t="array" ref="C584">_xlfn.XLOOKUP(B584, DB[samplingPoint], DB[samplingTag])</f>
        <v>SV113.01</v>
      </c>
      <c r="D584" s="33" t="s">
        <v>364</v>
      </c>
      <c r="E584" s="38" t="b">
        <v>1</v>
      </c>
      <c r="F584" s="39" t="str">
        <f t="array" ref="F584">_xlfn.XLOOKUP($B584, DB[samplingPoint], DB[noLocation])</f>
        <v>WATER SYSTEM (B10)</v>
      </c>
      <c r="G584" s="33" t="s">
        <v>180</v>
      </c>
      <c r="H584" s="40" t="str">
        <f t="array" ref="H584">_xlfn.XLOOKUP($B584, DB[samplingPoint], DB[location])</f>
        <v>After Storage tank (B10)</v>
      </c>
      <c r="I584" s="39" t="str">
        <f t="array" ref="I584">_xlfn.XLOOKUP($B584, DB[samplingPoint], DB[waterType])</f>
        <v>PW</v>
      </c>
      <c r="J584" s="43">
        <f t="shared" si="1"/>
        <v>46137</v>
      </c>
      <c r="K584" s="26">
        <v>46141.0</v>
      </c>
      <c r="L584" s="32">
        <v>0.0</v>
      </c>
      <c r="M584" s="32">
        <v>0.0</v>
      </c>
      <c r="N584" s="32">
        <f t="shared" si="2"/>
        <v>0</v>
      </c>
      <c r="O584" s="49"/>
      <c r="P584" s="32">
        <f t="array" ref="P584">_xlfn.XLOOKUP($B584, DB[samplingPoint], DB[Criteria])</f>
        <v>100</v>
      </c>
      <c r="Q584" s="50" t="str">
        <f t="shared" si="3"/>
        <v>PASSED</v>
      </c>
      <c r="R584" s="38" t="b">
        <v>0</v>
      </c>
      <c r="S584" s="35" t="s">
        <v>1024</v>
      </c>
      <c r="T584" s="39" t="s">
        <v>386</v>
      </c>
      <c r="U584" s="32" t="s">
        <v>381</v>
      </c>
    </row>
    <row r="585" ht="22.5" customHeight="1">
      <c r="A585" s="26">
        <v>46136.0</v>
      </c>
      <c r="B585" s="58" t="s">
        <v>385</v>
      </c>
      <c r="C585" s="32" t="str">
        <f t="array" ref="C585">_xlfn.XLOOKUP(B585, DB[samplingPoint], DB[samplingTag])</f>
        <v>SV115.02</v>
      </c>
      <c r="D585" s="33" t="s">
        <v>364</v>
      </c>
      <c r="E585" s="38" t="b">
        <v>1</v>
      </c>
      <c r="F585" s="39" t="str">
        <f t="array" ref="F585">_xlfn.XLOOKUP($B585, DB[samplingPoint], DB[noLocation])</f>
        <v>WATER SYSTEM (B10)</v>
      </c>
      <c r="G585" s="33" t="s">
        <v>180</v>
      </c>
      <c r="H585" s="40" t="str">
        <f t="array" ref="H585">_xlfn.XLOOKUP($B585, DB[samplingPoint], DB[location])</f>
        <v>After UV (B10)</v>
      </c>
      <c r="I585" s="39" t="str">
        <f t="array" ref="I585">_xlfn.XLOOKUP($B585, DB[samplingPoint], DB[waterType])</f>
        <v>PW</v>
      </c>
      <c r="J585" s="43">
        <f t="shared" si="1"/>
        <v>46137</v>
      </c>
      <c r="K585" s="26">
        <v>46141.0</v>
      </c>
      <c r="L585" s="32">
        <v>0.0</v>
      </c>
      <c r="M585" s="32">
        <v>0.0</v>
      </c>
      <c r="N585" s="32">
        <f t="shared" si="2"/>
        <v>0</v>
      </c>
      <c r="O585" s="49"/>
      <c r="P585" s="32">
        <f t="array" ref="P585">_xlfn.XLOOKUP($B585, DB[samplingPoint], DB[Criteria])</f>
        <v>100</v>
      </c>
      <c r="Q585" s="50" t="str">
        <f t="shared" si="3"/>
        <v>PASSED</v>
      </c>
      <c r="R585" s="38" t="b">
        <v>0</v>
      </c>
      <c r="S585" s="35" t="s">
        <v>1024</v>
      </c>
      <c r="T585" s="39" t="s">
        <v>386</v>
      </c>
      <c r="U585" s="32" t="s">
        <v>381</v>
      </c>
    </row>
    <row r="586" ht="22.5" customHeight="1">
      <c r="A586" s="26">
        <v>46136.0</v>
      </c>
      <c r="B586" s="27" t="s">
        <v>390</v>
      </c>
      <c r="C586" s="32" t="str">
        <f t="array" ref="C586">_xlfn.XLOOKUP(B586, DB[samplingPoint], DB[samplingTag])</f>
        <v>SV117.01</v>
      </c>
      <c r="D586" s="33" t="s">
        <v>364</v>
      </c>
      <c r="E586" s="38" t="b">
        <v>1</v>
      </c>
      <c r="F586" s="39" t="str">
        <f t="array" ref="F586">_xlfn.XLOOKUP($B586, DB[samplingPoint], DB[noLocation])</f>
        <v>WATER SYSTEM (B10)</v>
      </c>
      <c r="G586" s="33" t="s">
        <v>180</v>
      </c>
      <c r="H586" s="40" t="str">
        <f t="array" ref="H586">_xlfn.XLOOKUP($B586, DB[samplingPoint], DB[location])</f>
        <v>Return loop (B10)</v>
      </c>
      <c r="I586" s="39" t="str">
        <f t="array" ref="I586">_xlfn.XLOOKUP($B586, DB[samplingPoint], DB[waterType])</f>
        <v>PW</v>
      </c>
      <c r="J586" s="43">
        <f t="shared" si="1"/>
        <v>46137</v>
      </c>
      <c r="K586" s="26">
        <v>46141.0</v>
      </c>
      <c r="L586" s="32">
        <v>0.0</v>
      </c>
      <c r="M586" s="32">
        <v>0.0</v>
      </c>
      <c r="N586" s="32">
        <f t="shared" si="2"/>
        <v>0</v>
      </c>
      <c r="O586" s="49"/>
      <c r="P586" s="32">
        <f t="array" ref="P586">_xlfn.XLOOKUP($B586, DB[samplingPoint], DB[Criteria])</f>
        <v>100</v>
      </c>
      <c r="Q586" s="50" t="str">
        <f t="shared" si="3"/>
        <v>PASSED</v>
      </c>
      <c r="R586" s="38" t="b">
        <v>0</v>
      </c>
      <c r="S586" s="35" t="s">
        <v>1024</v>
      </c>
      <c r="T586" s="39" t="s">
        <v>386</v>
      </c>
      <c r="U586" s="32" t="s">
        <v>381</v>
      </c>
    </row>
    <row r="587" ht="22.5" customHeight="1">
      <c r="A587" s="26">
        <v>46136.0</v>
      </c>
      <c r="B587" s="58" t="s">
        <v>491</v>
      </c>
      <c r="C587" s="32" t="str">
        <f t="array" ref="C587">_xlfn.XLOOKUP(B587, DB[samplingPoint], DB[samplingTag])</f>
        <v>SV116.15</v>
      </c>
      <c r="D587" s="33" t="s">
        <v>364</v>
      </c>
      <c r="E587" s="38" t="b">
        <v>1</v>
      </c>
      <c r="F587" s="39" t="str">
        <f t="array" ref="F587">_xlfn.XLOOKUP($B587, DB[samplingPoint], DB[noLocation])</f>
        <v>10-4-012</v>
      </c>
      <c r="G587" s="33" t="s">
        <v>180</v>
      </c>
      <c r="H587" s="40" t="str">
        <f t="array" ref="H587">_xlfn.XLOOKUP($B587, DB[samplingPoint], DB[location])</f>
        <v>CIP SKID-1 FOR BIN WASHING-1</v>
      </c>
      <c r="I587" s="39" t="str">
        <f t="array" ref="I587">_xlfn.XLOOKUP($B587, DB[samplingPoint], DB[waterType])</f>
        <v>PW</v>
      </c>
      <c r="J587" s="43">
        <f t="shared" si="1"/>
        <v>46137</v>
      </c>
      <c r="K587" s="26">
        <v>46141.0</v>
      </c>
      <c r="L587" s="32">
        <v>9.0</v>
      </c>
      <c r="M587" s="32">
        <v>4.0</v>
      </c>
      <c r="N587" s="32">
        <f t="shared" si="2"/>
        <v>7</v>
      </c>
      <c r="O587" s="49"/>
      <c r="P587" s="32">
        <f t="array" ref="P587">_xlfn.XLOOKUP($B587, DB[samplingPoint], DB[Criteria])</f>
        <v>100</v>
      </c>
      <c r="Q587" s="50" t="str">
        <f t="shared" si="3"/>
        <v>PASSED</v>
      </c>
      <c r="R587" s="38" t="b">
        <v>0</v>
      </c>
      <c r="S587" s="35" t="s">
        <v>1024</v>
      </c>
      <c r="T587" s="39" t="s">
        <v>386</v>
      </c>
      <c r="U587" s="32" t="s">
        <v>381</v>
      </c>
    </row>
    <row r="588" ht="22.5" customHeight="1">
      <c r="A588" s="26">
        <v>46136.0</v>
      </c>
      <c r="B588" s="27" t="s">
        <v>493</v>
      </c>
      <c r="C588" s="32" t="str">
        <f t="array" ref="C588">_xlfn.XLOOKUP(B588, DB[samplingPoint], DB[samplingTag])</f>
        <v>SV116.16</v>
      </c>
      <c r="D588" s="33" t="s">
        <v>364</v>
      </c>
      <c r="E588" s="38" t="b">
        <v>1</v>
      </c>
      <c r="F588" s="39" t="str">
        <f t="array" ref="F588">_xlfn.XLOOKUP($B588, DB[samplingPoint], DB[noLocation])</f>
        <v>10-4-012</v>
      </c>
      <c r="G588" s="33" t="s">
        <v>180</v>
      </c>
      <c r="H588" s="40" t="str">
        <f t="array" ref="H588">_xlfn.XLOOKUP($B588, DB[samplingPoint], DB[location])</f>
        <v>WIP SKID-3 FOR GRANULATION POTENT</v>
      </c>
      <c r="I588" s="39" t="str">
        <f t="array" ref="I588">_xlfn.XLOOKUP($B588, DB[samplingPoint], DB[waterType])</f>
        <v>PW</v>
      </c>
      <c r="J588" s="43">
        <f t="shared" si="1"/>
        <v>46137</v>
      </c>
      <c r="K588" s="26">
        <v>46141.0</v>
      </c>
      <c r="L588" s="32">
        <v>99.0</v>
      </c>
      <c r="M588" s="32">
        <v>94.0</v>
      </c>
      <c r="N588" s="32">
        <f t="shared" si="2"/>
        <v>97</v>
      </c>
      <c r="O588" s="49"/>
      <c r="P588" s="32">
        <f t="array" ref="P588">_xlfn.XLOOKUP($B588, DB[samplingPoint], DB[Criteria])</f>
        <v>100</v>
      </c>
      <c r="Q588" s="50" t="str">
        <f t="shared" si="3"/>
        <v>PASSED</v>
      </c>
      <c r="R588" s="38" t="b">
        <v>0</v>
      </c>
      <c r="S588" s="35" t="s">
        <v>1024</v>
      </c>
      <c r="T588" s="39" t="s">
        <v>386</v>
      </c>
      <c r="U588" s="32" t="s">
        <v>381</v>
      </c>
    </row>
    <row r="589" ht="22.5" customHeight="1">
      <c r="A589" s="26">
        <v>46136.0</v>
      </c>
      <c r="B589" s="58" t="s">
        <v>494</v>
      </c>
      <c r="C589" s="32" t="str">
        <f t="array" ref="C589">_xlfn.XLOOKUP(B589, DB[samplingPoint], DB[samplingTag])</f>
        <v>SV116.17</v>
      </c>
      <c r="D589" s="33" t="s">
        <v>364</v>
      </c>
      <c r="E589" s="38" t="b">
        <v>1</v>
      </c>
      <c r="F589" s="39" t="str">
        <f t="array" ref="F589">_xlfn.XLOOKUP($B589, DB[samplingPoint], DB[noLocation])</f>
        <v>10-4-012</v>
      </c>
      <c r="G589" s="33" t="s">
        <v>180</v>
      </c>
      <c r="H589" s="40" t="str">
        <f t="array" ref="H589">_xlfn.XLOOKUP($B589, DB[samplingPoint], DB[location])</f>
        <v>CIP SKID-2 FOR BIN WASHING-1</v>
      </c>
      <c r="I589" s="39" t="str">
        <f t="array" ref="I589">_xlfn.XLOOKUP($B589, DB[samplingPoint], DB[waterType])</f>
        <v>PW</v>
      </c>
      <c r="J589" s="43">
        <f t="shared" si="1"/>
        <v>46137</v>
      </c>
      <c r="K589" s="26">
        <v>46141.0</v>
      </c>
      <c r="L589" s="32">
        <v>28.0</v>
      </c>
      <c r="M589" s="32">
        <v>8.0</v>
      </c>
      <c r="N589" s="32">
        <f t="shared" si="2"/>
        <v>18</v>
      </c>
      <c r="O589" s="49"/>
      <c r="P589" s="32">
        <f t="array" ref="P589">_xlfn.XLOOKUP($B589, DB[samplingPoint], DB[Criteria])</f>
        <v>100</v>
      </c>
      <c r="Q589" s="50" t="str">
        <f t="shared" si="3"/>
        <v>PASSED</v>
      </c>
      <c r="R589" s="38" t="b">
        <v>0</v>
      </c>
      <c r="S589" s="35" t="s">
        <v>1024</v>
      </c>
      <c r="T589" s="39" t="s">
        <v>386</v>
      </c>
      <c r="U589" s="32" t="s">
        <v>381</v>
      </c>
    </row>
    <row r="590" ht="22.5" customHeight="1">
      <c r="A590" s="26">
        <v>46136.0</v>
      </c>
      <c r="B590" s="27" t="s">
        <v>495</v>
      </c>
      <c r="C590" s="32" t="str">
        <f t="array" ref="C590">_xlfn.XLOOKUP(B590, DB[samplingPoint], DB[samplingTag])</f>
        <v>SV116.18</v>
      </c>
      <c r="D590" s="33" t="s">
        <v>364</v>
      </c>
      <c r="E590" s="38" t="b">
        <v>1</v>
      </c>
      <c r="F590" s="39" t="str">
        <f t="array" ref="F590">_xlfn.XLOOKUP($B590, DB[samplingPoint], DB[noLocation])</f>
        <v>10-4-012</v>
      </c>
      <c r="G590" s="33" t="s">
        <v>180</v>
      </c>
      <c r="H590" s="40" t="str">
        <f t="array" ref="H590">_xlfn.XLOOKUP($B590, DB[samplingPoint], DB[location])</f>
        <v>WIP SKID-1 FOR GRANULATION NON POTENT</v>
      </c>
      <c r="I590" s="39" t="str">
        <f t="array" ref="I590">_xlfn.XLOOKUP($B590, DB[samplingPoint], DB[waterType])</f>
        <v>PW</v>
      </c>
      <c r="J590" s="43">
        <f t="shared" si="1"/>
        <v>46137</v>
      </c>
      <c r="K590" s="26">
        <v>46141.0</v>
      </c>
      <c r="L590" s="32">
        <v>0.0</v>
      </c>
      <c r="M590" s="32">
        <v>0.0</v>
      </c>
      <c r="N590" s="32">
        <f t="shared" si="2"/>
        <v>0</v>
      </c>
      <c r="O590" s="49"/>
      <c r="P590" s="32">
        <f t="array" ref="P590">_xlfn.XLOOKUP($B590, DB[samplingPoint], DB[Criteria])</f>
        <v>100</v>
      </c>
      <c r="Q590" s="50" t="str">
        <f t="shared" si="3"/>
        <v>PASSED</v>
      </c>
      <c r="R590" s="38" t="b">
        <v>0</v>
      </c>
      <c r="S590" s="35" t="s">
        <v>1024</v>
      </c>
      <c r="T590" s="39" t="s">
        <v>386</v>
      </c>
      <c r="U590" s="32" t="s">
        <v>381</v>
      </c>
    </row>
    <row r="591" ht="22.5" customHeight="1">
      <c r="A591" s="26">
        <v>46136.0</v>
      </c>
      <c r="B591" s="58" t="s">
        <v>496</v>
      </c>
      <c r="C591" s="32" t="str">
        <f t="array" ref="C591">_xlfn.XLOOKUP(B591, DB[samplingPoint], DB[samplingTag])</f>
        <v>SV116.19</v>
      </c>
      <c r="D591" s="33" t="s">
        <v>364</v>
      </c>
      <c r="E591" s="38" t="b">
        <v>1</v>
      </c>
      <c r="F591" s="39" t="str">
        <f t="array" ref="F591">_xlfn.XLOOKUP($B591, DB[samplingPoint], DB[noLocation])</f>
        <v>10-4-012</v>
      </c>
      <c r="G591" s="33" t="s">
        <v>180</v>
      </c>
      <c r="H591" s="40" t="str">
        <f t="array" ref="H591">_xlfn.XLOOKUP($B591, DB[samplingPoint], DB[location])</f>
        <v>WIP SKID-2 FOR GRANULATION NON POTENT</v>
      </c>
      <c r="I591" s="39" t="str">
        <f t="array" ref="I591">_xlfn.XLOOKUP($B591, DB[samplingPoint], DB[waterType])</f>
        <v>PW</v>
      </c>
      <c r="J591" s="43">
        <f t="shared" si="1"/>
        <v>46137</v>
      </c>
      <c r="K591" s="26">
        <v>46141.0</v>
      </c>
      <c r="L591" s="32">
        <v>42.0</v>
      </c>
      <c r="M591" s="32">
        <v>21.0</v>
      </c>
      <c r="N591" s="32">
        <f t="shared" si="2"/>
        <v>32</v>
      </c>
      <c r="O591" s="49"/>
      <c r="P591" s="32">
        <f t="array" ref="P591">_xlfn.XLOOKUP($B591, DB[samplingPoint], DB[Criteria])</f>
        <v>100</v>
      </c>
      <c r="Q591" s="50" t="str">
        <f t="shared" si="3"/>
        <v>PASSED</v>
      </c>
      <c r="R591" s="38" t="b">
        <v>0</v>
      </c>
      <c r="S591" s="35" t="s">
        <v>1024</v>
      </c>
      <c r="T591" s="39" t="s">
        <v>386</v>
      </c>
      <c r="U591" s="32" t="s">
        <v>381</v>
      </c>
    </row>
    <row r="592" ht="22.5" customHeight="1">
      <c r="A592" s="26">
        <v>46136.0</v>
      </c>
      <c r="B592" s="27" t="s">
        <v>498</v>
      </c>
      <c r="C592" s="32" t="str">
        <f t="array" ref="C592">_xlfn.XLOOKUP(B592, DB[samplingPoint], DB[samplingTag])</f>
        <v>SV116.02</v>
      </c>
      <c r="D592" s="33" t="s">
        <v>364</v>
      </c>
      <c r="E592" s="38" t="b">
        <v>1</v>
      </c>
      <c r="F592" s="39" t="str">
        <f t="array" ref="F592">_xlfn.XLOOKUP($B592, DB[samplingPoint], DB[noLocation])</f>
        <v>10-2-037</v>
      </c>
      <c r="G592" s="33" t="s">
        <v>180</v>
      </c>
      <c r="H592" s="40" t="str">
        <f t="array" ref="H592">_xlfn.XLOOKUP($B592, DB[samplingPoint], DB[location])</f>
        <v>SKID FOR BIN WASHING-2</v>
      </c>
      <c r="I592" s="39" t="str">
        <f t="array" ref="I592">_xlfn.XLOOKUP($B592, DB[samplingPoint], DB[waterType])</f>
        <v>PW</v>
      </c>
      <c r="J592" s="43">
        <f t="shared" si="1"/>
        <v>46137</v>
      </c>
      <c r="K592" s="26">
        <v>46141.0</v>
      </c>
      <c r="L592" s="32">
        <v>0.0</v>
      </c>
      <c r="M592" s="32">
        <v>0.0</v>
      </c>
      <c r="N592" s="32">
        <f t="shared" si="2"/>
        <v>0</v>
      </c>
      <c r="O592" s="49"/>
      <c r="P592" s="32">
        <f t="array" ref="P592">_xlfn.XLOOKUP($B592, DB[samplingPoint], DB[Criteria])</f>
        <v>100</v>
      </c>
      <c r="Q592" s="50" t="str">
        <f t="shared" si="3"/>
        <v>PASSED</v>
      </c>
      <c r="R592" s="38" t="b">
        <v>0</v>
      </c>
      <c r="S592" s="35" t="s">
        <v>1024</v>
      </c>
      <c r="T592" s="39" t="s">
        <v>386</v>
      </c>
      <c r="U592" s="32" t="s">
        <v>381</v>
      </c>
    </row>
    <row r="593" ht="22.5" customHeight="1">
      <c r="A593" s="26">
        <v>46136.0</v>
      </c>
      <c r="B593" s="58" t="s">
        <v>499</v>
      </c>
      <c r="C593" s="32" t="str">
        <f t="array" ref="C593">_xlfn.XLOOKUP(B593, DB[samplingPoint], DB[samplingTag])</f>
        <v>SV116.01</v>
      </c>
      <c r="D593" s="33" t="s">
        <v>364</v>
      </c>
      <c r="E593" s="38" t="b">
        <v>1</v>
      </c>
      <c r="F593" s="39" t="str">
        <f t="array" ref="F593">_xlfn.XLOOKUP($B593, DB[samplingPoint], DB[noLocation])</f>
        <v>10-2-021</v>
      </c>
      <c r="G593" s="33" t="s">
        <v>180</v>
      </c>
      <c r="H593" s="40" t="str">
        <f t="array" ref="H593">_xlfn.XLOOKUP($B593, DB[samplingPoint], DB[location])</f>
        <v>INSTRUMENT-1</v>
      </c>
      <c r="I593" s="39" t="str">
        <f t="array" ref="I593">_xlfn.XLOOKUP($B593, DB[samplingPoint], DB[waterType])</f>
        <v>PW</v>
      </c>
      <c r="J593" s="43">
        <f t="shared" si="1"/>
        <v>46137</v>
      </c>
      <c r="K593" s="26">
        <v>46141.0</v>
      </c>
      <c r="L593" s="32">
        <v>0.0</v>
      </c>
      <c r="M593" s="32">
        <v>0.0</v>
      </c>
      <c r="N593" s="32">
        <f t="shared" si="2"/>
        <v>0</v>
      </c>
      <c r="O593" s="49"/>
      <c r="P593" s="32">
        <f t="array" ref="P593">_xlfn.XLOOKUP($B593, DB[samplingPoint], DB[Criteria])</f>
        <v>100</v>
      </c>
      <c r="Q593" s="50" t="str">
        <f t="shared" si="3"/>
        <v>PASSED</v>
      </c>
      <c r="R593" s="38" t="b">
        <v>0</v>
      </c>
      <c r="S593" s="35" t="s">
        <v>1024</v>
      </c>
      <c r="T593" s="39" t="s">
        <v>386</v>
      </c>
      <c r="U593" s="32" t="s">
        <v>381</v>
      </c>
    </row>
    <row r="594" ht="22.5" customHeight="1">
      <c r="A594" s="26">
        <v>46136.0</v>
      </c>
      <c r="B594" s="27" t="s">
        <v>520</v>
      </c>
      <c r="C594" s="32" t="str">
        <f t="array" ref="C594">_xlfn.XLOOKUP(B594, DB[samplingPoint], DB[samplingTag])</f>
        <v>DV116.03</v>
      </c>
      <c r="D594" s="33" t="s">
        <v>364</v>
      </c>
      <c r="E594" s="38" t="b">
        <v>1</v>
      </c>
      <c r="F594" s="39" t="str">
        <f t="array" ref="F594">_xlfn.XLOOKUP($B594, DB[samplingPoint], DB[noLocation])</f>
        <v>10-2-034</v>
      </c>
      <c r="G594" s="33" t="s">
        <v>180</v>
      </c>
      <c r="H594" s="40" t="str">
        <f t="array" ref="H594">_xlfn.XLOOKUP($B594, DB[samplingPoint], DB[location])</f>
        <v>SAMPLE PREPARATION</v>
      </c>
      <c r="I594" s="39" t="str">
        <f t="array" ref="I594">_xlfn.XLOOKUP($B594, DB[samplingPoint], DB[waterType])</f>
        <v>PW</v>
      </c>
      <c r="J594" s="43">
        <f t="shared" si="1"/>
        <v>46137</v>
      </c>
      <c r="K594" s="26">
        <v>46141.0</v>
      </c>
      <c r="L594" s="32"/>
      <c r="M594" s="32"/>
      <c r="N594" s="32" t="str">
        <f t="shared" si="2"/>
        <v>#DIV/0!</v>
      </c>
      <c r="O594" s="49"/>
      <c r="P594" s="32">
        <f t="array" ref="P594">_xlfn.XLOOKUP($B594, DB[samplingPoint], DB[Criteria])</f>
        <v>100</v>
      </c>
      <c r="Q594" s="50" t="str">
        <f t="shared" si="3"/>
        <v>NA</v>
      </c>
      <c r="R594" s="38" t="b">
        <v>0</v>
      </c>
      <c r="S594" s="35" t="s">
        <v>1024</v>
      </c>
      <c r="T594" s="39" t="s">
        <v>386</v>
      </c>
      <c r="U594" s="32" t="s">
        <v>381</v>
      </c>
    </row>
    <row r="595" ht="22.5" customHeight="1">
      <c r="A595" s="26">
        <v>46136.0</v>
      </c>
      <c r="B595" s="58" t="s">
        <v>526</v>
      </c>
      <c r="C595" s="32" t="str">
        <f t="array" ref="C595">_xlfn.XLOOKUP(B595, DB[samplingPoint], DB[samplingTag])</f>
        <v>DV116.06</v>
      </c>
      <c r="D595" s="33" t="s">
        <v>364</v>
      </c>
      <c r="E595" s="38" t="b">
        <v>1</v>
      </c>
      <c r="F595" s="39" t="str">
        <f t="array" ref="F595">_xlfn.XLOOKUP($B595, DB[samplingPoint], DB[noLocation])</f>
        <v>10-2-034</v>
      </c>
      <c r="G595" s="33" t="s">
        <v>180</v>
      </c>
      <c r="H595" s="40" t="str">
        <f t="array" ref="H595">_xlfn.XLOOKUP($B595, DB[samplingPoint], DB[location])</f>
        <v>SAMPLE PREPARATION</v>
      </c>
      <c r="I595" s="39" t="str">
        <f t="array" ref="I595">_xlfn.XLOOKUP($B595, DB[samplingPoint], DB[waterType])</f>
        <v>PW</v>
      </c>
      <c r="J595" s="43">
        <f t="shared" si="1"/>
        <v>46137</v>
      </c>
      <c r="K595" s="26">
        <v>46141.0</v>
      </c>
      <c r="L595" s="32">
        <v>0.0</v>
      </c>
      <c r="M595" s="32">
        <v>0.0</v>
      </c>
      <c r="N595" s="32">
        <f t="shared" si="2"/>
        <v>0</v>
      </c>
      <c r="O595" s="49"/>
      <c r="P595" s="32">
        <f t="array" ref="P595">_xlfn.XLOOKUP($B595, DB[samplingPoint], DB[Criteria])</f>
        <v>100</v>
      </c>
      <c r="Q595" s="50" t="str">
        <f t="shared" si="3"/>
        <v>PASSED</v>
      </c>
      <c r="R595" s="38" t="b">
        <v>0</v>
      </c>
      <c r="S595" s="35" t="s">
        <v>1024</v>
      </c>
      <c r="T595" s="39" t="s">
        <v>386</v>
      </c>
      <c r="U595" s="32" t="s">
        <v>381</v>
      </c>
    </row>
    <row r="596" ht="22.5" customHeight="1">
      <c r="A596" s="26">
        <v>46136.0</v>
      </c>
      <c r="B596" s="27" t="s">
        <v>527</v>
      </c>
      <c r="C596" s="32" t="str">
        <f t="array" ref="C596">_xlfn.XLOOKUP(B596, DB[samplingPoint], DB[samplingTag])</f>
        <v>DV116.07</v>
      </c>
      <c r="D596" s="33" t="s">
        <v>364</v>
      </c>
      <c r="E596" s="38" t="b">
        <v>1</v>
      </c>
      <c r="F596" s="39" t="str">
        <f t="array" ref="F596">_xlfn.XLOOKUP($B596, DB[samplingPoint], DB[noLocation])</f>
        <v>10-2-032</v>
      </c>
      <c r="G596" s="33" t="s">
        <v>180</v>
      </c>
      <c r="H596" s="40" t="str">
        <f t="array" ref="H596">_xlfn.XLOOKUP($B596, DB[samplingPoint], DB[location])</f>
        <v>GLASS-WARE WASHING</v>
      </c>
      <c r="I596" s="39" t="str">
        <f t="array" ref="I596">_xlfn.XLOOKUP($B596, DB[samplingPoint], DB[waterType])</f>
        <v>PW</v>
      </c>
      <c r="J596" s="43">
        <f t="shared" si="1"/>
        <v>46137</v>
      </c>
      <c r="K596" s="26">
        <v>46141.0</v>
      </c>
      <c r="L596" s="32">
        <v>0.0</v>
      </c>
      <c r="M596" s="32">
        <v>0.0</v>
      </c>
      <c r="N596" s="32">
        <f t="shared" si="2"/>
        <v>0</v>
      </c>
      <c r="O596" s="49"/>
      <c r="P596" s="32">
        <f t="array" ref="P596">_xlfn.XLOOKUP($B596, DB[samplingPoint], DB[Criteria])</f>
        <v>100</v>
      </c>
      <c r="Q596" s="50" t="str">
        <f t="shared" si="3"/>
        <v>PASSED</v>
      </c>
      <c r="R596" s="38" t="b">
        <v>0</v>
      </c>
      <c r="S596" s="35" t="s">
        <v>1024</v>
      </c>
      <c r="T596" s="39" t="s">
        <v>386</v>
      </c>
      <c r="U596" s="32" t="s">
        <v>381</v>
      </c>
    </row>
    <row r="597" ht="22.5" customHeight="1">
      <c r="A597" s="26">
        <v>46136.0</v>
      </c>
      <c r="B597" s="58" t="s">
        <v>524</v>
      </c>
      <c r="C597" s="32" t="str">
        <f t="array" ref="C597">_xlfn.XLOOKUP(B597, DB[samplingPoint], DB[samplingTag])</f>
        <v>DV116.05</v>
      </c>
      <c r="D597" s="33" t="s">
        <v>364</v>
      </c>
      <c r="E597" s="38" t="b">
        <v>1</v>
      </c>
      <c r="F597" s="39" t="str">
        <f t="array" ref="F597">_xlfn.XLOOKUP($B597, DB[samplingPoint], DB[noLocation])</f>
        <v>10-2-032</v>
      </c>
      <c r="G597" s="33" t="s">
        <v>180</v>
      </c>
      <c r="H597" s="40" t="str">
        <f t="array" ref="H597">_xlfn.XLOOKUP($B597, DB[samplingPoint], DB[location])</f>
        <v>GLASS-WARE WASHING</v>
      </c>
      <c r="I597" s="39" t="str">
        <f t="array" ref="I597">_xlfn.XLOOKUP($B597, DB[samplingPoint], DB[waterType])</f>
        <v>PW</v>
      </c>
      <c r="J597" s="43">
        <f t="shared" si="1"/>
        <v>46137</v>
      </c>
      <c r="K597" s="26">
        <v>46141.0</v>
      </c>
      <c r="L597" s="32">
        <v>2.0</v>
      </c>
      <c r="M597" s="32">
        <v>0.0</v>
      </c>
      <c r="N597" s="32">
        <f t="shared" si="2"/>
        <v>1</v>
      </c>
      <c r="O597" s="49"/>
      <c r="P597" s="32">
        <f t="array" ref="P597">_xlfn.XLOOKUP($B597, DB[samplingPoint], DB[Criteria])</f>
        <v>100</v>
      </c>
      <c r="Q597" s="50" t="str">
        <f t="shared" si="3"/>
        <v>PASSED</v>
      </c>
      <c r="R597" s="38" t="b">
        <v>0</v>
      </c>
      <c r="S597" s="35" t="s">
        <v>1024</v>
      </c>
      <c r="T597" s="39" t="s">
        <v>386</v>
      </c>
      <c r="U597" s="32" t="s">
        <v>381</v>
      </c>
    </row>
    <row r="598" ht="22.5" customHeight="1">
      <c r="A598" s="26">
        <v>46136.0</v>
      </c>
      <c r="B598" s="27" t="s">
        <v>522</v>
      </c>
      <c r="C598" s="32" t="str">
        <f t="array" ref="C598">_xlfn.XLOOKUP(B598, DB[samplingPoint], DB[samplingTag])</f>
        <v>DV116.04</v>
      </c>
      <c r="D598" s="33" t="s">
        <v>364</v>
      </c>
      <c r="E598" s="38" t="b">
        <v>1</v>
      </c>
      <c r="F598" s="39" t="str">
        <f t="array" ref="F598">_xlfn.XLOOKUP($B598, DB[samplingPoint], DB[noLocation])</f>
        <v>10-2-037</v>
      </c>
      <c r="G598" s="33" t="s">
        <v>180</v>
      </c>
      <c r="H598" s="40" t="str">
        <f t="array" ref="H598">_xlfn.XLOOKUP($B598, DB[samplingPoint], DB[location])</f>
        <v>SKID FOR BIN WASHING-1</v>
      </c>
      <c r="I598" s="39" t="str">
        <f t="array" ref="I598">_xlfn.XLOOKUP($B598, DB[samplingPoint], DB[waterType])</f>
        <v>PW</v>
      </c>
      <c r="J598" s="43">
        <f t="shared" si="1"/>
        <v>46137</v>
      </c>
      <c r="K598" s="26">
        <v>46141.0</v>
      </c>
      <c r="L598" s="32">
        <v>0.0</v>
      </c>
      <c r="M598" s="32">
        <v>0.0</v>
      </c>
      <c r="N598" s="32">
        <f t="shared" si="2"/>
        <v>0</v>
      </c>
      <c r="O598" s="49"/>
      <c r="P598" s="32">
        <f t="array" ref="P598">_xlfn.XLOOKUP($B598, DB[samplingPoint], DB[Criteria])</f>
        <v>100</v>
      </c>
      <c r="Q598" s="50" t="str">
        <f t="shared" si="3"/>
        <v>PASSED</v>
      </c>
      <c r="R598" s="38" t="b">
        <v>0</v>
      </c>
      <c r="S598" s="35" t="s">
        <v>1024</v>
      </c>
      <c r="T598" s="39" t="s">
        <v>386</v>
      </c>
      <c r="U598" s="32" t="s">
        <v>381</v>
      </c>
    </row>
    <row r="599" ht="22.5" customHeight="1">
      <c r="A599" s="26">
        <v>46136.0</v>
      </c>
      <c r="B599" s="88" t="s">
        <v>502</v>
      </c>
      <c r="C599" s="32" t="str">
        <f t="array" ref="C599">_xlfn.XLOOKUP(B599, DB[samplingPoint], DB[samplingTag])</f>
        <v>DV116.26</v>
      </c>
      <c r="D599" s="33" t="s">
        <v>364</v>
      </c>
      <c r="E599" s="38" t="b">
        <v>1</v>
      </c>
      <c r="F599" s="39" t="str">
        <f t="array" ref="F599">_xlfn.XLOOKUP($B599, DB[samplingPoint], DB[noLocation])</f>
        <v>10-4-015</v>
      </c>
      <c r="G599" s="33" t="s">
        <v>180</v>
      </c>
      <c r="H599" s="40" t="str">
        <f t="array" ref="H599">_xlfn.XLOOKUP($B599, DB[samplingPoint], DB[location])</f>
        <v>WATER SYSTEM ROOM</v>
      </c>
      <c r="I599" s="39" t="str">
        <f t="array" ref="I599">_xlfn.XLOOKUP($B599, DB[samplingPoint], DB[waterType])</f>
        <v>PW</v>
      </c>
      <c r="J599" s="43">
        <f t="shared" si="1"/>
        <v>46137</v>
      </c>
      <c r="K599" s="26">
        <v>46141.0</v>
      </c>
      <c r="L599" s="32">
        <v>0.0</v>
      </c>
      <c r="M599" s="32">
        <v>0.0</v>
      </c>
      <c r="N599" s="32">
        <f t="shared" si="2"/>
        <v>0</v>
      </c>
      <c r="O599" s="49"/>
      <c r="P599" s="32">
        <f t="array" ref="P599">_xlfn.XLOOKUP($B599, DB[samplingPoint], DB[Criteria])</f>
        <v>100</v>
      </c>
      <c r="Q599" s="50" t="str">
        <f t="shared" si="3"/>
        <v>PASSED</v>
      </c>
      <c r="R599" s="38" t="b">
        <v>0</v>
      </c>
      <c r="S599" s="35" t="s">
        <v>1024</v>
      </c>
      <c r="T599" s="39" t="s">
        <v>386</v>
      </c>
      <c r="U599" s="32" t="s">
        <v>381</v>
      </c>
    </row>
    <row r="600" ht="22.5" customHeight="1">
      <c r="A600" s="26">
        <v>46140.0</v>
      </c>
      <c r="B600" s="58" t="s">
        <v>467</v>
      </c>
      <c r="C600" s="32" t="str">
        <f t="array" ref="C600">_xlfn.XLOOKUP(B600, DB[samplingPoint], DB[samplingTag])</f>
        <v>SV123.01</v>
      </c>
      <c r="D600" s="33" t="s">
        <v>436</v>
      </c>
      <c r="E600" s="38" t="b">
        <v>1</v>
      </c>
      <c r="F600" s="39" t="str">
        <f t="array" ref="F600">_xlfn.XLOOKUP($B600, DB[samplingPoint], DB[noLocation])</f>
        <v>WATER SYSTEM (B16)</v>
      </c>
      <c r="G600" s="33" t="s">
        <v>327</v>
      </c>
      <c r="H600" s="40" t="str">
        <f t="array" ref="H600">_xlfn.XLOOKUP($B600, DB[samplingPoint], DB[location])</f>
        <v>After Storage tank (B16)</v>
      </c>
      <c r="I600" s="39" t="str">
        <f t="array" ref="I600">_xlfn.XLOOKUP($B600, DB[samplingPoint], DB[waterType])</f>
        <v>PW</v>
      </c>
      <c r="J600" s="43">
        <f t="shared" si="1"/>
        <v>46141</v>
      </c>
      <c r="K600" s="26">
        <v>46148.0</v>
      </c>
      <c r="L600" s="32">
        <v>0.0</v>
      </c>
      <c r="M600" s="32">
        <v>0.0</v>
      </c>
      <c r="N600" s="32">
        <f t="shared" si="2"/>
        <v>0</v>
      </c>
      <c r="O600" s="49"/>
      <c r="P600" s="32">
        <f t="array" ref="P600">_xlfn.XLOOKUP($B600, DB[samplingPoint], DB[Criteria])</f>
        <v>100</v>
      </c>
      <c r="Q600" s="50" t="str">
        <f t="shared" si="3"/>
        <v>PASSED</v>
      </c>
      <c r="R600" s="38" t="b">
        <v>1</v>
      </c>
      <c r="S600" s="35" t="s">
        <v>1025</v>
      </c>
      <c r="T600" s="39" t="s">
        <v>386</v>
      </c>
      <c r="U600" s="32" t="s">
        <v>381</v>
      </c>
    </row>
    <row r="601" ht="22.5" customHeight="1">
      <c r="A601" s="26">
        <v>46140.0</v>
      </c>
      <c r="B601" s="58" t="s">
        <v>469</v>
      </c>
      <c r="C601" s="32" t="str">
        <f t="array" ref="C601">_xlfn.XLOOKUP(B601, DB[samplingPoint], DB[samplingTag])</f>
        <v>SV125.02</v>
      </c>
      <c r="D601" s="33" t="s">
        <v>436</v>
      </c>
      <c r="E601" s="38" t="b">
        <v>1</v>
      </c>
      <c r="F601" s="39" t="str">
        <f t="array" ref="F601">_xlfn.XLOOKUP($B601, DB[samplingPoint], DB[noLocation])</f>
        <v>WATER SYSTEM (B16)</v>
      </c>
      <c r="G601" s="33" t="s">
        <v>327</v>
      </c>
      <c r="H601" s="40" t="str">
        <f t="array" ref="H601">_xlfn.XLOOKUP($B601, DB[samplingPoint], DB[location])</f>
        <v>After UV (B16)</v>
      </c>
      <c r="I601" s="39" t="str">
        <f t="array" ref="I601">_xlfn.XLOOKUP($B601, DB[samplingPoint], DB[waterType])</f>
        <v>PW</v>
      </c>
      <c r="J601" s="43">
        <f t="shared" si="1"/>
        <v>46141</v>
      </c>
      <c r="K601" s="26">
        <v>46148.0</v>
      </c>
      <c r="L601" s="32">
        <v>0.0</v>
      </c>
      <c r="M601" s="32">
        <v>0.0</v>
      </c>
      <c r="N601" s="32">
        <f t="shared" si="2"/>
        <v>0</v>
      </c>
      <c r="O601" s="49"/>
      <c r="P601" s="32">
        <f t="array" ref="P601">_xlfn.XLOOKUP($B601, DB[samplingPoint], DB[Criteria])</f>
        <v>100</v>
      </c>
      <c r="Q601" s="50" t="str">
        <f t="shared" si="3"/>
        <v>PASSED</v>
      </c>
      <c r="R601" s="38" t="b">
        <v>0</v>
      </c>
      <c r="S601" s="35" t="s">
        <v>1025</v>
      </c>
      <c r="T601" s="39" t="s">
        <v>386</v>
      </c>
      <c r="U601" s="32" t="s">
        <v>381</v>
      </c>
    </row>
    <row r="602" ht="22.5" customHeight="1">
      <c r="A602" s="26">
        <v>46140.0</v>
      </c>
      <c r="B602" s="58" t="s">
        <v>464</v>
      </c>
      <c r="C602" s="32" t="str">
        <f t="array" ref="C602">_xlfn.XLOOKUP(B602, DB[samplingPoint], DB[samplingTag])</f>
        <v>SV127.01</v>
      </c>
      <c r="D602" s="33" t="s">
        <v>436</v>
      </c>
      <c r="E602" s="38" t="b">
        <v>1</v>
      </c>
      <c r="F602" s="39" t="str">
        <f t="array" ref="F602">_xlfn.XLOOKUP($B602, DB[samplingPoint], DB[noLocation])</f>
        <v>WATER SYSTEM (B16)</v>
      </c>
      <c r="G602" s="33" t="s">
        <v>327</v>
      </c>
      <c r="H602" s="40" t="str">
        <f t="array" ref="H602">_xlfn.XLOOKUP($B602, DB[samplingPoint], DB[location])</f>
        <v>Return loop (B16)</v>
      </c>
      <c r="I602" s="39" t="str">
        <f t="array" ref="I602">_xlfn.XLOOKUP($B602, DB[samplingPoint], DB[waterType])</f>
        <v>PW</v>
      </c>
      <c r="J602" s="43">
        <f t="shared" si="1"/>
        <v>46141</v>
      </c>
      <c r="K602" s="26">
        <v>46148.0</v>
      </c>
      <c r="L602" s="32">
        <v>0.0</v>
      </c>
      <c r="M602" s="32">
        <v>0.0</v>
      </c>
      <c r="N602" s="32">
        <f t="shared" si="2"/>
        <v>0</v>
      </c>
      <c r="O602" s="49"/>
      <c r="P602" s="32">
        <f t="array" ref="P602">_xlfn.XLOOKUP($B602, DB[samplingPoint], DB[Criteria])</f>
        <v>100</v>
      </c>
      <c r="Q602" s="50" t="str">
        <f t="shared" si="3"/>
        <v>PASSED</v>
      </c>
      <c r="R602" s="38" t="b">
        <v>0</v>
      </c>
      <c r="S602" s="35" t="s">
        <v>1025</v>
      </c>
      <c r="T602" s="39" t="s">
        <v>386</v>
      </c>
      <c r="U602" s="32" t="s">
        <v>381</v>
      </c>
    </row>
    <row r="603" ht="22.5" customHeight="1">
      <c r="A603" s="26">
        <v>46140.0</v>
      </c>
      <c r="B603" s="88" t="s">
        <v>557</v>
      </c>
      <c r="C603" s="32" t="str">
        <f t="array" ref="C603">_xlfn.XLOOKUP(B603, DB[samplingPoint], DB[samplingTag])</f>
        <v>SV126.10</v>
      </c>
      <c r="D603" s="33" t="s">
        <v>436</v>
      </c>
      <c r="E603" s="38" t="b">
        <v>1</v>
      </c>
      <c r="F603" s="39" t="str">
        <f t="array" ref="F603">_xlfn.XLOOKUP($B603, DB[samplingPoint], DB[noLocation])</f>
        <v>16-3-071</v>
      </c>
      <c r="G603" s="33" t="s">
        <v>327</v>
      </c>
      <c r="H603" s="40" t="str">
        <f t="array" ref="H603">_xlfn.XLOOKUP($B603, DB[samplingPoint], DB[location])</f>
        <v>MFG 3 (1200L)</v>
      </c>
      <c r="I603" s="39" t="str">
        <f t="array" ref="I603">_xlfn.XLOOKUP($B603, DB[samplingPoint], DB[waterType])</f>
        <v>PW</v>
      </c>
      <c r="J603" s="43">
        <f t="shared" si="1"/>
        <v>46141</v>
      </c>
      <c r="K603" s="26">
        <v>46148.0</v>
      </c>
      <c r="L603" s="32">
        <v>0.0</v>
      </c>
      <c r="M603" s="32">
        <v>0.0</v>
      </c>
      <c r="N603" s="32">
        <f t="shared" si="2"/>
        <v>0</v>
      </c>
      <c r="O603" s="49"/>
      <c r="P603" s="32">
        <f t="array" ref="P603">_xlfn.XLOOKUP($B603, DB[samplingPoint], DB[Criteria])</f>
        <v>100</v>
      </c>
      <c r="Q603" s="50" t="str">
        <f t="shared" si="3"/>
        <v>PASSED</v>
      </c>
      <c r="R603" s="38" t="b">
        <v>0</v>
      </c>
      <c r="S603" s="35" t="s">
        <v>1025</v>
      </c>
      <c r="T603" s="39" t="s">
        <v>386</v>
      </c>
      <c r="U603" s="32" t="s">
        <v>381</v>
      </c>
    </row>
    <row r="604" ht="22.5" customHeight="1">
      <c r="A604" s="26">
        <v>46140.0</v>
      </c>
      <c r="B604" s="88" t="s">
        <v>561</v>
      </c>
      <c r="C604" s="32" t="str">
        <f t="array" ref="C604">_xlfn.XLOOKUP(B604, DB[samplingPoint], DB[samplingTag])</f>
        <v>SV126.09</v>
      </c>
      <c r="D604" s="33" t="s">
        <v>436</v>
      </c>
      <c r="E604" s="38" t="b">
        <v>1</v>
      </c>
      <c r="F604" s="39" t="str">
        <f t="array" ref="F604">_xlfn.XLOOKUP($B604, DB[samplingPoint], DB[noLocation])</f>
        <v>16-3-071</v>
      </c>
      <c r="G604" s="33" t="s">
        <v>327</v>
      </c>
      <c r="H604" s="40" t="str">
        <f t="array" ref="H604">_xlfn.XLOOKUP($B604, DB[samplingPoint], DB[location])</f>
        <v>MFG 3 (5000L)</v>
      </c>
      <c r="I604" s="39" t="str">
        <f t="array" ref="I604">_xlfn.XLOOKUP($B604, DB[samplingPoint], DB[waterType])</f>
        <v>PW</v>
      </c>
      <c r="J604" s="43">
        <f t="shared" si="1"/>
        <v>46141</v>
      </c>
      <c r="K604" s="26">
        <v>46148.0</v>
      </c>
      <c r="L604" s="32">
        <v>0.0</v>
      </c>
      <c r="M604" s="32">
        <v>0.0</v>
      </c>
      <c r="N604" s="32">
        <f t="shared" si="2"/>
        <v>0</v>
      </c>
      <c r="O604" s="49"/>
      <c r="P604" s="32">
        <f t="array" ref="P604">_xlfn.XLOOKUP($B604, DB[samplingPoint], DB[Criteria])</f>
        <v>100</v>
      </c>
      <c r="Q604" s="50" t="str">
        <f t="shared" si="3"/>
        <v>PASSED</v>
      </c>
      <c r="R604" s="38" t="b">
        <v>0</v>
      </c>
      <c r="S604" s="35" t="s">
        <v>1025</v>
      </c>
      <c r="T604" s="39" t="s">
        <v>386</v>
      </c>
      <c r="U604" s="32" t="s">
        <v>381</v>
      </c>
    </row>
    <row r="605" ht="22.5" customHeight="1">
      <c r="A605" s="26">
        <v>46140.0</v>
      </c>
      <c r="B605" s="88" t="s">
        <v>478</v>
      </c>
      <c r="C605" s="32" t="str">
        <f t="array" ref="C605">_xlfn.XLOOKUP(B605, DB[samplingPoint], DB[samplingTag])</f>
        <v>SV126.14</v>
      </c>
      <c r="D605" s="33" t="s">
        <v>436</v>
      </c>
      <c r="E605" s="38" t="b">
        <v>1</v>
      </c>
      <c r="F605" s="39" t="str">
        <f t="array" ref="F605">_xlfn.XLOOKUP($B605, DB[samplingPoint], DB[noLocation])</f>
        <v>16-3-073</v>
      </c>
      <c r="G605" s="33" t="s">
        <v>327</v>
      </c>
      <c r="H605" s="40" t="str">
        <f t="array" ref="H605">_xlfn.XLOOKUP($B605, DB[samplingPoint], DB[location])</f>
        <v>MFG 4 (400L)</v>
      </c>
      <c r="I605" s="39" t="str">
        <f t="array" ref="I605">_xlfn.XLOOKUP($B605, DB[samplingPoint], DB[waterType])</f>
        <v>PW</v>
      </c>
      <c r="J605" s="43">
        <f t="shared" si="1"/>
        <v>46141</v>
      </c>
      <c r="K605" s="26">
        <v>46148.0</v>
      </c>
      <c r="L605" s="32">
        <v>0.0</v>
      </c>
      <c r="M605" s="32">
        <v>0.0</v>
      </c>
      <c r="N605" s="32">
        <f t="shared" si="2"/>
        <v>0</v>
      </c>
      <c r="O605" s="49"/>
      <c r="P605" s="32">
        <f t="array" ref="P605">_xlfn.XLOOKUP($B605, DB[samplingPoint], DB[Criteria])</f>
        <v>100</v>
      </c>
      <c r="Q605" s="50" t="str">
        <f t="shared" si="3"/>
        <v>PASSED</v>
      </c>
      <c r="R605" s="38" t="b">
        <v>0</v>
      </c>
      <c r="S605" s="35" t="s">
        <v>1025</v>
      </c>
      <c r="T605" s="39" t="s">
        <v>386</v>
      </c>
      <c r="U605" s="32" t="s">
        <v>381</v>
      </c>
    </row>
    <row r="606" ht="22.5" customHeight="1">
      <c r="A606" s="26">
        <v>46140.0</v>
      </c>
      <c r="B606" s="88" t="s">
        <v>481</v>
      </c>
      <c r="C606" s="32" t="str">
        <f t="array" ref="C606">_xlfn.XLOOKUP(B606, DB[samplingPoint], DB[samplingTag])</f>
        <v>SV126.15</v>
      </c>
      <c r="D606" s="33" t="s">
        <v>436</v>
      </c>
      <c r="E606" s="38" t="b">
        <v>1</v>
      </c>
      <c r="F606" s="39" t="str">
        <f t="array" ref="F606">_xlfn.XLOOKUP($B606, DB[samplingPoint], DB[noLocation])</f>
        <v>16-3-075</v>
      </c>
      <c r="G606" s="33" t="s">
        <v>327</v>
      </c>
      <c r="H606" s="40" t="str">
        <f t="array" ref="H606">_xlfn.XLOOKUP($B606, DB[samplingPoint], DB[location])</f>
        <v>MFG 5 PROCESS (2000L)</v>
      </c>
      <c r="I606" s="39" t="str">
        <f t="array" ref="I606">_xlfn.XLOOKUP($B606, DB[samplingPoint], DB[waterType])</f>
        <v>PW</v>
      </c>
      <c r="J606" s="43">
        <f t="shared" si="1"/>
        <v>46141</v>
      </c>
      <c r="K606" s="26">
        <v>46148.0</v>
      </c>
      <c r="L606" s="32">
        <v>0.0</v>
      </c>
      <c r="M606" s="32">
        <v>0.0</v>
      </c>
      <c r="N606" s="32">
        <f t="shared" si="2"/>
        <v>0</v>
      </c>
      <c r="O606" s="49"/>
      <c r="P606" s="32">
        <f t="array" ref="P606">_xlfn.XLOOKUP($B606, DB[samplingPoint], DB[Criteria])</f>
        <v>100</v>
      </c>
      <c r="Q606" s="50" t="str">
        <f t="shared" si="3"/>
        <v>PASSED</v>
      </c>
      <c r="R606" s="38" t="b">
        <v>0</v>
      </c>
      <c r="S606" s="35" t="s">
        <v>1025</v>
      </c>
      <c r="T606" s="39" t="s">
        <v>386</v>
      </c>
      <c r="U606" s="32" t="s">
        <v>381</v>
      </c>
    </row>
    <row r="607" ht="22.5" customHeight="1">
      <c r="A607" s="26">
        <v>46140.0</v>
      </c>
      <c r="B607" s="88" t="s">
        <v>483</v>
      </c>
      <c r="C607" s="32" t="str">
        <f t="array" ref="C607">_xlfn.XLOOKUP(B607, DB[samplingPoint], DB[samplingTag])</f>
        <v>DV126.05</v>
      </c>
      <c r="D607" s="33" t="s">
        <v>436</v>
      </c>
      <c r="E607" s="38" t="b">
        <v>1</v>
      </c>
      <c r="F607" s="39" t="str">
        <f t="array" ref="F607">_xlfn.XLOOKUP($B607, DB[samplingPoint], DB[noLocation])</f>
        <v>16-3-054</v>
      </c>
      <c r="G607" s="33" t="s">
        <v>327</v>
      </c>
      <c r="H607" s="40" t="str">
        <f t="array" ref="H607">_xlfn.XLOOKUP($B607, DB[samplingPoint], DB[location])</f>
        <v>WASHING</v>
      </c>
      <c r="I607" s="39" t="str">
        <f t="array" ref="I607">_xlfn.XLOOKUP($B607, DB[samplingPoint], DB[waterType])</f>
        <v>PW</v>
      </c>
      <c r="J607" s="43">
        <f t="shared" si="1"/>
        <v>46141</v>
      </c>
      <c r="K607" s="26">
        <v>46148.0</v>
      </c>
      <c r="L607" s="32">
        <v>6.0</v>
      </c>
      <c r="M607" s="32">
        <v>3.0</v>
      </c>
      <c r="N607" s="32">
        <f t="shared" si="2"/>
        <v>5</v>
      </c>
      <c r="O607" s="49"/>
      <c r="P607" s="32">
        <f t="array" ref="P607">_xlfn.XLOOKUP($B607, DB[samplingPoint], DB[Criteria])</f>
        <v>100</v>
      </c>
      <c r="Q607" s="50" t="str">
        <f t="shared" si="3"/>
        <v>PASSED</v>
      </c>
      <c r="R607" s="38" t="b">
        <v>0</v>
      </c>
      <c r="S607" s="35" t="s">
        <v>1025</v>
      </c>
      <c r="T607" s="39" t="s">
        <v>386</v>
      </c>
      <c r="U607" s="32" t="s">
        <v>381</v>
      </c>
    </row>
    <row r="608" ht="22.5" customHeight="1">
      <c r="A608" s="26">
        <v>46140.0</v>
      </c>
      <c r="B608" s="88" t="s">
        <v>486</v>
      </c>
      <c r="C608" s="32" t="str">
        <f t="array" ref="C608">_xlfn.XLOOKUP(B608, DB[samplingPoint], DB[samplingTag])</f>
        <v>SV126.04</v>
      </c>
      <c r="D608" s="33" t="s">
        <v>436</v>
      </c>
      <c r="E608" s="38" t="b">
        <v>1</v>
      </c>
      <c r="F608" s="39" t="str">
        <f t="array" ref="F608">_xlfn.XLOOKUP($B608, DB[samplingPoint], DB[noLocation])</f>
        <v>16-2-010</v>
      </c>
      <c r="G608" s="33" t="s">
        <v>327</v>
      </c>
      <c r="H608" s="40" t="str">
        <f t="array" ref="H608">_xlfn.XLOOKUP($B608, DB[samplingPoint], DB[location])</f>
        <v>WATER SYSTEM (PSG)</v>
      </c>
      <c r="I608" s="39" t="str">
        <f t="array" ref="I608">_xlfn.XLOOKUP($B608, DB[samplingPoint], DB[waterType])</f>
        <v>PW</v>
      </c>
      <c r="J608" s="43">
        <f t="shared" si="1"/>
        <v>46141</v>
      </c>
      <c r="K608" s="26">
        <v>46148.0</v>
      </c>
      <c r="L608" s="32">
        <v>0.0</v>
      </c>
      <c r="M608" s="32">
        <v>0.0</v>
      </c>
      <c r="N608" s="32">
        <f t="shared" si="2"/>
        <v>0</v>
      </c>
      <c r="O608" s="49"/>
      <c r="P608" s="32">
        <f t="array" ref="P608">_xlfn.XLOOKUP($B608, DB[samplingPoint], DB[Criteria])</f>
        <v>100</v>
      </c>
      <c r="Q608" s="50" t="str">
        <f t="shared" si="3"/>
        <v>PASSED</v>
      </c>
      <c r="R608" s="38" t="b">
        <v>0</v>
      </c>
      <c r="S608" s="35" t="s">
        <v>1025</v>
      </c>
      <c r="T608" s="39" t="s">
        <v>386</v>
      </c>
      <c r="U608" s="32" t="s">
        <v>381</v>
      </c>
    </row>
    <row r="609" ht="22.5" customHeight="1">
      <c r="A609" s="26">
        <v>46140.0</v>
      </c>
      <c r="B609" s="27" t="s">
        <v>435</v>
      </c>
      <c r="C609" s="32" t="str">
        <f t="array" ref="C609">_xlfn.XLOOKUP(B609, DB[samplingPoint], DB[samplingTag])</f>
        <v>SV133.01</v>
      </c>
      <c r="D609" s="33" t="s">
        <v>436</v>
      </c>
      <c r="E609" s="38" t="b">
        <v>1</v>
      </c>
      <c r="F609" s="39" t="str">
        <f t="array" ref="F609">_xlfn.XLOOKUP($B609, DB[samplingPoint], DB[noLocation])</f>
        <v>WATER SYSTEM (B12)</v>
      </c>
      <c r="G609" s="33" t="s">
        <v>437</v>
      </c>
      <c r="H609" s="40" t="str">
        <f t="array" ref="H609">_xlfn.XLOOKUP($B609, DB[samplingPoint], DB[location])</f>
        <v>After Storage tank (B12)</v>
      </c>
      <c r="I609" s="39" t="str">
        <f t="array" ref="I609">_xlfn.XLOOKUP($B609, DB[samplingPoint], DB[waterType])</f>
        <v>PW</v>
      </c>
      <c r="J609" s="43">
        <f t="shared" si="1"/>
        <v>46141</v>
      </c>
      <c r="K609" s="26">
        <v>46148.0</v>
      </c>
      <c r="L609" s="32">
        <v>0.0</v>
      </c>
      <c r="M609" s="32">
        <v>0.0</v>
      </c>
      <c r="N609" s="32">
        <f t="shared" si="2"/>
        <v>0</v>
      </c>
      <c r="O609" s="49"/>
      <c r="P609" s="32">
        <f t="array" ref="P609">_xlfn.XLOOKUP($B609, DB[samplingPoint], DB[Criteria])</f>
        <v>100</v>
      </c>
      <c r="Q609" s="50" t="str">
        <f t="shared" si="3"/>
        <v>PASSED</v>
      </c>
      <c r="R609" s="38" t="b">
        <v>0</v>
      </c>
      <c r="S609" s="35" t="s">
        <v>1028</v>
      </c>
      <c r="T609" s="39" t="s">
        <v>386</v>
      </c>
      <c r="U609" s="32" t="s">
        <v>381</v>
      </c>
    </row>
    <row r="610" ht="22.5" customHeight="1">
      <c r="A610" s="26">
        <v>46140.0</v>
      </c>
      <c r="B610" s="58" t="s">
        <v>438</v>
      </c>
      <c r="C610" s="32" t="str">
        <f t="array" ref="C610">_xlfn.XLOOKUP(B610, DB[samplingPoint], DB[samplingTag])</f>
        <v>SV135.02</v>
      </c>
      <c r="D610" s="33" t="s">
        <v>436</v>
      </c>
      <c r="E610" s="38" t="b">
        <v>1</v>
      </c>
      <c r="F610" s="39" t="str">
        <f t="array" ref="F610">_xlfn.XLOOKUP($B610, DB[samplingPoint], DB[noLocation])</f>
        <v>WATER SYSTEM (B12)</v>
      </c>
      <c r="G610" s="33" t="s">
        <v>437</v>
      </c>
      <c r="H610" s="40" t="str">
        <f t="array" ref="H610">_xlfn.XLOOKUP($B610, DB[samplingPoint], DB[location])</f>
        <v>After UV (B12)</v>
      </c>
      <c r="I610" s="39" t="str">
        <f t="array" ref="I610">_xlfn.XLOOKUP($B610, DB[samplingPoint], DB[waterType])</f>
        <v>PW</v>
      </c>
      <c r="J610" s="43">
        <f t="shared" si="1"/>
        <v>46141</v>
      </c>
      <c r="K610" s="26">
        <v>46148.0</v>
      </c>
      <c r="L610" s="32">
        <v>0.0</v>
      </c>
      <c r="M610" s="32">
        <v>0.0</v>
      </c>
      <c r="N610" s="32">
        <f t="shared" si="2"/>
        <v>0</v>
      </c>
      <c r="O610" s="49"/>
      <c r="P610" s="32">
        <f t="array" ref="P610">_xlfn.XLOOKUP($B610, DB[samplingPoint], DB[Criteria])</f>
        <v>100</v>
      </c>
      <c r="Q610" s="50" t="str">
        <f t="shared" si="3"/>
        <v>PASSED</v>
      </c>
      <c r="R610" s="38" t="b">
        <v>0</v>
      </c>
      <c r="S610" s="35" t="s">
        <v>1028</v>
      </c>
      <c r="T610" s="39" t="s">
        <v>386</v>
      </c>
      <c r="U610" s="32" t="s">
        <v>381</v>
      </c>
    </row>
    <row r="611" ht="22.5" customHeight="1">
      <c r="A611" s="26">
        <v>46140.0</v>
      </c>
      <c r="B611" s="27" t="s">
        <v>430</v>
      </c>
      <c r="C611" s="32" t="str">
        <f t="array" ref="C611">_xlfn.XLOOKUP(B611, DB[samplingPoint], DB[samplingTag])</f>
        <v>SV137.01</v>
      </c>
      <c r="D611" s="33" t="s">
        <v>436</v>
      </c>
      <c r="E611" s="38" t="b">
        <v>1</v>
      </c>
      <c r="F611" s="39" t="str">
        <f t="array" ref="F611">_xlfn.XLOOKUP($B611, DB[samplingPoint], DB[noLocation])</f>
        <v>WATER SYSTEM (B12)</v>
      </c>
      <c r="G611" s="33" t="s">
        <v>437</v>
      </c>
      <c r="H611" s="40" t="str">
        <f t="array" ref="H611">_xlfn.XLOOKUP($B611, DB[samplingPoint], DB[location])</f>
        <v>Return loop (B12)</v>
      </c>
      <c r="I611" s="39" t="str">
        <f t="array" ref="I611">_xlfn.XLOOKUP($B611, DB[samplingPoint], DB[waterType])</f>
        <v>PW</v>
      </c>
      <c r="J611" s="43">
        <f t="shared" si="1"/>
        <v>46141</v>
      </c>
      <c r="K611" s="26">
        <v>46148.0</v>
      </c>
      <c r="L611" s="32">
        <v>0.0</v>
      </c>
      <c r="M611" s="32">
        <v>0.0</v>
      </c>
      <c r="N611" s="32">
        <f t="shared" si="2"/>
        <v>0</v>
      </c>
      <c r="O611" s="49"/>
      <c r="P611" s="32">
        <f t="array" ref="P611">_xlfn.XLOOKUP($B611, DB[samplingPoint], DB[Criteria])</f>
        <v>100</v>
      </c>
      <c r="Q611" s="50" t="str">
        <f t="shared" si="3"/>
        <v>PASSED</v>
      </c>
      <c r="R611" s="38" t="b">
        <v>0</v>
      </c>
      <c r="S611" s="35" t="s">
        <v>1028</v>
      </c>
      <c r="T611" s="39" t="s">
        <v>386</v>
      </c>
      <c r="U611" s="32" t="s">
        <v>381</v>
      </c>
    </row>
    <row r="612" ht="22.5" customHeight="1">
      <c r="A612" s="26">
        <v>46140.0</v>
      </c>
      <c r="B612" s="88" t="s">
        <v>518</v>
      </c>
      <c r="C612" s="32" t="str">
        <f t="array" ref="C612">_xlfn.XLOOKUP(B612, DB[samplingPoint], DB[samplingTag])</f>
        <v>SV136.12</v>
      </c>
      <c r="D612" s="33" t="s">
        <v>436</v>
      </c>
      <c r="E612" s="38" t="b">
        <v>1</v>
      </c>
      <c r="F612" s="39" t="str">
        <f t="array" ref="F612">_xlfn.XLOOKUP($B612, DB[samplingPoint], DB[noLocation])</f>
        <v>12-2-036</v>
      </c>
      <c r="G612" s="33" t="s">
        <v>437</v>
      </c>
      <c r="H612" s="40" t="str">
        <f t="array" ref="H612">_xlfn.XLOOKUP($B612, DB[samplingPoint], DB[location])</f>
        <v>CIP 1</v>
      </c>
      <c r="I612" s="39" t="str">
        <f t="array" ref="I612">_xlfn.XLOOKUP($B612, DB[samplingPoint], DB[waterType])</f>
        <v>PW</v>
      </c>
      <c r="J612" s="43">
        <f t="shared" si="1"/>
        <v>46141</v>
      </c>
      <c r="K612" s="26">
        <v>46148.0</v>
      </c>
      <c r="L612" s="32">
        <v>0.0</v>
      </c>
      <c r="M612" s="32">
        <v>0.0</v>
      </c>
      <c r="N612" s="32">
        <f t="shared" si="2"/>
        <v>0</v>
      </c>
      <c r="O612" s="49"/>
      <c r="P612" s="32">
        <f t="array" ref="P612">_xlfn.XLOOKUP($B612, DB[samplingPoint], DB[Criteria])</f>
        <v>100</v>
      </c>
      <c r="Q612" s="50" t="str">
        <f t="shared" si="3"/>
        <v>PASSED</v>
      </c>
      <c r="R612" s="38" t="b">
        <v>0</v>
      </c>
      <c r="S612" s="35" t="s">
        <v>1028</v>
      </c>
      <c r="T612" s="39" t="s">
        <v>386</v>
      </c>
      <c r="U612" s="32" t="s">
        <v>381</v>
      </c>
    </row>
    <row r="613" ht="22.5" customHeight="1">
      <c r="A613" s="26">
        <v>46140.0</v>
      </c>
      <c r="B613" s="88" t="s">
        <v>517</v>
      </c>
      <c r="C613" s="32" t="str">
        <f t="array" ref="C613">_xlfn.XLOOKUP(B613, DB[samplingPoint], DB[samplingTag])</f>
        <v>SV136.07</v>
      </c>
      <c r="D613" s="33" t="s">
        <v>436</v>
      </c>
      <c r="E613" s="38" t="b">
        <v>1</v>
      </c>
      <c r="F613" s="39" t="str">
        <f t="array" ref="F613">_xlfn.XLOOKUP($B613, DB[samplingPoint], DB[noLocation])</f>
        <v>12-2-034</v>
      </c>
      <c r="G613" s="33" t="s">
        <v>437</v>
      </c>
      <c r="H613" s="40" t="str">
        <f t="array" ref="H613">_xlfn.XLOOKUP($B613, DB[samplingPoint], DB[location])</f>
        <v>SYRUP PREPARATION</v>
      </c>
      <c r="I613" s="39" t="str">
        <f t="array" ref="I613">_xlfn.XLOOKUP($B613, DB[samplingPoint], DB[waterType])</f>
        <v>PW</v>
      </c>
      <c r="J613" s="43">
        <f t="shared" si="1"/>
        <v>46141</v>
      </c>
      <c r="K613" s="26">
        <v>46148.0</v>
      </c>
      <c r="L613" s="32">
        <v>0.0</v>
      </c>
      <c r="M613" s="32">
        <v>0.0</v>
      </c>
      <c r="N613" s="32">
        <f t="shared" si="2"/>
        <v>0</v>
      </c>
      <c r="O613" s="49"/>
      <c r="P613" s="32">
        <f t="array" ref="P613">_xlfn.XLOOKUP($B613, DB[samplingPoint], DB[Criteria])</f>
        <v>100</v>
      </c>
      <c r="Q613" s="50" t="str">
        <f t="shared" si="3"/>
        <v>PASSED</v>
      </c>
      <c r="R613" s="38" t="b">
        <v>0</v>
      </c>
      <c r="S613" s="35" t="s">
        <v>1028</v>
      </c>
      <c r="T613" s="39" t="s">
        <v>386</v>
      </c>
      <c r="U613" s="32" t="s">
        <v>381</v>
      </c>
    </row>
    <row r="614" ht="22.5" customHeight="1">
      <c r="A614" s="26">
        <v>46140.0</v>
      </c>
      <c r="B614" s="88" t="s">
        <v>516</v>
      </c>
      <c r="C614" s="32" t="str">
        <f t="array" ref="C614">_xlfn.XLOOKUP(B614, DB[samplingPoint], DB[samplingTag])</f>
        <v>SV136.06</v>
      </c>
      <c r="D614" s="33" t="s">
        <v>436</v>
      </c>
      <c r="E614" s="38" t="b">
        <v>1</v>
      </c>
      <c r="F614" s="39" t="str">
        <f t="array" ref="F614">_xlfn.XLOOKUP($B614, DB[samplingPoint], DB[noLocation])</f>
        <v>12-2-034</v>
      </c>
      <c r="G614" s="33" t="s">
        <v>437</v>
      </c>
      <c r="H614" s="40" t="str">
        <f t="array" ref="H614">_xlfn.XLOOKUP($B614, DB[samplingPoint], DB[location])</f>
        <v>SYRUP PREPARATION</v>
      </c>
      <c r="I614" s="39" t="str">
        <f t="array" ref="I614">_xlfn.XLOOKUP($B614, DB[samplingPoint], DB[waterType])</f>
        <v>PW</v>
      </c>
      <c r="J614" s="43">
        <f t="shared" si="1"/>
        <v>46141</v>
      </c>
      <c r="K614" s="26">
        <v>46148.0</v>
      </c>
      <c r="L614" s="32">
        <v>0.0</v>
      </c>
      <c r="M614" s="32">
        <v>0.0</v>
      </c>
      <c r="N614" s="32">
        <f t="shared" si="2"/>
        <v>0</v>
      </c>
      <c r="O614" s="49"/>
      <c r="P614" s="32">
        <f t="array" ref="P614">_xlfn.XLOOKUP($B614, DB[samplingPoint], DB[Criteria])</f>
        <v>100</v>
      </c>
      <c r="Q614" s="50" t="str">
        <f t="shared" si="3"/>
        <v>PASSED</v>
      </c>
      <c r="R614" s="38" t="b">
        <v>0</v>
      </c>
      <c r="S614" s="35" t="s">
        <v>1028</v>
      </c>
      <c r="T614" s="39" t="s">
        <v>386</v>
      </c>
      <c r="U614" s="32" t="s">
        <v>381</v>
      </c>
    </row>
    <row r="615" ht="22.5" customHeight="1">
      <c r="A615" s="26">
        <v>46140.0</v>
      </c>
      <c r="B615" s="88" t="s">
        <v>449</v>
      </c>
      <c r="C615" s="32" t="str">
        <f t="array" ref="C615">_xlfn.XLOOKUP(B615, DB[samplingPoint], DB[samplingTag])</f>
        <v>SV136.11</v>
      </c>
      <c r="D615" s="33" t="s">
        <v>436</v>
      </c>
      <c r="E615" s="38" t="b">
        <v>1</v>
      </c>
      <c r="F615" s="39" t="str">
        <f t="array" ref="F615">_xlfn.XLOOKUP($B615, DB[samplingPoint], DB[noLocation])</f>
        <v>12-2-043</v>
      </c>
      <c r="G615" s="33" t="s">
        <v>437</v>
      </c>
      <c r="H615" s="40" t="str">
        <f t="array" ref="H615">_xlfn.XLOOKUP($B615, DB[samplingPoint], DB[location])</f>
        <v>MFG 3</v>
      </c>
      <c r="I615" s="39" t="str">
        <f t="array" ref="I615">_xlfn.XLOOKUP($B615, DB[samplingPoint], DB[waterType])</f>
        <v>PW</v>
      </c>
      <c r="J615" s="43">
        <f t="shared" si="1"/>
        <v>46141</v>
      </c>
      <c r="K615" s="26">
        <v>46148.0</v>
      </c>
      <c r="L615" s="32">
        <v>0.0</v>
      </c>
      <c r="M615" s="32">
        <v>0.0</v>
      </c>
      <c r="N615" s="32">
        <f t="shared" si="2"/>
        <v>0</v>
      </c>
      <c r="O615" s="49"/>
      <c r="P615" s="32">
        <f t="array" ref="P615">_xlfn.XLOOKUP($B615, DB[samplingPoint], DB[Criteria])</f>
        <v>100</v>
      </c>
      <c r="Q615" s="50" t="str">
        <f t="shared" si="3"/>
        <v>PASSED</v>
      </c>
      <c r="R615" s="38" t="b">
        <v>0</v>
      </c>
      <c r="S615" s="35" t="s">
        <v>1028</v>
      </c>
      <c r="T615" s="39" t="s">
        <v>386</v>
      </c>
      <c r="U615" s="32" t="s">
        <v>381</v>
      </c>
    </row>
    <row r="616" ht="22.5" customHeight="1">
      <c r="A616" s="26">
        <v>46140.0</v>
      </c>
      <c r="B616" s="88" t="s">
        <v>453</v>
      </c>
      <c r="C616" s="32" t="str">
        <f t="array" ref="C616">_xlfn.XLOOKUP(B616, DB[samplingPoint], DB[samplingTag])</f>
        <v>SV136.13</v>
      </c>
      <c r="D616" s="33" t="s">
        <v>436</v>
      </c>
      <c r="E616" s="38" t="b">
        <v>1</v>
      </c>
      <c r="F616" s="39" t="str">
        <f t="array" ref="F616">_xlfn.XLOOKUP($B616, DB[samplingPoint], DB[noLocation])</f>
        <v>12-2-043</v>
      </c>
      <c r="G616" s="33" t="s">
        <v>437</v>
      </c>
      <c r="H616" s="40" t="str">
        <f t="array" ref="H616">_xlfn.XLOOKUP($B616, DB[samplingPoint], DB[location])</f>
        <v>MFG 3</v>
      </c>
      <c r="I616" s="39" t="str">
        <f t="array" ref="I616">_xlfn.XLOOKUP($B616, DB[samplingPoint], DB[waterType])</f>
        <v>PW</v>
      </c>
      <c r="J616" s="43">
        <f t="shared" si="1"/>
        <v>46141</v>
      </c>
      <c r="K616" s="26">
        <v>46148.0</v>
      </c>
      <c r="L616" s="32">
        <v>0.0</v>
      </c>
      <c r="M616" s="32">
        <v>0.0</v>
      </c>
      <c r="N616" s="32">
        <f t="shared" si="2"/>
        <v>0</v>
      </c>
      <c r="O616" s="49"/>
      <c r="P616" s="32">
        <f t="array" ref="P616">_xlfn.XLOOKUP($B616, DB[samplingPoint], DB[Criteria])</f>
        <v>100</v>
      </c>
      <c r="Q616" s="50" t="str">
        <f t="shared" si="3"/>
        <v>PASSED</v>
      </c>
      <c r="R616" s="38" t="b">
        <v>0</v>
      </c>
      <c r="S616" s="35" t="s">
        <v>1028</v>
      </c>
      <c r="T616" s="39" t="s">
        <v>386</v>
      </c>
      <c r="U616" s="32" t="s">
        <v>381</v>
      </c>
    </row>
    <row r="617" ht="22.5" customHeight="1">
      <c r="A617" s="26">
        <v>46140.0</v>
      </c>
      <c r="B617" s="88" t="s">
        <v>455</v>
      </c>
      <c r="C617" s="32" t="str">
        <f t="array" ref="C617">_xlfn.XLOOKUP(B617, DB[samplingPoint], DB[samplingTag])</f>
        <v>SV136.08</v>
      </c>
      <c r="D617" s="33" t="s">
        <v>436</v>
      </c>
      <c r="E617" s="38" t="b">
        <v>1</v>
      </c>
      <c r="F617" s="39" t="str">
        <f t="array" ref="F617">_xlfn.XLOOKUP($B617, DB[samplingPoint], DB[noLocation])</f>
        <v>12-2-043</v>
      </c>
      <c r="G617" s="33" t="s">
        <v>437</v>
      </c>
      <c r="H617" s="40" t="str">
        <f t="array" ref="H617">_xlfn.XLOOKUP($B617, DB[samplingPoint], DB[location])</f>
        <v>MFG 3</v>
      </c>
      <c r="I617" s="39" t="str">
        <f t="array" ref="I617">_xlfn.XLOOKUP($B617, DB[samplingPoint], DB[waterType])</f>
        <v>PW</v>
      </c>
      <c r="J617" s="43">
        <f t="shared" si="1"/>
        <v>46141</v>
      </c>
      <c r="K617" s="26">
        <v>46148.0</v>
      </c>
      <c r="L617" s="32">
        <v>0.0</v>
      </c>
      <c r="M617" s="32">
        <v>0.0</v>
      </c>
      <c r="N617" s="32">
        <f t="shared" si="2"/>
        <v>0</v>
      </c>
      <c r="O617" s="49"/>
      <c r="P617" s="32">
        <f t="array" ref="P617">_xlfn.XLOOKUP($B617, DB[samplingPoint], DB[Criteria])</f>
        <v>100</v>
      </c>
      <c r="Q617" s="50" t="str">
        <f t="shared" si="3"/>
        <v>PASSED</v>
      </c>
      <c r="R617" s="38" t="b">
        <v>0</v>
      </c>
      <c r="S617" s="35" t="s">
        <v>1028</v>
      </c>
      <c r="T617" s="39" t="s">
        <v>386</v>
      </c>
      <c r="U617" s="32" t="s">
        <v>381</v>
      </c>
    </row>
    <row r="618" ht="22.5" customHeight="1">
      <c r="A618" s="26">
        <v>46140.0</v>
      </c>
      <c r="B618" s="88" t="s">
        <v>510</v>
      </c>
      <c r="C618" s="32" t="str">
        <f t="array" ref="C618">_xlfn.XLOOKUP(B618, DB[samplingPoint], DB[samplingTag])</f>
        <v>SV136.03</v>
      </c>
      <c r="D618" s="33" t="s">
        <v>436</v>
      </c>
      <c r="E618" s="38" t="b">
        <v>1</v>
      </c>
      <c r="F618" s="39" t="str">
        <f t="array" ref="F618">_xlfn.XLOOKUP($B618, DB[samplingPoint], DB[noLocation])</f>
        <v>12-2-032</v>
      </c>
      <c r="G618" s="33" t="s">
        <v>437</v>
      </c>
      <c r="H618" s="40" t="str">
        <f t="array" ref="H618">_xlfn.XLOOKUP($B618, DB[samplingPoint], DB[location])</f>
        <v>CAMPHORATED OPIUM TINCTURE</v>
      </c>
      <c r="I618" s="39" t="str">
        <f t="array" ref="I618">_xlfn.XLOOKUP($B618, DB[samplingPoint], DB[waterType])</f>
        <v>PW</v>
      </c>
      <c r="J618" s="43">
        <f t="shared" si="1"/>
        <v>46141</v>
      </c>
      <c r="K618" s="26">
        <v>46148.0</v>
      </c>
      <c r="L618" s="32">
        <v>0.0</v>
      </c>
      <c r="M618" s="32">
        <v>0.0</v>
      </c>
      <c r="N618" s="32">
        <f t="shared" si="2"/>
        <v>0</v>
      </c>
      <c r="O618" s="49"/>
      <c r="P618" s="32">
        <f t="array" ref="P618">_xlfn.XLOOKUP($B618, DB[samplingPoint], DB[Criteria])</f>
        <v>100</v>
      </c>
      <c r="Q618" s="50" t="str">
        <f t="shared" si="3"/>
        <v>PASSED</v>
      </c>
      <c r="R618" s="38" t="b">
        <v>0</v>
      </c>
      <c r="S618" s="35" t="s">
        <v>1028</v>
      </c>
      <c r="T618" s="39" t="s">
        <v>386</v>
      </c>
      <c r="U618" s="32" t="s">
        <v>381</v>
      </c>
    </row>
    <row r="619" ht="22.5" customHeight="1">
      <c r="A619" s="26">
        <v>46140.0</v>
      </c>
      <c r="B619" s="88" t="s">
        <v>514</v>
      </c>
      <c r="C619" s="32" t="str">
        <f t="array" ref="C619">_xlfn.XLOOKUP(B619, DB[samplingPoint], DB[samplingTag])</f>
        <v>SV136.05</v>
      </c>
      <c r="D619" s="33" t="s">
        <v>436</v>
      </c>
      <c r="E619" s="38" t="b">
        <v>1</v>
      </c>
      <c r="F619" s="39" t="str">
        <f t="array" ref="F619">_xlfn.XLOOKUP($B619, DB[samplingPoint], DB[noLocation])</f>
        <v>12-2-032</v>
      </c>
      <c r="G619" s="33" t="s">
        <v>437</v>
      </c>
      <c r="H619" s="40" t="str">
        <f t="array" ref="H619">_xlfn.XLOOKUP($B619, DB[samplingPoint], DB[location])</f>
        <v>CAMPHORATED OPIUM TINCTURE</v>
      </c>
      <c r="I619" s="39" t="str">
        <f t="array" ref="I619">_xlfn.XLOOKUP($B619, DB[samplingPoint], DB[waterType])</f>
        <v>PW</v>
      </c>
      <c r="J619" s="43">
        <f t="shared" si="1"/>
        <v>46141</v>
      </c>
      <c r="K619" s="26">
        <v>46148.0</v>
      </c>
      <c r="L619" s="32">
        <v>0.0</v>
      </c>
      <c r="M619" s="32">
        <v>0.0</v>
      </c>
      <c r="N619" s="32">
        <f t="shared" si="2"/>
        <v>0</v>
      </c>
      <c r="O619" s="49"/>
      <c r="P619" s="32">
        <f t="array" ref="P619">_xlfn.XLOOKUP($B619, DB[samplingPoint], DB[Criteria])</f>
        <v>100</v>
      </c>
      <c r="Q619" s="50" t="str">
        <f t="shared" si="3"/>
        <v>PASSED</v>
      </c>
      <c r="R619" s="38" t="b">
        <v>0</v>
      </c>
      <c r="S619" s="35" t="s">
        <v>1028</v>
      </c>
      <c r="T619" s="39" t="s">
        <v>386</v>
      </c>
      <c r="U619" s="32" t="s">
        <v>381</v>
      </c>
    </row>
    <row r="620" ht="22.5" customHeight="1">
      <c r="A620" s="26">
        <v>46140.0</v>
      </c>
      <c r="B620" s="88" t="s">
        <v>513</v>
      </c>
      <c r="C620" s="32" t="str">
        <f t="array" ref="C620">_xlfn.XLOOKUP(B620, DB[samplingPoint], DB[samplingTag])</f>
        <v>SV136.04</v>
      </c>
      <c r="D620" s="33" t="s">
        <v>436</v>
      </c>
      <c r="E620" s="38" t="b">
        <v>1</v>
      </c>
      <c r="F620" s="39" t="str">
        <f t="array" ref="F620">_xlfn.XLOOKUP($B620, DB[samplingPoint], DB[noLocation])</f>
        <v>12-2-030</v>
      </c>
      <c r="G620" s="33" t="s">
        <v>437</v>
      </c>
      <c r="H620" s="40" t="str">
        <f t="array" ref="H620">_xlfn.XLOOKUP($B620, DB[samplingPoint], DB[location])</f>
        <v>OPIUM TINCTURE</v>
      </c>
      <c r="I620" s="39" t="str">
        <f t="array" ref="I620">_xlfn.XLOOKUP($B620, DB[samplingPoint], DB[waterType])</f>
        <v>PW</v>
      </c>
      <c r="J620" s="43">
        <f t="shared" si="1"/>
        <v>46141</v>
      </c>
      <c r="K620" s="26">
        <v>46148.0</v>
      </c>
      <c r="L620" s="32">
        <v>0.0</v>
      </c>
      <c r="M620" s="32">
        <v>0.0</v>
      </c>
      <c r="N620" s="32">
        <f t="shared" si="2"/>
        <v>0</v>
      </c>
      <c r="O620" s="49"/>
      <c r="P620" s="32">
        <f t="array" ref="P620">_xlfn.XLOOKUP($B620, DB[samplingPoint], DB[Criteria])</f>
        <v>100</v>
      </c>
      <c r="Q620" s="50" t="str">
        <f t="shared" si="3"/>
        <v>PASSED</v>
      </c>
      <c r="R620" s="38" t="b">
        <v>0</v>
      </c>
      <c r="S620" s="35" t="s">
        <v>1028</v>
      </c>
      <c r="T620" s="39" t="s">
        <v>386</v>
      </c>
      <c r="U620" s="32" t="s">
        <v>381</v>
      </c>
    </row>
    <row r="621" ht="22.5" customHeight="1">
      <c r="A621" s="26">
        <v>46140.0</v>
      </c>
      <c r="B621" s="88" t="s">
        <v>506</v>
      </c>
      <c r="C621" s="32" t="str">
        <f t="array" ref="C621">_xlfn.XLOOKUP(B621, DB[samplingPoint], DB[samplingTag])</f>
        <v>DV136.02</v>
      </c>
      <c r="D621" s="33" t="s">
        <v>436</v>
      </c>
      <c r="E621" s="38" t="b">
        <v>1</v>
      </c>
      <c r="F621" s="39" t="str">
        <f t="array" ref="F621">_xlfn.XLOOKUP($B621, DB[samplingPoint], DB[noLocation])</f>
        <v>12-2-028</v>
      </c>
      <c r="G621" s="33" t="s">
        <v>437</v>
      </c>
      <c r="H621" s="40" t="str">
        <f t="array" ref="H621">_xlfn.XLOOKUP($B621, DB[samplingPoint], DB[location])</f>
        <v>ALCOHOL STORAGE</v>
      </c>
      <c r="I621" s="39" t="str">
        <f t="array" ref="I621">_xlfn.XLOOKUP($B621, DB[samplingPoint], DB[waterType])</f>
        <v>PW</v>
      </c>
      <c r="J621" s="43">
        <f t="shared" si="1"/>
        <v>46141</v>
      </c>
      <c r="K621" s="26">
        <v>46148.0</v>
      </c>
      <c r="L621" s="32">
        <v>0.0</v>
      </c>
      <c r="M621" s="32">
        <v>0.0</v>
      </c>
      <c r="N621" s="32">
        <f t="shared" si="2"/>
        <v>0</v>
      </c>
      <c r="O621" s="49"/>
      <c r="P621" s="32">
        <f t="array" ref="P621">_xlfn.XLOOKUP($B621, DB[samplingPoint], DB[Criteria])</f>
        <v>100</v>
      </c>
      <c r="Q621" s="50" t="str">
        <f t="shared" si="3"/>
        <v>PASSED</v>
      </c>
      <c r="R621" s="38" t="b">
        <v>0</v>
      </c>
      <c r="S621" s="35" t="s">
        <v>1028</v>
      </c>
      <c r="T621" s="39" t="s">
        <v>386</v>
      </c>
      <c r="U621" s="32" t="s">
        <v>381</v>
      </c>
    </row>
    <row r="622" ht="22.5" customHeight="1">
      <c r="A622" s="26">
        <v>46140.0</v>
      </c>
      <c r="B622" s="27" t="s">
        <v>390</v>
      </c>
      <c r="C622" s="32" t="str">
        <f t="array" ref="C622">_xlfn.XLOOKUP(B622, DB[samplingPoint], DB[samplingTag])</f>
        <v>SV117.01</v>
      </c>
      <c r="D622" s="33" t="s">
        <v>436</v>
      </c>
      <c r="E622" s="38" t="b">
        <v>1</v>
      </c>
      <c r="F622" s="39" t="str">
        <f t="array" ref="F622">_xlfn.XLOOKUP($B622, DB[samplingPoint], DB[noLocation])</f>
        <v>WATER SYSTEM (B10)</v>
      </c>
      <c r="G622" s="33" t="s">
        <v>180</v>
      </c>
      <c r="H622" s="40" t="str">
        <f t="array" ref="H622">_xlfn.XLOOKUP($B622, DB[samplingPoint], DB[location])</f>
        <v>Return loop (B10)</v>
      </c>
      <c r="I622" s="39" t="str">
        <f t="array" ref="I622">_xlfn.XLOOKUP($B622, DB[samplingPoint], DB[waterType])</f>
        <v>PW</v>
      </c>
      <c r="J622" s="43">
        <f t="shared" si="1"/>
        <v>46141</v>
      </c>
      <c r="K622" s="26">
        <v>46148.0</v>
      </c>
      <c r="L622" s="32">
        <v>0.0</v>
      </c>
      <c r="M622" s="32">
        <v>0.0</v>
      </c>
      <c r="N622" s="32">
        <f t="shared" si="2"/>
        <v>0</v>
      </c>
      <c r="O622" s="49"/>
      <c r="P622" s="32">
        <f t="array" ref="P622">_xlfn.XLOOKUP($B622, DB[samplingPoint], DB[Criteria])</f>
        <v>100</v>
      </c>
      <c r="Q622" s="50" t="str">
        <f t="shared" si="3"/>
        <v>PASSED</v>
      </c>
      <c r="R622" s="38" t="b">
        <v>0</v>
      </c>
      <c r="S622" s="35" t="s">
        <v>1029</v>
      </c>
      <c r="T622" s="39" t="s">
        <v>386</v>
      </c>
      <c r="U622" s="32" t="s">
        <v>381</v>
      </c>
    </row>
    <row r="623" ht="22.5" customHeight="1">
      <c r="A623" s="26">
        <v>46140.0</v>
      </c>
      <c r="B623" s="88" t="s">
        <v>472</v>
      </c>
      <c r="C623" s="32" t="str">
        <f t="array" ref="C623">_xlfn.XLOOKUP(B623, DB[samplingPoint], DB[samplingTag])</f>
        <v>SV126.19</v>
      </c>
      <c r="D623" s="33" t="s">
        <v>436</v>
      </c>
      <c r="E623" s="38" t="b">
        <v>1</v>
      </c>
      <c r="F623" s="39" t="str">
        <f t="array" ref="F623">_xlfn.XLOOKUP($B623, DB[samplingPoint], DB[noLocation])</f>
        <v>16-3-087</v>
      </c>
      <c r="G623" s="33" t="s">
        <v>327</v>
      </c>
      <c r="H623" s="40" t="str">
        <f t="array" ref="H623">_xlfn.XLOOKUP($B623, DB[samplingPoint], DB[location])</f>
        <v>CIP 2 (EQUIPMENT REQUIREMENT)</v>
      </c>
      <c r="I623" s="39" t="str">
        <f t="array" ref="I623">_xlfn.XLOOKUP($B623, DB[samplingPoint], DB[waterType])</f>
        <v>PW</v>
      </c>
      <c r="J623" s="43">
        <f t="shared" si="1"/>
        <v>46141</v>
      </c>
      <c r="K623" s="26">
        <v>46148.0</v>
      </c>
      <c r="L623" s="32">
        <v>0.0</v>
      </c>
      <c r="M623" s="32">
        <v>0.0</v>
      </c>
      <c r="N623" s="32">
        <f t="shared" si="2"/>
        <v>0</v>
      </c>
      <c r="O623" s="49"/>
      <c r="P623" s="32">
        <f t="array" ref="P623">_xlfn.XLOOKUP($B623, DB[samplingPoint], DB[Criteria])</f>
        <v>100</v>
      </c>
      <c r="Q623" s="50" t="str">
        <f t="shared" si="3"/>
        <v>PASSED</v>
      </c>
      <c r="R623" s="38" t="b">
        <v>0</v>
      </c>
      <c r="S623" s="35" t="s">
        <v>36</v>
      </c>
      <c r="T623" s="39" t="s">
        <v>386</v>
      </c>
      <c r="U623" s="32" t="s">
        <v>304</v>
      </c>
    </row>
    <row r="624" ht="22.5" customHeight="1">
      <c r="A624" s="26">
        <v>46140.0</v>
      </c>
      <c r="B624" s="88" t="s">
        <v>474</v>
      </c>
      <c r="C624" s="32" t="str">
        <f t="array" ref="C624">_xlfn.XLOOKUP(B624, DB[samplingPoint], DB[samplingTag])</f>
        <v>DV126.11</v>
      </c>
      <c r="D624" s="33" t="s">
        <v>436</v>
      </c>
      <c r="E624" s="38" t="b">
        <v>1</v>
      </c>
      <c r="F624" s="39" t="str">
        <f t="array" ref="F624">_xlfn.XLOOKUP($B624, DB[samplingPoint], DB[noLocation])</f>
        <v>16-3-073</v>
      </c>
      <c r="G624" s="33" t="s">
        <v>327</v>
      </c>
      <c r="H624" s="40" t="str">
        <f t="array" ref="H624">_xlfn.XLOOKUP($B624, DB[samplingPoint], DB[location])</f>
        <v>MFG 4 (5000L)</v>
      </c>
      <c r="I624" s="39" t="str">
        <f t="array" ref="I624">_xlfn.XLOOKUP($B624, DB[samplingPoint], DB[waterType])</f>
        <v>PW</v>
      </c>
      <c r="J624" s="43">
        <f t="shared" si="1"/>
        <v>46141</v>
      </c>
      <c r="K624" s="26">
        <v>46148.0</v>
      </c>
      <c r="L624" s="32">
        <v>0.0</v>
      </c>
      <c r="M624" s="32">
        <v>0.0</v>
      </c>
      <c r="N624" s="32">
        <f t="shared" si="2"/>
        <v>0</v>
      </c>
      <c r="O624" s="49"/>
      <c r="P624" s="32">
        <f t="array" ref="P624">_xlfn.XLOOKUP($B624, DB[samplingPoint], DB[Criteria])</f>
        <v>100</v>
      </c>
      <c r="Q624" s="50" t="str">
        <f t="shared" si="3"/>
        <v>PASSED</v>
      </c>
      <c r="R624" s="38" t="b">
        <v>0</v>
      </c>
      <c r="S624" s="35" t="s">
        <v>36</v>
      </c>
      <c r="T624" s="39" t="s">
        <v>386</v>
      </c>
      <c r="U624" s="32" t="s">
        <v>304</v>
      </c>
    </row>
    <row r="625" ht="22.5" customHeight="1">
      <c r="A625" s="26">
        <v>46148.0</v>
      </c>
      <c r="B625" s="58" t="s">
        <v>442</v>
      </c>
      <c r="C625" s="32" t="str">
        <f t="array" ref="C625">_xlfn.XLOOKUP(B625, DB[samplingPoint], DB[samplingTag])</f>
        <v>V50-61 (12)</v>
      </c>
      <c r="D625" s="33" t="s">
        <v>375</v>
      </c>
      <c r="E625" s="38" t="b">
        <v>1</v>
      </c>
      <c r="F625" s="39" t="str">
        <f t="array" ref="F625">_xlfn.XLOOKUP($B625, DB[samplingPoint], DB[noLocation])</f>
        <v>WATER SYSTEM (B12)</v>
      </c>
      <c r="G625" s="33" t="s">
        <v>437</v>
      </c>
      <c r="H625" s="40" t="str">
        <f t="array" ref="H625">_xlfn.XLOOKUP($B625, DB[samplingPoint], DB[location])</f>
        <v>After Cartridge filter 5 µm (B12)</v>
      </c>
      <c r="I625" s="39" t="str">
        <f t="array" ref="I625">_xlfn.XLOOKUP($B625, DB[samplingPoint], DB[waterType])</f>
        <v>PRW</v>
      </c>
      <c r="J625" s="43">
        <f t="shared" si="1"/>
        <v>46149</v>
      </c>
      <c r="K625" s="26">
        <v>46154.0</v>
      </c>
      <c r="L625" s="32">
        <v>277.0</v>
      </c>
      <c r="M625" s="32">
        <v>265.0</v>
      </c>
      <c r="N625" s="32">
        <f t="shared" si="2"/>
        <v>271</v>
      </c>
      <c r="O625" s="49"/>
      <c r="P625" s="32">
        <f t="array" ref="P625">_xlfn.XLOOKUP($B625, DB[samplingPoint], DB[Criteria])</f>
        <v>500</v>
      </c>
      <c r="Q625" s="50" t="str">
        <f t="shared" si="3"/>
        <v>PASSED</v>
      </c>
      <c r="R625" s="38" t="b">
        <v>0</v>
      </c>
      <c r="S625" s="35" t="s">
        <v>1030</v>
      </c>
      <c r="T625" s="39" t="s">
        <v>386</v>
      </c>
      <c r="U625" s="32" t="s">
        <v>381</v>
      </c>
    </row>
    <row r="626" ht="22.5" customHeight="1">
      <c r="A626" s="26">
        <v>46148.0</v>
      </c>
      <c r="B626" s="27" t="s">
        <v>434</v>
      </c>
      <c r="C626" s="32" t="str">
        <f t="array" ref="C626">_xlfn.XLOOKUP(B626, DB[samplingPoint], DB[samplingTag])</f>
        <v>V50-11C (12)</v>
      </c>
      <c r="D626" s="33" t="s">
        <v>375</v>
      </c>
      <c r="E626" s="38" t="b">
        <v>1</v>
      </c>
      <c r="F626" s="39" t="str">
        <f t="array" ref="F626">_xlfn.XLOOKUP($B626, DB[samplingPoint], DB[noLocation])</f>
        <v>WATER SYSTEM (B12)</v>
      </c>
      <c r="G626" s="33" t="s">
        <v>437</v>
      </c>
      <c r="H626" s="40" t="str">
        <f t="array" ref="H626">_xlfn.XLOOKUP($B626, DB[samplingPoint], DB[location])</f>
        <v>After RO (Before EDI) (B12)</v>
      </c>
      <c r="I626" s="39" t="str">
        <f t="array" ref="I626">_xlfn.XLOOKUP($B626, DB[samplingPoint], DB[waterType])</f>
        <v>RO water</v>
      </c>
      <c r="J626" s="43">
        <f t="shared" si="1"/>
        <v>46149</v>
      </c>
      <c r="K626" s="26">
        <v>46154.0</v>
      </c>
      <c r="L626" s="32">
        <v>0.0</v>
      </c>
      <c r="M626" s="32">
        <v>0.0</v>
      </c>
      <c r="N626" s="32">
        <f t="shared" si="2"/>
        <v>0</v>
      </c>
      <c r="O626" s="49"/>
      <c r="P626" s="32">
        <f t="array" ref="P626">_xlfn.XLOOKUP($B626, DB[samplingPoint], DB[Criteria])</f>
        <v>500</v>
      </c>
      <c r="Q626" s="50" t="str">
        <f t="shared" si="3"/>
        <v>PASSED</v>
      </c>
      <c r="R626" s="38" t="b">
        <v>0</v>
      </c>
      <c r="S626" s="35" t="s">
        <v>1030</v>
      </c>
      <c r="T626" s="39" t="s">
        <v>386</v>
      </c>
      <c r="U626" s="32" t="s">
        <v>381</v>
      </c>
    </row>
    <row r="627" ht="22.5" customHeight="1">
      <c r="A627" s="26">
        <v>46148.0</v>
      </c>
      <c r="B627" s="58" t="s">
        <v>440</v>
      </c>
      <c r="C627" s="32" t="str">
        <f t="array" ref="C627">_xlfn.XLOOKUP(B627, DB[samplingPoint], DB[samplingTag])</f>
        <v>V50-39 (12)</v>
      </c>
      <c r="D627" s="33" t="s">
        <v>375</v>
      </c>
      <c r="E627" s="38" t="b">
        <v>1</v>
      </c>
      <c r="F627" s="39" t="str">
        <f t="array" ref="F627">_xlfn.XLOOKUP($B627, DB[samplingPoint], DB[noLocation])</f>
        <v>WATER SYSTEM (B12)</v>
      </c>
      <c r="G627" s="33" t="s">
        <v>437</v>
      </c>
      <c r="H627" s="40" t="str">
        <f t="array" ref="H627">_xlfn.XLOOKUP($B627, DB[samplingPoint], DB[location])</f>
        <v>After EDI (B12)</v>
      </c>
      <c r="I627" s="39" t="str">
        <f t="array" ref="I627">_xlfn.XLOOKUP($B627, DB[samplingPoint], DB[waterType])</f>
        <v>PW</v>
      </c>
      <c r="J627" s="43">
        <f t="shared" si="1"/>
        <v>46149</v>
      </c>
      <c r="K627" s="26">
        <v>46154.0</v>
      </c>
      <c r="L627" s="32">
        <v>0.0</v>
      </c>
      <c r="M627" s="32">
        <v>0.0</v>
      </c>
      <c r="N627" s="32">
        <f t="shared" si="2"/>
        <v>0</v>
      </c>
      <c r="O627" s="49"/>
      <c r="P627" s="32">
        <f t="array" ref="P627">_xlfn.XLOOKUP($B627, DB[samplingPoint], DB[Criteria])</f>
        <v>100</v>
      </c>
      <c r="Q627" s="50" t="str">
        <f t="shared" si="3"/>
        <v>PASSED</v>
      </c>
      <c r="R627" s="38" t="b">
        <v>0</v>
      </c>
      <c r="S627" s="35" t="s">
        <v>1030</v>
      </c>
      <c r="T627" s="39" t="s">
        <v>386</v>
      </c>
      <c r="U627" s="32" t="s">
        <v>381</v>
      </c>
    </row>
    <row r="628" ht="22.5" customHeight="1">
      <c r="A628" s="26">
        <v>46148.0</v>
      </c>
      <c r="B628" s="48" t="s">
        <v>430</v>
      </c>
      <c r="C628" s="32" t="str">
        <f t="array" ref="C628">_xlfn.XLOOKUP(B628, DB[samplingPoint], DB[samplingTag])</f>
        <v>SV137.01</v>
      </c>
      <c r="D628" s="33" t="s">
        <v>375</v>
      </c>
      <c r="E628" s="38" t="b">
        <v>1</v>
      </c>
      <c r="F628" s="39" t="str">
        <f t="array" ref="F628">_xlfn.XLOOKUP($B628, DB[samplingPoint], DB[noLocation])</f>
        <v>WATER SYSTEM (B12)</v>
      </c>
      <c r="G628" s="33" t="s">
        <v>437</v>
      </c>
      <c r="H628" s="40" t="str">
        <f t="array" ref="H628">_xlfn.XLOOKUP($B628, DB[samplingPoint], DB[location])</f>
        <v>Return loop (B12)</v>
      </c>
      <c r="I628" s="39" t="str">
        <f t="array" ref="I628">_xlfn.XLOOKUP($B628, DB[samplingPoint], DB[waterType])</f>
        <v>PW</v>
      </c>
      <c r="J628" s="43">
        <f t="shared" si="1"/>
        <v>46149</v>
      </c>
      <c r="K628" s="26">
        <v>46154.0</v>
      </c>
      <c r="L628" s="32">
        <v>0.0</v>
      </c>
      <c r="M628" s="32">
        <v>0.0</v>
      </c>
      <c r="N628" s="32">
        <f t="shared" si="2"/>
        <v>0</v>
      </c>
      <c r="O628" s="49"/>
      <c r="P628" s="32">
        <f t="array" ref="P628">_xlfn.XLOOKUP($B628, DB[samplingPoint], DB[Criteria])</f>
        <v>100</v>
      </c>
      <c r="Q628" s="50" t="str">
        <f t="shared" si="3"/>
        <v>PASSED</v>
      </c>
      <c r="R628" s="38" t="b">
        <v>0</v>
      </c>
      <c r="S628" s="35" t="s">
        <v>1030</v>
      </c>
      <c r="T628" s="39" t="s">
        <v>386</v>
      </c>
      <c r="U628" s="32" t="s">
        <v>381</v>
      </c>
    </row>
    <row r="629" ht="22.5" customHeight="1">
      <c r="A629" s="26">
        <v>46148.0</v>
      </c>
      <c r="B629" s="88" t="s">
        <v>419</v>
      </c>
      <c r="C629" s="32" t="str">
        <f t="array" ref="C629">_xlfn.XLOOKUP(B629, DB[samplingPoint], DB[samplingTag])</f>
        <v>DV136.15</v>
      </c>
      <c r="D629" s="33" t="s">
        <v>375</v>
      </c>
      <c r="E629" s="38" t="b">
        <v>1</v>
      </c>
      <c r="F629" s="39" t="str">
        <f t="array" ref="F629">_xlfn.XLOOKUP($B629, DB[samplingPoint], DB[noLocation])</f>
        <v>12-3-078</v>
      </c>
      <c r="G629" s="33" t="s">
        <v>437</v>
      </c>
      <c r="H629" s="40" t="str">
        <f t="array" ref="H629">_xlfn.XLOOKUP($B629, DB[samplingPoint], DB[location])</f>
        <v>GLASSWARE WASHING 2</v>
      </c>
      <c r="I629" s="39" t="str">
        <f t="array" ref="I629">_xlfn.XLOOKUP($B629, DB[samplingPoint], DB[waterType])</f>
        <v>PW</v>
      </c>
      <c r="J629" s="43">
        <f t="shared" si="1"/>
        <v>46149</v>
      </c>
      <c r="K629" s="26">
        <v>46154.0</v>
      </c>
      <c r="L629" s="32">
        <v>0.0</v>
      </c>
      <c r="M629" s="32">
        <v>0.0</v>
      </c>
      <c r="N629" s="32">
        <f t="shared" si="2"/>
        <v>0</v>
      </c>
      <c r="O629" s="49"/>
      <c r="P629" s="32">
        <f t="array" ref="P629">_xlfn.XLOOKUP($B629, DB[samplingPoint], DB[Criteria])</f>
        <v>100</v>
      </c>
      <c r="Q629" s="50" t="str">
        <f t="shared" si="3"/>
        <v>PASSED</v>
      </c>
      <c r="R629" s="38" t="b">
        <v>0</v>
      </c>
      <c r="S629" s="35" t="s">
        <v>1030</v>
      </c>
      <c r="T629" s="39" t="s">
        <v>386</v>
      </c>
      <c r="U629" s="32" t="s">
        <v>381</v>
      </c>
    </row>
    <row r="630" ht="22.5" customHeight="1">
      <c r="A630" s="26">
        <v>46148.0</v>
      </c>
      <c r="B630" s="88" t="s">
        <v>409</v>
      </c>
      <c r="C630" s="32" t="str">
        <f t="array" ref="C630">_xlfn.XLOOKUP(B630, DB[samplingPoint], DB[samplingTag])</f>
        <v>DV136.13</v>
      </c>
      <c r="D630" s="33" t="s">
        <v>375</v>
      </c>
      <c r="E630" s="38" t="b">
        <v>1</v>
      </c>
      <c r="F630" s="39" t="str">
        <f t="array" ref="F630">_xlfn.XLOOKUP($B630, DB[samplingPoint], DB[noLocation])</f>
        <v>12-3-057</v>
      </c>
      <c r="G630" s="33" t="s">
        <v>437</v>
      </c>
      <c r="H630" s="40" t="str">
        <f t="array" ref="H630">_xlfn.XLOOKUP($B630, DB[samplingPoint], DB[location])</f>
        <v>STERILIZATION</v>
      </c>
      <c r="I630" s="39" t="str">
        <f t="array" ref="I630">_xlfn.XLOOKUP($B630, DB[samplingPoint], DB[waterType])</f>
        <v>PW</v>
      </c>
      <c r="J630" s="43">
        <f t="shared" si="1"/>
        <v>46149</v>
      </c>
      <c r="K630" s="26">
        <v>46154.0</v>
      </c>
      <c r="L630" s="32">
        <v>0.0</v>
      </c>
      <c r="M630" s="32">
        <v>0.0</v>
      </c>
      <c r="N630" s="32">
        <f t="shared" si="2"/>
        <v>0</v>
      </c>
      <c r="O630" s="49"/>
      <c r="P630" s="32">
        <f t="array" ref="P630">_xlfn.XLOOKUP($B630, DB[samplingPoint], DB[Criteria])</f>
        <v>100</v>
      </c>
      <c r="Q630" s="50" t="str">
        <f t="shared" si="3"/>
        <v>PASSED</v>
      </c>
      <c r="R630" s="38" t="b">
        <v>0</v>
      </c>
      <c r="S630" s="35" t="s">
        <v>1030</v>
      </c>
      <c r="T630" s="39" t="s">
        <v>386</v>
      </c>
      <c r="U630" s="32" t="s">
        <v>381</v>
      </c>
    </row>
    <row r="631" ht="22.5" customHeight="1">
      <c r="A631" s="26">
        <v>46148.0</v>
      </c>
      <c r="B631" s="88" t="s">
        <v>427</v>
      </c>
      <c r="C631" s="32" t="str">
        <f t="array" ref="C631">_xlfn.XLOOKUP(B631, DB[samplingPoint], DB[samplingTag])</f>
        <v>SV136.18</v>
      </c>
      <c r="D631" s="33" t="s">
        <v>375</v>
      </c>
      <c r="E631" s="38" t="b">
        <v>1</v>
      </c>
      <c r="F631" s="39" t="str">
        <f t="array" ref="F631">_xlfn.XLOOKUP($B631, DB[samplingPoint], DB[noLocation])</f>
        <v>12-3-059</v>
      </c>
      <c r="G631" s="33" t="s">
        <v>437</v>
      </c>
      <c r="H631" s="40" t="str">
        <f t="array" ref="H631">_xlfn.XLOOKUP($B631, DB[samplingPoint], DB[location])</f>
        <v>AUTOCLAVE</v>
      </c>
      <c r="I631" s="39" t="str">
        <f t="array" ref="I631">_xlfn.XLOOKUP($B631, DB[samplingPoint], DB[waterType])</f>
        <v>PW</v>
      </c>
      <c r="J631" s="43">
        <f t="shared" si="1"/>
        <v>46149</v>
      </c>
      <c r="K631" s="26">
        <v>46154.0</v>
      </c>
      <c r="L631" s="32">
        <v>0.0</v>
      </c>
      <c r="M631" s="32">
        <v>0.0</v>
      </c>
      <c r="N631" s="32">
        <f t="shared" si="2"/>
        <v>0</v>
      </c>
      <c r="O631" s="49"/>
      <c r="P631" s="32">
        <f t="array" ref="P631">_xlfn.XLOOKUP($B631, DB[samplingPoint], DB[Criteria])</f>
        <v>100</v>
      </c>
      <c r="Q631" s="50" t="str">
        <f t="shared" si="3"/>
        <v>PASSED</v>
      </c>
      <c r="R631" s="38" t="b">
        <v>0</v>
      </c>
      <c r="S631" s="35" t="s">
        <v>1030</v>
      </c>
      <c r="T631" s="39" t="s">
        <v>386</v>
      </c>
      <c r="U631" s="32" t="s">
        <v>381</v>
      </c>
    </row>
    <row r="632" ht="22.5" customHeight="1">
      <c r="A632" s="26">
        <v>46148.0</v>
      </c>
      <c r="B632" s="88" t="s">
        <v>399</v>
      </c>
      <c r="C632" s="32" t="str">
        <f t="array" ref="C632">_xlfn.XLOOKUP(B632, DB[samplingPoint], DB[samplingTag])</f>
        <v>DV136.11</v>
      </c>
      <c r="D632" s="33" t="s">
        <v>375</v>
      </c>
      <c r="E632" s="38" t="b">
        <v>1</v>
      </c>
      <c r="F632" s="39" t="str">
        <f t="array" ref="F632">_xlfn.XLOOKUP($B632, DB[samplingPoint], DB[noLocation])</f>
        <v>12-3-059</v>
      </c>
      <c r="G632" s="33" t="s">
        <v>437</v>
      </c>
      <c r="H632" s="40" t="str">
        <f t="array" ref="H632">_xlfn.XLOOKUP($B632, DB[samplingPoint], DB[location])</f>
        <v>AUTOCLAVE</v>
      </c>
      <c r="I632" s="39" t="str">
        <f t="array" ref="I632">_xlfn.XLOOKUP($B632, DB[samplingPoint], DB[waterType])</f>
        <v>PW</v>
      </c>
      <c r="J632" s="43">
        <f t="shared" si="1"/>
        <v>46149</v>
      </c>
      <c r="K632" s="26">
        <v>46154.0</v>
      </c>
      <c r="L632" s="32">
        <v>0.0</v>
      </c>
      <c r="M632" s="32">
        <v>0.0</v>
      </c>
      <c r="N632" s="32">
        <f t="shared" si="2"/>
        <v>0</v>
      </c>
      <c r="O632" s="49"/>
      <c r="P632" s="32">
        <f t="array" ref="P632">_xlfn.XLOOKUP($B632, DB[samplingPoint], DB[Criteria])</f>
        <v>100</v>
      </c>
      <c r="Q632" s="50" t="str">
        <f t="shared" si="3"/>
        <v>PASSED</v>
      </c>
      <c r="R632" s="38" t="b">
        <v>0</v>
      </c>
      <c r="S632" s="35" t="s">
        <v>1030</v>
      </c>
      <c r="T632" s="39" t="s">
        <v>386</v>
      </c>
      <c r="U632" s="32" t="s">
        <v>381</v>
      </c>
    </row>
    <row r="633" ht="22.5" customHeight="1">
      <c r="A633" s="26">
        <v>46148.0</v>
      </c>
      <c r="B633" s="88" t="s">
        <v>405</v>
      </c>
      <c r="C633" s="32" t="str">
        <f t="array" ref="C633">_xlfn.XLOOKUP(B633, DB[samplingPoint], DB[samplingTag])</f>
        <v>DV136.12</v>
      </c>
      <c r="D633" s="33" t="s">
        <v>375</v>
      </c>
      <c r="E633" s="38" t="b">
        <v>1</v>
      </c>
      <c r="F633" s="39" t="str">
        <f t="array" ref="F633">_xlfn.XLOOKUP($B633, DB[samplingPoint], DB[noLocation])</f>
        <v>12-3-056</v>
      </c>
      <c r="G633" s="33" t="s">
        <v>437</v>
      </c>
      <c r="H633" s="40" t="str">
        <f t="array" ref="H633">_xlfn.XLOOKUP($B633, DB[samplingPoint], DB[location])</f>
        <v>MEDIA PREPARATION</v>
      </c>
      <c r="I633" s="39" t="str">
        <f t="array" ref="I633">_xlfn.XLOOKUP($B633, DB[samplingPoint], DB[waterType])</f>
        <v>PW</v>
      </c>
      <c r="J633" s="43">
        <f t="shared" si="1"/>
        <v>46149</v>
      </c>
      <c r="K633" s="26">
        <v>46154.0</v>
      </c>
      <c r="L633" s="32">
        <v>0.0</v>
      </c>
      <c r="M633" s="32">
        <v>0.0</v>
      </c>
      <c r="N633" s="32">
        <f t="shared" si="2"/>
        <v>0</v>
      </c>
      <c r="O633" s="49"/>
      <c r="P633" s="32">
        <f t="array" ref="P633">_xlfn.XLOOKUP($B633, DB[samplingPoint], DB[Criteria])</f>
        <v>100</v>
      </c>
      <c r="Q633" s="50" t="str">
        <f t="shared" si="3"/>
        <v>PASSED</v>
      </c>
      <c r="R633" s="38" t="b">
        <v>0</v>
      </c>
      <c r="S633" s="35" t="s">
        <v>1030</v>
      </c>
      <c r="T633" s="39" t="s">
        <v>386</v>
      </c>
      <c r="U633" s="32" t="s">
        <v>381</v>
      </c>
    </row>
    <row r="634" ht="22.5" customHeight="1">
      <c r="A634" s="26">
        <v>46148.0</v>
      </c>
      <c r="B634" s="88" t="s">
        <v>393</v>
      </c>
      <c r="C634" s="32" t="str">
        <f t="array" ref="C634">_xlfn.XLOOKUP(B634, DB[samplingPoint], DB[samplingTag])</f>
        <v>DV136.10</v>
      </c>
      <c r="D634" s="33" t="s">
        <v>375</v>
      </c>
      <c r="E634" s="38" t="b">
        <v>1</v>
      </c>
      <c r="F634" s="39" t="str">
        <f t="array" ref="F634">_xlfn.XLOOKUP($B634, DB[samplingPoint], DB[noLocation])</f>
        <v>12-3-056</v>
      </c>
      <c r="G634" s="33" t="s">
        <v>437</v>
      </c>
      <c r="H634" s="40" t="str">
        <f t="array" ref="H634">_xlfn.XLOOKUP($B634, DB[samplingPoint], DB[location])</f>
        <v>MEDIA PREPARATION</v>
      </c>
      <c r="I634" s="39" t="str">
        <f t="array" ref="I634">_xlfn.XLOOKUP($B634, DB[samplingPoint], DB[waterType])</f>
        <v>PW</v>
      </c>
      <c r="J634" s="43">
        <f t="shared" si="1"/>
        <v>46149</v>
      </c>
      <c r="K634" s="26">
        <v>46154.0</v>
      </c>
      <c r="L634" s="32">
        <v>0.0</v>
      </c>
      <c r="M634" s="32">
        <v>0.0</v>
      </c>
      <c r="N634" s="32">
        <f t="shared" si="2"/>
        <v>0</v>
      </c>
      <c r="O634" s="49"/>
      <c r="P634" s="32">
        <f t="array" ref="P634">_xlfn.XLOOKUP($B634, DB[samplingPoint], DB[Criteria])</f>
        <v>100</v>
      </c>
      <c r="Q634" s="50" t="str">
        <f t="shared" si="3"/>
        <v>PASSED</v>
      </c>
      <c r="R634" s="38" t="b">
        <v>0</v>
      </c>
      <c r="S634" s="35" t="s">
        <v>1030</v>
      </c>
      <c r="T634" s="39" t="s">
        <v>386</v>
      </c>
      <c r="U634" s="32" t="s">
        <v>381</v>
      </c>
    </row>
    <row r="635" ht="22.5" customHeight="1">
      <c r="A635" s="26">
        <v>46148.0</v>
      </c>
      <c r="B635" s="88" t="s">
        <v>413</v>
      </c>
      <c r="C635" s="32" t="str">
        <f t="array" ref="C635">_xlfn.XLOOKUP(B635, DB[samplingPoint], DB[samplingTag])</f>
        <v>DV136.14</v>
      </c>
      <c r="D635" s="33" t="s">
        <v>375</v>
      </c>
      <c r="E635" s="38" t="b">
        <v>1</v>
      </c>
      <c r="F635" s="39" t="str">
        <f t="array" ref="F635">_xlfn.XLOOKUP($B635, DB[samplingPoint], DB[noLocation])</f>
        <v>12-3-074</v>
      </c>
      <c r="G635" s="33" t="s">
        <v>437</v>
      </c>
      <c r="H635" s="40" t="str">
        <f t="array" ref="H635">_xlfn.XLOOKUP($B635, DB[samplingPoint], DB[location])</f>
        <v>DECONTAMINATION</v>
      </c>
      <c r="I635" s="39" t="str">
        <f t="array" ref="I635">_xlfn.XLOOKUP($B635, DB[samplingPoint], DB[waterType])</f>
        <v>PW</v>
      </c>
      <c r="J635" s="43">
        <f t="shared" si="1"/>
        <v>46149</v>
      </c>
      <c r="K635" s="26">
        <v>46154.0</v>
      </c>
      <c r="L635" s="32">
        <v>0.0</v>
      </c>
      <c r="M635" s="32">
        <v>0.0</v>
      </c>
      <c r="N635" s="32">
        <f t="shared" si="2"/>
        <v>0</v>
      </c>
      <c r="O635" s="49"/>
      <c r="P635" s="32">
        <f t="array" ref="P635">_xlfn.XLOOKUP($B635, DB[samplingPoint], DB[Criteria])</f>
        <v>100</v>
      </c>
      <c r="Q635" s="50" t="str">
        <f t="shared" si="3"/>
        <v>PASSED</v>
      </c>
      <c r="R635" s="38" t="b">
        <v>0</v>
      </c>
      <c r="S635" s="35" t="s">
        <v>1030</v>
      </c>
      <c r="T635" s="39" t="s">
        <v>386</v>
      </c>
      <c r="U635" s="32" t="s">
        <v>381</v>
      </c>
    </row>
    <row r="636" ht="22.5" customHeight="1">
      <c r="A636" s="26">
        <v>46148.0</v>
      </c>
      <c r="B636" s="88" t="s">
        <v>422</v>
      </c>
      <c r="C636" s="32" t="str">
        <f t="array" ref="C636">_xlfn.XLOOKUP(B636, DB[samplingPoint], DB[samplingTag])</f>
        <v>DV136.18</v>
      </c>
      <c r="D636" s="33" t="s">
        <v>375</v>
      </c>
      <c r="E636" s="38" t="b">
        <v>1</v>
      </c>
      <c r="F636" s="39" t="str">
        <f t="array" ref="F636">_xlfn.XLOOKUP($B636, DB[samplingPoint], DB[noLocation])</f>
        <v>12-3-037</v>
      </c>
      <c r="G636" s="33" t="s">
        <v>437</v>
      </c>
      <c r="H636" s="40" t="str">
        <f t="array" ref="H636">_xlfn.XLOOKUP($B636, DB[samplingPoint], DB[location])</f>
        <v>GLASSWARE WASHING 1</v>
      </c>
      <c r="I636" s="39" t="str">
        <f t="array" ref="I636">_xlfn.XLOOKUP($B636, DB[samplingPoint], DB[waterType])</f>
        <v>PW</v>
      </c>
      <c r="J636" s="43">
        <f t="shared" si="1"/>
        <v>46149</v>
      </c>
      <c r="K636" s="26">
        <v>46154.0</v>
      </c>
      <c r="L636" s="32">
        <v>0.0</v>
      </c>
      <c r="M636" s="32">
        <v>0.0</v>
      </c>
      <c r="N636" s="32">
        <f t="shared" si="2"/>
        <v>0</v>
      </c>
      <c r="O636" s="49"/>
      <c r="P636" s="32">
        <f t="array" ref="P636">_xlfn.XLOOKUP($B636, DB[samplingPoint], DB[Criteria])</f>
        <v>100</v>
      </c>
      <c r="Q636" s="50" t="str">
        <f t="shared" si="3"/>
        <v>PASSED</v>
      </c>
      <c r="R636" s="38" t="b">
        <v>0</v>
      </c>
      <c r="S636" s="35" t="s">
        <v>1030</v>
      </c>
      <c r="T636" s="39" t="s">
        <v>386</v>
      </c>
      <c r="U636" s="32" t="s">
        <v>381</v>
      </c>
    </row>
    <row r="637" ht="22.5" customHeight="1">
      <c r="A637" s="26">
        <v>46148.0</v>
      </c>
      <c r="B637" s="88" t="s">
        <v>373</v>
      </c>
      <c r="C637" s="32" t="str">
        <f t="array" ref="C637">_xlfn.XLOOKUP(B637, DB[samplingPoint], DB[samplingTag])</f>
        <v>DV136.05</v>
      </c>
      <c r="D637" s="33" t="s">
        <v>375</v>
      </c>
      <c r="E637" s="38" t="b">
        <v>1</v>
      </c>
      <c r="F637" s="39" t="str">
        <f t="array" ref="F637">_xlfn.XLOOKUP($B637, DB[samplingPoint], DB[noLocation])</f>
        <v>12-3-037</v>
      </c>
      <c r="G637" s="33" t="s">
        <v>437</v>
      </c>
      <c r="H637" s="40" t="str">
        <f t="array" ref="H637">_xlfn.XLOOKUP($B637, DB[samplingPoint], DB[location])</f>
        <v>GLASSWARE WASHING 1</v>
      </c>
      <c r="I637" s="39" t="str">
        <f t="array" ref="I637">_xlfn.XLOOKUP($B637, DB[samplingPoint], DB[waterType])</f>
        <v>PW</v>
      </c>
      <c r="J637" s="43">
        <f t="shared" si="1"/>
        <v>46149</v>
      </c>
      <c r="K637" s="26">
        <v>46154.0</v>
      </c>
      <c r="L637" s="32">
        <v>0.0</v>
      </c>
      <c r="M637" s="32">
        <v>0.0</v>
      </c>
      <c r="N637" s="32">
        <f t="shared" si="2"/>
        <v>0</v>
      </c>
      <c r="O637" s="49"/>
      <c r="P637" s="32">
        <f t="array" ref="P637">_xlfn.XLOOKUP($B637, DB[samplingPoint], DB[Criteria])</f>
        <v>100</v>
      </c>
      <c r="Q637" s="50" t="str">
        <f t="shared" si="3"/>
        <v>PASSED</v>
      </c>
      <c r="R637" s="38" t="b">
        <v>0</v>
      </c>
      <c r="S637" s="35" t="s">
        <v>1030</v>
      </c>
      <c r="T637" s="39" t="s">
        <v>386</v>
      </c>
      <c r="U637" s="32" t="s">
        <v>381</v>
      </c>
    </row>
    <row r="638" ht="22.5" customHeight="1">
      <c r="A638" s="26">
        <v>46148.0</v>
      </c>
      <c r="B638" s="88" t="s">
        <v>389</v>
      </c>
      <c r="C638" s="32" t="str">
        <f t="array" ref="C638">_xlfn.XLOOKUP(B638, DB[samplingPoint], DB[samplingTag])</f>
        <v>DV136.06</v>
      </c>
      <c r="D638" s="33" t="s">
        <v>375</v>
      </c>
      <c r="E638" s="38" t="b">
        <v>1</v>
      </c>
      <c r="F638" s="39" t="str">
        <f t="array" ref="F638">_xlfn.XLOOKUP($B638, DB[samplingPoint], DB[noLocation])</f>
        <v>12-3-037</v>
      </c>
      <c r="G638" s="33" t="s">
        <v>437</v>
      </c>
      <c r="H638" s="40" t="str">
        <f t="array" ref="H638">_xlfn.XLOOKUP($B638, DB[samplingPoint], DB[location])</f>
        <v>GLASSWARE WASHING 1</v>
      </c>
      <c r="I638" s="39" t="str">
        <f t="array" ref="I638">_xlfn.XLOOKUP($B638, DB[samplingPoint], DB[waterType])</f>
        <v>PW</v>
      </c>
      <c r="J638" s="43">
        <f t="shared" si="1"/>
        <v>46149</v>
      </c>
      <c r="K638" s="26">
        <v>46154.0</v>
      </c>
      <c r="L638" s="32">
        <v>0.0</v>
      </c>
      <c r="M638" s="32">
        <v>0.0</v>
      </c>
      <c r="N638" s="32">
        <f t="shared" si="2"/>
        <v>0</v>
      </c>
      <c r="O638" s="49"/>
      <c r="P638" s="32">
        <f t="array" ref="P638">_xlfn.XLOOKUP($B638, DB[samplingPoint], DB[Criteria])</f>
        <v>100</v>
      </c>
      <c r="Q638" s="50" t="str">
        <f t="shared" si="3"/>
        <v>PASSED</v>
      </c>
      <c r="R638" s="38" t="b">
        <v>0</v>
      </c>
      <c r="S638" s="35" t="s">
        <v>1030</v>
      </c>
      <c r="T638" s="39" t="s">
        <v>386</v>
      </c>
      <c r="U638" s="32" t="s">
        <v>381</v>
      </c>
    </row>
    <row r="639" ht="22.5" customHeight="1">
      <c r="A639" s="26">
        <v>46148.0</v>
      </c>
      <c r="B639" s="52" t="s">
        <v>471</v>
      </c>
      <c r="C639" s="32" t="str">
        <f t="array" ref="C639">_xlfn.XLOOKUP(B639, DB[samplingPoint], DB[samplingTag])</f>
        <v>VB-05 (16)</v>
      </c>
      <c r="D639" s="33" t="s">
        <v>375</v>
      </c>
      <c r="E639" s="38" t="b">
        <v>1</v>
      </c>
      <c r="F639" s="39" t="str">
        <f t="array" ref="F639">_xlfn.XLOOKUP($B639, DB[samplingPoint], DB[noLocation])</f>
        <v>WATER SYSTEM (B16)</v>
      </c>
      <c r="G639" s="33" t="s">
        <v>327</v>
      </c>
      <c r="H639" s="40" t="str">
        <f t="array" ref="H639">_xlfn.XLOOKUP($B639, DB[samplingPoint], DB[location])</f>
        <v>After Chlorine circulation tank (B16)</v>
      </c>
      <c r="I639" s="39" t="str">
        <f t="array" ref="I639">_xlfn.XLOOKUP($B639, DB[samplingPoint], DB[waterType])</f>
        <v>PRW</v>
      </c>
      <c r="J639" s="43">
        <f t="shared" si="1"/>
        <v>46149</v>
      </c>
      <c r="K639" s="26">
        <v>46154.0</v>
      </c>
      <c r="L639" s="32">
        <v>290.0</v>
      </c>
      <c r="M639" s="32">
        <v>260.0</v>
      </c>
      <c r="N639" s="32">
        <f t="shared" si="2"/>
        <v>275</v>
      </c>
      <c r="O639" s="49"/>
      <c r="P639" s="32">
        <f t="array" ref="P639">_xlfn.XLOOKUP($B639, DB[samplingPoint], DB[Criteria])</f>
        <v>500</v>
      </c>
      <c r="Q639" s="50" t="str">
        <f t="shared" si="3"/>
        <v>PASSED</v>
      </c>
      <c r="R639" s="38" t="b">
        <v>0</v>
      </c>
      <c r="S639" s="35" t="s">
        <v>1032</v>
      </c>
      <c r="T639" s="39" t="s">
        <v>386</v>
      </c>
      <c r="U639" s="32" t="s">
        <v>381</v>
      </c>
    </row>
    <row r="640" ht="22.5" customHeight="1">
      <c r="A640" s="26">
        <v>46148.0</v>
      </c>
      <c r="B640" s="27" t="s">
        <v>470</v>
      </c>
      <c r="C640" s="32" t="str">
        <f t="array" ref="C640">_xlfn.XLOOKUP(B640, DB[samplingPoint], DB[samplingTag])</f>
        <v>V50-61 (16)</v>
      </c>
      <c r="D640" s="33" t="s">
        <v>375</v>
      </c>
      <c r="E640" s="38" t="b">
        <v>1</v>
      </c>
      <c r="F640" s="39" t="str">
        <f t="array" ref="F640">_xlfn.XLOOKUP($B640, DB[samplingPoint], DB[noLocation])</f>
        <v>WATER SYSTEM (B16)</v>
      </c>
      <c r="G640" s="33" t="s">
        <v>327</v>
      </c>
      <c r="H640" s="40" t="str">
        <f t="array" ref="H640">_xlfn.XLOOKUP($B640, DB[samplingPoint], DB[location])</f>
        <v>After Cartridge filter 5 µm (B16)</v>
      </c>
      <c r="I640" s="39" t="str">
        <f t="array" ref="I640">_xlfn.XLOOKUP($B640, DB[samplingPoint], DB[waterType])</f>
        <v>PRW</v>
      </c>
      <c r="J640" s="43">
        <f t="shared" si="1"/>
        <v>46149</v>
      </c>
      <c r="K640" s="26">
        <v>46154.0</v>
      </c>
      <c r="L640" s="32">
        <v>47.0</v>
      </c>
      <c r="M640" s="32">
        <v>78.0</v>
      </c>
      <c r="N640" s="32">
        <f t="shared" si="2"/>
        <v>63</v>
      </c>
      <c r="O640" s="49"/>
      <c r="P640" s="32">
        <f t="array" ref="P640">_xlfn.XLOOKUP($B640, DB[samplingPoint], DB[Criteria])</f>
        <v>500</v>
      </c>
      <c r="Q640" s="50" t="str">
        <f t="shared" si="3"/>
        <v>PASSED</v>
      </c>
      <c r="R640" s="38" t="b">
        <v>0</v>
      </c>
      <c r="S640" s="35" t="s">
        <v>1032</v>
      </c>
      <c r="T640" s="39" t="s">
        <v>386</v>
      </c>
      <c r="U640" s="32" t="s">
        <v>381</v>
      </c>
    </row>
    <row r="641" ht="22.5" customHeight="1">
      <c r="A641" s="26">
        <v>46148.0</v>
      </c>
      <c r="B641" s="58" t="s">
        <v>466</v>
      </c>
      <c r="C641" s="32" t="str">
        <f t="array" ref="C641">_xlfn.XLOOKUP(B641, DB[samplingPoint], DB[samplingTag])</f>
        <v>V50-11C (16)</v>
      </c>
      <c r="D641" s="33" t="s">
        <v>375</v>
      </c>
      <c r="E641" s="38" t="b">
        <v>1</v>
      </c>
      <c r="F641" s="39" t="str">
        <f t="array" ref="F641">_xlfn.XLOOKUP($B641, DB[samplingPoint], DB[noLocation])</f>
        <v>WATER SYSTEM (B16)</v>
      </c>
      <c r="G641" s="33" t="s">
        <v>327</v>
      </c>
      <c r="H641" s="40" t="str">
        <f t="array" ref="H641">_xlfn.XLOOKUP($B641, DB[samplingPoint], DB[location])</f>
        <v>After RO (Before EDI) (B16)</v>
      </c>
      <c r="I641" s="39" t="str">
        <f t="array" ref="I641">_xlfn.XLOOKUP($B641, DB[samplingPoint], DB[waterType])</f>
        <v>RO water</v>
      </c>
      <c r="J641" s="43">
        <f t="shared" si="1"/>
        <v>46149</v>
      </c>
      <c r="K641" s="26">
        <v>46154.0</v>
      </c>
      <c r="L641" s="32">
        <v>0.0</v>
      </c>
      <c r="M641" s="32">
        <v>0.0</v>
      </c>
      <c r="N641" s="32">
        <f t="shared" si="2"/>
        <v>0</v>
      </c>
      <c r="O641" s="49"/>
      <c r="P641" s="32">
        <f t="array" ref="P641">_xlfn.XLOOKUP($B641, DB[samplingPoint], DB[Criteria])</f>
        <v>500</v>
      </c>
      <c r="Q641" s="50" t="str">
        <f t="shared" si="3"/>
        <v>PASSED</v>
      </c>
      <c r="R641" s="38" t="b">
        <v>0</v>
      </c>
      <c r="S641" s="35" t="s">
        <v>1032</v>
      </c>
      <c r="T641" s="39" t="s">
        <v>386</v>
      </c>
      <c r="U641" s="32" t="s">
        <v>381</v>
      </c>
    </row>
    <row r="642" ht="22.5" customHeight="1">
      <c r="A642" s="26">
        <v>46148.0</v>
      </c>
      <c r="B642" s="27" t="s">
        <v>468</v>
      </c>
      <c r="C642" s="32" t="str">
        <f t="array" ref="C642">_xlfn.XLOOKUP(B642, DB[samplingPoint], DB[samplingTag])</f>
        <v>V50-39 (16)</v>
      </c>
      <c r="D642" s="33" t="s">
        <v>375</v>
      </c>
      <c r="E642" s="38" t="b">
        <v>1</v>
      </c>
      <c r="F642" s="39" t="str">
        <f t="array" ref="F642">_xlfn.XLOOKUP($B642, DB[samplingPoint], DB[noLocation])</f>
        <v>WATER SYSTEM (B16)</v>
      </c>
      <c r="G642" s="33" t="s">
        <v>327</v>
      </c>
      <c r="H642" s="40" t="str">
        <f t="array" ref="H642">_xlfn.XLOOKUP($B642, DB[samplingPoint], DB[location])</f>
        <v>After EDI (B16)</v>
      </c>
      <c r="I642" s="39" t="str">
        <f t="array" ref="I642">_xlfn.XLOOKUP($B642, DB[samplingPoint], DB[waterType])</f>
        <v>PW</v>
      </c>
      <c r="J642" s="43">
        <f t="shared" si="1"/>
        <v>46149</v>
      </c>
      <c r="K642" s="26">
        <v>46154.0</v>
      </c>
      <c r="L642" s="32">
        <v>0.0</v>
      </c>
      <c r="M642" s="32">
        <v>0.0</v>
      </c>
      <c r="N642" s="32">
        <f t="shared" si="2"/>
        <v>0</v>
      </c>
      <c r="O642" s="49"/>
      <c r="P642" s="32">
        <f t="array" ref="P642">_xlfn.XLOOKUP($B642, DB[samplingPoint], DB[Criteria])</f>
        <v>100</v>
      </c>
      <c r="Q642" s="50" t="str">
        <f t="shared" si="3"/>
        <v>PASSED</v>
      </c>
      <c r="R642" s="38" t="b">
        <v>0</v>
      </c>
      <c r="S642" s="35" t="s">
        <v>1032</v>
      </c>
      <c r="T642" s="39" t="s">
        <v>386</v>
      </c>
      <c r="U642" s="32" t="s">
        <v>381</v>
      </c>
    </row>
    <row r="643" ht="22.5" customHeight="1">
      <c r="A643" s="26">
        <v>46148.0</v>
      </c>
      <c r="B643" s="58" t="s">
        <v>464</v>
      </c>
      <c r="C643" s="32" t="str">
        <f t="array" ref="C643">_xlfn.XLOOKUP(B643, DB[samplingPoint], DB[samplingTag])</f>
        <v>SV127.01</v>
      </c>
      <c r="D643" s="33" t="s">
        <v>375</v>
      </c>
      <c r="E643" s="38" t="b">
        <v>1</v>
      </c>
      <c r="F643" s="39" t="str">
        <f t="array" ref="F643">_xlfn.XLOOKUP($B643, DB[samplingPoint], DB[noLocation])</f>
        <v>WATER SYSTEM (B16)</v>
      </c>
      <c r="G643" s="33" t="s">
        <v>327</v>
      </c>
      <c r="H643" s="40" t="str">
        <f t="array" ref="H643">_xlfn.XLOOKUP($B643, DB[samplingPoint], DB[location])</f>
        <v>Return loop (B16)</v>
      </c>
      <c r="I643" s="39" t="str">
        <f t="array" ref="I643">_xlfn.XLOOKUP($B643, DB[samplingPoint], DB[waterType])</f>
        <v>PW</v>
      </c>
      <c r="J643" s="43">
        <f t="shared" si="1"/>
        <v>46149</v>
      </c>
      <c r="K643" s="26">
        <v>46154.0</v>
      </c>
      <c r="L643" s="32">
        <v>0.0</v>
      </c>
      <c r="M643" s="32">
        <v>0.0</v>
      </c>
      <c r="N643" s="32">
        <f t="shared" si="2"/>
        <v>0</v>
      </c>
      <c r="O643" s="49"/>
      <c r="P643" s="32">
        <f t="array" ref="P643">_xlfn.XLOOKUP($B643, DB[samplingPoint], DB[Criteria])</f>
        <v>100</v>
      </c>
      <c r="Q643" s="50" t="str">
        <f t="shared" si="3"/>
        <v>PASSED</v>
      </c>
      <c r="R643" s="38" t="b">
        <v>0</v>
      </c>
      <c r="S643" s="35" t="s">
        <v>1032</v>
      </c>
      <c r="T643" s="39" t="s">
        <v>386</v>
      </c>
      <c r="U643" s="32" t="s">
        <v>381</v>
      </c>
    </row>
    <row r="644" ht="22.5" customHeight="1">
      <c r="A644" s="26">
        <v>46148.0</v>
      </c>
      <c r="B644" s="88" t="s">
        <v>451</v>
      </c>
      <c r="C644" s="32" t="str">
        <f t="array" ref="C644">_xlfn.XLOOKUP(B644, DB[samplingPoint], DB[samplingTag])</f>
        <v>DV126.02</v>
      </c>
      <c r="D644" s="33" t="s">
        <v>375</v>
      </c>
      <c r="E644" s="38" t="b">
        <v>1</v>
      </c>
      <c r="F644" s="39" t="str">
        <f t="array" ref="F644">_xlfn.XLOOKUP($B644, DB[samplingPoint], DB[noLocation])</f>
        <v>16-1-082</v>
      </c>
      <c r="G644" s="33" t="s">
        <v>327</v>
      </c>
      <c r="H644" s="40" t="str">
        <f t="array" ref="H644">_xlfn.XLOOKUP($B644, DB[samplingPoint], DB[location])</f>
        <v>WASHING</v>
      </c>
      <c r="I644" s="39" t="str">
        <f t="array" ref="I644">_xlfn.XLOOKUP($B644, DB[samplingPoint], DB[waterType])</f>
        <v>PW</v>
      </c>
      <c r="J644" s="43">
        <f t="shared" si="1"/>
        <v>46149</v>
      </c>
      <c r="K644" s="26">
        <v>46154.0</v>
      </c>
      <c r="L644" s="32">
        <v>0.0</v>
      </c>
      <c r="M644" s="32">
        <v>0.0</v>
      </c>
      <c r="N644" s="32">
        <f t="shared" si="2"/>
        <v>0</v>
      </c>
      <c r="O644" s="49"/>
      <c r="P644" s="32">
        <f t="array" ref="P644">_xlfn.XLOOKUP($B644, DB[samplingPoint], DB[Criteria])</f>
        <v>100</v>
      </c>
      <c r="Q644" s="50" t="str">
        <f t="shared" si="3"/>
        <v>PASSED</v>
      </c>
      <c r="R644" s="38" t="b">
        <v>0</v>
      </c>
      <c r="S644" s="35" t="s">
        <v>1032</v>
      </c>
      <c r="T644" s="39" t="s">
        <v>386</v>
      </c>
      <c r="U644" s="32" t="s">
        <v>381</v>
      </c>
    </row>
    <row r="645" ht="22.5" customHeight="1">
      <c r="A645" s="26">
        <v>46148.0</v>
      </c>
      <c r="B645" s="88" t="s">
        <v>447</v>
      </c>
      <c r="C645" s="32" t="str">
        <f t="array" ref="C645">_xlfn.XLOOKUP(B645, DB[samplingPoint], DB[samplingTag])</f>
        <v>DV126.01</v>
      </c>
      <c r="D645" s="33" t="s">
        <v>375</v>
      </c>
      <c r="E645" s="38" t="b">
        <v>1</v>
      </c>
      <c r="F645" s="39" t="str">
        <f t="array" ref="F645">_xlfn.XLOOKUP($B645, DB[samplingPoint], DB[noLocation])</f>
        <v>16-1-082</v>
      </c>
      <c r="G645" s="33" t="s">
        <v>327</v>
      </c>
      <c r="H645" s="40" t="str">
        <f t="array" ref="H645">_xlfn.XLOOKUP($B645, DB[samplingPoint], DB[location])</f>
        <v>WASHING</v>
      </c>
      <c r="I645" s="39" t="str">
        <f t="array" ref="I645">_xlfn.XLOOKUP($B645, DB[samplingPoint], DB[waterType])</f>
        <v>PW</v>
      </c>
      <c r="J645" s="43">
        <f t="shared" si="1"/>
        <v>46149</v>
      </c>
      <c r="K645" s="26">
        <v>46154.0</v>
      </c>
      <c r="L645" s="32">
        <v>0.0</v>
      </c>
      <c r="M645" s="32">
        <v>0.0</v>
      </c>
      <c r="N645" s="32">
        <f t="shared" si="2"/>
        <v>0</v>
      </c>
      <c r="O645" s="49"/>
      <c r="P645" s="32">
        <f t="array" ref="P645">_xlfn.XLOOKUP($B645, DB[samplingPoint], DB[Criteria])</f>
        <v>100</v>
      </c>
      <c r="Q645" s="50" t="str">
        <f t="shared" si="3"/>
        <v>PASSED</v>
      </c>
      <c r="R645" s="38" t="b">
        <v>0</v>
      </c>
      <c r="S645" s="35" t="s">
        <v>1032</v>
      </c>
      <c r="T645" s="39" t="s">
        <v>386</v>
      </c>
      <c r="U645" s="32" t="s">
        <v>381</v>
      </c>
    </row>
    <row r="646" ht="22.5" customHeight="1">
      <c r="A646" s="26">
        <v>46148.0</v>
      </c>
      <c r="B646" s="88" t="s">
        <v>459</v>
      </c>
      <c r="C646" s="32" t="str">
        <f t="array" ref="C646">_xlfn.XLOOKUP(B646, DB[samplingPoint], DB[samplingTag])</f>
        <v>SV126.02</v>
      </c>
      <c r="D646" s="33" t="s">
        <v>375</v>
      </c>
      <c r="E646" s="38" t="b">
        <v>1</v>
      </c>
      <c r="F646" s="39" t="str">
        <f t="array" ref="F646">_xlfn.XLOOKUP($B646, DB[samplingPoint], DB[noLocation])</f>
        <v>16-1-098</v>
      </c>
      <c r="G646" s="33" t="s">
        <v>327</v>
      </c>
      <c r="H646" s="40" t="str">
        <f t="array" ref="H646">_xlfn.XLOOKUP($B646, DB[samplingPoint], DB[location])</f>
        <v>CIP/SIP (EQUIPMENT REQUIREMENT – 200L)</v>
      </c>
      <c r="I646" s="39" t="str">
        <f t="array" ref="I646">_xlfn.XLOOKUP($B646, DB[samplingPoint], DB[waterType])</f>
        <v>PW</v>
      </c>
      <c r="J646" s="43">
        <f t="shared" si="1"/>
        <v>46149</v>
      </c>
      <c r="K646" s="26">
        <v>46154.0</v>
      </c>
      <c r="L646" s="32">
        <v>0.0</v>
      </c>
      <c r="M646" s="32">
        <v>0.0</v>
      </c>
      <c r="N646" s="32">
        <f t="shared" si="2"/>
        <v>0</v>
      </c>
      <c r="O646" s="49"/>
      <c r="P646" s="32">
        <f t="array" ref="P646">_xlfn.XLOOKUP($B646, DB[samplingPoint], DB[Criteria])</f>
        <v>100</v>
      </c>
      <c r="Q646" s="50" t="str">
        <f t="shared" si="3"/>
        <v>PASSED</v>
      </c>
      <c r="R646" s="38" t="b">
        <v>0</v>
      </c>
      <c r="S646" s="35" t="s">
        <v>1032</v>
      </c>
      <c r="T646" s="39" t="s">
        <v>386</v>
      </c>
      <c r="U646" s="32" t="s">
        <v>381</v>
      </c>
    </row>
    <row r="647" ht="22.5" customHeight="1">
      <c r="A647" s="26">
        <v>46148.0</v>
      </c>
      <c r="B647" s="88" t="s">
        <v>454</v>
      </c>
      <c r="C647" s="32" t="str">
        <f t="array" ref="C647">_xlfn.XLOOKUP(B647, DB[samplingPoint], DB[samplingTag])</f>
        <v>DV126.03</v>
      </c>
      <c r="D647" s="33" t="s">
        <v>375</v>
      </c>
      <c r="E647" s="38" t="b">
        <v>1</v>
      </c>
      <c r="F647" s="39" t="str">
        <f t="array" ref="F647">_xlfn.XLOOKUP($B647, DB[samplingPoint], DB[noLocation])</f>
        <v>16-1-098</v>
      </c>
      <c r="G647" s="33" t="s">
        <v>327</v>
      </c>
      <c r="H647" s="40" t="str">
        <f t="array" ref="H647">_xlfn.XLOOKUP($B647, DB[samplingPoint], DB[location])</f>
        <v>CIP/SIP (SINK WASHING)</v>
      </c>
      <c r="I647" s="39" t="str">
        <f t="array" ref="I647">_xlfn.XLOOKUP($B647, DB[samplingPoint], DB[waterType])</f>
        <v>PW</v>
      </c>
      <c r="J647" s="43">
        <f t="shared" si="1"/>
        <v>46149</v>
      </c>
      <c r="K647" s="26">
        <v>46154.0</v>
      </c>
      <c r="L647" s="32">
        <v>0.0</v>
      </c>
      <c r="M647" s="32">
        <v>0.0</v>
      </c>
      <c r="N647" s="32">
        <f t="shared" si="2"/>
        <v>0</v>
      </c>
      <c r="O647" s="49"/>
      <c r="P647" s="32">
        <f t="array" ref="P647">_xlfn.XLOOKUP($B647, DB[samplingPoint], DB[Criteria])</f>
        <v>100</v>
      </c>
      <c r="Q647" s="50" t="str">
        <f t="shared" si="3"/>
        <v>PASSED</v>
      </c>
      <c r="R647" s="38" t="b">
        <v>0</v>
      </c>
      <c r="S647" s="35" t="s">
        <v>1032</v>
      </c>
      <c r="T647" s="39" t="s">
        <v>386</v>
      </c>
      <c r="U647" s="32" t="s">
        <v>381</v>
      </c>
    </row>
    <row r="648" ht="22.5" customHeight="1">
      <c r="A648" s="26">
        <v>46148.0</v>
      </c>
      <c r="B648" s="88" t="s">
        <v>457</v>
      </c>
      <c r="C648" s="32" t="str">
        <f t="array" ref="C648">_xlfn.XLOOKUP(B648, DB[samplingPoint], DB[samplingTag])</f>
        <v>SV126.01</v>
      </c>
      <c r="D648" s="33" t="s">
        <v>375</v>
      </c>
      <c r="E648" s="38" t="b">
        <v>1</v>
      </c>
      <c r="F648" s="39" t="str">
        <f t="array" ref="F648">_xlfn.XLOOKUP($B648, DB[samplingPoint], DB[noLocation])</f>
        <v>16-1-092</v>
      </c>
      <c r="G648" s="33" t="s">
        <v>327</v>
      </c>
      <c r="H648" s="40" t="str">
        <f t="array" ref="H648">_xlfn.XLOOKUP($B648, DB[samplingPoint], DB[location])</f>
        <v>LINEN WASHING</v>
      </c>
      <c r="I648" s="39" t="str">
        <f t="array" ref="I648">_xlfn.XLOOKUP($B648, DB[samplingPoint], DB[waterType])</f>
        <v>PW</v>
      </c>
      <c r="J648" s="43">
        <f t="shared" si="1"/>
        <v>46149</v>
      </c>
      <c r="K648" s="26">
        <v>46154.0</v>
      </c>
      <c r="L648" s="32">
        <v>0.0</v>
      </c>
      <c r="M648" s="32">
        <v>0.0</v>
      </c>
      <c r="N648" s="32">
        <f t="shared" si="2"/>
        <v>0</v>
      </c>
      <c r="O648" s="49"/>
      <c r="P648" s="32">
        <f t="array" ref="P648">_xlfn.XLOOKUP($B648, DB[samplingPoint], DB[Criteria])</f>
        <v>100</v>
      </c>
      <c r="Q648" s="50" t="str">
        <f t="shared" si="3"/>
        <v>PASSED</v>
      </c>
      <c r="R648" s="38" t="b">
        <v>0</v>
      </c>
      <c r="S648" s="35" t="s">
        <v>1032</v>
      </c>
      <c r="T648" s="39" t="s">
        <v>386</v>
      </c>
      <c r="U648" s="32" t="s">
        <v>381</v>
      </c>
    </row>
    <row r="649" ht="22.5" customHeight="1">
      <c r="A649" s="26">
        <v>46148.0</v>
      </c>
      <c r="B649" s="88" t="s">
        <v>461</v>
      </c>
      <c r="C649" s="32" t="str">
        <f t="array" ref="C649">_xlfn.XLOOKUP(B649, DB[samplingPoint], DB[samplingTag])</f>
        <v>SV126.03</v>
      </c>
      <c r="D649" s="33" t="s">
        <v>375</v>
      </c>
      <c r="E649" s="38" t="b">
        <v>1</v>
      </c>
      <c r="F649" s="39" t="str">
        <f t="array" ref="F649">_xlfn.XLOOKUP($B649, DB[samplingPoint], DB[noLocation])</f>
        <v>16-2-010</v>
      </c>
      <c r="G649" s="33" t="s">
        <v>327</v>
      </c>
      <c r="H649" s="40" t="str">
        <f t="array" ref="H649">_xlfn.XLOOKUP($B649, DB[samplingPoint], DB[location])</f>
        <v>WATER SYSTEM (WFI)</v>
      </c>
      <c r="I649" s="39" t="str">
        <f t="array" ref="I649">_xlfn.XLOOKUP($B649, DB[samplingPoint], DB[waterType])</f>
        <v>PW</v>
      </c>
      <c r="J649" s="43">
        <f t="shared" si="1"/>
        <v>46149</v>
      </c>
      <c r="K649" s="26">
        <v>46154.0</v>
      </c>
      <c r="L649" s="32">
        <v>0.0</v>
      </c>
      <c r="M649" s="32">
        <v>0.0</v>
      </c>
      <c r="N649" s="32">
        <f t="shared" si="2"/>
        <v>0</v>
      </c>
      <c r="O649" s="49"/>
      <c r="P649" s="32">
        <f t="array" ref="P649">_xlfn.XLOOKUP($B649, DB[samplingPoint], DB[Criteria])</f>
        <v>100</v>
      </c>
      <c r="Q649" s="50" t="str">
        <f t="shared" si="3"/>
        <v>PASSED</v>
      </c>
      <c r="R649" s="38" t="b">
        <v>0</v>
      </c>
      <c r="S649" s="35" t="s">
        <v>1032</v>
      </c>
      <c r="T649" s="39" t="s">
        <v>386</v>
      </c>
      <c r="U649" s="32" t="s">
        <v>381</v>
      </c>
    </row>
    <row r="650" ht="22.5" customHeight="1">
      <c r="A650" s="26">
        <v>46150.0</v>
      </c>
      <c r="B650" s="73" t="s">
        <v>431</v>
      </c>
      <c r="C650" s="32" t="str">
        <f t="array" ref="C650">_xlfn.XLOOKUP(B650, DB[samplingPoint], DB[samplingTag])</f>
        <v>SV-14</v>
      </c>
      <c r="D650" s="33" t="s">
        <v>375</v>
      </c>
      <c r="E650" s="38" t="b">
        <v>1</v>
      </c>
      <c r="F650" s="39" t="str">
        <f t="array" ref="F650">_xlfn.XLOOKUP($B650, DB[samplingPoint], DB[noLocation])</f>
        <v>PROCESS WATER (B19)</v>
      </c>
      <c r="G650" s="33" t="s">
        <v>432</v>
      </c>
      <c r="H650" s="40" t="str">
        <f t="array" ref="H650">_xlfn.XLOOKUP($B650, DB[samplingPoint], DB[location])</f>
        <v>AFTER RO SYSTEM NO.12 SV14</v>
      </c>
      <c r="I650" s="39" t="str">
        <f t="array" ref="I650">_xlfn.XLOOKUP($B650, DB[samplingPoint], DB[waterType])</f>
        <v>PRW</v>
      </c>
      <c r="J650" s="43">
        <f t="shared" si="1"/>
        <v>46151</v>
      </c>
      <c r="K650" s="26">
        <v>46154.0</v>
      </c>
      <c r="L650" s="32">
        <v>45.0</v>
      </c>
      <c r="M650" s="32">
        <v>35.0</v>
      </c>
      <c r="N650" s="32">
        <f t="shared" si="2"/>
        <v>40</v>
      </c>
      <c r="O650" s="49"/>
      <c r="P650" s="32">
        <f t="array" ref="P650">_xlfn.XLOOKUP($B650, DB[samplingPoint], DB[Criteria])</f>
        <v>500</v>
      </c>
      <c r="Q650" s="50" t="str">
        <f t="shared" si="3"/>
        <v>PASSED</v>
      </c>
      <c r="R650" s="38" t="b">
        <v>0</v>
      </c>
      <c r="S650" s="35" t="s">
        <v>1033</v>
      </c>
      <c r="T650" s="39" t="s">
        <v>386</v>
      </c>
      <c r="U650" s="32" t="s">
        <v>381</v>
      </c>
    </row>
    <row r="651" ht="22.5" customHeight="1">
      <c r="A651" s="26">
        <v>46150.0</v>
      </c>
      <c r="B651" s="52" t="s">
        <v>349</v>
      </c>
      <c r="C651" s="32" t="str">
        <f t="array" ref="C651">_xlfn.XLOOKUP(B651, DB[samplingPoint], DB[samplingTag])</f>
        <v>VB-05(10)</v>
      </c>
      <c r="D651" s="33" t="s">
        <v>375</v>
      </c>
      <c r="E651" s="38" t="b">
        <v>1</v>
      </c>
      <c r="F651" s="39" t="str">
        <f t="array" ref="F651">_xlfn.XLOOKUP($B651, DB[samplingPoint], DB[noLocation])</f>
        <v>WATER SYSTEM (B10)</v>
      </c>
      <c r="G651" s="33" t="s">
        <v>180</v>
      </c>
      <c r="H651" s="40" t="str">
        <f t="array" ref="H651">_xlfn.XLOOKUP($B651, DB[samplingPoint], DB[location])</f>
        <v>After Chlorine circulation tank (B10)</v>
      </c>
      <c r="I651" s="39" t="str">
        <f t="array" ref="I651">_xlfn.XLOOKUP($B651, DB[samplingPoint], DB[waterType])</f>
        <v>PRW</v>
      </c>
      <c r="J651" s="43">
        <f t="shared" si="1"/>
        <v>46151</v>
      </c>
      <c r="K651" s="26">
        <v>46154.0</v>
      </c>
      <c r="L651" s="32">
        <v>58.0</v>
      </c>
      <c r="M651" s="32">
        <v>39.0</v>
      </c>
      <c r="N651" s="32">
        <f t="shared" si="2"/>
        <v>49</v>
      </c>
      <c r="O651" s="49"/>
      <c r="P651" s="32">
        <f t="array" ref="P651">_xlfn.XLOOKUP($B651, DB[samplingPoint], DB[Criteria])</f>
        <v>500</v>
      </c>
      <c r="Q651" s="50" t="str">
        <f t="shared" si="3"/>
        <v>PASSED</v>
      </c>
      <c r="R651" s="38" t="b">
        <v>0</v>
      </c>
      <c r="S651" s="35" t="s">
        <v>1034</v>
      </c>
      <c r="T651" s="39" t="s">
        <v>386</v>
      </c>
      <c r="U651" s="32" t="s">
        <v>381</v>
      </c>
    </row>
    <row r="652" ht="22.5" customHeight="1">
      <c r="A652" s="26">
        <v>46150.0</v>
      </c>
      <c r="B652" s="52" t="s">
        <v>366</v>
      </c>
      <c r="C652" s="32" t="str">
        <f t="array" ref="C652">_xlfn.XLOOKUP(B652, DB[samplingPoint], DB[samplingTag])</f>
        <v>V50-61(10)</v>
      </c>
      <c r="D652" s="33" t="s">
        <v>375</v>
      </c>
      <c r="E652" s="38" t="b">
        <v>1</v>
      </c>
      <c r="F652" s="39" t="str">
        <f t="array" ref="F652">_xlfn.XLOOKUP($B652, DB[samplingPoint], DB[noLocation])</f>
        <v>WATER SYSTEM (B10)</v>
      </c>
      <c r="G652" s="33" t="s">
        <v>180</v>
      </c>
      <c r="H652" s="40" t="str">
        <f t="array" ref="H652">_xlfn.XLOOKUP($B652, DB[samplingPoint], DB[location])</f>
        <v>After Cartridge filter 5 µm (B10)</v>
      </c>
      <c r="I652" s="39" t="str">
        <f t="array" ref="I652">_xlfn.XLOOKUP($B652, DB[samplingPoint], DB[waterType])</f>
        <v>PRW</v>
      </c>
      <c r="J652" s="43">
        <f t="shared" si="1"/>
        <v>46151</v>
      </c>
      <c r="K652" s="26">
        <v>46154.0</v>
      </c>
      <c r="L652" s="32">
        <v>1.0</v>
      </c>
      <c r="M652" s="32">
        <v>0.0</v>
      </c>
      <c r="N652" s="32">
        <f t="shared" si="2"/>
        <v>1</v>
      </c>
      <c r="O652" s="49"/>
      <c r="P652" s="32">
        <f t="array" ref="P652">_xlfn.XLOOKUP($B652, DB[samplingPoint], DB[Criteria])</f>
        <v>500</v>
      </c>
      <c r="Q652" s="50" t="str">
        <f t="shared" si="3"/>
        <v>PASSED</v>
      </c>
      <c r="R652" s="38" t="b">
        <v>0</v>
      </c>
      <c r="S652" s="35" t="s">
        <v>1034</v>
      </c>
      <c r="T652" s="39" t="s">
        <v>386</v>
      </c>
      <c r="U652" s="32" t="s">
        <v>381</v>
      </c>
    </row>
    <row r="653" ht="22.5" customHeight="1">
      <c r="A653" s="26">
        <v>46150.0</v>
      </c>
      <c r="B653" s="52" t="s">
        <v>368</v>
      </c>
      <c r="C653" s="32" t="str">
        <f t="array" ref="C653">_xlfn.XLOOKUP(B653, DB[samplingPoint], DB[samplingTag])</f>
        <v>V50-11C(10)</v>
      </c>
      <c r="D653" s="33" t="s">
        <v>375</v>
      </c>
      <c r="E653" s="38" t="b">
        <v>1</v>
      </c>
      <c r="F653" s="39" t="str">
        <f t="array" ref="F653">_xlfn.XLOOKUP($B653, DB[samplingPoint], DB[noLocation])</f>
        <v>WATER SYSTEM (B10)</v>
      </c>
      <c r="G653" s="33" t="s">
        <v>180</v>
      </c>
      <c r="H653" s="40" t="str">
        <f t="array" ref="H653">_xlfn.XLOOKUP($B653, DB[samplingPoint], DB[location])</f>
        <v>After RO (Before EDI) (B10)</v>
      </c>
      <c r="I653" s="39" t="str">
        <f t="array" ref="I653">_xlfn.XLOOKUP($B653, DB[samplingPoint], DB[waterType])</f>
        <v>RO water</v>
      </c>
      <c r="J653" s="43">
        <f t="shared" si="1"/>
        <v>46151</v>
      </c>
      <c r="K653" s="26">
        <v>46154.0</v>
      </c>
      <c r="L653" s="32">
        <v>0.0</v>
      </c>
      <c r="M653" s="32">
        <v>0.0</v>
      </c>
      <c r="N653" s="32">
        <f t="shared" si="2"/>
        <v>0</v>
      </c>
      <c r="O653" s="49"/>
      <c r="P653" s="32">
        <f t="array" ref="P653">_xlfn.XLOOKUP($B653, DB[samplingPoint], DB[Criteria])</f>
        <v>500</v>
      </c>
      <c r="Q653" s="50" t="str">
        <f t="shared" si="3"/>
        <v>PASSED</v>
      </c>
      <c r="R653" s="38" t="b">
        <v>0</v>
      </c>
      <c r="S653" s="35" t="s">
        <v>1034</v>
      </c>
      <c r="T653" s="39" t="s">
        <v>386</v>
      </c>
      <c r="U653" s="32" t="s">
        <v>381</v>
      </c>
    </row>
    <row r="654" ht="22.5" customHeight="1">
      <c r="A654" s="26">
        <v>46150.0</v>
      </c>
      <c r="B654" s="52" t="s">
        <v>374</v>
      </c>
      <c r="C654" s="32" t="str">
        <f t="array" ref="C654">_xlfn.XLOOKUP(B654, DB[samplingPoint], DB[samplingTag])</f>
        <v>V50-39(10)</v>
      </c>
      <c r="D654" s="33" t="s">
        <v>375</v>
      </c>
      <c r="E654" s="38" t="b">
        <v>1</v>
      </c>
      <c r="F654" s="39" t="str">
        <f t="array" ref="F654">_xlfn.XLOOKUP($B654, DB[samplingPoint], DB[noLocation])</f>
        <v>WATER SYSTEM (B10)</v>
      </c>
      <c r="G654" s="33" t="s">
        <v>180</v>
      </c>
      <c r="H654" s="40" t="str">
        <f t="array" ref="H654">_xlfn.XLOOKUP($B654, DB[samplingPoint], DB[location])</f>
        <v>After EDI (B10)</v>
      </c>
      <c r="I654" s="39" t="str">
        <f t="array" ref="I654">_xlfn.XLOOKUP($B654, DB[samplingPoint], DB[waterType])</f>
        <v>PW</v>
      </c>
      <c r="J654" s="43">
        <f t="shared" si="1"/>
        <v>46151</v>
      </c>
      <c r="K654" s="26">
        <v>46154.0</v>
      </c>
      <c r="L654" s="32">
        <v>0.0</v>
      </c>
      <c r="M654" s="32">
        <v>0.0</v>
      </c>
      <c r="N654" s="32">
        <f t="shared" si="2"/>
        <v>0</v>
      </c>
      <c r="O654" s="49"/>
      <c r="P654" s="32">
        <f t="array" ref="P654">_xlfn.XLOOKUP($B654, DB[samplingPoint], DB[Criteria])</f>
        <v>100</v>
      </c>
      <c r="Q654" s="50" t="str">
        <f t="shared" si="3"/>
        <v>PASSED</v>
      </c>
      <c r="R654" s="38" t="b">
        <v>0</v>
      </c>
      <c r="S654" s="35" t="s">
        <v>1034</v>
      </c>
      <c r="T654" s="39" t="s">
        <v>386</v>
      </c>
      <c r="U654" s="32" t="s">
        <v>381</v>
      </c>
    </row>
    <row r="655" ht="22.5" customHeight="1">
      <c r="A655" s="26">
        <v>46150.0</v>
      </c>
      <c r="B655" s="27" t="s">
        <v>390</v>
      </c>
      <c r="C655" s="32" t="str">
        <f t="array" ref="C655">_xlfn.XLOOKUP(B655, DB[samplingPoint], DB[samplingTag])</f>
        <v>SV117.01</v>
      </c>
      <c r="D655" s="33" t="s">
        <v>375</v>
      </c>
      <c r="E655" s="38" t="b">
        <v>1</v>
      </c>
      <c r="F655" s="39" t="str">
        <f t="array" ref="F655">_xlfn.XLOOKUP($B655, DB[samplingPoint], DB[noLocation])</f>
        <v>WATER SYSTEM (B10)</v>
      </c>
      <c r="G655" s="33" t="s">
        <v>180</v>
      </c>
      <c r="H655" s="40" t="str">
        <f t="array" ref="H655">_xlfn.XLOOKUP($B655, DB[samplingPoint], DB[location])</f>
        <v>Return loop (B10)</v>
      </c>
      <c r="I655" s="39" t="str">
        <f t="array" ref="I655">_xlfn.XLOOKUP($B655, DB[samplingPoint], DB[waterType])</f>
        <v>PW</v>
      </c>
      <c r="J655" s="43">
        <f t="shared" si="1"/>
        <v>46151</v>
      </c>
      <c r="K655" s="26">
        <v>46154.0</v>
      </c>
      <c r="L655" s="32">
        <v>0.0</v>
      </c>
      <c r="M655" s="32">
        <v>0.0</v>
      </c>
      <c r="N655" s="32">
        <f t="shared" si="2"/>
        <v>0</v>
      </c>
      <c r="O655" s="49"/>
      <c r="P655" s="32">
        <f t="array" ref="P655">_xlfn.XLOOKUP($B655, DB[samplingPoint], DB[Criteria])</f>
        <v>100</v>
      </c>
      <c r="Q655" s="50" t="str">
        <f t="shared" si="3"/>
        <v>PASSED</v>
      </c>
      <c r="R655" s="38" t="b">
        <v>0</v>
      </c>
      <c r="S655" s="35" t="s">
        <v>1034</v>
      </c>
      <c r="T655" s="39" t="s">
        <v>386</v>
      </c>
      <c r="U655" s="32" t="s">
        <v>381</v>
      </c>
    </row>
    <row r="656" ht="22.5" customHeight="1">
      <c r="A656" s="26">
        <v>46150.0</v>
      </c>
      <c r="B656" s="88" t="s">
        <v>489</v>
      </c>
      <c r="C656" s="32" t="str">
        <f t="array" ref="C656">_xlfn.XLOOKUP(B656, DB[samplingPoint], DB[samplingTag])</f>
        <v>DV116.18</v>
      </c>
      <c r="D656" s="33" t="s">
        <v>375</v>
      </c>
      <c r="E656" s="38" t="b">
        <v>1</v>
      </c>
      <c r="F656" s="39" t="str">
        <f t="array" ref="F656">_xlfn.XLOOKUP($B656, DB[samplingPoint], DB[noLocation])</f>
        <v>10-3-111</v>
      </c>
      <c r="G656" s="33" t="s">
        <v>180</v>
      </c>
      <c r="H656" s="40" t="str">
        <f t="array" ref="H656">_xlfn.XLOOKUP($B656, DB[samplingPoint], DB[location])</f>
        <v>WET GRANULATION-5</v>
      </c>
      <c r="I656" s="39" t="str">
        <f t="array" ref="I656">_xlfn.XLOOKUP($B656, DB[samplingPoint], DB[waterType])</f>
        <v>PW</v>
      </c>
      <c r="J656" s="43">
        <f t="shared" si="1"/>
        <v>46151</v>
      </c>
      <c r="K656" s="26">
        <v>46154.0</v>
      </c>
      <c r="L656" s="32">
        <v>0.0</v>
      </c>
      <c r="M656" s="32">
        <v>0.0</v>
      </c>
      <c r="N656" s="32">
        <f t="shared" si="2"/>
        <v>0</v>
      </c>
      <c r="O656" s="49"/>
      <c r="P656" s="32">
        <f t="array" ref="P656">_xlfn.XLOOKUP($B656, DB[samplingPoint], DB[Criteria])</f>
        <v>100</v>
      </c>
      <c r="Q656" s="50" t="str">
        <f t="shared" si="3"/>
        <v>PASSED</v>
      </c>
      <c r="R656" s="38" t="b">
        <v>0</v>
      </c>
      <c r="S656" s="35" t="s">
        <v>1034</v>
      </c>
      <c r="T656" s="39" t="s">
        <v>386</v>
      </c>
      <c r="U656" s="32" t="s">
        <v>381</v>
      </c>
    </row>
    <row r="657" ht="22.5" customHeight="1">
      <c r="A657" s="26">
        <v>46150.0</v>
      </c>
      <c r="B657" s="88" t="s">
        <v>485</v>
      </c>
      <c r="C657" s="32" t="str">
        <f t="array" ref="C657">_xlfn.XLOOKUP(B657, DB[samplingPoint], DB[samplingTag])</f>
        <v>DV116.16</v>
      </c>
      <c r="D657" s="33" t="s">
        <v>375</v>
      </c>
      <c r="E657" s="38" t="b">
        <v>1</v>
      </c>
      <c r="F657" s="39" t="str">
        <f t="array" ref="F657">_xlfn.XLOOKUP($B657, DB[samplingPoint], DB[noLocation])</f>
        <v>10-3-107</v>
      </c>
      <c r="G657" s="33" t="s">
        <v>180</v>
      </c>
      <c r="H657" s="40" t="str">
        <f t="array" ref="H657">_xlfn.XLOOKUP($B657, DB[samplingPoint], DB[location])</f>
        <v>WET GRANULATION-2</v>
      </c>
      <c r="I657" s="39" t="str">
        <f t="array" ref="I657">_xlfn.XLOOKUP($B657, DB[samplingPoint], DB[waterType])</f>
        <v>PW</v>
      </c>
      <c r="J657" s="43">
        <f t="shared" si="1"/>
        <v>46151</v>
      </c>
      <c r="K657" s="26">
        <v>46154.0</v>
      </c>
      <c r="L657" s="32">
        <v>0.0</v>
      </c>
      <c r="M657" s="32">
        <v>0.0</v>
      </c>
      <c r="N657" s="32">
        <f t="shared" si="2"/>
        <v>0</v>
      </c>
      <c r="O657" s="49"/>
      <c r="P657" s="32">
        <f t="array" ref="P657">_xlfn.XLOOKUP($B657, DB[samplingPoint], DB[Criteria])</f>
        <v>100</v>
      </c>
      <c r="Q657" s="50" t="str">
        <f t="shared" si="3"/>
        <v>PASSED</v>
      </c>
      <c r="R657" s="38" t="b">
        <v>0</v>
      </c>
      <c r="S657" s="35" t="s">
        <v>1034</v>
      </c>
      <c r="T657" s="39" t="s">
        <v>386</v>
      </c>
      <c r="U657" s="32" t="s">
        <v>381</v>
      </c>
    </row>
    <row r="658" ht="22.5" customHeight="1">
      <c r="A658" s="26">
        <v>46150.0</v>
      </c>
      <c r="B658" s="88" t="s">
        <v>492</v>
      </c>
      <c r="C658" s="32" t="str">
        <f t="array" ref="C658">_xlfn.XLOOKUP(B658, DB[samplingPoint], DB[samplingTag])</f>
        <v>SV116.11</v>
      </c>
      <c r="D658" s="33" t="s">
        <v>375</v>
      </c>
      <c r="E658" s="38" t="b">
        <v>1</v>
      </c>
      <c r="F658" s="39" t="str">
        <f t="array" ref="F658">_xlfn.XLOOKUP($B658, DB[samplingPoint], DB[noLocation])</f>
        <v>10-3-107</v>
      </c>
      <c r="G658" s="33" t="s">
        <v>180</v>
      </c>
      <c r="H658" s="40" t="str">
        <f t="array" ref="H658">_xlfn.XLOOKUP($B658, DB[samplingPoint], DB[location])</f>
        <v>WET GRANULATION-2</v>
      </c>
      <c r="I658" s="39" t="str">
        <f t="array" ref="I658">_xlfn.XLOOKUP($B658, DB[samplingPoint], DB[waterType])</f>
        <v>PW</v>
      </c>
      <c r="J658" s="43">
        <f t="shared" si="1"/>
        <v>46151</v>
      </c>
      <c r="K658" s="26">
        <v>46154.0</v>
      </c>
      <c r="L658" s="32">
        <v>0.0</v>
      </c>
      <c r="M658" s="32">
        <v>0.0</v>
      </c>
      <c r="N658" s="32">
        <f t="shared" si="2"/>
        <v>0</v>
      </c>
      <c r="O658" s="49"/>
      <c r="P658" s="32">
        <f t="array" ref="P658">_xlfn.XLOOKUP($B658, DB[samplingPoint], DB[Criteria])</f>
        <v>100</v>
      </c>
      <c r="Q658" s="50" t="str">
        <f t="shared" si="3"/>
        <v>PASSED</v>
      </c>
      <c r="R658" s="38" t="b">
        <v>0</v>
      </c>
      <c r="S658" s="35" t="s">
        <v>1034</v>
      </c>
      <c r="T658" s="39" t="s">
        <v>386</v>
      </c>
      <c r="U658" s="32" t="s">
        <v>381</v>
      </c>
    </row>
    <row r="659" ht="22.5" customHeight="1">
      <c r="A659" s="26">
        <v>46150.0</v>
      </c>
      <c r="B659" s="88" t="s">
        <v>482</v>
      </c>
      <c r="C659" s="32" t="str">
        <f t="array" ref="C659">_xlfn.XLOOKUP(B659, DB[samplingPoint], DB[samplingTag])</f>
        <v>DV116.14</v>
      </c>
      <c r="D659" s="33" t="s">
        <v>375</v>
      </c>
      <c r="E659" s="38" t="b">
        <v>1</v>
      </c>
      <c r="F659" s="39" t="str">
        <f t="array" ref="F659">_xlfn.XLOOKUP($B659, DB[samplingPoint], DB[noLocation])</f>
        <v>10-3-086</v>
      </c>
      <c r="G659" s="33" t="s">
        <v>180</v>
      </c>
      <c r="H659" s="40" t="str">
        <f t="array" ref="H659">_xlfn.XLOOKUP($B659, DB[samplingPoint], DB[location])</f>
        <v>TOOL WASHING</v>
      </c>
      <c r="I659" s="39" t="str">
        <f t="array" ref="I659">_xlfn.XLOOKUP($B659, DB[samplingPoint], DB[waterType])</f>
        <v>PW</v>
      </c>
      <c r="J659" s="43">
        <f t="shared" si="1"/>
        <v>46151</v>
      </c>
      <c r="K659" s="26">
        <v>46154.0</v>
      </c>
      <c r="L659" s="32">
        <v>0.0</v>
      </c>
      <c r="M659" s="32">
        <v>0.0</v>
      </c>
      <c r="N659" s="32">
        <f t="shared" si="2"/>
        <v>0</v>
      </c>
      <c r="O659" s="49"/>
      <c r="P659" s="32">
        <f t="array" ref="P659">_xlfn.XLOOKUP($B659, DB[samplingPoint], DB[Criteria])</f>
        <v>100</v>
      </c>
      <c r="Q659" s="50" t="str">
        <f t="shared" si="3"/>
        <v>PASSED</v>
      </c>
      <c r="R659" s="38" t="b">
        <v>0</v>
      </c>
      <c r="S659" s="35" t="s">
        <v>1034</v>
      </c>
      <c r="T659" s="39" t="s">
        <v>386</v>
      </c>
      <c r="U659" s="32" t="s">
        <v>381</v>
      </c>
    </row>
    <row r="660" ht="22.5" customHeight="1">
      <c r="A660" s="26">
        <v>46150.0</v>
      </c>
      <c r="B660" s="88" t="s">
        <v>490</v>
      </c>
      <c r="C660" s="32" t="str">
        <f t="array" ref="C660">_xlfn.XLOOKUP(B660, DB[samplingPoint], DB[samplingTag])</f>
        <v>SV116.09</v>
      </c>
      <c r="D660" s="33" t="s">
        <v>375</v>
      </c>
      <c r="E660" s="38" t="b">
        <v>1</v>
      </c>
      <c r="F660" s="39" t="str">
        <f t="array" ref="F660">_xlfn.XLOOKUP($B660, DB[samplingPoint], DB[noLocation])</f>
        <v>10-3-078</v>
      </c>
      <c r="G660" s="33" t="s">
        <v>180</v>
      </c>
      <c r="H660" s="40" t="str">
        <f t="array" ref="H660">_xlfn.XLOOKUP($B660, DB[samplingPoint], DB[location])</f>
        <v>WASHING</v>
      </c>
      <c r="I660" s="39" t="str">
        <f t="array" ref="I660">_xlfn.XLOOKUP($B660, DB[samplingPoint], DB[waterType])</f>
        <v>PW</v>
      </c>
      <c r="J660" s="43">
        <f t="shared" si="1"/>
        <v>46151</v>
      </c>
      <c r="K660" s="26">
        <v>46154.0</v>
      </c>
      <c r="L660" s="32">
        <v>0.0</v>
      </c>
      <c r="M660" s="32">
        <v>0.0</v>
      </c>
      <c r="N660" s="32">
        <f t="shared" si="2"/>
        <v>0</v>
      </c>
      <c r="O660" s="49"/>
      <c r="P660" s="32">
        <f t="array" ref="P660">_xlfn.XLOOKUP($B660, DB[samplingPoint], DB[Criteria])</f>
        <v>100</v>
      </c>
      <c r="Q660" s="50" t="str">
        <f t="shared" si="3"/>
        <v>PASSED</v>
      </c>
      <c r="R660" s="38" t="b">
        <v>0</v>
      </c>
      <c r="S660" s="35" t="s">
        <v>1034</v>
      </c>
      <c r="T660" s="39" t="s">
        <v>386</v>
      </c>
      <c r="U660" s="32" t="s">
        <v>381</v>
      </c>
    </row>
    <row r="661" ht="22.5" customHeight="1">
      <c r="A661" s="26">
        <v>46150.0</v>
      </c>
      <c r="B661" s="88" t="s">
        <v>479</v>
      </c>
      <c r="C661" s="32" t="str">
        <f t="array" ref="C661">_xlfn.XLOOKUP(B661, DB[samplingPoint], DB[samplingTag])</f>
        <v>DV116.13</v>
      </c>
      <c r="D661" s="33" t="s">
        <v>375</v>
      </c>
      <c r="E661" s="38" t="b">
        <v>1</v>
      </c>
      <c r="F661" s="39" t="str">
        <f t="array" ref="F661">_xlfn.XLOOKUP($B661, DB[samplingPoint], DB[noLocation])</f>
        <v>10-3-078</v>
      </c>
      <c r="G661" s="33" t="s">
        <v>180</v>
      </c>
      <c r="H661" s="40" t="str">
        <f t="array" ref="H661">_xlfn.XLOOKUP($B661, DB[samplingPoint], DB[location])</f>
        <v>WASHING</v>
      </c>
      <c r="I661" s="39" t="str">
        <f t="array" ref="I661">_xlfn.XLOOKUP($B661, DB[samplingPoint], DB[waterType])</f>
        <v>PW</v>
      </c>
      <c r="J661" s="43">
        <f t="shared" si="1"/>
        <v>46151</v>
      </c>
      <c r="K661" s="26">
        <v>46154.0</v>
      </c>
      <c r="L661" s="32">
        <v>0.0</v>
      </c>
      <c r="M661" s="32">
        <v>0.0</v>
      </c>
      <c r="N661" s="32">
        <f t="shared" si="2"/>
        <v>0</v>
      </c>
      <c r="O661" s="49"/>
      <c r="P661" s="32">
        <f t="array" ref="P661">_xlfn.XLOOKUP($B661, DB[samplingPoint], DB[Criteria])</f>
        <v>100</v>
      </c>
      <c r="Q661" s="50" t="str">
        <f t="shared" si="3"/>
        <v>PASSED</v>
      </c>
      <c r="R661" s="38" t="b">
        <v>0</v>
      </c>
      <c r="S661" s="35" t="s">
        <v>1034</v>
      </c>
      <c r="T661" s="39" t="s">
        <v>386</v>
      </c>
      <c r="U661" s="32" t="s">
        <v>381</v>
      </c>
    </row>
    <row r="662" ht="22.5" customHeight="1">
      <c r="A662" s="26">
        <v>46150.0</v>
      </c>
      <c r="B662" s="88" t="s">
        <v>476</v>
      </c>
      <c r="C662" s="32" t="str">
        <f t="array" ref="C662">_xlfn.XLOOKUP(B662, DB[samplingPoint], DB[samplingTag])</f>
        <v>DV116.12</v>
      </c>
      <c r="D662" s="33" t="s">
        <v>375</v>
      </c>
      <c r="E662" s="38" t="b">
        <v>1</v>
      </c>
      <c r="F662" s="39" t="str">
        <f t="array" ref="F662">_xlfn.XLOOKUP($B662, DB[samplingPoint], DB[noLocation])</f>
        <v>10-3-078</v>
      </c>
      <c r="G662" s="33" t="s">
        <v>180</v>
      </c>
      <c r="H662" s="40" t="str">
        <f t="array" ref="H662">_xlfn.XLOOKUP($B662, DB[samplingPoint], DB[location])</f>
        <v>WASHING</v>
      </c>
      <c r="I662" s="39" t="str">
        <f t="array" ref="I662">_xlfn.XLOOKUP($B662, DB[samplingPoint], DB[waterType])</f>
        <v>PW</v>
      </c>
      <c r="J662" s="43">
        <f t="shared" si="1"/>
        <v>46151</v>
      </c>
      <c r="K662" s="26">
        <v>46154.0</v>
      </c>
      <c r="L662" s="32">
        <v>0.0</v>
      </c>
      <c r="M662" s="32">
        <v>0.0</v>
      </c>
      <c r="N662" s="32">
        <f t="shared" si="2"/>
        <v>0</v>
      </c>
      <c r="O662" s="49"/>
      <c r="P662" s="32">
        <f t="array" ref="P662">_xlfn.XLOOKUP($B662, DB[samplingPoint], DB[Criteria])</f>
        <v>100</v>
      </c>
      <c r="Q662" s="50" t="str">
        <f t="shared" si="3"/>
        <v>PASSED</v>
      </c>
      <c r="R662" s="38" t="b">
        <v>0</v>
      </c>
      <c r="S662" s="35" t="s">
        <v>1034</v>
      </c>
      <c r="T662" s="39" t="s">
        <v>386</v>
      </c>
      <c r="U662" s="32" t="s">
        <v>381</v>
      </c>
    </row>
    <row r="663" ht="22.5" customHeight="1">
      <c r="A663" s="26">
        <v>46150.0</v>
      </c>
      <c r="B663" s="88" t="s">
        <v>488</v>
      </c>
      <c r="C663" s="32" t="str">
        <f t="array" ref="C663">_xlfn.XLOOKUP(B663, DB[samplingPoint], DB[samplingTag])</f>
        <v>DV116.17</v>
      </c>
      <c r="D663" s="33" t="s">
        <v>375</v>
      </c>
      <c r="E663" s="38" t="b">
        <v>1</v>
      </c>
      <c r="F663" s="39" t="str">
        <f t="array" ref="F663">_xlfn.XLOOKUP($B663, DB[samplingPoint], DB[noLocation])</f>
        <v>10-3-117</v>
      </c>
      <c r="G663" s="33" t="s">
        <v>180</v>
      </c>
      <c r="H663" s="40" t="str">
        <f t="array" ref="H663">_xlfn.XLOOKUP($B663, DB[samplingPoint], DB[location])</f>
        <v>IPQC-2</v>
      </c>
      <c r="I663" s="39" t="str">
        <f t="array" ref="I663">_xlfn.XLOOKUP($B663, DB[samplingPoint], DB[waterType])</f>
        <v>PW</v>
      </c>
      <c r="J663" s="43">
        <f t="shared" si="1"/>
        <v>46151</v>
      </c>
      <c r="K663" s="26">
        <v>46154.0</v>
      </c>
      <c r="L663" s="32">
        <v>0.0</v>
      </c>
      <c r="M663" s="32">
        <v>0.0</v>
      </c>
      <c r="N663" s="32">
        <f t="shared" si="2"/>
        <v>0</v>
      </c>
      <c r="O663" s="49"/>
      <c r="P663" s="32">
        <f t="array" ref="P663">_xlfn.XLOOKUP($B663, DB[samplingPoint], DB[Criteria])</f>
        <v>100</v>
      </c>
      <c r="Q663" s="50" t="str">
        <f t="shared" si="3"/>
        <v>PASSED</v>
      </c>
      <c r="R663" s="38" t="b">
        <v>0</v>
      </c>
      <c r="S663" s="35" t="s">
        <v>1034</v>
      </c>
      <c r="T663" s="39" t="s">
        <v>386</v>
      </c>
      <c r="U663" s="32" t="s">
        <v>381</v>
      </c>
    </row>
    <row r="664" ht="22.5" customHeight="1">
      <c r="A664" s="26">
        <v>46150.0</v>
      </c>
      <c r="B664" s="88" t="s">
        <v>119</v>
      </c>
      <c r="C664" s="32" t="str">
        <f t="array" ref="C664">_xlfn.XLOOKUP(B664, DB[samplingPoint], DB[samplingTag])</f>
        <v>DV116.15</v>
      </c>
      <c r="D664" s="33" t="s">
        <v>375</v>
      </c>
      <c r="E664" s="38" t="b">
        <v>1</v>
      </c>
      <c r="F664" s="39" t="str">
        <f t="array" ref="F664">_xlfn.XLOOKUP($B664, DB[samplingPoint], DB[noLocation])</f>
        <v>10-3-104</v>
      </c>
      <c r="G664" s="33" t="s">
        <v>180</v>
      </c>
      <c r="H664" s="40" t="str">
        <f t="array" ref="H664">_xlfn.XLOOKUP($B664, DB[samplingPoint], DB[location])</f>
        <v>BINDER PREPARATION</v>
      </c>
      <c r="I664" s="39" t="str">
        <f t="array" ref="I664">_xlfn.XLOOKUP($B664, DB[samplingPoint], DB[waterType])</f>
        <v>PW</v>
      </c>
      <c r="J664" s="43">
        <f t="shared" si="1"/>
        <v>46151</v>
      </c>
      <c r="K664" s="26">
        <v>46154.0</v>
      </c>
      <c r="L664" s="32">
        <v>184.0</v>
      </c>
      <c r="M664" s="32">
        <v>83.0</v>
      </c>
      <c r="N664" s="32">
        <f t="shared" si="2"/>
        <v>134</v>
      </c>
      <c r="O664" s="49"/>
      <c r="P664" s="32">
        <f t="array" ref="P664">_xlfn.XLOOKUP($B664, DB[samplingPoint], DB[Criteria])</f>
        <v>100</v>
      </c>
      <c r="Q664" s="50" t="str">
        <f t="shared" si="3"/>
        <v>NOT-PASSED</v>
      </c>
      <c r="R664" s="38" t="b">
        <v>0</v>
      </c>
      <c r="S664" s="35" t="s">
        <v>1034</v>
      </c>
      <c r="T664" s="39" t="s">
        <v>386</v>
      </c>
      <c r="U664" s="32" t="s">
        <v>381</v>
      </c>
    </row>
    <row r="665" ht="22.5" customHeight="1">
      <c r="A665" s="62">
        <v>46154.0</v>
      </c>
      <c r="B665" s="113" t="s">
        <v>435</v>
      </c>
      <c r="C665" s="64" t="str">
        <f t="array" ref="C665">_xlfn.XLOOKUP(B665, DB[samplingPoint], DB[samplingTag])</f>
        <v>SV133.01</v>
      </c>
      <c r="D665" s="65" t="s">
        <v>500</v>
      </c>
      <c r="E665" s="38" t="b">
        <v>1</v>
      </c>
      <c r="F665" s="66" t="str">
        <f t="array" ref="F665">_xlfn.XLOOKUP($B665, DB[samplingPoint], DB[noLocation])</f>
        <v>WATER SYSTEM (B12)</v>
      </c>
      <c r="G665" s="65" t="s">
        <v>437</v>
      </c>
      <c r="H665" s="67" t="str">
        <f t="array" ref="H665">_xlfn.XLOOKUP($B665, DB[samplingPoint], DB[location])</f>
        <v>After Storage tank (B12)</v>
      </c>
      <c r="I665" s="66" t="str">
        <f t="array" ref="I665">_xlfn.XLOOKUP($B665, DB[samplingPoint], DB[waterType])</f>
        <v>PW</v>
      </c>
      <c r="J665" s="68">
        <f t="shared" si="1"/>
        <v>46155</v>
      </c>
      <c r="K665" s="62">
        <v>46158.0</v>
      </c>
      <c r="L665" s="64">
        <v>0.0</v>
      </c>
      <c r="M665" s="64">
        <v>0.0</v>
      </c>
      <c r="N665" s="64">
        <f t="shared" si="2"/>
        <v>0</v>
      </c>
      <c r="O665" s="94"/>
      <c r="P665" s="64">
        <f t="array" ref="P665">_xlfn.XLOOKUP($B665, DB[samplingPoint], DB[Criteria])</f>
        <v>100</v>
      </c>
      <c r="Q665" s="70" t="str">
        <f t="shared" si="3"/>
        <v>PASSED</v>
      </c>
      <c r="R665" s="71" t="b">
        <v>0</v>
      </c>
      <c r="S665" s="64" t="s">
        <v>1035</v>
      </c>
      <c r="T665" s="66" t="s">
        <v>386</v>
      </c>
      <c r="U665" s="32" t="s">
        <v>381</v>
      </c>
      <c r="V665" s="72"/>
      <c r="W665" s="72"/>
      <c r="X665" s="72"/>
      <c r="Y665" s="72"/>
      <c r="Z665" s="72"/>
    </row>
    <row r="666" ht="22.5" customHeight="1">
      <c r="A666" s="26">
        <v>46154.0</v>
      </c>
      <c r="B666" s="58" t="s">
        <v>438</v>
      </c>
      <c r="C666" s="32" t="str">
        <f t="array" ref="C666">_xlfn.XLOOKUP(B666, DB[samplingPoint], DB[samplingTag])</f>
        <v>SV135.02</v>
      </c>
      <c r="D666" s="33" t="s">
        <v>500</v>
      </c>
      <c r="E666" s="38" t="b">
        <v>1</v>
      </c>
      <c r="F666" s="39" t="str">
        <f t="array" ref="F666">_xlfn.XLOOKUP($B666, DB[samplingPoint], DB[noLocation])</f>
        <v>WATER SYSTEM (B12)</v>
      </c>
      <c r="G666" s="33" t="s">
        <v>437</v>
      </c>
      <c r="H666" s="40" t="str">
        <f t="array" ref="H666">_xlfn.XLOOKUP($B666, DB[samplingPoint], DB[location])</f>
        <v>After UV (B12)</v>
      </c>
      <c r="I666" s="39" t="str">
        <f t="array" ref="I666">_xlfn.XLOOKUP($B666, DB[samplingPoint], DB[waterType])</f>
        <v>PW</v>
      </c>
      <c r="J666" s="43">
        <f t="shared" si="1"/>
        <v>46155</v>
      </c>
      <c r="K666" s="26">
        <v>46158.0</v>
      </c>
      <c r="L666" s="32">
        <v>0.0</v>
      </c>
      <c r="M666" s="32">
        <v>0.0</v>
      </c>
      <c r="N666" s="32">
        <f t="shared" si="2"/>
        <v>0</v>
      </c>
      <c r="O666" s="49"/>
      <c r="P666" s="32">
        <f t="array" ref="P666">_xlfn.XLOOKUP($B666, DB[samplingPoint], DB[Criteria])</f>
        <v>100</v>
      </c>
      <c r="Q666" s="50" t="str">
        <f t="shared" si="3"/>
        <v>PASSED</v>
      </c>
      <c r="R666" s="38" t="b">
        <v>0</v>
      </c>
      <c r="S666" s="35" t="s">
        <v>1035</v>
      </c>
      <c r="T666" s="39" t="s">
        <v>386</v>
      </c>
      <c r="U666" s="32" t="s">
        <v>381</v>
      </c>
    </row>
    <row r="667" ht="22.5" customHeight="1">
      <c r="A667" s="26">
        <v>46154.0</v>
      </c>
      <c r="B667" s="27" t="s">
        <v>430</v>
      </c>
      <c r="C667" s="32" t="str">
        <f t="array" ref="C667">_xlfn.XLOOKUP(B667, DB[samplingPoint], DB[samplingTag])</f>
        <v>SV137.01</v>
      </c>
      <c r="D667" s="33" t="s">
        <v>500</v>
      </c>
      <c r="E667" s="38" t="b">
        <v>1</v>
      </c>
      <c r="F667" s="39" t="str">
        <f t="array" ref="F667">_xlfn.XLOOKUP($B667, DB[samplingPoint], DB[noLocation])</f>
        <v>WATER SYSTEM (B12)</v>
      </c>
      <c r="G667" s="33" t="s">
        <v>437</v>
      </c>
      <c r="H667" s="40" t="str">
        <f t="array" ref="H667">_xlfn.XLOOKUP($B667, DB[samplingPoint], DB[location])</f>
        <v>Return loop (B12)</v>
      </c>
      <c r="I667" s="39" t="str">
        <f t="array" ref="I667">_xlfn.XLOOKUP($B667, DB[samplingPoint], DB[waterType])</f>
        <v>PW</v>
      </c>
      <c r="J667" s="43">
        <f t="shared" si="1"/>
        <v>46155</v>
      </c>
      <c r="K667" s="26">
        <v>46158.0</v>
      </c>
      <c r="L667" s="32">
        <v>0.0</v>
      </c>
      <c r="M667" s="32">
        <v>0.0</v>
      </c>
      <c r="N667" s="32">
        <f t="shared" si="2"/>
        <v>0</v>
      </c>
      <c r="O667" s="49"/>
      <c r="P667" s="32">
        <f t="array" ref="P667">_xlfn.XLOOKUP($B667, DB[samplingPoint], DB[Criteria])</f>
        <v>100</v>
      </c>
      <c r="Q667" s="50" t="str">
        <f t="shared" si="3"/>
        <v>PASSED</v>
      </c>
      <c r="R667" s="38" t="b">
        <v>0</v>
      </c>
      <c r="S667" s="35" t="s">
        <v>1035</v>
      </c>
      <c r="T667" s="39" t="s">
        <v>386</v>
      </c>
      <c r="U667" s="32" t="s">
        <v>381</v>
      </c>
    </row>
    <row r="668" ht="22.5" customHeight="1">
      <c r="A668" s="26">
        <v>46154.0</v>
      </c>
      <c r="B668" s="88" t="s">
        <v>518</v>
      </c>
      <c r="C668" s="32" t="str">
        <f t="array" ref="C668">_xlfn.XLOOKUP(B668, DB[samplingPoint], DB[samplingTag])</f>
        <v>SV136.12</v>
      </c>
      <c r="D668" s="33" t="s">
        <v>500</v>
      </c>
      <c r="E668" s="38" t="b">
        <v>1</v>
      </c>
      <c r="F668" s="39" t="str">
        <f t="array" ref="F668">_xlfn.XLOOKUP($B668, DB[samplingPoint], DB[noLocation])</f>
        <v>12-2-036</v>
      </c>
      <c r="G668" s="33" t="s">
        <v>437</v>
      </c>
      <c r="H668" s="40" t="str">
        <f t="array" ref="H668">_xlfn.XLOOKUP($B668, DB[samplingPoint], DB[location])</f>
        <v>CIP 1</v>
      </c>
      <c r="I668" s="39" t="str">
        <f t="array" ref="I668">_xlfn.XLOOKUP($B668, DB[samplingPoint], DB[waterType])</f>
        <v>PW</v>
      </c>
      <c r="J668" s="43">
        <f t="shared" si="1"/>
        <v>46155</v>
      </c>
      <c r="K668" s="26">
        <v>46158.0</v>
      </c>
      <c r="L668" s="32">
        <v>0.0</v>
      </c>
      <c r="M668" s="32">
        <v>0.0</v>
      </c>
      <c r="N668" s="32">
        <f t="shared" si="2"/>
        <v>0</v>
      </c>
      <c r="O668" s="49"/>
      <c r="P668" s="32">
        <f t="array" ref="P668">_xlfn.XLOOKUP($B668, DB[samplingPoint], DB[Criteria])</f>
        <v>100</v>
      </c>
      <c r="Q668" s="50" t="str">
        <f t="shared" si="3"/>
        <v>PASSED</v>
      </c>
      <c r="R668" s="38" t="b">
        <v>0</v>
      </c>
      <c r="S668" s="35" t="s">
        <v>1035</v>
      </c>
      <c r="T668" s="39" t="s">
        <v>386</v>
      </c>
      <c r="U668" s="32" t="s">
        <v>381</v>
      </c>
    </row>
    <row r="669" ht="22.5" customHeight="1">
      <c r="A669" s="26">
        <v>46154.0</v>
      </c>
      <c r="B669" s="88" t="s">
        <v>517</v>
      </c>
      <c r="C669" s="32" t="str">
        <f t="array" ref="C669">_xlfn.XLOOKUP(B669, DB[samplingPoint], DB[samplingTag])</f>
        <v>SV136.07</v>
      </c>
      <c r="D669" s="33" t="s">
        <v>500</v>
      </c>
      <c r="E669" s="38" t="b">
        <v>1</v>
      </c>
      <c r="F669" s="39" t="str">
        <f t="array" ref="F669">_xlfn.XLOOKUP($B669, DB[samplingPoint], DB[noLocation])</f>
        <v>12-2-034</v>
      </c>
      <c r="G669" s="33" t="s">
        <v>437</v>
      </c>
      <c r="H669" s="40" t="str">
        <f t="array" ref="H669">_xlfn.XLOOKUP($B669, DB[samplingPoint], DB[location])</f>
        <v>SYRUP PREPARATION</v>
      </c>
      <c r="I669" s="39" t="str">
        <f t="array" ref="I669">_xlfn.XLOOKUP($B669, DB[samplingPoint], DB[waterType])</f>
        <v>PW</v>
      </c>
      <c r="J669" s="43">
        <f t="shared" si="1"/>
        <v>46155</v>
      </c>
      <c r="K669" s="26">
        <v>46158.0</v>
      </c>
      <c r="L669" s="32">
        <v>0.0</v>
      </c>
      <c r="M669" s="32">
        <v>0.0</v>
      </c>
      <c r="N669" s="32">
        <f t="shared" si="2"/>
        <v>0</v>
      </c>
      <c r="O669" s="49"/>
      <c r="P669" s="32">
        <f t="array" ref="P669">_xlfn.XLOOKUP($B669, DB[samplingPoint], DB[Criteria])</f>
        <v>100</v>
      </c>
      <c r="Q669" s="50" t="str">
        <f t="shared" si="3"/>
        <v>PASSED</v>
      </c>
      <c r="R669" s="38" t="b">
        <v>0</v>
      </c>
      <c r="S669" s="35" t="s">
        <v>1035</v>
      </c>
      <c r="T669" s="39" t="s">
        <v>386</v>
      </c>
      <c r="U669" s="32" t="s">
        <v>381</v>
      </c>
    </row>
    <row r="670" ht="22.5" customHeight="1">
      <c r="A670" s="26">
        <v>46154.0</v>
      </c>
      <c r="B670" s="88" t="s">
        <v>516</v>
      </c>
      <c r="C670" s="32" t="str">
        <f t="array" ref="C670">_xlfn.XLOOKUP(B670, DB[samplingPoint], DB[samplingTag])</f>
        <v>SV136.06</v>
      </c>
      <c r="D670" s="33" t="s">
        <v>500</v>
      </c>
      <c r="E670" s="38" t="b">
        <v>1</v>
      </c>
      <c r="F670" s="39" t="str">
        <f t="array" ref="F670">_xlfn.XLOOKUP($B670, DB[samplingPoint], DB[noLocation])</f>
        <v>12-2-034</v>
      </c>
      <c r="G670" s="33" t="s">
        <v>437</v>
      </c>
      <c r="H670" s="40" t="str">
        <f t="array" ref="H670">_xlfn.XLOOKUP($B670, DB[samplingPoint], DB[location])</f>
        <v>SYRUP PREPARATION</v>
      </c>
      <c r="I670" s="39" t="str">
        <f t="array" ref="I670">_xlfn.XLOOKUP($B670, DB[samplingPoint], DB[waterType])</f>
        <v>PW</v>
      </c>
      <c r="J670" s="43">
        <f t="shared" si="1"/>
        <v>46155</v>
      </c>
      <c r="K670" s="26">
        <v>46158.0</v>
      </c>
      <c r="L670" s="32">
        <v>0.0</v>
      </c>
      <c r="M670" s="32">
        <v>0.0</v>
      </c>
      <c r="N670" s="32">
        <f t="shared" si="2"/>
        <v>0</v>
      </c>
      <c r="O670" s="49"/>
      <c r="P670" s="32">
        <f t="array" ref="P670">_xlfn.XLOOKUP($B670, DB[samplingPoint], DB[Criteria])</f>
        <v>100</v>
      </c>
      <c r="Q670" s="50" t="str">
        <f t="shared" si="3"/>
        <v>PASSED</v>
      </c>
      <c r="R670" s="38" t="b">
        <v>0</v>
      </c>
      <c r="S670" s="35" t="s">
        <v>1035</v>
      </c>
      <c r="T670" s="39" t="s">
        <v>386</v>
      </c>
      <c r="U670" s="32" t="s">
        <v>381</v>
      </c>
    </row>
    <row r="671" ht="22.5" customHeight="1">
      <c r="A671" s="26">
        <v>46154.0</v>
      </c>
      <c r="B671" s="88" t="s">
        <v>510</v>
      </c>
      <c r="C671" s="32" t="str">
        <f t="array" ref="C671">_xlfn.XLOOKUP(B671, DB[samplingPoint], DB[samplingTag])</f>
        <v>SV136.03</v>
      </c>
      <c r="D671" s="33" t="s">
        <v>500</v>
      </c>
      <c r="E671" s="38" t="b">
        <v>1</v>
      </c>
      <c r="F671" s="39" t="str">
        <f t="array" ref="F671">_xlfn.XLOOKUP($B671, DB[samplingPoint], DB[noLocation])</f>
        <v>12-2-032</v>
      </c>
      <c r="G671" s="33" t="s">
        <v>437</v>
      </c>
      <c r="H671" s="40" t="str">
        <f t="array" ref="H671">_xlfn.XLOOKUP($B671, DB[samplingPoint], DB[location])</f>
        <v>CAMPHORATED OPIUM TINCTURE</v>
      </c>
      <c r="I671" s="39" t="str">
        <f t="array" ref="I671">_xlfn.XLOOKUP($B671, DB[samplingPoint], DB[waterType])</f>
        <v>PW</v>
      </c>
      <c r="J671" s="43">
        <f t="shared" si="1"/>
        <v>46155</v>
      </c>
      <c r="K671" s="26">
        <v>46158.0</v>
      </c>
      <c r="L671" s="32">
        <v>0.0</v>
      </c>
      <c r="M671" s="32">
        <v>0.0</v>
      </c>
      <c r="N671" s="32">
        <f t="shared" si="2"/>
        <v>0</v>
      </c>
      <c r="O671" s="49"/>
      <c r="P671" s="32">
        <f t="array" ref="P671">_xlfn.XLOOKUP($B671, DB[samplingPoint], DB[Criteria])</f>
        <v>100</v>
      </c>
      <c r="Q671" s="50" t="str">
        <f t="shared" si="3"/>
        <v>PASSED</v>
      </c>
      <c r="R671" s="38" t="b">
        <v>0</v>
      </c>
      <c r="S671" s="35" t="s">
        <v>1035</v>
      </c>
      <c r="T671" s="39" t="s">
        <v>386</v>
      </c>
      <c r="U671" s="32" t="s">
        <v>381</v>
      </c>
    </row>
    <row r="672" ht="22.5" customHeight="1">
      <c r="A672" s="26">
        <v>46154.0</v>
      </c>
      <c r="B672" s="88" t="s">
        <v>514</v>
      </c>
      <c r="C672" s="32" t="str">
        <f t="array" ref="C672">_xlfn.XLOOKUP(B672, DB[samplingPoint], DB[samplingTag])</f>
        <v>SV136.05</v>
      </c>
      <c r="D672" s="33" t="s">
        <v>500</v>
      </c>
      <c r="E672" s="38" t="b">
        <v>1</v>
      </c>
      <c r="F672" s="39" t="str">
        <f t="array" ref="F672">_xlfn.XLOOKUP($B672, DB[samplingPoint], DB[noLocation])</f>
        <v>12-2-032</v>
      </c>
      <c r="G672" s="33" t="s">
        <v>437</v>
      </c>
      <c r="H672" s="40" t="str">
        <f t="array" ref="H672">_xlfn.XLOOKUP($B672, DB[samplingPoint], DB[location])</f>
        <v>CAMPHORATED OPIUM TINCTURE</v>
      </c>
      <c r="I672" s="39" t="str">
        <f t="array" ref="I672">_xlfn.XLOOKUP($B672, DB[samplingPoint], DB[waterType])</f>
        <v>PW</v>
      </c>
      <c r="J672" s="43">
        <f t="shared" si="1"/>
        <v>46155</v>
      </c>
      <c r="K672" s="26">
        <v>46158.0</v>
      </c>
      <c r="L672" s="32">
        <v>0.0</v>
      </c>
      <c r="M672" s="32">
        <v>0.0</v>
      </c>
      <c r="N672" s="32">
        <f t="shared" si="2"/>
        <v>0</v>
      </c>
      <c r="O672" s="49"/>
      <c r="P672" s="32">
        <f t="array" ref="P672">_xlfn.XLOOKUP($B672, DB[samplingPoint], DB[Criteria])</f>
        <v>100</v>
      </c>
      <c r="Q672" s="50" t="str">
        <f t="shared" si="3"/>
        <v>PASSED</v>
      </c>
      <c r="R672" s="38" t="b">
        <v>0</v>
      </c>
      <c r="S672" s="35" t="s">
        <v>1035</v>
      </c>
      <c r="T672" s="39" t="s">
        <v>386</v>
      </c>
      <c r="U672" s="32" t="s">
        <v>381</v>
      </c>
    </row>
    <row r="673" ht="22.5" customHeight="1">
      <c r="A673" s="26">
        <v>46154.0</v>
      </c>
      <c r="B673" s="88" t="s">
        <v>513</v>
      </c>
      <c r="C673" s="32" t="str">
        <f t="array" ref="C673">_xlfn.XLOOKUP(B673, DB[samplingPoint], DB[samplingTag])</f>
        <v>SV136.04</v>
      </c>
      <c r="D673" s="33" t="s">
        <v>500</v>
      </c>
      <c r="E673" s="38" t="b">
        <v>1</v>
      </c>
      <c r="F673" s="39" t="str">
        <f t="array" ref="F673">_xlfn.XLOOKUP($B673, DB[samplingPoint], DB[noLocation])</f>
        <v>12-2-030</v>
      </c>
      <c r="G673" s="33" t="s">
        <v>437</v>
      </c>
      <c r="H673" s="40" t="str">
        <f t="array" ref="H673">_xlfn.XLOOKUP($B673, DB[samplingPoint], DB[location])</f>
        <v>OPIUM TINCTURE</v>
      </c>
      <c r="I673" s="39" t="str">
        <f t="array" ref="I673">_xlfn.XLOOKUP($B673, DB[samplingPoint], DB[waterType])</f>
        <v>PW</v>
      </c>
      <c r="J673" s="43">
        <f t="shared" si="1"/>
        <v>46155</v>
      </c>
      <c r="K673" s="26">
        <v>46158.0</v>
      </c>
      <c r="L673" s="32">
        <v>0.0</v>
      </c>
      <c r="M673" s="32">
        <v>0.0</v>
      </c>
      <c r="N673" s="32">
        <f t="shared" si="2"/>
        <v>0</v>
      </c>
      <c r="O673" s="49"/>
      <c r="P673" s="32">
        <f t="array" ref="P673">_xlfn.XLOOKUP($B673, DB[samplingPoint], DB[Criteria])</f>
        <v>100</v>
      </c>
      <c r="Q673" s="50" t="str">
        <f t="shared" si="3"/>
        <v>PASSED</v>
      </c>
      <c r="R673" s="38" t="b">
        <v>0</v>
      </c>
      <c r="S673" s="35" t="s">
        <v>1035</v>
      </c>
      <c r="T673" s="39" t="s">
        <v>386</v>
      </c>
      <c r="U673" s="32" t="s">
        <v>381</v>
      </c>
    </row>
    <row r="674" ht="22.5" customHeight="1">
      <c r="A674" s="26">
        <v>46154.0</v>
      </c>
      <c r="B674" s="88" t="s">
        <v>506</v>
      </c>
      <c r="C674" s="32" t="str">
        <f t="array" ref="C674">_xlfn.XLOOKUP(B674, DB[samplingPoint], DB[samplingTag])</f>
        <v>DV136.02</v>
      </c>
      <c r="D674" s="33" t="s">
        <v>500</v>
      </c>
      <c r="E674" s="38" t="b">
        <v>1</v>
      </c>
      <c r="F674" s="39" t="str">
        <f t="array" ref="F674">_xlfn.XLOOKUP($B674, DB[samplingPoint], DB[noLocation])</f>
        <v>12-2-028</v>
      </c>
      <c r="G674" s="33" t="s">
        <v>437</v>
      </c>
      <c r="H674" s="40" t="str">
        <f t="array" ref="H674">_xlfn.XLOOKUP($B674, DB[samplingPoint], DB[location])</f>
        <v>ALCOHOL STORAGE</v>
      </c>
      <c r="I674" s="39" t="str">
        <f t="array" ref="I674">_xlfn.XLOOKUP($B674, DB[samplingPoint], DB[waterType])</f>
        <v>PW</v>
      </c>
      <c r="J674" s="43">
        <f t="shared" si="1"/>
        <v>46155</v>
      </c>
      <c r="K674" s="26">
        <v>46158.0</v>
      </c>
      <c r="L674" s="32">
        <v>0.0</v>
      </c>
      <c r="M674" s="32">
        <v>0.0</v>
      </c>
      <c r="N674" s="32">
        <f t="shared" si="2"/>
        <v>0</v>
      </c>
      <c r="O674" s="49"/>
      <c r="P674" s="32">
        <f t="array" ref="P674">_xlfn.XLOOKUP($B674, DB[samplingPoint], DB[Criteria])</f>
        <v>100</v>
      </c>
      <c r="Q674" s="50" t="str">
        <f t="shared" si="3"/>
        <v>PASSED</v>
      </c>
      <c r="R674" s="38" t="b">
        <v>0</v>
      </c>
      <c r="S674" s="35" t="s">
        <v>1035</v>
      </c>
      <c r="T674" s="39" t="s">
        <v>386</v>
      </c>
      <c r="U674" s="32" t="s">
        <v>381</v>
      </c>
    </row>
    <row r="675" ht="22.5" customHeight="1">
      <c r="A675" s="26">
        <v>46154.0</v>
      </c>
      <c r="B675" s="88" t="s">
        <v>508</v>
      </c>
      <c r="C675" s="32" t="str">
        <f t="array" ref="C675">_xlfn.XLOOKUP(B675, DB[samplingPoint], DB[samplingTag])</f>
        <v>DV136.07</v>
      </c>
      <c r="D675" s="33" t="s">
        <v>500</v>
      </c>
      <c r="E675" s="38" t="b">
        <v>1</v>
      </c>
      <c r="F675" s="39" t="str">
        <f t="array" ref="F675">_xlfn.XLOOKUP($B675, DB[samplingPoint], DB[noLocation])</f>
        <v>12-3-039</v>
      </c>
      <c r="G675" s="33" t="s">
        <v>437</v>
      </c>
      <c r="H675" s="40" t="str">
        <f t="array" ref="H675">_xlfn.XLOOKUP($B675, DB[samplingPoint], DB[location])</f>
        <v>INSTRUMENT 7</v>
      </c>
      <c r="I675" s="39" t="str">
        <f t="array" ref="I675">_xlfn.XLOOKUP($B675, DB[samplingPoint], DB[waterType])</f>
        <v>PW</v>
      </c>
      <c r="J675" s="43">
        <f t="shared" si="1"/>
        <v>46155</v>
      </c>
      <c r="K675" s="26">
        <v>46158.0</v>
      </c>
      <c r="L675" s="32">
        <v>0.0</v>
      </c>
      <c r="M675" s="32">
        <v>0.0</v>
      </c>
      <c r="N675" s="32">
        <f t="shared" si="2"/>
        <v>0</v>
      </c>
      <c r="O675" s="49"/>
      <c r="P675" s="32">
        <f t="array" ref="P675">_xlfn.XLOOKUP($B675, DB[samplingPoint], DB[Criteria])</f>
        <v>100</v>
      </c>
      <c r="Q675" s="50" t="str">
        <f t="shared" si="3"/>
        <v>PASSED</v>
      </c>
      <c r="R675" s="38" t="b">
        <v>0</v>
      </c>
      <c r="S675" s="35" t="s">
        <v>1035</v>
      </c>
      <c r="T675" s="39" t="s">
        <v>386</v>
      </c>
      <c r="U675" s="32" t="s">
        <v>381</v>
      </c>
    </row>
    <row r="676" ht="22.5" customHeight="1">
      <c r="A676" s="26">
        <v>46154.0</v>
      </c>
      <c r="B676" s="58" t="s">
        <v>467</v>
      </c>
      <c r="C676" s="32" t="str">
        <f t="array" ref="C676">_xlfn.XLOOKUP(B676, DB[samplingPoint], DB[samplingTag])</f>
        <v>SV123.01</v>
      </c>
      <c r="D676" s="33" t="s">
        <v>500</v>
      </c>
      <c r="E676" s="38" t="b">
        <v>1</v>
      </c>
      <c r="F676" s="39" t="str">
        <f t="array" ref="F676">_xlfn.XLOOKUP($B676, DB[samplingPoint], DB[noLocation])</f>
        <v>WATER SYSTEM (B16)</v>
      </c>
      <c r="G676" s="33" t="s">
        <v>327</v>
      </c>
      <c r="H676" s="40" t="str">
        <f t="array" ref="H676">_xlfn.XLOOKUP($B676, DB[samplingPoint], DB[location])</f>
        <v>After Storage tank (B16)</v>
      </c>
      <c r="I676" s="39" t="str">
        <f t="array" ref="I676">_xlfn.XLOOKUP($B676, DB[samplingPoint], DB[waterType])</f>
        <v>PW</v>
      </c>
      <c r="J676" s="43">
        <f t="shared" si="1"/>
        <v>46155</v>
      </c>
      <c r="K676" s="26">
        <v>46158.0</v>
      </c>
      <c r="L676" s="32">
        <v>0.0</v>
      </c>
      <c r="M676" s="32">
        <v>0.0</v>
      </c>
      <c r="N676" s="32">
        <f t="shared" si="2"/>
        <v>0</v>
      </c>
      <c r="O676" s="49"/>
      <c r="P676" s="32">
        <f t="array" ref="P676">_xlfn.XLOOKUP($B676, DB[samplingPoint], DB[Criteria])</f>
        <v>100</v>
      </c>
      <c r="Q676" s="50" t="str">
        <f t="shared" si="3"/>
        <v>PASSED</v>
      </c>
      <c r="R676" s="38" t="b">
        <v>0</v>
      </c>
      <c r="S676" s="35" t="s">
        <v>40</v>
      </c>
      <c r="T676" s="39" t="s">
        <v>386</v>
      </c>
      <c r="U676" s="32" t="s">
        <v>304</v>
      </c>
    </row>
    <row r="677" ht="22.5" customHeight="1">
      <c r="A677" s="26">
        <v>46154.0</v>
      </c>
      <c r="B677" s="58" t="s">
        <v>469</v>
      </c>
      <c r="C677" s="32" t="str">
        <f t="array" ref="C677">_xlfn.XLOOKUP(B677, DB[samplingPoint], DB[samplingTag])</f>
        <v>SV125.02</v>
      </c>
      <c r="D677" s="33" t="s">
        <v>500</v>
      </c>
      <c r="E677" s="38" t="b">
        <v>1</v>
      </c>
      <c r="F677" s="39" t="str">
        <f t="array" ref="F677">_xlfn.XLOOKUP($B677, DB[samplingPoint], DB[noLocation])</f>
        <v>WATER SYSTEM (B16)</v>
      </c>
      <c r="G677" s="33" t="s">
        <v>327</v>
      </c>
      <c r="H677" s="40" t="str">
        <f t="array" ref="H677">_xlfn.XLOOKUP($B677, DB[samplingPoint], DB[location])</f>
        <v>After UV (B16)</v>
      </c>
      <c r="I677" s="39" t="str">
        <f t="array" ref="I677">_xlfn.XLOOKUP($B677, DB[samplingPoint], DB[waterType])</f>
        <v>PW</v>
      </c>
      <c r="J677" s="43">
        <f t="shared" si="1"/>
        <v>46155</v>
      </c>
      <c r="K677" s="26">
        <v>46158.0</v>
      </c>
      <c r="L677" s="32">
        <v>0.0</v>
      </c>
      <c r="M677" s="32">
        <v>0.0</v>
      </c>
      <c r="N677" s="32">
        <f t="shared" si="2"/>
        <v>0</v>
      </c>
      <c r="O677" s="49"/>
      <c r="P677" s="32">
        <f t="array" ref="P677">_xlfn.XLOOKUP($B677, DB[samplingPoint], DB[Criteria])</f>
        <v>100</v>
      </c>
      <c r="Q677" s="50" t="str">
        <f t="shared" si="3"/>
        <v>PASSED</v>
      </c>
      <c r="R677" s="38" t="b">
        <v>0</v>
      </c>
      <c r="S677" s="35" t="s">
        <v>1036</v>
      </c>
      <c r="T677" s="39" t="s">
        <v>386</v>
      </c>
      <c r="U677" s="32" t="s">
        <v>381</v>
      </c>
    </row>
    <row r="678" ht="22.5" customHeight="1">
      <c r="A678" s="26">
        <v>46154.0</v>
      </c>
      <c r="B678" s="58" t="s">
        <v>464</v>
      </c>
      <c r="C678" s="32" t="str">
        <f t="array" ref="C678">_xlfn.XLOOKUP(B678, DB[samplingPoint], DB[samplingTag])</f>
        <v>SV127.01</v>
      </c>
      <c r="D678" s="33" t="s">
        <v>500</v>
      </c>
      <c r="E678" s="38" t="b">
        <v>1</v>
      </c>
      <c r="F678" s="39" t="str">
        <f t="array" ref="F678">_xlfn.XLOOKUP($B678, DB[samplingPoint], DB[noLocation])</f>
        <v>WATER SYSTEM (B16)</v>
      </c>
      <c r="G678" s="33" t="s">
        <v>327</v>
      </c>
      <c r="H678" s="40" t="str">
        <f t="array" ref="H678">_xlfn.XLOOKUP($B678, DB[samplingPoint], DB[location])</f>
        <v>Return loop (B16)</v>
      </c>
      <c r="I678" s="39" t="str">
        <f t="array" ref="I678">_xlfn.XLOOKUP($B678, DB[samplingPoint], DB[waterType])</f>
        <v>PW</v>
      </c>
      <c r="J678" s="43">
        <f t="shared" si="1"/>
        <v>46155</v>
      </c>
      <c r="K678" s="26">
        <v>46158.0</v>
      </c>
      <c r="L678" s="32">
        <v>0.0</v>
      </c>
      <c r="M678" s="32">
        <v>0.0</v>
      </c>
      <c r="N678" s="32">
        <f t="shared" si="2"/>
        <v>0</v>
      </c>
      <c r="O678" s="49"/>
      <c r="P678" s="32">
        <f t="array" ref="P678">_xlfn.XLOOKUP($B678, DB[samplingPoint], DB[Criteria])</f>
        <v>100</v>
      </c>
      <c r="Q678" s="50" t="str">
        <f t="shared" si="3"/>
        <v>PASSED</v>
      </c>
      <c r="R678" s="38" t="b">
        <v>0</v>
      </c>
      <c r="S678" s="35" t="s">
        <v>1036</v>
      </c>
      <c r="T678" s="39" t="s">
        <v>386</v>
      </c>
      <c r="U678" s="32" t="s">
        <v>381</v>
      </c>
    </row>
    <row r="679" ht="22.5" customHeight="1">
      <c r="A679" s="26">
        <v>46154.0</v>
      </c>
      <c r="B679" s="88" t="s">
        <v>553</v>
      </c>
      <c r="C679" s="32" t="str">
        <f t="array" ref="C679">_xlfn.XLOOKUP(B679, DB[samplingPoint], DB[samplingTag])</f>
        <v>DV126.10</v>
      </c>
      <c r="D679" s="33" t="s">
        <v>500</v>
      </c>
      <c r="E679" s="38" t="b">
        <v>1</v>
      </c>
      <c r="F679" s="39" t="str">
        <f t="array" ref="F679">_xlfn.XLOOKUP($B679, DB[samplingPoint], DB[noLocation])</f>
        <v>16-3-069</v>
      </c>
      <c r="G679" s="33" t="s">
        <v>327</v>
      </c>
      <c r="H679" s="40" t="str">
        <f t="array" ref="H679">_xlfn.XLOOKUP($B679, DB[samplingPoint], DB[location])</f>
        <v>MFG 2</v>
      </c>
      <c r="I679" s="39" t="str">
        <f t="array" ref="I679">_xlfn.XLOOKUP($B679, DB[samplingPoint], DB[waterType])</f>
        <v>PW</v>
      </c>
      <c r="J679" s="43">
        <f t="shared" si="1"/>
        <v>46155</v>
      </c>
      <c r="K679" s="26">
        <v>46158.0</v>
      </c>
      <c r="L679" s="32">
        <v>0.0</v>
      </c>
      <c r="M679" s="32">
        <v>0.0</v>
      </c>
      <c r="N679" s="32">
        <f t="shared" si="2"/>
        <v>0</v>
      </c>
      <c r="O679" s="49"/>
      <c r="P679" s="32">
        <f t="array" ref="P679">_xlfn.XLOOKUP($B679, DB[samplingPoint], DB[Criteria])</f>
        <v>100</v>
      </c>
      <c r="Q679" s="50" t="str">
        <f t="shared" si="3"/>
        <v>PASSED</v>
      </c>
      <c r="R679" s="38" t="b">
        <v>0</v>
      </c>
      <c r="S679" s="35" t="s">
        <v>1036</v>
      </c>
      <c r="T679" s="39" t="s">
        <v>386</v>
      </c>
      <c r="U679" s="32" t="s">
        <v>381</v>
      </c>
    </row>
    <row r="680" ht="22.5" customHeight="1">
      <c r="A680" s="26">
        <v>46154.0</v>
      </c>
      <c r="B680" s="88" t="s">
        <v>555</v>
      </c>
      <c r="C680" s="32" t="str">
        <f t="array" ref="C680">_xlfn.XLOOKUP(B680, DB[samplingPoint], DB[samplingTag])</f>
        <v>DV126.06</v>
      </c>
      <c r="D680" s="33" t="s">
        <v>500</v>
      </c>
      <c r="E680" s="38" t="b">
        <v>1</v>
      </c>
      <c r="F680" s="39" t="str">
        <f t="array" ref="F680">_xlfn.XLOOKUP($B680, DB[samplingPoint], DB[noLocation])</f>
        <v>16-3-069</v>
      </c>
      <c r="G680" s="33" t="s">
        <v>327</v>
      </c>
      <c r="H680" s="40" t="str">
        <f t="array" ref="H680">_xlfn.XLOOKUP($B680, DB[samplingPoint], DB[location])</f>
        <v>MFG 2</v>
      </c>
      <c r="I680" s="39" t="str">
        <f t="array" ref="I680">_xlfn.XLOOKUP($B680, DB[samplingPoint], DB[waterType])</f>
        <v>PW</v>
      </c>
      <c r="J680" s="43">
        <f t="shared" si="1"/>
        <v>46155</v>
      </c>
      <c r="K680" s="26">
        <v>46158.0</v>
      </c>
      <c r="L680" s="32">
        <v>0.0</v>
      </c>
      <c r="M680" s="32">
        <v>0.0</v>
      </c>
      <c r="N680" s="32">
        <f t="shared" si="2"/>
        <v>0</v>
      </c>
      <c r="O680" s="49"/>
      <c r="P680" s="32">
        <f t="array" ref="P680">_xlfn.XLOOKUP($B680, DB[samplingPoint], DB[Criteria])</f>
        <v>100</v>
      </c>
      <c r="Q680" s="50" t="str">
        <f t="shared" si="3"/>
        <v>PASSED</v>
      </c>
      <c r="R680" s="38" t="b">
        <v>0</v>
      </c>
      <c r="S680" s="35" t="s">
        <v>1036</v>
      </c>
      <c r="T680" s="39" t="s">
        <v>386</v>
      </c>
      <c r="U680" s="32" t="s">
        <v>381</v>
      </c>
    </row>
    <row r="681" ht="22.5" customHeight="1">
      <c r="A681" s="26">
        <v>46154.0</v>
      </c>
      <c r="B681" s="88" t="s">
        <v>557</v>
      </c>
      <c r="C681" s="32" t="str">
        <f t="array" ref="C681">_xlfn.XLOOKUP(B681, DB[samplingPoint], DB[samplingTag])</f>
        <v>SV126.10</v>
      </c>
      <c r="D681" s="33" t="s">
        <v>500</v>
      </c>
      <c r="E681" s="38" t="b">
        <v>1</v>
      </c>
      <c r="F681" s="39" t="str">
        <f t="array" ref="F681">_xlfn.XLOOKUP($B681, DB[samplingPoint], DB[noLocation])</f>
        <v>16-3-071</v>
      </c>
      <c r="G681" s="33" t="s">
        <v>327</v>
      </c>
      <c r="H681" s="40" t="str">
        <f t="array" ref="H681">_xlfn.XLOOKUP($B681, DB[samplingPoint], DB[location])</f>
        <v>MFG 3 (1200L)</v>
      </c>
      <c r="I681" s="39" t="str">
        <f t="array" ref="I681">_xlfn.XLOOKUP($B681, DB[samplingPoint], DB[waterType])</f>
        <v>PW</v>
      </c>
      <c r="J681" s="43">
        <f t="shared" si="1"/>
        <v>46155</v>
      </c>
      <c r="K681" s="26">
        <v>46158.0</v>
      </c>
      <c r="L681" s="32">
        <v>0.0</v>
      </c>
      <c r="M681" s="32">
        <v>0.0</v>
      </c>
      <c r="N681" s="32">
        <f t="shared" si="2"/>
        <v>0</v>
      </c>
      <c r="O681" s="49"/>
      <c r="P681" s="32">
        <f t="array" ref="P681">_xlfn.XLOOKUP($B681, DB[samplingPoint], DB[Criteria])</f>
        <v>100</v>
      </c>
      <c r="Q681" s="50" t="str">
        <f t="shared" si="3"/>
        <v>PASSED</v>
      </c>
      <c r="R681" s="38" t="b">
        <v>0</v>
      </c>
      <c r="S681" s="35" t="s">
        <v>1036</v>
      </c>
      <c r="T681" s="39" t="s">
        <v>386</v>
      </c>
      <c r="U681" s="32" t="s">
        <v>381</v>
      </c>
    </row>
    <row r="682" ht="22.5" customHeight="1">
      <c r="A682" s="26">
        <v>46154.0</v>
      </c>
      <c r="B682" s="88" t="s">
        <v>561</v>
      </c>
      <c r="C682" s="32" t="str">
        <f t="array" ref="C682">_xlfn.XLOOKUP(B682, DB[samplingPoint], DB[samplingTag])</f>
        <v>SV126.09</v>
      </c>
      <c r="D682" s="33" t="s">
        <v>500</v>
      </c>
      <c r="E682" s="38" t="b">
        <v>1</v>
      </c>
      <c r="F682" s="39" t="str">
        <f t="array" ref="F682">_xlfn.XLOOKUP($B682, DB[samplingPoint], DB[noLocation])</f>
        <v>16-3-071</v>
      </c>
      <c r="G682" s="33" t="s">
        <v>327</v>
      </c>
      <c r="H682" s="40" t="str">
        <f t="array" ref="H682">_xlfn.XLOOKUP($B682, DB[samplingPoint], DB[location])</f>
        <v>MFG 3 (5000L)</v>
      </c>
      <c r="I682" s="39" t="str">
        <f t="array" ref="I682">_xlfn.XLOOKUP($B682, DB[samplingPoint], DB[waterType])</f>
        <v>PW</v>
      </c>
      <c r="J682" s="43">
        <f t="shared" si="1"/>
        <v>46155</v>
      </c>
      <c r="K682" s="26">
        <v>46158.0</v>
      </c>
      <c r="L682" s="32">
        <v>0.0</v>
      </c>
      <c r="M682" s="32">
        <v>0.0</v>
      </c>
      <c r="N682" s="32">
        <f t="shared" si="2"/>
        <v>0</v>
      </c>
      <c r="O682" s="49"/>
      <c r="P682" s="32">
        <f t="array" ref="P682">_xlfn.XLOOKUP($B682, DB[samplingPoint], DB[Criteria])</f>
        <v>100</v>
      </c>
      <c r="Q682" s="50" t="str">
        <f t="shared" si="3"/>
        <v>PASSED</v>
      </c>
      <c r="R682" s="38" t="b">
        <v>0</v>
      </c>
      <c r="S682" s="35" t="s">
        <v>1036</v>
      </c>
      <c r="T682" s="39" t="s">
        <v>386</v>
      </c>
      <c r="U682" s="32" t="s">
        <v>381</v>
      </c>
    </row>
    <row r="683" ht="22.5" customHeight="1">
      <c r="A683" s="26">
        <v>46154.0</v>
      </c>
      <c r="B683" s="88" t="s">
        <v>566</v>
      </c>
      <c r="C683" s="32" t="str">
        <f t="array" ref="C683">_xlfn.XLOOKUP(B683, DB[samplingPoint], DB[samplingTag])</f>
        <v>DV126.08</v>
      </c>
      <c r="D683" s="33" t="s">
        <v>500</v>
      </c>
      <c r="E683" s="38" t="b">
        <v>1</v>
      </c>
      <c r="F683" s="39" t="str">
        <f t="array" ref="F683">_xlfn.XLOOKUP($B683, DB[samplingPoint], DB[noLocation])</f>
        <v>16-3-077</v>
      </c>
      <c r="G683" s="33" t="s">
        <v>327</v>
      </c>
      <c r="H683" s="40" t="str">
        <f t="array" ref="H683">_xlfn.XLOOKUP($B683, DB[samplingPoint], DB[location])</f>
        <v>MFG 6</v>
      </c>
      <c r="I683" s="39" t="str">
        <f t="array" ref="I683">_xlfn.XLOOKUP($B683, DB[samplingPoint], DB[waterType])</f>
        <v>PW</v>
      </c>
      <c r="J683" s="43">
        <f t="shared" si="1"/>
        <v>46155</v>
      </c>
      <c r="K683" s="26">
        <v>46158.0</v>
      </c>
      <c r="L683" s="32">
        <v>0.0</v>
      </c>
      <c r="M683" s="32">
        <v>0.0</v>
      </c>
      <c r="N683" s="32">
        <f t="shared" si="2"/>
        <v>0</v>
      </c>
      <c r="O683" s="49"/>
      <c r="P683" s="32">
        <f t="array" ref="P683">_xlfn.XLOOKUP($B683, DB[samplingPoint], DB[Criteria])</f>
        <v>100</v>
      </c>
      <c r="Q683" s="50" t="str">
        <f t="shared" si="3"/>
        <v>PASSED</v>
      </c>
      <c r="R683" s="38" t="b">
        <v>0</v>
      </c>
      <c r="S683" s="35" t="s">
        <v>1036</v>
      </c>
      <c r="T683" s="39" t="s">
        <v>386</v>
      </c>
      <c r="U683" s="32" t="s">
        <v>381</v>
      </c>
    </row>
    <row r="684" ht="22.5" customHeight="1">
      <c r="A684" s="83">
        <v>46154.0</v>
      </c>
      <c r="B684" s="95" t="s">
        <v>563</v>
      </c>
      <c r="C684" s="78" t="str">
        <f t="array" ref="C684">_xlfn.XLOOKUP(B684, DB[samplingPoint], DB[samplingTag])</f>
        <v>DV126.07</v>
      </c>
      <c r="D684" s="77" t="s">
        <v>500</v>
      </c>
      <c r="E684" s="38" t="b">
        <v>1</v>
      </c>
      <c r="F684" s="80" t="str">
        <f t="array" ref="F684">_xlfn.XLOOKUP($B684, DB[samplingPoint], DB[noLocation])</f>
        <v>16-3-077</v>
      </c>
      <c r="G684" s="77" t="s">
        <v>327</v>
      </c>
      <c r="H684" s="81" t="str">
        <f t="array" ref="H684">_xlfn.XLOOKUP($B684, DB[samplingPoint], DB[location])</f>
        <v>MFG 6</v>
      </c>
      <c r="I684" s="80" t="str">
        <f t="array" ref="I684">_xlfn.XLOOKUP($B684, DB[samplingPoint], DB[waterType])</f>
        <v>PW</v>
      </c>
      <c r="J684" s="82">
        <f t="shared" si="1"/>
        <v>46155</v>
      </c>
      <c r="K684" s="83">
        <v>46158.0</v>
      </c>
      <c r="L684" s="78">
        <v>0.0</v>
      </c>
      <c r="M684" s="78">
        <v>0.0</v>
      </c>
      <c r="N684" s="78">
        <f t="shared" si="2"/>
        <v>0</v>
      </c>
      <c r="O684" s="84"/>
      <c r="P684" s="78">
        <f t="array" ref="P684">_xlfn.XLOOKUP($B684, DB[samplingPoint], DB[Criteria])</f>
        <v>100</v>
      </c>
      <c r="Q684" s="85" t="str">
        <f t="shared" si="3"/>
        <v>PASSED</v>
      </c>
      <c r="R684" s="79" t="b">
        <v>0</v>
      </c>
      <c r="S684" s="78" t="s">
        <v>1036</v>
      </c>
      <c r="T684" s="80" t="s">
        <v>386</v>
      </c>
      <c r="U684" s="32" t="s">
        <v>381</v>
      </c>
      <c r="V684" s="87"/>
      <c r="W684" s="87"/>
      <c r="X684" s="87"/>
      <c r="Y684" s="87"/>
      <c r="Z684" s="87"/>
    </row>
    <row r="685" ht="22.5" customHeight="1">
      <c r="A685" s="26">
        <v>46157.0</v>
      </c>
      <c r="B685" s="27" t="s">
        <v>380</v>
      </c>
      <c r="C685" s="32" t="str">
        <f t="array" ref="C685">_xlfn.XLOOKUP(B685, DB[samplingPoint], DB[samplingTag])</f>
        <v>SV113.01</v>
      </c>
      <c r="D685" s="33" t="s">
        <v>500</v>
      </c>
      <c r="E685" s="38" t="b">
        <v>1</v>
      </c>
      <c r="F685" s="39" t="str">
        <f t="array" ref="F685">_xlfn.XLOOKUP($B685, DB[samplingPoint], DB[noLocation])</f>
        <v>WATER SYSTEM (B10)</v>
      </c>
      <c r="G685" s="33" t="s">
        <v>180</v>
      </c>
      <c r="H685" s="40" t="str">
        <f t="array" ref="H685">_xlfn.XLOOKUP($B685, DB[samplingPoint], DB[location])</f>
        <v>After Storage tank (B10)</v>
      </c>
      <c r="I685" s="39" t="str">
        <f t="array" ref="I685">_xlfn.XLOOKUP($B685, DB[samplingPoint], DB[waterType])</f>
        <v>PW</v>
      </c>
      <c r="J685" s="43">
        <f t="shared" si="1"/>
        <v>46158</v>
      </c>
      <c r="K685" s="26">
        <v>46161.0</v>
      </c>
      <c r="L685" s="32">
        <v>0.0</v>
      </c>
      <c r="M685" s="32">
        <v>0.0</v>
      </c>
      <c r="N685" s="32">
        <f t="shared" si="2"/>
        <v>0</v>
      </c>
      <c r="O685" s="49"/>
      <c r="P685" s="32">
        <f t="array" ref="P685">_xlfn.XLOOKUP($B685, DB[samplingPoint], DB[Criteria])</f>
        <v>100</v>
      </c>
      <c r="Q685" s="50" t="str">
        <f t="shared" si="3"/>
        <v>PASSED</v>
      </c>
      <c r="R685" s="38" t="b">
        <v>0</v>
      </c>
      <c r="S685" s="35" t="s">
        <v>1037</v>
      </c>
      <c r="T685" s="39" t="s">
        <v>386</v>
      </c>
      <c r="U685" s="32" t="s">
        <v>381</v>
      </c>
    </row>
    <row r="686" ht="22.5" customHeight="1">
      <c r="A686" s="26">
        <v>46157.0</v>
      </c>
      <c r="B686" s="58" t="s">
        <v>385</v>
      </c>
      <c r="C686" s="32" t="str">
        <f t="array" ref="C686">_xlfn.XLOOKUP(B686, DB[samplingPoint], DB[samplingTag])</f>
        <v>SV115.02</v>
      </c>
      <c r="D686" s="33" t="s">
        <v>500</v>
      </c>
      <c r="E686" s="38" t="b">
        <v>1</v>
      </c>
      <c r="F686" s="39" t="str">
        <f t="array" ref="F686">_xlfn.XLOOKUP($B686, DB[samplingPoint], DB[noLocation])</f>
        <v>WATER SYSTEM (B10)</v>
      </c>
      <c r="G686" s="33" t="s">
        <v>180</v>
      </c>
      <c r="H686" s="40" t="str">
        <f t="array" ref="H686">_xlfn.XLOOKUP($B686, DB[samplingPoint], DB[location])</f>
        <v>After UV (B10)</v>
      </c>
      <c r="I686" s="39" t="str">
        <f t="array" ref="I686">_xlfn.XLOOKUP($B686, DB[samplingPoint], DB[waterType])</f>
        <v>PW</v>
      </c>
      <c r="J686" s="43">
        <f t="shared" si="1"/>
        <v>46158</v>
      </c>
      <c r="K686" s="26">
        <v>46161.0</v>
      </c>
      <c r="L686" s="32">
        <v>0.0</v>
      </c>
      <c r="M686" s="32">
        <v>0.0</v>
      </c>
      <c r="N686" s="32">
        <f t="shared" si="2"/>
        <v>0</v>
      </c>
      <c r="O686" s="49"/>
      <c r="P686" s="32">
        <f t="array" ref="P686">_xlfn.XLOOKUP($B686, DB[samplingPoint], DB[Criteria])</f>
        <v>100</v>
      </c>
      <c r="Q686" s="50" t="str">
        <f t="shared" si="3"/>
        <v>PASSED</v>
      </c>
      <c r="R686" s="38" t="b">
        <v>0</v>
      </c>
      <c r="S686" s="35" t="s">
        <v>1037</v>
      </c>
      <c r="T686" s="39" t="s">
        <v>386</v>
      </c>
      <c r="U686" s="32" t="s">
        <v>381</v>
      </c>
    </row>
    <row r="687" ht="22.5" customHeight="1">
      <c r="A687" s="26">
        <v>46157.0</v>
      </c>
      <c r="B687" s="27" t="s">
        <v>390</v>
      </c>
      <c r="C687" s="32" t="str">
        <f t="array" ref="C687">_xlfn.XLOOKUP(B687, DB[samplingPoint], DB[samplingTag])</f>
        <v>SV117.01</v>
      </c>
      <c r="D687" s="33" t="s">
        <v>500</v>
      </c>
      <c r="E687" s="38" t="b">
        <v>1</v>
      </c>
      <c r="F687" s="39" t="str">
        <f t="array" ref="F687">_xlfn.XLOOKUP($B687, DB[samplingPoint], DB[noLocation])</f>
        <v>WATER SYSTEM (B10)</v>
      </c>
      <c r="G687" s="33" t="s">
        <v>180</v>
      </c>
      <c r="H687" s="40" t="str">
        <f t="array" ref="H687">_xlfn.XLOOKUP($B687, DB[samplingPoint], DB[location])</f>
        <v>Return loop (B10)</v>
      </c>
      <c r="I687" s="39" t="str">
        <f t="array" ref="I687">_xlfn.XLOOKUP($B687, DB[samplingPoint], DB[waterType])</f>
        <v>PW</v>
      </c>
      <c r="J687" s="43">
        <f t="shared" si="1"/>
        <v>46158</v>
      </c>
      <c r="K687" s="26">
        <v>46161.0</v>
      </c>
      <c r="L687" s="32">
        <v>0.0</v>
      </c>
      <c r="M687" s="32">
        <v>0.0</v>
      </c>
      <c r="N687" s="32">
        <f t="shared" si="2"/>
        <v>0</v>
      </c>
      <c r="O687" s="49"/>
      <c r="P687" s="32">
        <f t="array" ref="P687">_xlfn.XLOOKUP($B687, DB[samplingPoint], DB[Criteria])</f>
        <v>100</v>
      </c>
      <c r="Q687" s="50" t="str">
        <f t="shared" si="3"/>
        <v>PASSED</v>
      </c>
      <c r="R687" s="38" t="b">
        <v>0</v>
      </c>
      <c r="S687" s="35" t="s">
        <v>1037</v>
      </c>
      <c r="T687" s="39" t="s">
        <v>386</v>
      </c>
      <c r="U687" s="32" t="s">
        <v>381</v>
      </c>
    </row>
    <row r="688" ht="22.5" customHeight="1">
      <c r="A688" s="26">
        <v>46157.0</v>
      </c>
      <c r="B688" s="88" t="s">
        <v>536</v>
      </c>
      <c r="C688" s="32" t="str">
        <f t="array" ref="C688">_xlfn.XLOOKUP(B688, DB[samplingPoint], DB[samplingTag])</f>
        <v>SV116.05</v>
      </c>
      <c r="D688" s="33" t="s">
        <v>500</v>
      </c>
      <c r="E688" s="38" t="b">
        <v>1</v>
      </c>
      <c r="F688" s="39" t="str">
        <f t="array" ref="F688">_xlfn.XLOOKUP($B688, DB[samplingPoint], DB[noLocation])</f>
        <v>10-3-062</v>
      </c>
      <c r="G688" s="33" t="s">
        <v>180</v>
      </c>
      <c r="H688" s="40" t="str">
        <f t="array" ref="H688">_xlfn.XLOOKUP($B688, DB[samplingPoint], DB[location])</f>
        <v>COATING ROOM-3</v>
      </c>
      <c r="I688" s="39" t="str">
        <f t="array" ref="I688">_xlfn.XLOOKUP($B688, DB[samplingPoint], DB[waterType])</f>
        <v>PW</v>
      </c>
      <c r="J688" s="43">
        <f t="shared" si="1"/>
        <v>46158</v>
      </c>
      <c r="K688" s="26">
        <v>46161.0</v>
      </c>
      <c r="L688" s="32">
        <v>0.0</v>
      </c>
      <c r="M688" s="32">
        <v>0.0</v>
      </c>
      <c r="N688" s="32">
        <f t="shared" si="2"/>
        <v>0</v>
      </c>
      <c r="O688" s="49"/>
      <c r="P688" s="32">
        <f t="array" ref="P688">_xlfn.XLOOKUP($B688, DB[samplingPoint], DB[Criteria])</f>
        <v>100</v>
      </c>
      <c r="Q688" s="50" t="str">
        <f t="shared" si="3"/>
        <v>PASSED</v>
      </c>
      <c r="R688" s="38" t="b">
        <v>0</v>
      </c>
      <c r="S688" s="35" t="s">
        <v>1037</v>
      </c>
      <c r="T688" s="39" t="s">
        <v>386</v>
      </c>
      <c r="U688" s="32" t="s">
        <v>381</v>
      </c>
    </row>
    <row r="689" ht="22.5" customHeight="1">
      <c r="A689" s="26">
        <v>46157.0</v>
      </c>
      <c r="B689" s="88" t="s">
        <v>535</v>
      </c>
      <c r="C689" s="32" t="str">
        <f t="array" ref="C689">_xlfn.XLOOKUP(B689, DB[samplingPoint], DB[samplingTag])</f>
        <v>SV116.04</v>
      </c>
      <c r="D689" s="33" t="s">
        <v>500</v>
      </c>
      <c r="E689" s="38" t="b">
        <v>1</v>
      </c>
      <c r="F689" s="39" t="str">
        <f t="array" ref="F689">_xlfn.XLOOKUP($B689, DB[samplingPoint], DB[noLocation])</f>
        <v>10-3-061</v>
      </c>
      <c r="G689" s="33" t="s">
        <v>180</v>
      </c>
      <c r="H689" s="40" t="str">
        <f t="array" ref="H689">_xlfn.XLOOKUP($B689, DB[samplingPoint], DB[location])</f>
        <v>COATING ROOM-2</v>
      </c>
      <c r="I689" s="39" t="str">
        <f t="array" ref="I689">_xlfn.XLOOKUP($B689, DB[samplingPoint], DB[waterType])</f>
        <v>PW</v>
      </c>
      <c r="J689" s="43">
        <f t="shared" si="1"/>
        <v>46158</v>
      </c>
      <c r="K689" s="26">
        <v>46161.0</v>
      </c>
      <c r="L689" s="32">
        <v>0.0</v>
      </c>
      <c r="M689" s="32">
        <v>0.0</v>
      </c>
      <c r="N689" s="32">
        <f t="shared" si="2"/>
        <v>0</v>
      </c>
      <c r="O689" s="49"/>
      <c r="P689" s="32">
        <f t="array" ref="P689">_xlfn.XLOOKUP($B689, DB[samplingPoint], DB[Criteria])</f>
        <v>100</v>
      </c>
      <c r="Q689" s="50" t="str">
        <f t="shared" si="3"/>
        <v>PASSED</v>
      </c>
      <c r="R689" s="38" t="b">
        <v>0</v>
      </c>
      <c r="S689" s="35" t="s">
        <v>1037</v>
      </c>
      <c r="T689" s="39" t="s">
        <v>386</v>
      </c>
      <c r="U689" s="32" t="s">
        <v>381</v>
      </c>
    </row>
    <row r="690" ht="22.5" customHeight="1">
      <c r="A690" s="26">
        <v>46157.0</v>
      </c>
      <c r="B690" s="88" t="s">
        <v>529</v>
      </c>
      <c r="C690" s="32" t="str">
        <f t="array" ref="C690">_xlfn.XLOOKUP(B690, DB[samplingPoint], DB[samplingTag])</f>
        <v>DV116.09</v>
      </c>
      <c r="D690" s="33" t="s">
        <v>500</v>
      </c>
      <c r="E690" s="38" t="b">
        <v>1</v>
      </c>
      <c r="F690" s="39" t="str">
        <f t="array" ref="F690">_xlfn.XLOOKUP($B690, DB[samplingPoint], DB[noLocation])</f>
        <v>10-3-060</v>
      </c>
      <c r="G690" s="33" t="s">
        <v>180</v>
      </c>
      <c r="H690" s="40" t="str">
        <f t="array" ref="H690">_xlfn.XLOOKUP($B690, DB[samplingPoint], DB[location])</f>
        <v>COATING SOLUTION PREP.-2</v>
      </c>
      <c r="I690" s="39" t="str">
        <f t="array" ref="I690">_xlfn.XLOOKUP($B690, DB[samplingPoint], DB[waterType])</f>
        <v>PW</v>
      </c>
      <c r="J690" s="43">
        <f t="shared" si="1"/>
        <v>46158</v>
      </c>
      <c r="K690" s="26">
        <v>46161.0</v>
      </c>
      <c r="L690" s="32">
        <v>0.0</v>
      </c>
      <c r="M690" s="32">
        <v>0.0</v>
      </c>
      <c r="N690" s="32">
        <f t="shared" si="2"/>
        <v>0</v>
      </c>
      <c r="O690" s="49"/>
      <c r="P690" s="32">
        <f t="array" ref="P690">_xlfn.XLOOKUP($B690, DB[samplingPoint], DB[Criteria])</f>
        <v>100</v>
      </c>
      <c r="Q690" s="50" t="str">
        <f t="shared" si="3"/>
        <v>PASSED</v>
      </c>
      <c r="R690" s="38" t="b">
        <v>0</v>
      </c>
      <c r="S690" s="35" t="s">
        <v>1037</v>
      </c>
      <c r="T690" s="39" t="s">
        <v>386</v>
      </c>
      <c r="U690" s="32" t="s">
        <v>381</v>
      </c>
    </row>
    <row r="691" ht="22.5" customHeight="1">
      <c r="A691" s="26">
        <v>46157.0</v>
      </c>
      <c r="B691" s="88" t="s">
        <v>528</v>
      </c>
      <c r="C691" s="32" t="str">
        <f t="array" ref="C691">_xlfn.XLOOKUP(B691, DB[samplingPoint], DB[samplingTag])</f>
        <v>DV116.08</v>
      </c>
      <c r="D691" s="33" t="s">
        <v>500</v>
      </c>
      <c r="E691" s="38" t="b">
        <v>1</v>
      </c>
      <c r="F691" s="39" t="str">
        <f t="array" ref="F691">_xlfn.XLOOKUP($B691, DB[samplingPoint], DB[noLocation])</f>
        <v>10-3-059</v>
      </c>
      <c r="G691" s="33" t="s">
        <v>180</v>
      </c>
      <c r="H691" s="40" t="str">
        <f t="array" ref="H691">_xlfn.XLOOKUP($B691, DB[samplingPoint], DB[location])</f>
        <v>COATING SOLUTION PREP.-1</v>
      </c>
      <c r="I691" s="39" t="str">
        <f t="array" ref="I691">_xlfn.XLOOKUP($B691, DB[samplingPoint], DB[waterType])</f>
        <v>PW</v>
      </c>
      <c r="J691" s="43">
        <f t="shared" si="1"/>
        <v>46158</v>
      </c>
      <c r="K691" s="26">
        <v>46161.0</v>
      </c>
      <c r="L691" s="32">
        <v>0.0</v>
      </c>
      <c r="M691" s="32">
        <v>0.0</v>
      </c>
      <c r="N691" s="32">
        <f t="shared" si="2"/>
        <v>0</v>
      </c>
      <c r="O691" s="49"/>
      <c r="P691" s="32">
        <f t="array" ref="P691">_xlfn.XLOOKUP($B691, DB[samplingPoint], DB[Criteria])</f>
        <v>100</v>
      </c>
      <c r="Q691" s="50" t="str">
        <f t="shared" si="3"/>
        <v>PASSED</v>
      </c>
      <c r="R691" s="38" t="b">
        <v>0</v>
      </c>
      <c r="S691" s="35" t="s">
        <v>1037</v>
      </c>
      <c r="T691" s="39" t="s">
        <v>386</v>
      </c>
      <c r="U691" s="32" t="s">
        <v>381</v>
      </c>
    </row>
    <row r="692" ht="22.5" customHeight="1">
      <c r="A692" s="26">
        <v>46157.0</v>
      </c>
      <c r="B692" s="88" t="s">
        <v>534</v>
      </c>
      <c r="C692" s="32" t="str">
        <f t="array" ref="C692">_xlfn.XLOOKUP(B692, DB[samplingPoint], DB[samplingTag])</f>
        <v>SV116.03</v>
      </c>
      <c r="D692" s="33" t="s">
        <v>500</v>
      </c>
      <c r="E692" s="38" t="b">
        <v>1</v>
      </c>
      <c r="F692" s="39" t="str">
        <f t="array" ref="F692">_xlfn.XLOOKUP($B692, DB[samplingPoint], DB[noLocation])</f>
        <v>10-3-058</v>
      </c>
      <c r="G692" s="33" t="s">
        <v>180</v>
      </c>
      <c r="H692" s="40" t="str">
        <f t="array" ref="H692">_xlfn.XLOOKUP($B692, DB[samplingPoint], DB[location])</f>
        <v>COATING ROOM-1</v>
      </c>
      <c r="I692" s="39" t="str">
        <f t="array" ref="I692">_xlfn.XLOOKUP($B692, DB[samplingPoint], DB[waterType])</f>
        <v>PW</v>
      </c>
      <c r="J692" s="43">
        <f t="shared" si="1"/>
        <v>46158</v>
      </c>
      <c r="K692" s="26">
        <v>46161.0</v>
      </c>
      <c r="L692" s="32">
        <v>0.0</v>
      </c>
      <c r="M692" s="32">
        <v>0.0</v>
      </c>
      <c r="N692" s="32">
        <f t="shared" si="2"/>
        <v>0</v>
      </c>
      <c r="O692" s="49"/>
      <c r="P692" s="32">
        <f t="array" ref="P692">_xlfn.XLOOKUP($B692, DB[samplingPoint], DB[Criteria])</f>
        <v>100</v>
      </c>
      <c r="Q692" s="50" t="str">
        <f t="shared" si="3"/>
        <v>PASSED</v>
      </c>
      <c r="R692" s="38" t="b">
        <v>0</v>
      </c>
      <c r="S692" s="35" t="s">
        <v>1037</v>
      </c>
      <c r="T692" s="39" t="s">
        <v>386</v>
      </c>
      <c r="U692" s="32" t="s">
        <v>381</v>
      </c>
    </row>
    <row r="693" ht="22.5" customHeight="1">
      <c r="A693" s="26">
        <v>46157.0</v>
      </c>
      <c r="B693" s="88" t="s">
        <v>541</v>
      </c>
      <c r="C693" s="32" t="str">
        <f t="array" ref="C693">_xlfn.XLOOKUP(B693, DB[samplingPoint], DB[samplingTag])</f>
        <v>SV116.08</v>
      </c>
      <c r="D693" s="33" t="s">
        <v>500</v>
      </c>
      <c r="E693" s="38" t="b">
        <v>1</v>
      </c>
      <c r="F693" s="39" t="str">
        <f t="array" ref="F693">_xlfn.XLOOKUP($B693, DB[samplingPoint], DB[noLocation])</f>
        <v>10-3-067</v>
      </c>
      <c r="G693" s="33" t="s">
        <v>180</v>
      </c>
      <c r="H693" s="40" t="str">
        <f t="array" ref="H693">_xlfn.XLOOKUP($B693, DB[samplingPoint], DB[location])</f>
        <v>COATING ROOM-6</v>
      </c>
      <c r="I693" s="39" t="str">
        <f t="array" ref="I693">_xlfn.XLOOKUP($B693, DB[samplingPoint], DB[waterType])</f>
        <v>PW</v>
      </c>
      <c r="J693" s="43">
        <f t="shared" si="1"/>
        <v>46158</v>
      </c>
      <c r="K693" s="26">
        <v>46161.0</v>
      </c>
      <c r="L693" s="32">
        <v>0.0</v>
      </c>
      <c r="M693" s="32">
        <v>0.0</v>
      </c>
      <c r="N693" s="32">
        <f t="shared" si="2"/>
        <v>0</v>
      </c>
      <c r="O693" s="49"/>
      <c r="P693" s="32">
        <f t="array" ref="P693">_xlfn.XLOOKUP($B693, DB[samplingPoint], DB[Criteria])</f>
        <v>100</v>
      </c>
      <c r="Q693" s="50" t="str">
        <f t="shared" si="3"/>
        <v>PASSED</v>
      </c>
      <c r="R693" s="38" t="b">
        <v>0</v>
      </c>
      <c r="S693" s="35" t="s">
        <v>1037</v>
      </c>
      <c r="T693" s="39" t="s">
        <v>386</v>
      </c>
      <c r="U693" s="32" t="s">
        <v>381</v>
      </c>
    </row>
    <row r="694" ht="22.5" customHeight="1">
      <c r="A694" s="26">
        <v>46157.0</v>
      </c>
      <c r="B694" s="88" t="s">
        <v>532</v>
      </c>
      <c r="C694" s="32" t="str">
        <f t="array" ref="C694">_xlfn.XLOOKUP(B694, DB[samplingPoint], DB[samplingTag])</f>
        <v>DV116.11</v>
      </c>
      <c r="D694" s="33" t="s">
        <v>500</v>
      </c>
      <c r="E694" s="38" t="b">
        <v>1</v>
      </c>
      <c r="F694" s="39" t="str">
        <f t="array" ref="F694">_xlfn.XLOOKUP($B694, DB[samplingPoint], DB[noLocation])</f>
        <v>10-3-066</v>
      </c>
      <c r="G694" s="33" t="s">
        <v>180</v>
      </c>
      <c r="H694" s="40" t="str">
        <f t="array" ref="H694">_xlfn.XLOOKUP($B694, DB[samplingPoint], DB[location])</f>
        <v>COATING SOLUTION PREP.-4</v>
      </c>
      <c r="I694" s="39" t="str">
        <f t="array" ref="I694">_xlfn.XLOOKUP($B694, DB[samplingPoint], DB[waterType])</f>
        <v>PW</v>
      </c>
      <c r="J694" s="43">
        <f t="shared" si="1"/>
        <v>46158</v>
      </c>
      <c r="K694" s="26">
        <v>46161.0</v>
      </c>
      <c r="L694" s="32">
        <v>0.0</v>
      </c>
      <c r="M694" s="32">
        <v>0.0</v>
      </c>
      <c r="N694" s="32">
        <f t="shared" si="2"/>
        <v>0</v>
      </c>
      <c r="O694" s="49"/>
      <c r="P694" s="32">
        <f t="array" ref="P694">_xlfn.XLOOKUP($B694, DB[samplingPoint], DB[Criteria])</f>
        <v>100</v>
      </c>
      <c r="Q694" s="50" t="str">
        <f t="shared" si="3"/>
        <v>PASSED</v>
      </c>
      <c r="R694" s="38" t="b">
        <v>0</v>
      </c>
      <c r="S694" s="35" t="s">
        <v>1037</v>
      </c>
      <c r="T694" s="39" t="s">
        <v>386</v>
      </c>
      <c r="U694" s="32" t="s">
        <v>381</v>
      </c>
    </row>
    <row r="695" ht="22.5" customHeight="1">
      <c r="A695" s="26">
        <v>46157.0</v>
      </c>
      <c r="B695" s="88" t="s">
        <v>531</v>
      </c>
      <c r="C695" s="32" t="str">
        <f t="array" ref="C695">_xlfn.XLOOKUP(B695, DB[samplingPoint], DB[samplingTag])</f>
        <v>DV116.10</v>
      </c>
      <c r="D695" s="33" t="s">
        <v>500</v>
      </c>
      <c r="E695" s="38" t="b">
        <v>1</v>
      </c>
      <c r="F695" s="39" t="str">
        <f t="array" ref="F695">_xlfn.XLOOKUP($B695, DB[samplingPoint], DB[noLocation])</f>
        <v>10-3-065</v>
      </c>
      <c r="G695" s="33" t="s">
        <v>180</v>
      </c>
      <c r="H695" s="40" t="str">
        <f t="array" ref="H695">_xlfn.XLOOKUP($B695, DB[samplingPoint], DB[location])</f>
        <v>COATING SOLUTION PREP.-3</v>
      </c>
      <c r="I695" s="39" t="str">
        <f t="array" ref="I695">_xlfn.XLOOKUP($B695, DB[samplingPoint], DB[waterType])</f>
        <v>PW</v>
      </c>
      <c r="J695" s="43">
        <f t="shared" si="1"/>
        <v>46158</v>
      </c>
      <c r="K695" s="26">
        <v>46161.0</v>
      </c>
      <c r="L695" s="32">
        <v>0.0</v>
      </c>
      <c r="M695" s="32">
        <v>0.0</v>
      </c>
      <c r="N695" s="32">
        <f t="shared" si="2"/>
        <v>0</v>
      </c>
      <c r="O695" s="49"/>
      <c r="P695" s="32">
        <f t="array" ref="P695">_xlfn.XLOOKUP($B695, DB[samplingPoint], DB[Criteria])</f>
        <v>100</v>
      </c>
      <c r="Q695" s="50" t="str">
        <f t="shared" si="3"/>
        <v>PASSED</v>
      </c>
      <c r="R695" s="38" t="b">
        <v>0</v>
      </c>
      <c r="S695" s="35" t="s">
        <v>1037</v>
      </c>
      <c r="T695" s="39" t="s">
        <v>386</v>
      </c>
      <c r="U695" s="32" t="s">
        <v>381</v>
      </c>
    </row>
    <row r="696" ht="22.5" customHeight="1">
      <c r="A696" s="26">
        <v>46157.0</v>
      </c>
      <c r="B696" s="88" t="s">
        <v>539</v>
      </c>
      <c r="C696" s="32" t="str">
        <f t="array" ref="C696">_xlfn.XLOOKUP(B696, DB[samplingPoint], DB[samplingTag])</f>
        <v>SV116.07</v>
      </c>
      <c r="D696" s="33" t="s">
        <v>500</v>
      </c>
      <c r="E696" s="38" t="b">
        <v>1</v>
      </c>
      <c r="F696" s="39" t="str">
        <f t="array" ref="F696">_xlfn.XLOOKUP($B696, DB[samplingPoint], DB[noLocation])</f>
        <v>10-3-064</v>
      </c>
      <c r="G696" s="33" t="s">
        <v>180</v>
      </c>
      <c r="H696" s="40" t="str">
        <f t="array" ref="H696">_xlfn.XLOOKUP($B696, DB[samplingPoint], DB[location])</f>
        <v>COATING ROOM-5</v>
      </c>
      <c r="I696" s="39" t="str">
        <f t="array" ref="I696">_xlfn.XLOOKUP($B696, DB[samplingPoint], DB[waterType])</f>
        <v>PW</v>
      </c>
      <c r="J696" s="43">
        <f t="shared" si="1"/>
        <v>46158</v>
      </c>
      <c r="K696" s="26">
        <v>46161.0</v>
      </c>
      <c r="L696" s="32">
        <v>0.0</v>
      </c>
      <c r="M696" s="32">
        <v>0.0</v>
      </c>
      <c r="N696" s="32">
        <f t="shared" si="2"/>
        <v>0</v>
      </c>
      <c r="O696" s="49"/>
      <c r="P696" s="32">
        <f t="array" ref="P696">_xlfn.XLOOKUP($B696, DB[samplingPoint], DB[Criteria])</f>
        <v>100</v>
      </c>
      <c r="Q696" s="50" t="str">
        <f t="shared" si="3"/>
        <v>PASSED</v>
      </c>
      <c r="R696" s="38" t="b">
        <v>0</v>
      </c>
      <c r="S696" s="35" t="s">
        <v>1037</v>
      </c>
      <c r="T696" s="39" t="s">
        <v>386</v>
      </c>
      <c r="U696" s="32" t="s">
        <v>381</v>
      </c>
    </row>
    <row r="697" ht="22.5" customHeight="1">
      <c r="A697" s="26">
        <v>46157.0</v>
      </c>
      <c r="B697" s="88" t="s">
        <v>538</v>
      </c>
      <c r="C697" s="32" t="str">
        <f t="array" ref="C697">_xlfn.XLOOKUP(B697, DB[samplingPoint], DB[samplingTag])</f>
        <v>SV116.06</v>
      </c>
      <c r="D697" s="33" t="s">
        <v>500</v>
      </c>
      <c r="E697" s="38" t="b">
        <v>1</v>
      </c>
      <c r="F697" s="39" t="str">
        <f t="array" ref="F697">_xlfn.XLOOKUP($B697, DB[samplingPoint], DB[noLocation])</f>
        <v>10-3-063</v>
      </c>
      <c r="G697" s="33" t="s">
        <v>180</v>
      </c>
      <c r="H697" s="40" t="str">
        <f t="array" ref="H697">_xlfn.XLOOKUP($B697, DB[samplingPoint], DB[location])</f>
        <v>COATING ROOM-4</v>
      </c>
      <c r="I697" s="39" t="str">
        <f t="array" ref="I697">_xlfn.XLOOKUP($B697, DB[samplingPoint], DB[waterType])</f>
        <v>PW</v>
      </c>
      <c r="J697" s="43">
        <f t="shared" si="1"/>
        <v>46158</v>
      </c>
      <c r="K697" s="26">
        <v>46161.0</v>
      </c>
      <c r="L697" s="32">
        <v>0.0</v>
      </c>
      <c r="M697" s="32">
        <v>0.0</v>
      </c>
      <c r="N697" s="32">
        <f t="shared" si="2"/>
        <v>0</v>
      </c>
      <c r="O697" s="49"/>
      <c r="P697" s="32">
        <f t="array" ref="P697">_xlfn.XLOOKUP($B697, DB[samplingPoint], DB[Criteria])</f>
        <v>100</v>
      </c>
      <c r="Q697" s="50" t="str">
        <f t="shared" si="3"/>
        <v>PASSED</v>
      </c>
      <c r="R697" s="38" t="b">
        <v>0</v>
      </c>
      <c r="S697" s="35" t="s">
        <v>1037</v>
      </c>
      <c r="T697" s="39" t="s">
        <v>386</v>
      </c>
      <c r="U697" s="32" t="s">
        <v>381</v>
      </c>
    </row>
    <row r="698" ht="22.5" customHeight="1">
      <c r="A698" s="26">
        <v>46157.0</v>
      </c>
      <c r="B698" s="88" t="s">
        <v>520</v>
      </c>
      <c r="C698" s="32" t="str">
        <f t="array" ref="C698">_xlfn.XLOOKUP(B698, DB[samplingPoint], DB[samplingTag])</f>
        <v>DV116.03</v>
      </c>
      <c r="D698" s="33" t="s">
        <v>500</v>
      </c>
      <c r="E698" s="38" t="b">
        <v>1</v>
      </c>
      <c r="F698" s="39" t="str">
        <f t="array" ref="F698">_xlfn.XLOOKUP($B698, DB[samplingPoint], DB[noLocation])</f>
        <v>10-2-034</v>
      </c>
      <c r="G698" s="33" t="s">
        <v>180</v>
      </c>
      <c r="H698" s="40" t="str">
        <f t="array" ref="H698">_xlfn.XLOOKUP($B698, DB[samplingPoint], DB[location])</f>
        <v>SAMPLE PREPARATION</v>
      </c>
      <c r="I698" s="39" t="str">
        <f t="array" ref="I698">_xlfn.XLOOKUP($B698, DB[samplingPoint], DB[waterType])</f>
        <v>PW</v>
      </c>
      <c r="J698" s="43">
        <f t="shared" si="1"/>
        <v>46158</v>
      </c>
      <c r="K698" s="26">
        <v>46161.0</v>
      </c>
      <c r="L698" s="32">
        <v>0.0</v>
      </c>
      <c r="M698" s="32">
        <v>0.0</v>
      </c>
      <c r="N698" s="32">
        <f t="shared" si="2"/>
        <v>0</v>
      </c>
      <c r="O698" s="49"/>
      <c r="P698" s="32">
        <f t="array" ref="P698">_xlfn.XLOOKUP($B698, DB[samplingPoint], DB[Criteria])</f>
        <v>100</v>
      </c>
      <c r="Q698" s="50" t="str">
        <f t="shared" si="3"/>
        <v>PASSED</v>
      </c>
      <c r="R698" s="38" t="b">
        <v>0</v>
      </c>
      <c r="S698" s="35" t="s">
        <v>1037</v>
      </c>
      <c r="T698" s="39" t="s">
        <v>386</v>
      </c>
      <c r="U698" s="32" t="s">
        <v>381</v>
      </c>
    </row>
    <row r="699" ht="22.5" customHeight="1">
      <c r="A699" s="26">
        <v>46157.0</v>
      </c>
      <c r="B699" s="88" t="s">
        <v>526</v>
      </c>
      <c r="C699" s="32" t="str">
        <f t="array" ref="C699">_xlfn.XLOOKUP(B699, DB[samplingPoint], DB[samplingTag])</f>
        <v>DV116.06</v>
      </c>
      <c r="D699" s="33" t="s">
        <v>500</v>
      </c>
      <c r="E699" s="38" t="b">
        <v>1</v>
      </c>
      <c r="F699" s="39" t="str">
        <f t="array" ref="F699">_xlfn.XLOOKUP($B699, DB[samplingPoint], DB[noLocation])</f>
        <v>10-2-034</v>
      </c>
      <c r="G699" s="33" t="s">
        <v>180</v>
      </c>
      <c r="H699" s="40" t="str">
        <f t="array" ref="H699">_xlfn.XLOOKUP($B699, DB[samplingPoint], DB[location])</f>
        <v>SAMPLE PREPARATION</v>
      </c>
      <c r="I699" s="39" t="str">
        <f t="array" ref="I699">_xlfn.XLOOKUP($B699, DB[samplingPoint], DB[waterType])</f>
        <v>PW</v>
      </c>
      <c r="J699" s="43">
        <f t="shared" si="1"/>
        <v>46158</v>
      </c>
      <c r="K699" s="26">
        <v>46161.0</v>
      </c>
      <c r="L699" s="32">
        <v>0.0</v>
      </c>
      <c r="M699" s="32">
        <v>0.0</v>
      </c>
      <c r="N699" s="32">
        <f t="shared" si="2"/>
        <v>0</v>
      </c>
      <c r="O699" s="49"/>
      <c r="P699" s="32">
        <f t="array" ref="P699">_xlfn.XLOOKUP($B699, DB[samplingPoint], DB[Criteria])</f>
        <v>100</v>
      </c>
      <c r="Q699" s="50" t="str">
        <f t="shared" si="3"/>
        <v>PASSED</v>
      </c>
      <c r="R699" s="38" t="b">
        <v>0</v>
      </c>
      <c r="S699" s="35" t="s">
        <v>1037</v>
      </c>
      <c r="T699" s="39" t="s">
        <v>386</v>
      </c>
      <c r="U699" s="32" t="s">
        <v>381</v>
      </c>
    </row>
    <row r="700" ht="22.5" customHeight="1">
      <c r="A700" s="26">
        <v>46157.0</v>
      </c>
      <c r="B700" s="88" t="s">
        <v>527</v>
      </c>
      <c r="C700" s="32" t="str">
        <f t="array" ref="C700">_xlfn.XLOOKUP(B700, DB[samplingPoint], DB[samplingTag])</f>
        <v>DV116.07</v>
      </c>
      <c r="D700" s="33" t="s">
        <v>500</v>
      </c>
      <c r="E700" s="38" t="b">
        <v>1</v>
      </c>
      <c r="F700" s="39" t="str">
        <f t="array" ref="F700">_xlfn.XLOOKUP($B700, DB[samplingPoint], DB[noLocation])</f>
        <v>10-2-032</v>
      </c>
      <c r="G700" s="33" t="s">
        <v>180</v>
      </c>
      <c r="H700" s="40" t="str">
        <f t="array" ref="H700">_xlfn.XLOOKUP($B700, DB[samplingPoint], DB[location])</f>
        <v>GLASS-WARE WASHING</v>
      </c>
      <c r="I700" s="39" t="str">
        <f t="array" ref="I700">_xlfn.XLOOKUP($B700, DB[samplingPoint], DB[waterType])</f>
        <v>PW</v>
      </c>
      <c r="J700" s="43">
        <f t="shared" si="1"/>
        <v>46158</v>
      </c>
      <c r="K700" s="26">
        <v>46161.0</v>
      </c>
      <c r="L700" s="32">
        <v>0.0</v>
      </c>
      <c r="M700" s="32">
        <v>0.0</v>
      </c>
      <c r="N700" s="32">
        <f t="shared" si="2"/>
        <v>0</v>
      </c>
      <c r="O700" s="49"/>
      <c r="P700" s="32">
        <f t="array" ref="P700">_xlfn.XLOOKUP($B700, DB[samplingPoint], DB[Criteria])</f>
        <v>100</v>
      </c>
      <c r="Q700" s="50" t="str">
        <f t="shared" si="3"/>
        <v>PASSED</v>
      </c>
      <c r="R700" s="38" t="b">
        <v>0</v>
      </c>
      <c r="S700" s="35" t="s">
        <v>1037</v>
      </c>
      <c r="T700" s="39" t="s">
        <v>386</v>
      </c>
      <c r="U700" s="32" t="s">
        <v>381</v>
      </c>
    </row>
    <row r="701" ht="22.5" customHeight="1">
      <c r="A701" s="26">
        <v>46157.0</v>
      </c>
      <c r="B701" s="88" t="s">
        <v>524</v>
      </c>
      <c r="C701" s="32" t="str">
        <f t="array" ref="C701">_xlfn.XLOOKUP(B701, DB[samplingPoint], DB[samplingTag])</f>
        <v>DV116.05</v>
      </c>
      <c r="D701" s="33" t="s">
        <v>500</v>
      </c>
      <c r="E701" s="38" t="b">
        <v>1</v>
      </c>
      <c r="F701" s="39" t="str">
        <f t="array" ref="F701">_xlfn.XLOOKUP($B701, DB[samplingPoint], DB[noLocation])</f>
        <v>10-2-032</v>
      </c>
      <c r="G701" s="33" t="s">
        <v>180</v>
      </c>
      <c r="H701" s="40" t="str">
        <f t="array" ref="H701">_xlfn.XLOOKUP($B701, DB[samplingPoint], DB[location])</f>
        <v>GLASS-WARE WASHING</v>
      </c>
      <c r="I701" s="39" t="str">
        <f t="array" ref="I701">_xlfn.XLOOKUP($B701, DB[samplingPoint], DB[waterType])</f>
        <v>PW</v>
      </c>
      <c r="J701" s="43">
        <f t="shared" si="1"/>
        <v>46158</v>
      </c>
      <c r="K701" s="26">
        <v>46161.0</v>
      </c>
      <c r="L701" s="32">
        <v>0.0</v>
      </c>
      <c r="M701" s="32">
        <v>0.0</v>
      </c>
      <c r="N701" s="32">
        <f t="shared" si="2"/>
        <v>0</v>
      </c>
      <c r="O701" s="49"/>
      <c r="P701" s="32">
        <f t="array" ref="P701">_xlfn.XLOOKUP($B701, DB[samplingPoint], DB[Criteria])</f>
        <v>100</v>
      </c>
      <c r="Q701" s="50" t="str">
        <f t="shared" si="3"/>
        <v>PASSED</v>
      </c>
      <c r="R701" s="38" t="b">
        <v>0</v>
      </c>
      <c r="S701" s="35" t="s">
        <v>1037</v>
      </c>
      <c r="T701" s="39" t="s">
        <v>386</v>
      </c>
      <c r="U701" s="32" t="s">
        <v>381</v>
      </c>
    </row>
    <row r="702" ht="22.5" customHeight="1">
      <c r="A702" s="26">
        <v>46157.0</v>
      </c>
      <c r="B702" s="88" t="s">
        <v>522</v>
      </c>
      <c r="C702" s="32" t="str">
        <f t="array" ref="C702">_xlfn.XLOOKUP(B702, DB[samplingPoint], DB[samplingTag])</f>
        <v>DV116.04</v>
      </c>
      <c r="D702" s="33" t="s">
        <v>500</v>
      </c>
      <c r="E702" s="38" t="b">
        <v>1</v>
      </c>
      <c r="F702" s="39" t="str">
        <f t="array" ref="F702">_xlfn.XLOOKUP($B702, DB[samplingPoint], DB[noLocation])</f>
        <v>10-2-037</v>
      </c>
      <c r="G702" s="33" t="s">
        <v>180</v>
      </c>
      <c r="H702" s="40" t="str">
        <f t="array" ref="H702">_xlfn.XLOOKUP($B702, DB[samplingPoint], DB[location])</f>
        <v>SKID FOR BIN WASHING-1</v>
      </c>
      <c r="I702" s="39" t="str">
        <f t="array" ref="I702">_xlfn.XLOOKUP($B702, DB[samplingPoint], DB[waterType])</f>
        <v>PW</v>
      </c>
      <c r="J702" s="43">
        <f t="shared" si="1"/>
        <v>46158</v>
      </c>
      <c r="K702" s="26">
        <v>46161.0</v>
      </c>
      <c r="L702" s="32">
        <v>0.0</v>
      </c>
      <c r="M702" s="32">
        <v>0.0</v>
      </c>
      <c r="N702" s="32">
        <f t="shared" si="2"/>
        <v>0</v>
      </c>
      <c r="O702" s="49"/>
      <c r="P702" s="32">
        <f t="array" ref="P702">_xlfn.XLOOKUP($B702, DB[samplingPoint], DB[Criteria])</f>
        <v>100</v>
      </c>
      <c r="Q702" s="50" t="str">
        <f t="shared" si="3"/>
        <v>PASSED</v>
      </c>
      <c r="R702" s="38" t="b">
        <v>0</v>
      </c>
      <c r="S702" s="35" t="s">
        <v>1037</v>
      </c>
      <c r="T702" s="39" t="s">
        <v>386</v>
      </c>
      <c r="U702" s="32" t="s">
        <v>381</v>
      </c>
    </row>
    <row r="703" ht="22.5" customHeight="1">
      <c r="A703" s="26">
        <v>46157.0</v>
      </c>
      <c r="B703" s="88" t="s">
        <v>575</v>
      </c>
      <c r="C703" s="32" t="str">
        <f t="array" ref="C703">_xlfn.XLOOKUP(B703, DB[samplingPoint], DB[samplingTag])</f>
        <v>#N/A</v>
      </c>
      <c r="D703" s="33" t="s">
        <v>500</v>
      </c>
      <c r="E703" s="38" t="b">
        <v>1</v>
      </c>
      <c r="F703" s="39" t="str">
        <f t="array" ref="F703">_xlfn.XLOOKUP($B703, DB[samplingPoint], DB[noLocation])</f>
        <v>#N/A</v>
      </c>
      <c r="G703" s="33" t="s">
        <v>1020</v>
      </c>
      <c r="H703" s="40" t="str">
        <f t="array" ref="H703">_xlfn.XLOOKUP($B703, DB[samplingPoint], DB[location])</f>
        <v>#N/A</v>
      </c>
      <c r="I703" s="39" t="str">
        <f t="array" ref="I703">_xlfn.XLOOKUP($B703, DB[samplingPoint], DB[waterType])</f>
        <v>#N/A</v>
      </c>
      <c r="J703" s="43">
        <f t="shared" si="1"/>
        <v>46158</v>
      </c>
      <c r="K703" s="26">
        <v>46162.0</v>
      </c>
      <c r="L703" s="32">
        <v>0.0</v>
      </c>
      <c r="M703" s="32">
        <v>0.0</v>
      </c>
      <c r="N703" s="32">
        <f t="shared" si="2"/>
        <v>0</v>
      </c>
      <c r="O703" s="49"/>
      <c r="P703" s="32" t="str">
        <f t="array" ref="P703">_xlfn.XLOOKUP($B703, DB[samplingPoint], DB[Criteria])</f>
        <v>#N/A</v>
      </c>
      <c r="Q703" s="50" t="str">
        <f t="shared" si="3"/>
        <v>NA</v>
      </c>
      <c r="R703" s="38" t="b">
        <v>0</v>
      </c>
      <c r="S703" s="35" t="s">
        <v>43</v>
      </c>
      <c r="T703" s="39" t="s">
        <v>386</v>
      </c>
      <c r="U703" s="32" t="s">
        <v>304</v>
      </c>
    </row>
    <row r="704" ht="22.5" customHeight="1">
      <c r="A704" s="83">
        <v>46161.0</v>
      </c>
      <c r="B704" s="52" t="s">
        <v>442</v>
      </c>
      <c r="C704" s="78" t="str">
        <f t="array" ref="C704">_xlfn.XLOOKUP(B704, DB[samplingPoint], DB[samplingTag])</f>
        <v>V50-61 (12)</v>
      </c>
      <c r="D704" s="77" t="s">
        <v>364</v>
      </c>
      <c r="E704" s="38" t="b">
        <v>1</v>
      </c>
      <c r="F704" s="80" t="str">
        <f t="array" ref="F704">_xlfn.XLOOKUP($B704, DB[samplingPoint], DB[noLocation])</f>
        <v>WATER SYSTEM (B12)</v>
      </c>
      <c r="G704" s="77" t="s">
        <v>437</v>
      </c>
      <c r="H704" s="81" t="str">
        <f t="array" ref="H704">_xlfn.XLOOKUP($B704, DB[samplingPoint], DB[location])</f>
        <v>After Cartridge filter 5 µm (B12)</v>
      </c>
      <c r="I704" s="80" t="str">
        <f t="array" ref="I704">_xlfn.XLOOKUP($B704, DB[samplingPoint], DB[waterType])</f>
        <v>PRW</v>
      </c>
      <c r="J704" s="82">
        <f t="shared" si="1"/>
        <v>46162</v>
      </c>
      <c r="K704" s="83">
        <v>46163.0</v>
      </c>
      <c r="L704" s="32">
        <v>0.0</v>
      </c>
      <c r="M704" s="32">
        <v>0.0</v>
      </c>
      <c r="N704" s="78">
        <f t="shared" si="2"/>
        <v>0</v>
      </c>
      <c r="O704" s="84"/>
      <c r="P704" s="78">
        <f t="array" ref="P704">_xlfn.XLOOKUP($B704, DB[samplingPoint], DB[Criteria])</f>
        <v>500</v>
      </c>
      <c r="Q704" s="85" t="str">
        <f t="shared" si="3"/>
        <v>PASSED</v>
      </c>
      <c r="R704" s="79" t="b">
        <v>0</v>
      </c>
      <c r="S704" s="78" t="s">
        <v>46</v>
      </c>
      <c r="T704" s="80" t="s">
        <v>386</v>
      </c>
      <c r="U704" s="32" t="s">
        <v>304</v>
      </c>
      <c r="V704" s="87"/>
      <c r="W704" s="87"/>
      <c r="X704" s="87"/>
      <c r="Y704" s="87"/>
      <c r="Z704" s="87"/>
    </row>
    <row r="705" ht="22.5" customHeight="1">
      <c r="A705" s="26">
        <v>46161.0</v>
      </c>
      <c r="B705" s="27" t="s">
        <v>434</v>
      </c>
      <c r="C705" s="32" t="str">
        <f t="array" ref="C705">_xlfn.XLOOKUP(B705, DB[samplingPoint], DB[samplingTag])</f>
        <v>V50-11C (12)</v>
      </c>
      <c r="D705" s="33" t="s">
        <v>364</v>
      </c>
      <c r="E705" s="38" t="b">
        <v>1</v>
      </c>
      <c r="F705" s="39" t="str">
        <f t="array" ref="F705">_xlfn.XLOOKUP($B704, DB[samplingPoint], DB[noLocation])</f>
        <v>WATER SYSTEM (B12)</v>
      </c>
      <c r="G705" s="33" t="s">
        <v>437</v>
      </c>
      <c r="H705" s="40" t="str">
        <f t="array" ref="H705">_xlfn.XLOOKUP($B705, DB[samplingPoint], DB[location])</f>
        <v>After RO (Before EDI) (B12)</v>
      </c>
      <c r="I705" s="39" t="str">
        <f t="array" ref="I705">_xlfn.XLOOKUP($B704, DB[samplingPoint], DB[waterType])</f>
        <v>PRW</v>
      </c>
      <c r="J705" s="43">
        <f t="shared" si="1"/>
        <v>46162</v>
      </c>
      <c r="K705" s="26">
        <v>46165.0</v>
      </c>
      <c r="L705" s="32">
        <v>0.0</v>
      </c>
      <c r="M705" s="32">
        <v>0.0</v>
      </c>
      <c r="N705" s="78">
        <f t="shared" si="2"/>
        <v>0</v>
      </c>
      <c r="O705" s="49"/>
      <c r="P705" s="32">
        <f t="array" ref="P705">_xlfn.XLOOKUP($B704, DB[samplingPoint], DB[Criteria])</f>
        <v>500</v>
      </c>
      <c r="Q705" s="50" t="str">
        <f t="shared" si="3"/>
        <v>PASSED</v>
      </c>
      <c r="R705" s="38" t="b">
        <v>0</v>
      </c>
      <c r="S705" s="35" t="s">
        <v>46</v>
      </c>
      <c r="T705" s="39" t="s">
        <v>386</v>
      </c>
      <c r="U705" s="32" t="s">
        <v>304</v>
      </c>
    </row>
    <row r="706" ht="22.5" customHeight="1">
      <c r="A706" s="26">
        <v>46161.0</v>
      </c>
      <c r="B706" s="58" t="s">
        <v>440</v>
      </c>
      <c r="C706" s="32" t="str">
        <f t="array" ref="C706">_xlfn.XLOOKUP(B706, DB[samplingPoint], DB[samplingTag])</f>
        <v>V50-39 (12)</v>
      </c>
      <c r="D706" s="33" t="s">
        <v>364</v>
      </c>
      <c r="E706" s="38" t="b">
        <v>1</v>
      </c>
      <c r="F706" s="39" t="str">
        <f t="array" ref="F706">_xlfn.XLOOKUP($B705, DB[samplingPoint], DB[noLocation])</f>
        <v>WATER SYSTEM (B12)</v>
      </c>
      <c r="G706" s="33" t="s">
        <v>437</v>
      </c>
      <c r="H706" s="40" t="str">
        <f t="array" ref="H706">_xlfn.XLOOKUP($B706, DB[samplingPoint], DB[location])</f>
        <v>After EDI (B12)</v>
      </c>
      <c r="I706" s="39" t="str">
        <f t="array" ref="I706">_xlfn.XLOOKUP($B705, DB[samplingPoint], DB[waterType])</f>
        <v>RO water</v>
      </c>
      <c r="J706" s="43">
        <f t="shared" si="1"/>
        <v>46162</v>
      </c>
      <c r="K706" s="26">
        <v>46165.0</v>
      </c>
      <c r="L706" s="32">
        <v>0.0</v>
      </c>
      <c r="M706" s="32">
        <v>0.0</v>
      </c>
      <c r="N706" s="78">
        <f t="shared" si="2"/>
        <v>0</v>
      </c>
      <c r="O706" s="49"/>
      <c r="P706" s="32">
        <f t="array" ref="P706">_xlfn.XLOOKUP($B705, DB[samplingPoint], DB[Criteria])</f>
        <v>500</v>
      </c>
      <c r="Q706" s="50" t="str">
        <f t="shared" si="3"/>
        <v>PASSED</v>
      </c>
      <c r="R706" s="38" t="b">
        <v>0</v>
      </c>
      <c r="S706" s="35" t="s">
        <v>46</v>
      </c>
      <c r="T706" s="39" t="s">
        <v>386</v>
      </c>
      <c r="U706" s="32" t="s">
        <v>304</v>
      </c>
    </row>
    <row r="707" ht="22.5" customHeight="1">
      <c r="A707" s="26">
        <v>46161.0</v>
      </c>
      <c r="B707" s="27" t="s">
        <v>430</v>
      </c>
      <c r="C707" s="32" t="str">
        <f t="array" ref="C707">_xlfn.XLOOKUP(B707, DB[samplingPoint], DB[samplingTag])</f>
        <v>SV137.01</v>
      </c>
      <c r="D707" s="33" t="s">
        <v>364</v>
      </c>
      <c r="E707" s="38" t="b">
        <v>1</v>
      </c>
      <c r="F707" s="39" t="str">
        <f t="array" ref="F707">_xlfn.XLOOKUP($B706, DB[samplingPoint], DB[noLocation])</f>
        <v>WATER SYSTEM (B12)</v>
      </c>
      <c r="G707" s="33" t="s">
        <v>437</v>
      </c>
      <c r="H707" s="40" t="str">
        <f t="array" ref="H707">_xlfn.XLOOKUP($B707, DB[samplingPoint], DB[location])</f>
        <v>Return loop (B12)</v>
      </c>
      <c r="I707" s="39" t="str">
        <f t="array" ref="I707">_xlfn.XLOOKUP($B706, DB[samplingPoint], DB[waterType])</f>
        <v>PW</v>
      </c>
      <c r="J707" s="43">
        <f t="shared" si="1"/>
        <v>46162</v>
      </c>
      <c r="K707" s="26">
        <v>46165.0</v>
      </c>
      <c r="L707" s="32">
        <v>0.0</v>
      </c>
      <c r="M707" s="32">
        <v>0.0</v>
      </c>
      <c r="N707" s="78">
        <f t="shared" si="2"/>
        <v>0</v>
      </c>
      <c r="O707" s="49"/>
      <c r="P707" s="32">
        <f t="array" ref="P707">_xlfn.XLOOKUP($B706, DB[samplingPoint], DB[Criteria])</f>
        <v>100</v>
      </c>
      <c r="Q707" s="50" t="str">
        <f t="shared" si="3"/>
        <v>PASSED</v>
      </c>
      <c r="R707" s="38" t="b">
        <v>0</v>
      </c>
      <c r="S707" s="35" t="s">
        <v>46</v>
      </c>
      <c r="T707" s="39" t="s">
        <v>386</v>
      </c>
      <c r="U707" s="32" t="s">
        <v>304</v>
      </c>
    </row>
    <row r="708" ht="22.5" customHeight="1">
      <c r="A708" s="26">
        <v>46161.0</v>
      </c>
      <c r="B708" s="88" t="s">
        <v>548</v>
      </c>
      <c r="C708" s="32" t="str">
        <f t="array" ref="C708">_xlfn.XLOOKUP(B708, DB[samplingPoint], DB[samplingTag])</f>
        <v>DV136.17</v>
      </c>
      <c r="D708" s="33" t="s">
        <v>364</v>
      </c>
      <c r="E708" s="38" t="b">
        <v>1</v>
      </c>
      <c r="F708" s="39" t="str">
        <f t="array" ref="F708">_xlfn.XLOOKUP($B707, DB[samplingPoint], DB[noLocation])</f>
        <v>WATER SYSTEM (B12)</v>
      </c>
      <c r="G708" s="33" t="s">
        <v>437</v>
      </c>
      <c r="H708" s="40" t="str">
        <f t="array" ref="H708">_xlfn.XLOOKUP($B708, DB[samplingPoint], DB[location])</f>
        <v>WASHING</v>
      </c>
      <c r="I708" s="39" t="str">
        <f t="array" ref="I708">_xlfn.XLOOKUP($B707, DB[samplingPoint], DB[waterType])</f>
        <v>PW</v>
      </c>
      <c r="J708" s="43">
        <f t="shared" si="1"/>
        <v>46162</v>
      </c>
      <c r="K708" s="26">
        <v>46165.0</v>
      </c>
      <c r="L708" s="32">
        <v>0.0</v>
      </c>
      <c r="M708" s="32">
        <v>0.0</v>
      </c>
      <c r="N708" s="78">
        <f t="shared" si="2"/>
        <v>0</v>
      </c>
      <c r="O708" s="49"/>
      <c r="P708" s="32">
        <f t="array" ref="P708">_xlfn.XLOOKUP($B707, DB[samplingPoint], DB[Criteria])</f>
        <v>100</v>
      </c>
      <c r="Q708" s="50" t="str">
        <f t="shared" si="3"/>
        <v>PASSED</v>
      </c>
      <c r="R708" s="38" t="b">
        <v>0</v>
      </c>
      <c r="S708" s="35" t="s">
        <v>46</v>
      </c>
      <c r="T708" s="39" t="s">
        <v>386</v>
      </c>
      <c r="U708" s="32" t="s">
        <v>304</v>
      </c>
    </row>
    <row r="709" ht="22.5" customHeight="1">
      <c r="A709" s="26">
        <v>46161.0</v>
      </c>
      <c r="B709" s="88" t="s">
        <v>551</v>
      </c>
      <c r="C709" s="32" t="str">
        <f t="array" ref="C709">_xlfn.XLOOKUP(B709, DB[samplingPoint], DB[samplingTag])</f>
        <v>SV136.16</v>
      </c>
      <c r="D709" s="33" t="s">
        <v>364</v>
      </c>
      <c r="E709" s="38" t="b">
        <v>1</v>
      </c>
      <c r="F709" s="39" t="str">
        <f t="array" ref="F709">_xlfn.XLOOKUP($B708, DB[samplingPoint], DB[noLocation])</f>
        <v>12-2-065</v>
      </c>
      <c r="G709" s="33" t="s">
        <v>437</v>
      </c>
      <c r="H709" s="40" t="str">
        <f t="array" ref="H709">_xlfn.XLOOKUP($B709, DB[samplingPoint], DB[location])</f>
        <v>CIP 2</v>
      </c>
      <c r="I709" s="39" t="str">
        <f t="array" ref="I709">_xlfn.XLOOKUP($B708, DB[samplingPoint], DB[waterType])</f>
        <v>PW</v>
      </c>
      <c r="J709" s="43">
        <f t="shared" si="1"/>
        <v>46162</v>
      </c>
      <c r="K709" s="26">
        <v>46165.0</v>
      </c>
      <c r="L709" s="32">
        <v>0.0</v>
      </c>
      <c r="M709" s="32">
        <v>0.0</v>
      </c>
      <c r="N709" s="78">
        <f t="shared" si="2"/>
        <v>0</v>
      </c>
      <c r="O709" s="49"/>
      <c r="P709" s="32">
        <f t="array" ref="P709">_xlfn.XLOOKUP($B708, DB[samplingPoint], DB[Criteria])</f>
        <v>100</v>
      </c>
      <c r="Q709" s="50" t="str">
        <f t="shared" si="3"/>
        <v>PASSED</v>
      </c>
      <c r="R709" s="38" t="b">
        <v>0</v>
      </c>
      <c r="S709" s="35" t="s">
        <v>46</v>
      </c>
      <c r="T709" s="39" t="s">
        <v>386</v>
      </c>
      <c r="U709" s="32" t="s">
        <v>304</v>
      </c>
    </row>
    <row r="710" ht="22.5" customHeight="1">
      <c r="A710" s="26">
        <v>46161.0</v>
      </c>
      <c r="B710" s="88" t="s">
        <v>549</v>
      </c>
      <c r="C710" s="32" t="str">
        <f t="array" ref="C710">_xlfn.XLOOKUP(B710, DB[samplingPoint], DB[samplingTag])</f>
        <v>SV136.15</v>
      </c>
      <c r="D710" s="33" t="s">
        <v>364</v>
      </c>
      <c r="E710" s="38" t="b">
        <v>1</v>
      </c>
      <c r="F710" s="39" t="str">
        <f t="array" ref="F710">_xlfn.XLOOKUP($B709, DB[samplingPoint], DB[noLocation])</f>
        <v>12-2-057</v>
      </c>
      <c r="G710" s="33" t="s">
        <v>437</v>
      </c>
      <c r="H710" s="40" t="str">
        <f t="array" ref="H710">_xlfn.XLOOKUP($B710, DB[samplingPoint], DB[location])</f>
        <v>CIP 3</v>
      </c>
      <c r="I710" s="39" t="str">
        <f t="array" ref="I710">_xlfn.XLOOKUP($B709, DB[samplingPoint], DB[waterType])</f>
        <v>PW</v>
      </c>
      <c r="J710" s="43">
        <f t="shared" si="1"/>
        <v>46162</v>
      </c>
      <c r="K710" s="26">
        <v>46165.0</v>
      </c>
      <c r="L710" s="32">
        <v>0.0</v>
      </c>
      <c r="M710" s="32">
        <v>0.0</v>
      </c>
      <c r="N710" s="78">
        <f t="shared" si="2"/>
        <v>0</v>
      </c>
      <c r="O710" s="49"/>
      <c r="P710" s="32">
        <f t="array" ref="P710">_xlfn.XLOOKUP($B709, DB[samplingPoint], DB[Criteria])</f>
        <v>100</v>
      </c>
      <c r="Q710" s="50" t="str">
        <f t="shared" si="3"/>
        <v>PASSED</v>
      </c>
      <c r="R710" s="38" t="b">
        <v>0</v>
      </c>
      <c r="S710" s="35" t="s">
        <v>46</v>
      </c>
      <c r="T710" s="39" t="s">
        <v>386</v>
      </c>
      <c r="U710" s="32" t="s">
        <v>304</v>
      </c>
    </row>
    <row r="711" ht="22.5" customHeight="1">
      <c r="A711" s="26">
        <v>46161.0</v>
      </c>
      <c r="B711" s="88" t="s">
        <v>545</v>
      </c>
      <c r="C711" s="32" t="str">
        <f t="array" ref="C711">_xlfn.XLOOKUP(B711, DB[samplingPoint], DB[samplingTag])</f>
        <v>DV136.03</v>
      </c>
      <c r="D711" s="33" t="s">
        <v>364</v>
      </c>
      <c r="E711" s="38" t="b">
        <v>1</v>
      </c>
      <c r="F711" s="39" t="str">
        <f t="array" ref="F711">_xlfn.XLOOKUP($B710, DB[samplingPoint], DB[noLocation])</f>
        <v>12-2-055</v>
      </c>
      <c r="G711" s="33" t="s">
        <v>437</v>
      </c>
      <c r="H711" s="40" t="str">
        <f t="array" ref="H711">_xlfn.XLOOKUP($B711, DB[samplingPoint], DB[location])</f>
        <v>IPQC</v>
      </c>
      <c r="I711" s="39" t="str">
        <f t="array" ref="I711">_xlfn.XLOOKUP($B710, DB[samplingPoint], DB[waterType])</f>
        <v>PW</v>
      </c>
      <c r="J711" s="43">
        <f t="shared" si="1"/>
        <v>46162</v>
      </c>
      <c r="K711" s="26">
        <v>46165.0</v>
      </c>
      <c r="L711" s="32">
        <v>0.0</v>
      </c>
      <c r="M711" s="32">
        <v>0.0</v>
      </c>
      <c r="N711" s="78">
        <f t="shared" si="2"/>
        <v>0</v>
      </c>
      <c r="O711" s="49"/>
      <c r="P711" s="32">
        <f t="array" ref="P711">_xlfn.XLOOKUP($B710, DB[samplingPoint], DB[Criteria])</f>
        <v>100</v>
      </c>
      <c r="Q711" s="50" t="str">
        <f t="shared" si="3"/>
        <v>PASSED</v>
      </c>
      <c r="R711" s="38" t="b">
        <v>0</v>
      </c>
      <c r="S711" s="35" t="s">
        <v>46</v>
      </c>
      <c r="T711" s="39" t="s">
        <v>386</v>
      </c>
      <c r="U711" s="32" t="s">
        <v>304</v>
      </c>
    </row>
    <row r="712" ht="22.5" customHeight="1">
      <c r="A712" s="26">
        <v>46161.0</v>
      </c>
      <c r="B712" s="88" t="s">
        <v>543</v>
      </c>
      <c r="C712" s="32" t="str">
        <f t="array" ref="C712">_xlfn.XLOOKUP(B712, DB[samplingPoint], DB[samplingTag])</f>
        <v>DV136.01</v>
      </c>
      <c r="D712" s="33" t="s">
        <v>364</v>
      </c>
      <c r="E712" s="38" t="b">
        <v>1</v>
      </c>
      <c r="F712" s="39" t="str">
        <f t="array" ref="F712">_xlfn.XLOOKUP($B711, DB[samplingPoint], DB[noLocation])</f>
        <v>12-2-053</v>
      </c>
      <c r="G712" s="33" t="s">
        <v>437</v>
      </c>
      <c r="H712" s="40" t="str">
        <f t="array" ref="H712">_xlfn.XLOOKUP($B712, DB[samplingPoint], DB[location])</f>
        <v>SUGAR TRANSFERRING</v>
      </c>
      <c r="I712" s="39" t="str">
        <f t="array" ref="I712">_xlfn.XLOOKUP($B711, DB[samplingPoint], DB[waterType])</f>
        <v>PW</v>
      </c>
      <c r="J712" s="43">
        <f t="shared" si="1"/>
        <v>46162</v>
      </c>
      <c r="K712" s="26">
        <v>46165.0</v>
      </c>
      <c r="L712" s="32">
        <v>0.0</v>
      </c>
      <c r="M712" s="32">
        <v>0.0</v>
      </c>
      <c r="N712" s="78">
        <f t="shared" si="2"/>
        <v>0</v>
      </c>
      <c r="O712" s="49"/>
      <c r="P712" s="32">
        <f t="array" ref="P712">_xlfn.XLOOKUP($B711, DB[samplingPoint], DB[Criteria])</f>
        <v>100</v>
      </c>
      <c r="Q712" s="50" t="str">
        <f t="shared" si="3"/>
        <v>PASSED</v>
      </c>
      <c r="R712" s="38" t="b">
        <v>0</v>
      </c>
      <c r="S712" s="35" t="s">
        <v>46</v>
      </c>
      <c r="T712" s="39" t="s">
        <v>386</v>
      </c>
      <c r="U712" s="32" t="s">
        <v>304</v>
      </c>
    </row>
    <row r="713" ht="22.5" customHeight="1">
      <c r="A713" s="26">
        <v>46161.0</v>
      </c>
      <c r="B713" s="88" t="s">
        <v>547</v>
      </c>
      <c r="C713" s="32" t="str">
        <f t="array" ref="C713">_xlfn.XLOOKUP(B713, DB[samplingPoint], DB[samplingTag])</f>
        <v>DV136.16</v>
      </c>
      <c r="D713" s="33" t="s">
        <v>364</v>
      </c>
      <c r="E713" s="38" t="b">
        <v>1</v>
      </c>
      <c r="F713" s="39" t="str">
        <f t="array" ref="F713">_xlfn.XLOOKUP($B712, DB[samplingPoint], DB[noLocation])</f>
        <v>12-1-035</v>
      </c>
      <c r="G713" s="33" t="s">
        <v>437</v>
      </c>
      <c r="H713" s="40" t="str">
        <f t="array" ref="H713">_xlfn.XLOOKUP($B713, DB[samplingPoint], DB[location])</f>
        <v>WASHING</v>
      </c>
      <c r="I713" s="39" t="str">
        <f t="array" ref="I713">_xlfn.XLOOKUP($B712, DB[samplingPoint], DB[waterType])</f>
        <v>PW</v>
      </c>
      <c r="J713" s="43">
        <f t="shared" si="1"/>
        <v>46162</v>
      </c>
      <c r="K713" s="26">
        <v>46165.0</v>
      </c>
      <c r="L713" s="32">
        <v>0.0</v>
      </c>
      <c r="M713" s="32">
        <v>0.0</v>
      </c>
      <c r="N713" s="78">
        <f t="shared" si="2"/>
        <v>0</v>
      </c>
      <c r="O713" s="49"/>
      <c r="P713" s="32">
        <f t="array" ref="P713">_xlfn.XLOOKUP($B712, DB[samplingPoint], DB[Criteria])</f>
        <v>100</v>
      </c>
      <c r="Q713" s="50" t="str">
        <f t="shared" si="3"/>
        <v>PASSED</v>
      </c>
      <c r="R713" s="38" t="b">
        <v>0</v>
      </c>
      <c r="S713" s="35" t="s">
        <v>46</v>
      </c>
      <c r="T713" s="39" t="s">
        <v>386</v>
      </c>
      <c r="U713" s="32" t="s">
        <v>304</v>
      </c>
    </row>
    <row r="714" ht="22.5" customHeight="1">
      <c r="A714" s="26">
        <v>46161.0</v>
      </c>
      <c r="B714" s="88" t="s">
        <v>546</v>
      </c>
      <c r="C714" s="32" t="str">
        <f t="array" ref="C714">_xlfn.XLOOKUP(B714, DB[samplingPoint], DB[samplingTag])</f>
        <v>DV136.04</v>
      </c>
      <c r="D714" s="33" t="s">
        <v>364</v>
      </c>
      <c r="E714" s="38" t="b">
        <v>1</v>
      </c>
      <c r="F714" s="39" t="str">
        <f t="array" ref="F714">_xlfn.XLOOKUP($B713, DB[samplingPoint], DB[noLocation])</f>
        <v>12-1-064</v>
      </c>
      <c r="G714" s="33" t="s">
        <v>437</v>
      </c>
      <c r="H714" s="40" t="str">
        <f t="array" ref="H714">_xlfn.XLOOKUP($B714, DB[samplingPoint], DB[location])</f>
        <v>WATER SYSTEM ROOM</v>
      </c>
      <c r="I714" s="39" t="str">
        <f t="array" ref="I714">_xlfn.XLOOKUP($B713, DB[samplingPoint], DB[waterType])</f>
        <v>PW</v>
      </c>
      <c r="J714" s="43">
        <f t="shared" si="1"/>
        <v>46162</v>
      </c>
      <c r="K714" s="26">
        <v>46165.0</v>
      </c>
      <c r="L714" s="32">
        <v>0.0</v>
      </c>
      <c r="M714" s="32">
        <v>0.0</v>
      </c>
      <c r="N714" s="78">
        <f t="shared" si="2"/>
        <v>0</v>
      </c>
      <c r="O714" s="49"/>
      <c r="P714" s="32">
        <f t="array" ref="P714">_xlfn.XLOOKUP($B713, DB[samplingPoint], DB[Criteria])</f>
        <v>100</v>
      </c>
      <c r="Q714" s="50" t="str">
        <f t="shared" si="3"/>
        <v>PASSED</v>
      </c>
      <c r="R714" s="38" t="b">
        <v>0</v>
      </c>
      <c r="S714" s="35" t="s">
        <v>46</v>
      </c>
      <c r="T714" s="39" t="s">
        <v>386</v>
      </c>
      <c r="U714" s="32" t="s">
        <v>304</v>
      </c>
    </row>
    <row r="715" ht="22.5" customHeight="1">
      <c r="A715" s="26">
        <v>46161.0</v>
      </c>
      <c r="B715" s="88" t="s">
        <v>471</v>
      </c>
      <c r="C715" s="32" t="str">
        <f t="array" ref="C715">_xlfn.XLOOKUP(B715, DB[samplingPoint], DB[samplingTag])</f>
        <v>VB-05 (16)</v>
      </c>
      <c r="D715" s="33" t="s">
        <v>364</v>
      </c>
      <c r="E715" s="38" t="b">
        <v>1</v>
      </c>
      <c r="F715" s="39" t="str">
        <f t="array" ref="F715">_xlfn.XLOOKUP($B715, DB[samplingPoint], DB[noLocation])</f>
        <v>WATER SYSTEM (B16)</v>
      </c>
      <c r="G715" s="33" t="s">
        <v>327</v>
      </c>
      <c r="H715" s="40" t="str">
        <f t="array" ref="H715">_xlfn.XLOOKUP($B715, DB[samplingPoint], DB[location])</f>
        <v>After Chlorine circulation tank (B16)</v>
      </c>
      <c r="I715" s="39" t="str">
        <f t="array" ref="I715">_xlfn.XLOOKUP($B715, DB[samplingPoint], DB[waterType])</f>
        <v>PRW</v>
      </c>
      <c r="J715" s="43">
        <f t="shared" si="1"/>
        <v>46162</v>
      </c>
      <c r="K715" s="26">
        <v>46165.0</v>
      </c>
      <c r="L715" s="32">
        <v>0.0</v>
      </c>
      <c r="M715" s="32">
        <v>0.0</v>
      </c>
      <c r="N715" s="78">
        <f t="shared" si="2"/>
        <v>0</v>
      </c>
      <c r="O715" s="49"/>
      <c r="P715" s="32">
        <f t="array" ref="P715">_xlfn.XLOOKUP($B715, DB[samplingPoint], DB[Criteria])</f>
        <v>500</v>
      </c>
      <c r="Q715" s="50" t="str">
        <f t="shared" si="3"/>
        <v>PASSED</v>
      </c>
      <c r="R715" s="38" t="b">
        <v>0</v>
      </c>
      <c r="S715" s="35" t="s">
        <v>1038</v>
      </c>
      <c r="T715" s="39" t="s">
        <v>386</v>
      </c>
      <c r="U715" s="32" t="s">
        <v>381</v>
      </c>
    </row>
    <row r="716" ht="22.5" customHeight="1">
      <c r="A716" s="26">
        <v>46161.0</v>
      </c>
      <c r="B716" s="27" t="s">
        <v>470</v>
      </c>
      <c r="C716" s="32" t="str">
        <f t="array" ref="C716">_xlfn.XLOOKUP(B716, DB[samplingPoint], DB[samplingTag])</f>
        <v>V50-61 (16)</v>
      </c>
      <c r="D716" s="33" t="s">
        <v>364</v>
      </c>
      <c r="E716" s="38" t="b">
        <v>1</v>
      </c>
      <c r="F716" s="39" t="str">
        <f t="array" ref="F716">_xlfn.XLOOKUP($B716, DB[samplingPoint], DB[noLocation])</f>
        <v>WATER SYSTEM (B16)</v>
      </c>
      <c r="G716" s="33" t="s">
        <v>327</v>
      </c>
      <c r="H716" s="40" t="str">
        <f t="array" ref="H716">_xlfn.XLOOKUP($B716, DB[samplingPoint], DB[location])</f>
        <v>After Cartridge filter 5 µm (B16)</v>
      </c>
      <c r="I716" s="39" t="str">
        <f t="array" ref="I716">_xlfn.XLOOKUP($B716, DB[samplingPoint], DB[waterType])</f>
        <v>PRW</v>
      </c>
      <c r="J716" s="43">
        <f t="shared" si="1"/>
        <v>46162</v>
      </c>
      <c r="K716" s="26">
        <v>46165.0</v>
      </c>
      <c r="L716" s="32">
        <v>0.0</v>
      </c>
      <c r="M716" s="32">
        <v>0.0</v>
      </c>
      <c r="N716" s="78">
        <f t="shared" si="2"/>
        <v>0</v>
      </c>
      <c r="O716" s="49"/>
      <c r="P716" s="32">
        <f t="array" ref="P716">_xlfn.XLOOKUP($B716, DB[samplingPoint], DB[Criteria])</f>
        <v>500</v>
      </c>
      <c r="Q716" s="50" t="str">
        <f t="shared" si="3"/>
        <v>PASSED</v>
      </c>
      <c r="R716" s="38" t="b">
        <v>0</v>
      </c>
      <c r="S716" s="35" t="s">
        <v>1038</v>
      </c>
      <c r="T716" s="39" t="s">
        <v>386</v>
      </c>
      <c r="U716" s="32" t="s">
        <v>381</v>
      </c>
    </row>
    <row r="717" ht="22.5" customHeight="1">
      <c r="A717" s="26">
        <v>46161.0</v>
      </c>
      <c r="B717" s="58" t="s">
        <v>466</v>
      </c>
      <c r="C717" s="32" t="str">
        <f t="array" ref="C717">_xlfn.XLOOKUP(B717, DB[samplingPoint], DB[samplingTag])</f>
        <v>V50-11C (16)</v>
      </c>
      <c r="D717" s="33" t="s">
        <v>364</v>
      </c>
      <c r="E717" s="38" t="b">
        <v>1</v>
      </c>
      <c r="F717" s="39" t="str">
        <f t="array" ref="F717">_xlfn.XLOOKUP($B717, DB[samplingPoint], DB[noLocation])</f>
        <v>WATER SYSTEM (B16)</v>
      </c>
      <c r="G717" s="33" t="s">
        <v>327</v>
      </c>
      <c r="H717" s="40" t="str">
        <f t="array" ref="H717">_xlfn.XLOOKUP($B717, DB[samplingPoint], DB[location])</f>
        <v>After RO (Before EDI) (B16)</v>
      </c>
      <c r="I717" s="39" t="str">
        <f t="array" ref="I717">_xlfn.XLOOKUP($B717, DB[samplingPoint], DB[waterType])</f>
        <v>RO water</v>
      </c>
      <c r="J717" s="43">
        <f t="shared" si="1"/>
        <v>46162</v>
      </c>
      <c r="K717" s="26">
        <v>46165.0</v>
      </c>
      <c r="L717" s="32">
        <v>0.0</v>
      </c>
      <c r="M717" s="32">
        <v>0.0</v>
      </c>
      <c r="N717" s="78">
        <f t="shared" si="2"/>
        <v>0</v>
      </c>
      <c r="O717" s="49"/>
      <c r="P717" s="32">
        <f t="array" ref="P717">_xlfn.XLOOKUP($B717, DB[samplingPoint], DB[Criteria])</f>
        <v>500</v>
      </c>
      <c r="Q717" s="50" t="str">
        <f t="shared" si="3"/>
        <v>PASSED</v>
      </c>
      <c r="R717" s="38" t="b">
        <v>0</v>
      </c>
      <c r="S717" s="35" t="s">
        <v>1038</v>
      </c>
      <c r="T717" s="39" t="s">
        <v>386</v>
      </c>
      <c r="U717" s="32" t="s">
        <v>381</v>
      </c>
    </row>
    <row r="718" ht="22.5" customHeight="1">
      <c r="A718" s="26">
        <v>46161.0</v>
      </c>
      <c r="B718" s="27" t="s">
        <v>468</v>
      </c>
      <c r="C718" s="32" t="str">
        <f t="array" ref="C718">_xlfn.XLOOKUP(B718, DB[samplingPoint], DB[samplingTag])</f>
        <v>V50-39 (16)</v>
      </c>
      <c r="D718" s="33" t="s">
        <v>364</v>
      </c>
      <c r="E718" s="38" t="b">
        <v>1</v>
      </c>
      <c r="F718" s="39" t="str">
        <f t="array" ref="F718">_xlfn.XLOOKUP($B718, DB[samplingPoint], DB[noLocation])</f>
        <v>WATER SYSTEM (B16)</v>
      </c>
      <c r="G718" s="33" t="s">
        <v>327</v>
      </c>
      <c r="H718" s="40" t="str">
        <f t="array" ref="H718">_xlfn.XLOOKUP($B718, DB[samplingPoint], DB[location])</f>
        <v>After EDI (B16)</v>
      </c>
      <c r="I718" s="39" t="str">
        <f t="array" ref="I718">_xlfn.XLOOKUP($B718, DB[samplingPoint], DB[waterType])</f>
        <v>PW</v>
      </c>
      <c r="J718" s="43">
        <f t="shared" si="1"/>
        <v>46162</v>
      </c>
      <c r="K718" s="26">
        <v>46165.0</v>
      </c>
      <c r="L718" s="32">
        <v>0.0</v>
      </c>
      <c r="M718" s="32">
        <v>0.0</v>
      </c>
      <c r="N718" s="78">
        <f t="shared" si="2"/>
        <v>0</v>
      </c>
      <c r="O718" s="49"/>
      <c r="P718" s="32">
        <f t="array" ref="P718">_xlfn.XLOOKUP($B718, DB[samplingPoint], DB[Criteria])</f>
        <v>100</v>
      </c>
      <c r="Q718" s="50" t="str">
        <f t="shared" si="3"/>
        <v>PASSED</v>
      </c>
      <c r="R718" s="38" t="b">
        <v>0</v>
      </c>
      <c r="S718" s="35" t="s">
        <v>1038</v>
      </c>
      <c r="T718" s="39" t="s">
        <v>386</v>
      </c>
      <c r="U718" s="32" t="s">
        <v>381</v>
      </c>
    </row>
    <row r="719" ht="22.5" customHeight="1">
      <c r="A719" s="26">
        <v>46161.0</v>
      </c>
      <c r="B719" s="58" t="s">
        <v>464</v>
      </c>
      <c r="C719" s="32" t="str">
        <f t="array" ref="C719">_xlfn.XLOOKUP(B719, DB[samplingPoint], DB[samplingTag])</f>
        <v>SV127.01</v>
      </c>
      <c r="D719" s="33" t="s">
        <v>364</v>
      </c>
      <c r="E719" s="38" t="b">
        <v>1</v>
      </c>
      <c r="F719" s="39" t="str">
        <f t="array" ref="F719">_xlfn.XLOOKUP($B719, DB[samplingPoint], DB[noLocation])</f>
        <v>WATER SYSTEM (B16)</v>
      </c>
      <c r="G719" s="33" t="s">
        <v>327</v>
      </c>
      <c r="H719" s="40" t="str">
        <f t="array" ref="H719">_xlfn.XLOOKUP($B719, DB[samplingPoint], DB[location])</f>
        <v>Return loop (B16)</v>
      </c>
      <c r="I719" s="39" t="str">
        <f t="array" ref="I719">_xlfn.XLOOKUP($B719, DB[samplingPoint], DB[waterType])</f>
        <v>PW</v>
      </c>
      <c r="J719" s="43">
        <f t="shared" si="1"/>
        <v>46162</v>
      </c>
      <c r="K719" s="26">
        <v>46165.0</v>
      </c>
      <c r="L719" s="32">
        <v>0.0</v>
      </c>
      <c r="M719" s="32">
        <v>0.0</v>
      </c>
      <c r="N719" s="78">
        <f t="shared" si="2"/>
        <v>0</v>
      </c>
      <c r="O719" s="49"/>
      <c r="P719" s="32">
        <f t="array" ref="P719">_xlfn.XLOOKUP($B719, DB[samplingPoint], DB[Criteria])</f>
        <v>100</v>
      </c>
      <c r="Q719" s="50" t="str">
        <f t="shared" si="3"/>
        <v>PASSED</v>
      </c>
      <c r="R719" s="38" t="b">
        <v>0</v>
      </c>
      <c r="S719" s="35" t="s">
        <v>1038</v>
      </c>
      <c r="T719" s="39" t="s">
        <v>386</v>
      </c>
      <c r="U719" s="32" t="s">
        <v>381</v>
      </c>
    </row>
    <row r="720" ht="22.5" customHeight="1">
      <c r="A720" s="26">
        <v>46161.0</v>
      </c>
      <c r="B720" s="88" t="s">
        <v>567</v>
      </c>
      <c r="C720" s="32" t="str">
        <f t="array" ref="C720">_xlfn.XLOOKUP(B720, DB[samplingPoint], DB[samplingTag])</f>
        <v>SV126.06</v>
      </c>
      <c r="D720" s="33" t="s">
        <v>364</v>
      </c>
      <c r="E720" s="38" t="b">
        <v>1</v>
      </c>
      <c r="F720" s="39" t="str">
        <f t="array" ref="F720">_xlfn.XLOOKUP($B720, DB[samplingPoint], DB[noLocation])</f>
        <v>16-3-067</v>
      </c>
      <c r="G720" s="33" t="s">
        <v>327</v>
      </c>
      <c r="H720" s="40" t="str">
        <f t="array" ref="H720">_xlfn.XLOOKUP($B720, DB[samplingPoint], DB[location])</f>
        <v>MFG 1</v>
      </c>
      <c r="I720" s="39" t="str">
        <f t="array" ref="I720">_xlfn.XLOOKUP($B720, DB[samplingPoint], DB[waterType])</f>
        <v>PW</v>
      </c>
      <c r="J720" s="43">
        <f t="shared" si="1"/>
        <v>46162</v>
      </c>
      <c r="K720" s="26">
        <v>46165.0</v>
      </c>
      <c r="L720" s="32">
        <v>0.0</v>
      </c>
      <c r="M720" s="32">
        <v>0.0</v>
      </c>
      <c r="N720" s="78">
        <f t="shared" si="2"/>
        <v>0</v>
      </c>
      <c r="O720" s="49"/>
      <c r="P720" s="32">
        <f t="array" ref="P720">_xlfn.XLOOKUP($B720, DB[samplingPoint], DB[Criteria])</f>
        <v>100</v>
      </c>
      <c r="Q720" s="50" t="str">
        <f t="shared" si="3"/>
        <v>PASSED</v>
      </c>
      <c r="R720" s="38" t="b">
        <v>0</v>
      </c>
      <c r="S720" s="35" t="s">
        <v>1038</v>
      </c>
      <c r="T720" s="39" t="s">
        <v>386</v>
      </c>
      <c r="U720" s="32" t="s">
        <v>381</v>
      </c>
    </row>
    <row r="721" ht="22.5" customHeight="1">
      <c r="A721" s="26">
        <v>46161.0</v>
      </c>
      <c r="B721" s="88" t="s">
        <v>569</v>
      </c>
      <c r="C721" s="32" t="str">
        <f t="array" ref="C721">_xlfn.XLOOKUP(B721, DB[samplingPoint], DB[samplingTag])</f>
        <v>SV126.21</v>
      </c>
      <c r="D721" s="33" t="s">
        <v>364</v>
      </c>
      <c r="E721" s="38" t="b">
        <v>1</v>
      </c>
      <c r="F721" s="39" t="str">
        <f t="array" ref="F721">_xlfn.XLOOKUP($B721, DB[samplingPoint], DB[noLocation])</f>
        <v>16-3-090</v>
      </c>
      <c r="G721" s="33" t="s">
        <v>327</v>
      </c>
      <c r="H721" s="40" t="str">
        <f t="array" ref="H721">_xlfn.XLOOKUP($B721, DB[samplingPoint], DB[location])</f>
        <v>CIP 1 (EQUIPMENT REQUIREMENT)</v>
      </c>
      <c r="I721" s="39" t="str">
        <f t="array" ref="I721">_xlfn.XLOOKUP($B721, DB[samplingPoint], DB[waterType])</f>
        <v>PW</v>
      </c>
      <c r="J721" s="43">
        <f t="shared" si="1"/>
        <v>46162</v>
      </c>
      <c r="K721" s="26">
        <v>46165.0</v>
      </c>
      <c r="L721" s="32">
        <v>0.0</v>
      </c>
      <c r="M721" s="32">
        <v>0.0</v>
      </c>
      <c r="N721" s="78">
        <f t="shared" si="2"/>
        <v>0</v>
      </c>
      <c r="O721" s="49"/>
      <c r="P721" s="32">
        <f t="array" ref="P721">_xlfn.XLOOKUP($B721, DB[samplingPoint], DB[Criteria])</f>
        <v>100</v>
      </c>
      <c r="Q721" s="50" t="str">
        <f t="shared" si="3"/>
        <v>PASSED</v>
      </c>
      <c r="R721" s="38" t="b">
        <v>0</v>
      </c>
      <c r="S721" s="35" t="s">
        <v>1038</v>
      </c>
      <c r="T721" s="39" t="s">
        <v>386</v>
      </c>
      <c r="U721" s="32" t="s">
        <v>381</v>
      </c>
    </row>
    <row r="722" ht="22.5" customHeight="1">
      <c r="A722" s="26">
        <v>46161.0</v>
      </c>
      <c r="B722" s="88" t="s">
        <v>562</v>
      </c>
      <c r="C722" s="32" t="str">
        <f t="array" ref="C722">_xlfn.XLOOKUP(B722, DB[samplingPoint], DB[samplingTag])</f>
        <v>DV126.09</v>
      </c>
      <c r="D722" s="33" t="s">
        <v>364</v>
      </c>
      <c r="E722" s="38" t="b">
        <v>1</v>
      </c>
      <c r="F722" s="39" t="str">
        <f t="array" ref="F722">_xlfn.XLOOKUP($B722, DB[samplingPoint], DB[noLocation])</f>
        <v>16-3-090</v>
      </c>
      <c r="G722" s="33" t="s">
        <v>327</v>
      </c>
      <c r="H722" s="40" t="str">
        <f t="array" ref="H722">_xlfn.XLOOKUP($B722, DB[samplingPoint], DB[location])</f>
        <v>CIP 1 (ZINK WASHING)</v>
      </c>
      <c r="I722" s="39" t="str">
        <f t="array" ref="I722">_xlfn.XLOOKUP($B722, DB[samplingPoint], DB[waterType])</f>
        <v>PW</v>
      </c>
      <c r="J722" s="43">
        <f t="shared" si="1"/>
        <v>46162</v>
      </c>
      <c r="K722" s="26">
        <v>46165.0</v>
      </c>
      <c r="L722" s="32">
        <v>0.0</v>
      </c>
      <c r="M722" s="32">
        <v>0.0</v>
      </c>
      <c r="N722" s="78">
        <f t="shared" si="2"/>
        <v>0</v>
      </c>
      <c r="O722" s="49"/>
      <c r="P722" s="32">
        <f t="array" ref="P722">_xlfn.XLOOKUP($B722, DB[samplingPoint], DB[Criteria])</f>
        <v>100</v>
      </c>
      <c r="Q722" s="50" t="str">
        <f t="shared" si="3"/>
        <v>PASSED</v>
      </c>
      <c r="R722" s="38" t="b">
        <v>0</v>
      </c>
      <c r="S722" s="35" t="s">
        <v>1038</v>
      </c>
      <c r="T722" s="39" t="s">
        <v>386</v>
      </c>
      <c r="U722" s="32" t="s">
        <v>381</v>
      </c>
    </row>
    <row r="723" ht="22.5" customHeight="1">
      <c r="A723" s="26">
        <v>46161.0</v>
      </c>
      <c r="B723" s="88" t="s">
        <v>568</v>
      </c>
      <c r="C723" s="32" t="str">
        <f t="array" ref="C723">_xlfn.XLOOKUP(B723, DB[samplingPoint], DB[samplingTag])</f>
        <v>SV126.18</v>
      </c>
      <c r="D723" s="33" t="s">
        <v>364</v>
      </c>
      <c r="E723" s="38" t="b">
        <v>1</v>
      </c>
      <c r="F723" s="39" t="str">
        <f t="array" ref="F723">_xlfn.XLOOKUP($B723, DB[samplingPoint], DB[noLocation])</f>
        <v>16-3-085</v>
      </c>
      <c r="G723" s="33" t="s">
        <v>327</v>
      </c>
      <c r="H723" s="40" t="str">
        <f t="array" ref="H723">_xlfn.XLOOKUP($B723, DB[samplingPoint], DB[location])</f>
        <v>CIP 3 (EQUIPMENT REQUIREMENT)</v>
      </c>
      <c r="I723" s="39" t="str">
        <f t="array" ref="I723">_xlfn.XLOOKUP($B723, DB[samplingPoint], DB[waterType])</f>
        <v>PW</v>
      </c>
      <c r="J723" s="43">
        <f t="shared" si="1"/>
        <v>46162</v>
      </c>
      <c r="K723" s="26">
        <v>46165.0</v>
      </c>
      <c r="L723" s="32">
        <v>0.0</v>
      </c>
      <c r="M723" s="32">
        <v>0.0</v>
      </c>
      <c r="N723" s="78">
        <f t="shared" si="2"/>
        <v>0</v>
      </c>
      <c r="O723" s="49"/>
      <c r="P723" s="32">
        <f t="array" ref="P723">_xlfn.XLOOKUP($B723, DB[samplingPoint], DB[Criteria])</f>
        <v>100</v>
      </c>
      <c r="Q723" s="50" t="str">
        <f t="shared" si="3"/>
        <v>PASSED</v>
      </c>
      <c r="R723" s="38" t="b">
        <v>0</v>
      </c>
      <c r="S723" s="35" t="s">
        <v>1038</v>
      </c>
      <c r="T723" s="39" t="s">
        <v>386</v>
      </c>
      <c r="U723" s="32" t="s">
        <v>381</v>
      </c>
    </row>
    <row r="724" ht="22.5" customHeight="1">
      <c r="A724" s="26">
        <v>46161.0</v>
      </c>
      <c r="B724" s="88" t="s">
        <v>564</v>
      </c>
      <c r="C724" s="32" t="str">
        <f t="array" ref="C724">_xlfn.XLOOKUP(B724, DB[samplingPoint], DB[samplingTag])</f>
        <v>SV126.05</v>
      </c>
      <c r="D724" s="33" t="s">
        <v>364</v>
      </c>
      <c r="E724" s="38" t="b">
        <v>1</v>
      </c>
      <c r="F724" s="39" t="str">
        <f t="array" ref="F724">_xlfn.XLOOKUP($B724, DB[samplingPoint], DB[noLocation])</f>
        <v>16-3-049</v>
      </c>
      <c r="G724" s="33" t="s">
        <v>327</v>
      </c>
      <c r="H724" s="40" t="str">
        <f t="array" ref="H724">_xlfn.XLOOKUP($B724, DB[samplingPoint], DB[location])</f>
        <v>LINEN WASHING</v>
      </c>
      <c r="I724" s="39" t="str">
        <f t="array" ref="I724">_xlfn.XLOOKUP($B724, DB[samplingPoint], DB[waterType])</f>
        <v>PW</v>
      </c>
      <c r="J724" s="43">
        <f t="shared" si="1"/>
        <v>46162</v>
      </c>
      <c r="K724" s="26">
        <v>46165.0</v>
      </c>
      <c r="L724" s="32">
        <v>0.0</v>
      </c>
      <c r="M724" s="32">
        <v>0.0</v>
      </c>
      <c r="N724" s="78">
        <f t="shared" si="2"/>
        <v>0</v>
      </c>
      <c r="O724" s="49"/>
      <c r="P724" s="32">
        <f t="array" ref="P724">_xlfn.XLOOKUP($B724, DB[samplingPoint], DB[Criteria])</f>
        <v>100</v>
      </c>
      <c r="Q724" s="50" t="str">
        <f t="shared" si="3"/>
        <v>PASSED</v>
      </c>
      <c r="R724" s="38" t="b">
        <v>0</v>
      </c>
      <c r="S724" s="35" t="s">
        <v>1038</v>
      </c>
      <c r="T724" s="39" t="s">
        <v>386</v>
      </c>
      <c r="U724" s="32" t="s">
        <v>381</v>
      </c>
    </row>
    <row r="725" ht="22.5" customHeight="1">
      <c r="A725" s="26">
        <v>46161.0</v>
      </c>
      <c r="B725" s="88" t="s">
        <v>486</v>
      </c>
      <c r="C725" s="32" t="str">
        <f t="array" ref="C725">_xlfn.XLOOKUP(B725, DB[samplingPoint], DB[samplingTag])</f>
        <v>SV126.04</v>
      </c>
      <c r="D725" s="33" t="s">
        <v>364</v>
      </c>
      <c r="E725" s="38" t="b">
        <v>1</v>
      </c>
      <c r="F725" s="39" t="str">
        <f t="array" ref="F725">_xlfn.XLOOKUP($B725, DB[samplingPoint], DB[noLocation])</f>
        <v>16-2-010</v>
      </c>
      <c r="G725" s="33" t="s">
        <v>327</v>
      </c>
      <c r="H725" s="40" t="str">
        <f t="array" ref="H725">_xlfn.XLOOKUP($B725, DB[samplingPoint], DB[location])</f>
        <v>WATER SYSTEM (PSG)</v>
      </c>
      <c r="I725" s="39" t="str">
        <f t="array" ref="I725">_xlfn.XLOOKUP($B725, DB[samplingPoint], DB[waterType])</f>
        <v>PW</v>
      </c>
      <c r="J725" s="43">
        <f t="shared" si="1"/>
        <v>46162</v>
      </c>
      <c r="K725" s="26">
        <v>46165.0</v>
      </c>
      <c r="L725" s="32">
        <v>0.0</v>
      </c>
      <c r="M725" s="32">
        <v>0.0</v>
      </c>
      <c r="N725" s="78">
        <f t="shared" si="2"/>
        <v>0</v>
      </c>
      <c r="O725" s="49"/>
      <c r="P725" s="32">
        <f t="array" ref="P725">_xlfn.XLOOKUP($B725, DB[samplingPoint], DB[Criteria])</f>
        <v>100</v>
      </c>
      <c r="Q725" s="50" t="str">
        <f t="shared" si="3"/>
        <v>PASSED</v>
      </c>
      <c r="R725" s="38" t="b">
        <v>0</v>
      </c>
      <c r="S725" s="35" t="s">
        <v>1038</v>
      </c>
      <c r="T725" s="39" t="s">
        <v>386</v>
      </c>
      <c r="U725" s="32" t="s">
        <v>381</v>
      </c>
    </row>
    <row r="726" ht="22.5" customHeight="1">
      <c r="A726" s="26">
        <v>46161.0</v>
      </c>
      <c r="B726" s="27" t="s">
        <v>119</v>
      </c>
      <c r="C726" s="32" t="str">
        <f t="array" ref="C726">_xlfn.XLOOKUP(B726, DB[samplingPoint], DB[samplingTag])</f>
        <v>DV116.15</v>
      </c>
      <c r="D726" s="33" t="s">
        <v>158</v>
      </c>
      <c r="E726" s="38" t="b">
        <v>1</v>
      </c>
      <c r="F726" s="39" t="str">
        <f t="array" ref="F726">_xlfn.XLOOKUP($B726, DB[samplingPoint], DB[noLocation])</f>
        <v>10-3-104</v>
      </c>
      <c r="G726" s="33" t="s">
        <v>180</v>
      </c>
      <c r="H726" s="40" t="str">
        <f t="array" ref="H726">_xlfn.XLOOKUP($B726, DB[samplingPoint], DB[location])</f>
        <v>BINDER PREPARATION</v>
      </c>
      <c r="I726" s="39" t="str">
        <f t="array" ref="I726">_xlfn.XLOOKUP($B726, DB[samplingPoint], DB[waterType])</f>
        <v>PW</v>
      </c>
      <c r="J726" s="43">
        <f t="shared" si="1"/>
        <v>46162</v>
      </c>
      <c r="K726" s="26">
        <v>46165.0</v>
      </c>
      <c r="L726" s="32">
        <v>17.0</v>
      </c>
      <c r="M726" s="32">
        <v>7.0</v>
      </c>
      <c r="N726" s="32">
        <f t="shared" si="2"/>
        <v>12</v>
      </c>
      <c r="O726" s="49" t="s">
        <v>1039</v>
      </c>
      <c r="P726" s="32">
        <f t="array" ref="P726">_xlfn.XLOOKUP($B726, DB[samplingPoint], DB[Criteria])</f>
        <v>100</v>
      </c>
      <c r="Q726" s="50" t="str">
        <f t="shared" si="3"/>
        <v>PASSED</v>
      </c>
      <c r="R726" s="38" t="b">
        <v>0</v>
      </c>
      <c r="S726" s="35" t="s">
        <v>51</v>
      </c>
      <c r="T726" s="39" t="s">
        <v>386</v>
      </c>
      <c r="U726" s="32" t="s">
        <v>381</v>
      </c>
    </row>
    <row r="727" ht="22.5" customHeight="1">
      <c r="A727" s="51">
        <v>46164.0</v>
      </c>
      <c r="B727" s="52" t="s">
        <v>349</v>
      </c>
      <c r="C727" s="32" t="str">
        <f t="array" ref="C727">_xlfn.XLOOKUP(B727, DB[samplingPoint], DB[samplingTag])</f>
        <v>VB-05(10)</v>
      </c>
      <c r="D727" s="33" t="s">
        <v>364</v>
      </c>
      <c r="E727" s="38" t="b">
        <v>1</v>
      </c>
      <c r="F727" s="39" t="str">
        <f t="array" ref="F727">_xlfn.XLOOKUP($B727, DB[samplingPoint], DB[noLocation])</f>
        <v>WATER SYSTEM (B10)</v>
      </c>
      <c r="G727" s="54" t="s">
        <v>180</v>
      </c>
      <c r="H727" s="40" t="str">
        <f t="array" ref="H727">_xlfn.XLOOKUP($B727, DB[samplingPoint], DB[location])</f>
        <v>After Chlorine circulation tank (B10)</v>
      </c>
      <c r="I727" s="39" t="str">
        <f t="array" ref="I727">_xlfn.XLOOKUP($B727, DB[samplingPoint], DB[waterType])</f>
        <v>PRW</v>
      </c>
      <c r="J727" s="43">
        <f t="shared" si="1"/>
        <v>46165</v>
      </c>
      <c r="K727" s="51">
        <v>46173.0</v>
      </c>
      <c r="L727" s="35">
        <v>0.0</v>
      </c>
      <c r="M727" s="35">
        <v>0.0</v>
      </c>
      <c r="N727" s="32">
        <f t="shared" si="2"/>
        <v>0</v>
      </c>
      <c r="P727" s="32">
        <f t="array" ref="P727">_xlfn.XLOOKUP($B727, DB[samplingPoint], DB[Criteria])</f>
        <v>500</v>
      </c>
      <c r="Q727" s="50" t="str">
        <f t="shared" si="3"/>
        <v>PASSED</v>
      </c>
      <c r="R727" s="56"/>
      <c r="S727" s="35" t="s">
        <v>55</v>
      </c>
      <c r="T727" s="57" t="s">
        <v>386</v>
      </c>
      <c r="U727" s="32" t="s">
        <v>381</v>
      </c>
    </row>
    <row r="728" ht="22.5" customHeight="1">
      <c r="A728" s="51">
        <v>46164.0</v>
      </c>
      <c r="B728" s="58" t="s">
        <v>366</v>
      </c>
      <c r="C728" s="32" t="str">
        <f t="array" ref="C728">_xlfn.XLOOKUP(B728, DB[samplingPoint], DB[samplingTag])</f>
        <v>V50-61(10)</v>
      </c>
      <c r="D728" s="33" t="s">
        <v>364</v>
      </c>
      <c r="E728" s="38" t="b">
        <v>1</v>
      </c>
      <c r="F728" s="39" t="str">
        <f t="array" ref="F728">_xlfn.XLOOKUP($B728, DB[samplingPoint], DB[noLocation])</f>
        <v>WATER SYSTEM (B10)</v>
      </c>
      <c r="G728" s="54" t="s">
        <v>180</v>
      </c>
      <c r="H728" s="40" t="str">
        <f t="array" ref="H728">_xlfn.XLOOKUP($B728, DB[samplingPoint], DB[location])</f>
        <v>After Cartridge filter 5 µm (B10)</v>
      </c>
      <c r="I728" s="39" t="str">
        <f t="array" ref="I728">_xlfn.XLOOKUP($B728, DB[samplingPoint], DB[waterType])</f>
        <v>PRW</v>
      </c>
      <c r="J728" s="43">
        <f t="shared" si="1"/>
        <v>46165</v>
      </c>
      <c r="K728" s="51">
        <v>46173.0</v>
      </c>
      <c r="L728" s="35">
        <v>0.0</v>
      </c>
      <c r="M728" s="35">
        <v>0.0</v>
      </c>
      <c r="N728" s="32">
        <f t="shared" si="2"/>
        <v>0</v>
      </c>
      <c r="P728" s="32">
        <f t="array" ref="P728">_xlfn.XLOOKUP($B728, DB[samplingPoint], DB[Criteria])</f>
        <v>500</v>
      </c>
      <c r="Q728" s="50" t="str">
        <f t="shared" si="3"/>
        <v>PASSED</v>
      </c>
      <c r="R728" s="56"/>
      <c r="S728" s="35" t="s">
        <v>55</v>
      </c>
      <c r="T728" s="57" t="s">
        <v>386</v>
      </c>
      <c r="U728" s="32" t="s">
        <v>381</v>
      </c>
    </row>
    <row r="729" ht="22.5" customHeight="1">
      <c r="A729" s="51">
        <v>46164.0</v>
      </c>
      <c r="B729" s="27" t="s">
        <v>368</v>
      </c>
      <c r="C729" s="32" t="str">
        <f t="array" ref="C729">_xlfn.XLOOKUP(B729, DB[samplingPoint], DB[samplingTag])</f>
        <v>V50-11C(10)</v>
      </c>
      <c r="D729" s="33" t="s">
        <v>364</v>
      </c>
      <c r="E729" s="38" t="b">
        <v>1</v>
      </c>
      <c r="F729" s="39" t="str">
        <f t="array" ref="F729">_xlfn.XLOOKUP($B729, DB[samplingPoint], DB[noLocation])</f>
        <v>WATER SYSTEM (B10)</v>
      </c>
      <c r="G729" s="54" t="s">
        <v>180</v>
      </c>
      <c r="H729" s="40" t="str">
        <f t="array" ref="H729">_xlfn.XLOOKUP($B729, DB[samplingPoint], DB[location])</f>
        <v>After RO (Before EDI) (B10)</v>
      </c>
      <c r="I729" s="39" t="str">
        <f t="array" ref="I729">_xlfn.XLOOKUP($B729, DB[samplingPoint], DB[waterType])</f>
        <v>RO water</v>
      </c>
      <c r="J729" s="43">
        <f t="shared" si="1"/>
        <v>46165</v>
      </c>
      <c r="K729" s="51">
        <v>46173.0</v>
      </c>
      <c r="L729" s="35">
        <v>0.0</v>
      </c>
      <c r="M729" s="35">
        <v>0.0</v>
      </c>
      <c r="N729" s="32">
        <f t="shared" si="2"/>
        <v>0</v>
      </c>
      <c r="P729" s="32">
        <f t="array" ref="P729">_xlfn.XLOOKUP($B729, DB[samplingPoint], DB[Criteria])</f>
        <v>500</v>
      </c>
      <c r="Q729" s="50" t="str">
        <f t="shared" si="3"/>
        <v>PASSED</v>
      </c>
      <c r="R729" s="56"/>
      <c r="S729" s="35" t="s">
        <v>55</v>
      </c>
      <c r="T729" s="57" t="s">
        <v>386</v>
      </c>
      <c r="U729" s="32" t="s">
        <v>381</v>
      </c>
    </row>
    <row r="730" ht="22.5" customHeight="1">
      <c r="A730" s="51">
        <v>46164.0</v>
      </c>
      <c r="B730" s="58" t="s">
        <v>374</v>
      </c>
      <c r="C730" s="32" t="str">
        <f t="array" ref="C730">_xlfn.XLOOKUP(B730, DB[samplingPoint], DB[samplingTag])</f>
        <v>V50-39(10)</v>
      </c>
      <c r="D730" s="33" t="s">
        <v>364</v>
      </c>
      <c r="E730" s="38" t="b">
        <v>1</v>
      </c>
      <c r="F730" s="39" t="str">
        <f t="array" ref="F730">_xlfn.XLOOKUP($B730, DB[samplingPoint], DB[noLocation])</f>
        <v>WATER SYSTEM (B10)</v>
      </c>
      <c r="G730" s="54" t="s">
        <v>180</v>
      </c>
      <c r="H730" s="40" t="str">
        <f t="array" ref="H730">_xlfn.XLOOKUP($B730, DB[samplingPoint], DB[location])</f>
        <v>After EDI (B10)</v>
      </c>
      <c r="I730" s="39" t="str">
        <f t="array" ref="I730">_xlfn.XLOOKUP($B730, DB[samplingPoint], DB[waterType])</f>
        <v>PW</v>
      </c>
      <c r="J730" s="43">
        <f t="shared" si="1"/>
        <v>46165</v>
      </c>
      <c r="K730" s="51">
        <v>46173.0</v>
      </c>
      <c r="L730" s="35">
        <v>0.0</v>
      </c>
      <c r="M730" s="35">
        <v>0.0</v>
      </c>
      <c r="N730" s="32">
        <f t="shared" si="2"/>
        <v>0</v>
      </c>
      <c r="P730" s="32">
        <f t="array" ref="P730">_xlfn.XLOOKUP($B730, DB[samplingPoint], DB[Criteria])</f>
        <v>100</v>
      </c>
      <c r="Q730" s="50" t="str">
        <f t="shared" si="3"/>
        <v>PASSED</v>
      </c>
      <c r="R730" s="56"/>
      <c r="S730" s="35" t="s">
        <v>55</v>
      </c>
      <c r="T730" s="57" t="s">
        <v>386</v>
      </c>
      <c r="U730" s="32" t="s">
        <v>381</v>
      </c>
    </row>
    <row r="731" ht="22.5" customHeight="1">
      <c r="A731" s="51">
        <v>46164.0</v>
      </c>
      <c r="B731" s="27" t="s">
        <v>380</v>
      </c>
      <c r="C731" s="32" t="str">
        <f t="array" ref="C731">_xlfn.XLOOKUP(B731, DB[samplingPoint], DB[samplingTag])</f>
        <v>SV113.01</v>
      </c>
      <c r="D731" s="33" t="s">
        <v>364</v>
      </c>
      <c r="E731" s="38" t="b">
        <v>1</v>
      </c>
      <c r="F731" s="39" t="str">
        <f t="array" ref="F731">_xlfn.XLOOKUP($B731, DB[samplingPoint], DB[noLocation])</f>
        <v>WATER SYSTEM (B10)</v>
      </c>
      <c r="G731" s="54" t="s">
        <v>180</v>
      </c>
      <c r="H731" s="40" t="str">
        <f t="array" ref="H731">_xlfn.XLOOKUP($B731, DB[samplingPoint], DB[location])</f>
        <v>After Storage tank (B10)</v>
      </c>
      <c r="I731" s="39" t="str">
        <f t="array" ref="I731">_xlfn.XLOOKUP($B731, DB[samplingPoint], DB[waterType])</f>
        <v>PW</v>
      </c>
      <c r="J731" s="43">
        <f t="shared" si="1"/>
        <v>46165</v>
      </c>
      <c r="K731" s="51">
        <v>46173.0</v>
      </c>
      <c r="L731" s="35">
        <v>0.0</v>
      </c>
      <c r="M731" s="35">
        <v>0.0</v>
      </c>
      <c r="N731" s="32">
        <f t="shared" si="2"/>
        <v>0</v>
      </c>
      <c r="P731" s="32">
        <f t="array" ref="P731">_xlfn.XLOOKUP($B731, DB[samplingPoint], DB[Criteria])</f>
        <v>100</v>
      </c>
      <c r="Q731" s="50" t="str">
        <f t="shared" si="3"/>
        <v>PASSED</v>
      </c>
      <c r="R731" s="56"/>
      <c r="S731" s="35" t="s">
        <v>55</v>
      </c>
      <c r="T731" s="57" t="s">
        <v>386</v>
      </c>
      <c r="U731" s="32" t="s">
        <v>381</v>
      </c>
    </row>
    <row r="732" ht="22.5" customHeight="1">
      <c r="A732" s="51">
        <v>46164.0</v>
      </c>
      <c r="B732" s="58" t="s">
        <v>385</v>
      </c>
      <c r="C732" s="32" t="str">
        <f t="array" ref="C732">_xlfn.XLOOKUP(B732, DB[samplingPoint], DB[samplingTag])</f>
        <v>SV115.02</v>
      </c>
      <c r="D732" s="33" t="s">
        <v>364</v>
      </c>
      <c r="E732" s="38" t="b">
        <v>1</v>
      </c>
      <c r="F732" s="39" t="str">
        <f t="array" ref="F732">_xlfn.XLOOKUP($B732, DB[samplingPoint], DB[noLocation])</f>
        <v>WATER SYSTEM (B10)</v>
      </c>
      <c r="G732" s="54" t="s">
        <v>180</v>
      </c>
      <c r="H732" s="40" t="str">
        <f t="array" ref="H732">_xlfn.XLOOKUP($B732, DB[samplingPoint], DB[location])</f>
        <v>After UV (B10)</v>
      </c>
      <c r="I732" s="39" t="str">
        <f t="array" ref="I732">_xlfn.XLOOKUP($B732, DB[samplingPoint], DB[waterType])</f>
        <v>PW</v>
      </c>
      <c r="J732" s="43">
        <f t="shared" si="1"/>
        <v>46165</v>
      </c>
      <c r="K732" s="51">
        <v>46173.0</v>
      </c>
      <c r="L732" s="35">
        <v>0.0</v>
      </c>
      <c r="M732" s="35">
        <v>0.0</v>
      </c>
      <c r="N732" s="32">
        <f t="shared" si="2"/>
        <v>0</v>
      </c>
      <c r="P732" s="32">
        <f t="array" ref="P732">_xlfn.XLOOKUP($B732, DB[samplingPoint], DB[Criteria])</f>
        <v>100</v>
      </c>
      <c r="Q732" s="50" t="str">
        <f t="shared" si="3"/>
        <v>PASSED</v>
      </c>
      <c r="R732" s="56"/>
      <c r="S732" s="35" t="s">
        <v>55</v>
      </c>
      <c r="T732" s="57" t="s">
        <v>386</v>
      </c>
      <c r="U732" s="32" t="s">
        <v>381</v>
      </c>
    </row>
    <row r="733" ht="22.5" customHeight="1">
      <c r="A733" s="51">
        <v>46164.0</v>
      </c>
      <c r="B733" s="27" t="s">
        <v>390</v>
      </c>
      <c r="C733" s="32" t="str">
        <f t="array" ref="C733">_xlfn.XLOOKUP(B733, DB[samplingPoint], DB[samplingTag])</f>
        <v>SV117.01</v>
      </c>
      <c r="D733" s="33" t="s">
        <v>364</v>
      </c>
      <c r="E733" s="38" t="b">
        <v>1</v>
      </c>
      <c r="F733" s="39" t="str">
        <f t="array" ref="F733">_xlfn.XLOOKUP($B733, DB[samplingPoint], DB[noLocation])</f>
        <v>WATER SYSTEM (B10)</v>
      </c>
      <c r="G733" s="54" t="s">
        <v>180</v>
      </c>
      <c r="H733" s="40" t="str">
        <f t="array" ref="H733">_xlfn.XLOOKUP($B733, DB[samplingPoint], DB[location])</f>
        <v>Return loop (B10)</v>
      </c>
      <c r="I733" s="39" t="str">
        <f t="array" ref="I733">_xlfn.XLOOKUP($B733, DB[samplingPoint], DB[waterType])</f>
        <v>PW</v>
      </c>
      <c r="J733" s="43">
        <f t="shared" si="1"/>
        <v>46165</v>
      </c>
      <c r="K733" s="51">
        <v>46173.0</v>
      </c>
      <c r="L733" s="35">
        <v>0.0</v>
      </c>
      <c r="M733" s="35">
        <v>0.0</v>
      </c>
      <c r="N733" s="32">
        <f t="shared" si="2"/>
        <v>0</v>
      </c>
      <c r="P733" s="32">
        <f t="array" ref="P733">_xlfn.XLOOKUP($B733, DB[samplingPoint], DB[Criteria])</f>
        <v>100</v>
      </c>
      <c r="Q733" s="50" t="str">
        <f t="shared" si="3"/>
        <v>PASSED</v>
      </c>
      <c r="R733" s="56"/>
      <c r="S733" s="35" t="s">
        <v>55</v>
      </c>
      <c r="T733" s="57" t="s">
        <v>386</v>
      </c>
      <c r="U733" s="32" t="s">
        <v>381</v>
      </c>
    </row>
    <row r="734" ht="22.5" customHeight="1">
      <c r="A734" s="51">
        <v>46164.0</v>
      </c>
      <c r="B734" s="61" t="s">
        <v>394</v>
      </c>
      <c r="C734" s="32" t="str">
        <f t="array" ref="C734">_xlfn.XLOOKUP(B734, DB[samplingPoint], DB[samplingTag])</f>
        <v>DV116.25</v>
      </c>
      <c r="D734" s="33" t="s">
        <v>364</v>
      </c>
      <c r="E734" s="38" t="b">
        <v>1</v>
      </c>
      <c r="F734" s="39" t="str">
        <f t="array" ref="F734">_xlfn.XLOOKUP($B734, DB[samplingPoint], DB[noLocation])</f>
        <v>10-3-171</v>
      </c>
      <c r="G734" s="54" t="s">
        <v>180</v>
      </c>
      <c r="H734" s="40" t="str">
        <f t="array" ref="H734">_xlfn.XLOOKUP($B734, DB[samplingPoint], DB[location])</f>
        <v>TOOL WASHING-P</v>
      </c>
      <c r="I734" s="39" t="str">
        <f t="array" ref="I734">_xlfn.XLOOKUP($B734, DB[samplingPoint], DB[waterType])</f>
        <v>PW</v>
      </c>
      <c r="J734" s="43">
        <f t="shared" si="1"/>
        <v>46165</v>
      </c>
      <c r="K734" s="51">
        <v>46173.0</v>
      </c>
      <c r="L734" s="35">
        <v>0.0</v>
      </c>
      <c r="M734" s="35">
        <v>0.0</v>
      </c>
      <c r="N734" s="32">
        <f t="shared" si="2"/>
        <v>0</v>
      </c>
      <c r="P734" s="32">
        <f t="array" ref="P734">_xlfn.XLOOKUP($B734, DB[samplingPoint], DB[Criteria])</f>
        <v>100</v>
      </c>
      <c r="Q734" s="50" t="str">
        <f t="shared" si="3"/>
        <v>PASSED</v>
      </c>
      <c r="R734" s="56"/>
      <c r="S734" s="35" t="s">
        <v>55</v>
      </c>
      <c r="T734" s="57" t="s">
        <v>386</v>
      </c>
      <c r="U734" s="32" t="s">
        <v>381</v>
      </c>
    </row>
    <row r="735" ht="22.5" customHeight="1">
      <c r="A735" s="51">
        <v>46164.0</v>
      </c>
      <c r="B735" s="61" t="s">
        <v>398</v>
      </c>
      <c r="C735" s="32" t="str">
        <f t="array" ref="C735">_xlfn.XLOOKUP(B735, DB[samplingPoint], DB[samplingTag])</f>
        <v>DV116.24</v>
      </c>
      <c r="D735" s="33" t="s">
        <v>364</v>
      </c>
      <c r="E735" s="38" t="b">
        <v>1</v>
      </c>
      <c r="F735" s="39" t="str">
        <f t="array" ref="F735">_xlfn.XLOOKUP($B735, DB[samplingPoint], DB[noLocation])</f>
        <v>10-3-163</v>
      </c>
      <c r="G735" s="54" t="s">
        <v>180</v>
      </c>
      <c r="H735" s="40" t="str">
        <f t="array" ref="H735">_xlfn.XLOOKUP($B735, DB[samplingPoint], DB[location])</f>
        <v>WET GRANULATION 1-P</v>
      </c>
      <c r="I735" s="39" t="str">
        <f t="array" ref="I735">_xlfn.XLOOKUP($B735, DB[samplingPoint], DB[waterType])</f>
        <v>PW</v>
      </c>
      <c r="J735" s="43">
        <f t="shared" si="1"/>
        <v>46165</v>
      </c>
      <c r="K735" s="51">
        <v>46173.0</v>
      </c>
      <c r="L735" s="35">
        <v>0.0</v>
      </c>
      <c r="M735" s="35">
        <v>0.0</v>
      </c>
      <c r="N735" s="32">
        <f t="shared" si="2"/>
        <v>0</v>
      </c>
      <c r="P735" s="32">
        <f t="array" ref="P735">_xlfn.XLOOKUP($B735, DB[samplingPoint], DB[Criteria])</f>
        <v>100</v>
      </c>
      <c r="Q735" s="50" t="str">
        <f t="shared" si="3"/>
        <v>PASSED</v>
      </c>
      <c r="R735" s="56"/>
      <c r="S735" s="35" t="s">
        <v>55</v>
      </c>
      <c r="T735" s="57" t="s">
        <v>386</v>
      </c>
      <c r="U735" s="32" t="s">
        <v>381</v>
      </c>
    </row>
    <row r="736" ht="22.5" customHeight="1">
      <c r="A736" s="51">
        <v>46164.0</v>
      </c>
      <c r="B736" s="61" t="s">
        <v>401</v>
      </c>
      <c r="C736" s="32" t="str">
        <f t="array" ref="C736">_xlfn.XLOOKUP(B736, DB[samplingPoint], DB[samplingTag])</f>
        <v>DV116.23</v>
      </c>
      <c r="D736" s="33" t="s">
        <v>364</v>
      </c>
      <c r="E736" s="38" t="b">
        <v>1</v>
      </c>
      <c r="F736" s="39" t="str">
        <f t="array" ref="F736">_xlfn.XLOOKUP($B736, DB[samplingPoint], DB[noLocation])</f>
        <v>10-3-159</v>
      </c>
      <c r="G736" s="54" t="s">
        <v>180</v>
      </c>
      <c r="H736" s="40" t="str">
        <f t="array" ref="H736">_xlfn.XLOOKUP($B736, DB[samplingPoint], DB[location])</f>
        <v>BINDER PREPARATION-P</v>
      </c>
      <c r="I736" s="39" t="str">
        <f t="array" ref="I736">_xlfn.XLOOKUP($B736, DB[samplingPoint], DB[waterType])</f>
        <v>PW</v>
      </c>
      <c r="J736" s="43">
        <f t="shared" si="1"/>
        <v>46165</v>
      </c>
      <c r="K736" s="51">
        <v>46173.0</v>
      </c>
      <c r="L736" s="35">
        <v>0.0</v>
      </c>
      <c r="M736" s="35">
        <v>0.0</v>
      </c>
      <c r="N736" s="32">
        <f t="shared" si="2"/>
        <v>0</v>
      </c>
      <c r="P736" s="32">
        <f t="array" ref="P736">_xlfn.XLOOKUP($B736, DB[samplingPoint], DB[Criteria])</f>
        <v>100</v>
      </c>
      <c r="Q736" s="50" t="str">
        <f t="shared" si="3"/>
        <v>PASSED</v>
      </c>
      <c r="R736" s="56"/>
      <c r="S736" s="35" t="s">
        <v>55</v>
      </c>
      <c r="T736" s="57" t="s">
        <v>386</v>
      </c>
      <c r="U736" s="32" t="s">
        <v>381</v>
      </c>
    </row>
    <row r="737" ht="22.5" customHeight="1">
      <c r="A737" s="51">
        <v>46164.0</v>
      </c>
      <c r="B737" s="61" t="s">
        <v>406</v>
      </c>
      <c r="C737" s="32" t="str">
        <f t="array" ref="C737">_xlfn.XLOOKUP(B737, DB[samplingPoint], DB[samplingTag])</f>
        <v>DV116.21</v>
      </c>
      <c r="D737" s="33" t="s">
        <v>364</v>
      </c>
      <c r="E737" s="38" t="b">
        <v>1</v>
      </c>
      <c r="F737" s="39" t="str">
        <f t="array" ref="F737">_xlfn.XLOOKUP($B737, DB[samplingPoint], DB[noLocation])</f>
        <v>10-3-152</v>
      </c>
      <c r="G737" s="54" t="s">
        <v>180</v>
      </c>
      <c r="H737" s="40" t="str">
        <f t="array" ref="H737">_xlfn.XLOOKUP($B737, DB[samplingPoint], DB[location])</f>
        <v>WASHING-P</v>
      </c>
      <c r="I737" s="39" t="str">
        <f t="array" ref="I737">_xlfn.XLOOKUP($B737, DB[samplingPoint], DB[waterType])</f>
        <v>PW</v>
      </c>
      <c r="J737" s="43">
        <f t="shared" si="1"/>
        <v>46165</v>
      </c>
      <c r="K737" s="51">
        <v>46173.0</v>
      </c>
      <c r="L737" s="35">
        <v>0.0</v>
      </c>
      <c r="M737" s="35">
        <v>0.0</v>
      </c>
      <c r="N737" s="32">
        <f t="shared" si="2"/>
        <v>0</v>
      </c>
      <c r="P737" s="32">
        <f t="array" ref="P737">_xlfn.XLOOKUP($B737, DB[samplingPoint], DB[Criteria])</f>
        <v>100</v>
      </c>
      <c r="Q737" s="50" t="str">
        <f t="shared" si="3"/>
        <v>PASSED</v>
      </c>
      <c r="R737" s="56"/>
      <c r="S737" s="35" t="s">
        <v>55</v>
      </c>
      <c r="T737" s="57" t="s">
        <v>386</v>
      </c>
      <c r="U737" s="32" t="s">
        <v>381</v>
      </c>
    </row>
    <row r="738" ht="22.5" customHeight="1">
      <c r="A738" s="51">
        <v>46164.0</v>
      </c>
      <c r="B738" s="61" t="s">
        <v>410</v>
      </c>
      <c r="C738" s="32" t="str">
        <f t="array" ref="C738">_xlfn.XLOOKUP(B738, DB[samplingPoint], DB[samplingTag])</f>
        <v>DV116.22</v>
      </c>
      <c r="D738" s="33" t="s">
        <v>364</v>
      </c>
      <c r="E738" s="38" t="b">
        <v>1</v>
      </c>
      <c r="F738" s="39" t="str">
        <f t="array" ref="F738">_xlfn.XLOOKUP($B738, DB[samplingPoint], DB[noLocation])</f>
        <v>10-3-152</v>
      </c>
      <c r="G738" s="54" t="s">
        <v>180</v>
      </c>
      <c r="H738" s="40" t="str">
        <f t="array" ref="H738">_xlfn.XLOOKUP($B738, DB[samplingPoint], DB[location])</f>
        <v>WASHING-P</v>
      </c>
      <c r="I738" s="39" t="str">
        <f t="array" ref="I738">_xlfn.XLOOKUP($B738, DB[samplingPoint], DB[waterType])</f>
        <v>PW</v>
      </c>
      <c r="J738" s="43">
        <f t="shared" si="1"/>
        <v>46165</v>
      </c>
      <c r="K738" s="51">
        <v>46173.0</v>
      </c>
      <c r="L738" s="35">
        <v>0.0</v>
      </c>
      <c r="M738" s="35">
        <v>0.0</v>
      </c>
      <c r="N738" s="32">
        <f t="shared" si="2"/>
        <v>0</v>
      </c>
      <c r="P738" s="32">
        <f t="array" ref="P738">_xlfn.XLOOKUP($B738, DB[samplingPoint], DB[Criteria])</f>
        <v>100</v>
      </c>
      <c r="Q738" s="50" t="str">
        <f t="shared" si="3"/>
        <v>PASSED</v>
      </c>
      <c r="R738" s="56"/>
      <c r="S738" s="35" t="s">
        <v>55</v>
      </c>
      <c r="T738" s="57" t="s">
        <v>386</v>
      </c>
      <c r="U738" s="32" t="s">
        <v>381</v>
      </c>
    </row>
    <row r="739" ht="22.5" customHeight="1">
      <c r="A739" s="51">
        <v>46164.0</v>
      </c>
      <c r="B739" s="61" t="s">
        <v>414</v>
      </c>
      <c r="C739" s="32" t="str">
        <f t="array" ref="C739">_xlfn.XLOOKUP(B739, DB[samplingPoint], DB[samplingTag])</f>
        <v>SV116.13</v>
      </c>
      <c r="D739" s="33" t="s">
        <v>364</v>
      </c>
      <c r="E739" s="38" t="b">
        <v>1</v>
      </c>
      <c r="F739" s="39" t="str">
        <f t="array" ref="F739">_xlfn.XLOOKUP($B739, DB[samplingPoint], DB[noLocation])</f>
        <v>10-3-152</v>
      </c>
      <c r="G739" s="54" t="s">
        <v>180</v>
      </c>
      <c r="H739" s="40" t="str">
        <f t="array" ref="H739">_xlfn.XLOOKUP($B739, DB[samplingPoint], DB[location])</f>
        <v>WASHING-P</v>
      </c>
      <c r="I739" s="39" t="str">
        <f t="array" ref="I739">_xlfn.XLOOKUP($B739, DB[samplingPoint], DB[waterType])</f>
        <v>PW</v>
      </c>
      <c r="J739" s="43">
        <f t="shared" si="1"/>
        <v>46165</v>
      </c>
      <c r="K739" s="51">
        <v>46173.0</v>
      </c>
      <c r="L739" s="35">
        <v>0.0</v>
      </c>
      <c r="M739" s="35">
        <v>0.0</v>
      </c>
      <c r="N739" s="32">
        <f t="shared" si="2"/>
        <v>0</v>
      </c>
      <c r="P739" s="32">
        <f t="array" ref="P739">_xlfn.XLOOKUP($B739, DB[samplingPoint], DB[Criteria])</f>
        <v>100</v>
      </c>
      <c r="Q739" s="50" t="str">
        <f t="shared" si="3"/>
        <v>PASSED</v>
      </c>
      <c r="R739" s="56"/>
      <c r="S739" s="35" t="s">
        <v>55</v>
      </c>
      <c r="T739" s="57" t="s">
        <v>386</v>
      </c>
      <c r="U739" s="32" t="s">
        <v>381</v>
      </c>
    </row>
    <row r="740" ht="22.5" customHeight="1">
      <c r="A740" s="51">
        <v>46164.0</v>
      </c>
      <c r="B740" s="61" t="s">
        <v>417</v>
      </c>
      <c r="C740" s="32" t="str">
        <f t="array" ref="C740">_xlfn.XLOOKUP(B740, DB[samplingPoint], DB[samplingTag])</f>
        <v>DV116.20</v>
      </c>
      <c r="D740" s="33" t="s">
        <v>364</v>
      </c>
      <c r="E740" s="38" t="b">
        <v>1</v>
      </c>
      <c r="F740" s="39" t="str">
        <f t="array" ref="F740">_xlfn.XLOOKUP($B740, DB[samplingPoint], DB[noLocation])</f>
        <v>10-3-149</v>
      </c>
      <c r="G740" s="54" t="s">
        <v>180</v>
      </c>
      <c r="H740" s="40" t="str">
        <f t="array" ref="H740">_xlfn.XLOOKUP($B740, DB[samplingPoint], DB[location])</f>
        <v>IPQC-1-P</v>
      </c>
      <c r="I740" s="39" t="str">
        <f t="array" ref="I740">_xlfn.XLOOKUP($B740, DB[samplingPoint], DB[waterType])</f>
        <v>PW</v>
      </c>
      <c r="J740" s="43">
        <f t="shared" si="1"/>
        <v>46165</v>
      </c>
      <c r="K740" s="51">
        <v>46173.0</v>
      </c>
      <c r="L740" s="35">
        <v>0.0</v>
      </c>
      <c r="M740" s="35">
        <v>0.0</v>
      </c>
      <c r="N740" s="32">
        <f t="shared" si="2"/>
        <v>0</v>
      </c>
      <c r="P740" s="32">
        <f t="array" ref="P740">_xlfn.XLOOKUP($B740, DB[samplingPoint], DB[Criteria])</f>
        <v>100</v>
      </c>
      <c r="Q740" s="50" t="str">
        <f t="shared" si="3"/>
        <v>PASSED</v>
      </c>
      <c r="R740" s="56"/>
      <c r="S740" s="35" t="s">
        <v>55</v>
      </c>
      <c r="T740" s="57" t="s">
        <v>386</v>
      </c>
      <c r="U740" s="32" t="s">
        <v>381</v>
      </c>
    </row>
    <row r="741" ht="22.5" customHeight="1">
      <c r="A741" s="51">
        <v>46164.0</v>
      </c>
      <c r="B741" s="61" t="s">
        <v>421</v>
      </c>
      <c r="C741" s="32" t="str">
        <f t="array" ref="C741">_xlfn.XLOOKUP(B741, DB[samplingPoint], DB[samplingTag])</f>
        <v>DV116.19</v>
      </c>
      <c r="D741" s="33" t="s">
        <v>364</v>
      </c>
      <c r="E741" s="38" t="b">
        <v>1</v>
      </c>
      <c r="F741" s="39" t="str">
        <f t="array" ref="F741">_xlfn.XLOOKUP($B741, DB[samplingPoint], DB[noLocation])</f>
        <v>10-3-143</v>
      </c>
      <c r="G741" s="54" t="s">
        <v>180</v>
      </c>
      <c r="H741" s="40" t="str">
        <f t="array" ref="H741">_xlfn.XLOOKUP($B741, DB[samplingPoint], DB[location])</f>
        <v>COATING SOLUTION PREP.-P</v>
      </c>
      <c r="I741" s="39" t="str">
        <f t="array" ref="I741">_xlfn.XLOOKUP($B741, DB[samplingPoint], DB[waterType])</f>
        <v>PW</v>
      </c>
      <c r="J741" s="43">
        <f t="shared" si="1"/>
        <v>46165</v>
      </c>
      <c r="K741" s="51">
        <v>46173.0</v>
      </c>
      <c r="L741" s="35">
        <v>0.0</v>
      </c>
      <c r="M741" s="35">
        <v>0.0</v>
      </c>
      <c r="N741" s="32">
        <f t="shared" si="2"/>
        <v>0</v>
      </c>
      <c r="P741" s="32">
        <f t="array" ref="P741">_xlfn.XLOOKUP($B741, DB[samplingPoint], DB[Criteria])</f>
        <v>100</v>
      </c>
      <c r="Q741" s="50" t="str">
        <f t="shared" si="3"/>
        <v>PASSED</v>
      </c>
      <c r="R741" s="56"/>
      <c r="S741" s="35" t="s">
        <v>55</v>
      </c>
      <c r="T741" s="57" t="s">
        <v>386</v>
      </c>
      <c r="U741" s="32" t="s">
        <v>381</v>
      </c>
    </row>
    <row r="742" ht="22.5" customHeight="1">
      <c r="A742" s="51">
        <v>46164.0</v>
      </c>
      <c r="B742" s="61" t="s">
        <v>423</v>
      </c>
      <c r="C742" s="32" t="str">
        <f t="array" ref="C742">_xlfn.XLOOKUP(B742, DB[samplingPoint], DB[samplingTag])</f>
        <v>SV116.12</v>
      </c>
      <c r="D742" s="33" t="s">
        <v>364</v>
      </c>
      <c r="E742" s="38" t="b">
        <v>1</v>
      </c>
      <c r="F742" s="39" t="str">
        <f t="array" ref="F742">_xlfn.XLOOKUP($B742, DB[samplingPoint], DB[noLocation])</f>
        <v>10-3-144</v>
      </c>
      <c r="G742" s="54" t="s">
        <v>180</v>
      </c>
      <c r="H742" s="40" t="str">
        <f t="array" ref="H742">_xlfn.XLOOKUP($B742, DB[samplingPoint], DB[location])</f>
        <v>COATING-P</v>
      </c>
      <c r="I742" s="39" t="str">
        <f t="array" ref="I742">_xlfn.XLOOKUP($B742, DB[samplingPoint], DB[waterType])</f>
        <v>PW</v>
      </c>
      <c r="J742" s="43">
        <f t="shared" si="1"/>
        <v>46165</v>
      </c>
      <c r="K742" s="51">
        <v>46173.0</v>
      </c>
      <c r="L742" s="35">
        <v>0.0</v>
      </c>
      <c r="M742" s="35">
        <v>0.0</v>
      </c>
      <c r="N742" s="32">
        <f t="shared" si="2"/>
        <v>0</v>
      </c>
      <c r="P742" s="32">
        <f t="array" ref="P742">_xlfn.XLOOKUP($B742, DB[samplingPoint], DB[Criteria])</f>
        <v>100</v>
      </c>
      <c r="Q742" s="50" t="str">
        <f t="shared" si="3"/>
        <v>PASSED</v>
      </c>
      <c r="R742" s="56"/>
      <c r="S742" s="35" t="s">
        <v>55</v>
      </c>
      <c r="T742" s="57" t="s">
        <v>386</v>
      </c>
      <c r="U742" s="32" t="s">
        <v>381</v>
      </c>
    </row>
    <row r="743" ht="22.5" customHeight="1">
      <c r="A743" s="51">
        <v>46164.0</v>
      </c>
      <c r="B743" s="61" t="s">
        <v>425</v>
      </c>
      <c r="C743" s="32" t="str">
        <f t="array" ref="C743">_xlfn.XLOOKUP(B743, DB[samplingPoint], DB[samplingTag])</f>
        <v>DV116.02</v>
      </c>
      <c r="D743" s="33" t="s">
        <v>364</v>
      </c>
      <c r="E743" s="38" t="b">
        <v>1</v>
      </c>
      <c r="F743" s="39" t="str">
        <f t="array" ref="F743">_xlfn.XLOOKUP($B743, DB[samplingPoint], DB[noLocation])</f>
        <v>10-1-115</v>
      </c>
      <c r="G743" s="54" t="s">
        <v>180</v>
      </c>
      <c r="H743" s="40" t="str">
        <f t="array" ref="H743">_xlfn.XLOOKUP($B743, DB[samplingPoint], DB[location])</f>
        <v>WASHING</v>
      </c>
      <c r="I743" s="39" t="str">
        <f t="array" ref="I743">_xlfn.XLOOKUP($B743, DB[samplingPoint], DB[waterType])</f>
        <v>PW</v>
      </c>
      <c r="J743" s="43">
        <f t="shared" si="1"/>
        <v>46165</v>
      </c>
      <c r="K743" s="51">
        <v>46173.0</v>
      </c>
      <c r="L743" s="35">
        <v>0.0</v>
      </c>
      <c r="M743" s="35">
        <v>0.0</v>
      </c>
      <c r="N743" s="32">
        <f t="shared" si="2"/>
        <v>0</v>
      </c>
      <c r="P743" s="32">
        <f t="array" ref="P743">_xlfn.XLOOKUP($B743, DB[samplingPoint], DB[Criteria])</f>
        <v>100</v>
      </c>
      <c r="Q743" s="50" t="str">
        <f t="shared" si="3"/>
        <v>PASSED</v>
      </c>
      <c r="R743" s="56"/>
      <c r="S743" s="35" t="s">
        <v>55</v>
      </c>
      <c r="T743" s="57" t="s">
        <v>386</v>
      </c>
      <c r="U743" s="32" t="s">
        <v>381</v>
      </c>
    </row>
    <row r="744" ht="22.5" customHeight="1">
      <c r="A744" s="51">
        <v>46164.0</v>
      </c>
      <c r="B744" s="61" t="s">
        <v>428</v>
      </c>
      <c r="C744" s="32" t="str">
        <f t="array" ref="C744">_xlfn.XLOOKUP(B744, DB[samplingPoint], DB[samplingTag])</f>
        <v>DV116.01</v>
      </c>
      <c r="D744" s="33" t="s">
        <v>364</v>
      </c>
      <c r="E744" s="38" t="b">
        <v>1</v>
      </c>
      <c r="F744" s="39" t="str">
        <f t="array" ref="F744">_xlfn.XLOOKUP($B744, DB[samplingPoint], DB[noLocation])</f>
        <v>10-1-057</v>
      </c>
      <c r="G744" s="54" t="s">
        <v>180</v>
      </c>
      <c r="H744" s="40" t="str">
        <f t="array" ref="H744">_xlfn.XLOOKUP($B744, DB[samplingPoint], DB[location])</f>
        <v>WASHING-P</v>
      </c>
      <c r="I744" s="39" t="str">
        <f t="array" ref="I744">_xlfn.XLOOKUP($B744, DB[samplingPoint], DB[waterType])</f>
        <v>PW</v>
      </c>
      <c r="J744" s="43">
        <f t="shared" si="1"/>
        <v>46165</v>
      </c>
      <c r="K744" s="51">
        <v>46173.0</v>
      </c>
      <c r="L744" s="35">
        <v>0.0</v>
      </c>
      <c r="M744" s="35">
        <v>0.0</v>
      </c>
      <c r="N744" s="32">
        <f t="shared" si="2"/>
        <v>0</v>
      </c>
      <c r="P744" s="32">
        <f t="array" ref="P744">_xlfn.XLOOKUP($B744, DB[samplingPoint], DB[Criteria])</f>
        <v>100</v>
      </c>
      <c r="Q744" s="50" t="str">
        <f t="shared" si="3"/>
        <v>PASSED</v>
      </c>
      <c r="R744" s="56"/>
      <c r="S744" s="35" t="s">
        <v>55</v>
      </c>
      <c r="T744" s="57" t="s">
        <v>386</v>
      </c>
      <c r="U744" s="32" t="s">
        <v>381</v>
      </c>
    </row>
    <row r="745" ht="22.5" customHeight="1">
      <c r="A745" s="51">
        <v>46164.0</v>
      </c>
      <c r="B745" s="73" t="s">
        <v>431</v>
      </c>
      <c r="C745" s="32" t="str">
        <f t="array" ref="C745">_xlfn.XLOOKUP(B745, DB[samplingPoint], DB[samplingTag])</f>
        <v>SV-14</v>
      </c>
      <c r="D745" s="33" t="s">
        <v>364</v>
      </c>
      <c r="E745" s="38" t="b">
        <v>1</v>
      </c>
      <c r="F745" s="39" t="str">
        <f t="array" ref="F745">_xlfn.XLOOKUP($B745, DB[samplingPoint], DB[noLocation])</f>
        <v>PROCESS WATER (B19)</v>
      </c>
      <c r="G745" s="54" t="s">
        <v>432</v>
      </c>
      <c r="H745" s="40" t="str">
        <f t="array" ref="H745">_xlfn.XLOOKUP($B745, DB[samplingPoint], DB[location])</f>
        <v>AFTER RO SYSTEM NO.12 SV14</v>
      </c>
      <c r="I745" s="39" t="str">
        <f t="array" ref="I745">_xlfn.XLOOKUP($B745, DB[samplingPoint], DB[waterType])</f>
        <v>PRW</v>
      </c>
      <c r="J745" s="43">
        <f t="shared" si="1"/>
        <v>46165</v>
      </c>
      <c r="K745" s="51">
        <v>46173.0</v>
      </c>
      <c r="L745" s="35">
        <v>0.0</v>
      </c>
      <c r="M745" s="35">
        <v>0.0</v>
      </c>
      <c r="N745" s="32">
        <f t="shared" si="2"/>
        <v>0</v>
      </c>
      <c r="P745" s="32">
        <f t="array" ref="P745">_xlfn.XLOOKUP($B745, DB[samplingPoint], DB[Criteria])</f>
        <v>500</v>
      </c>
      <c r="Q745" s="50" t="str">
        <f t="shared" si="3"/>
        <v>PASSED</v>
      </c>
      <c r="R745" s="56"/>
      <c r="S745" s="35" t="s">
        <v>60</v>
      </c>
      <c r="T745" s="57" t="s">
        <v>386</v>
      </c>
      <c r="U745" s="32" t="s">
        <v>381</v>
      </c>
    </row>
    <row r="746" ht="22.5" customHeight="1">
      <c r="A746" s="83">
        <v>46168.0</v>
      </c>
      <c r="B746" s="52" t="s">
        <v>435</v>
      </c>
      <c r="C746" s="78" t="str">
        <f t="array" ref="C746">_xlfn.XLOOKUP(B746, DB[samplingPoint], DB[samplingTag])</f>
        <v>SV133.01</v>
      </c>
      <c r="D746" s="77" t="s">
        <v>436</v>
      </c>
      <c r="E746" s="79" t="b">
        <v>0</v>
      </c>
      <c r="F746" s="80" t="str">
        <f t="array" ref="F746">_xlfn.XLOOKUP($B746, DB[samplingPoint], DB[noLocation])</f>
        <v>WATER SYSTEM (B12)</v>
      </c>
      <c r="G746" s="77" t="s">
        <v>437</v>
      </c>
      <c r="H746" s="81" t="str">
        <f t="array" ref="H746">_xlfn.XLOOKUP($B746, DB[samplingPoint], DB[location])</f>
        <v>After Storage tank (B12)</v>
      </c>
      <c r="I746" s="80" t="str">
        <f t="array" ref="I746">_xlfn.XLOOKUP($B746, DB[samplingPoint], DB[waterType])</f>
        <v>PW</v>
      </c>
      <c r="J746" s="82">
        <f t="shared" ref="J746:J766" si="4">$A746+0</f>
        <v>46168</v>
      </c>
      <c r="K746" s="83">
        <v>46171.0</v>
      </c>
      <c r="L746" s="78">
        <v>0.0</v>
      </c>
      <c r="M746" s="78">
        <v>0.0</v>
      </c>
      <c r="N746" s="78">
        <f t="shared" si="2"/>
        <v>0</v>
      </c>
      <c r="O746" s="84"/>
      <c r="P746" s="78">
        <f t="array" ref="P746">_xlfn.XLOOKUP($B746, DB[samplingPoint], DB[Criteria])</f>
        <v>100</v>
      </c>
      <c r="Q746" s="85" t="str">
        <f t="shared" si="3"/>
        <v>PASSED</v>
      </c>
      <c r="R746" s="79" t="b">
        <v>0</v>
      </c>
      <c r="S746" s="78"/>
      <c r="T746" s="80" t="s">
        <v>381</v>
      </c>
      <c r="U746" s="209"/>
      <c r="V746" s="87"/>
      <c r="W746" s="87"/>
      <c r="X746" s="87"/>
      <c r="Y746" s="87"/>
      <c r="Z746" s="87"/>
    </row>
    <row r="747" ht="22.5" customHeight="1">
      <c r="A747" s="26">
        <v>46168.0</v>
      </c>
      <c r="B747" s="58" t="s">
        <v>438</v>
      </c>
      <c r="C747" s="32" t="str">
        <f t="array" ref="C747">_xlfn.XLOOKUP(B747, DB[samplingPoint], DB[samplingTag])</f>
        <v>SV135.02</v>
      </c>
      <c r="D747" s="33" t="s">
        <v>436</v>
      </c>
      <c r="E747" s="38" t="b">
        <v>0</v>
      </c>
      <c r="F747" s="39" t="str">
        <f t="array" ref="F747">_xlfn.XLOOKUP($B747, DB[samplingPoint], DB[noLocation])</f>
        <v>WATER SYSTEM (B12)</v>
      </c>
      <c r="G747" s="33" t="s">
        <v>437</v>
      </c>
      <c r="H747" s="40" t="str">
        <f t="array" ref="H747">_xlfn.XLOOKUP($B747, DB[samplingPoint], DB[location])</f>
        <v>After UV (B12)</v>
      </c>
      <c r="I747" s="39" t="str">
        <f t="array" ref="I747">_xlfn.XLOOKUP($B747, DB[samplingPoint], DB[waterType])</f>
        <v>PW</v>
      </c>
      <c r="J747" s="43">
        <f t="shared" si="4"/>
        <v>46168</v>
      </c>
      <c r="K747" s="26">
        <v>46171.0</v>
      </c>
      <c r="L747" s="32">
        <v>0.0</v>
      </c>
      <c r="M747" s="32">
        <v>0.0</v>
      </c>
      <c r="N747" s="32">
        <f t="shared" si="2"/>
        <v>0</v>
      </c>
      <c r="O747" s="49"/>
      <c r="P747" s="32">
        <f t="array" ref="P747">_xlfn.XLOOKUP($B747, DB[samplingPoint], DB[Criteria])</f>
        <v>100</v>
      </c>
      <c r="Q747" s="50" t="str">
        <f t="shared" si="3"/>
        <v>PASSED</v>
      </c>
      <c r="R747" s="38" t="b">
        <v>0</v>
      </c>
      <c r="S747" s="35"/>
      <c r="T747" s="39" t="s">
        <v>381</v>
      </c>
      <c r="U747" s="196"/>
    </row>
    <row r="748" ht="22.5" customHeight="1">
      <c r="A748" s="26">
        <v>46168.0</v>
      </c>
      <c r="B748" s="27" t="s">
        <v>430</v>
      </c>
      <c r="C748" s="32" t="str">
        <f t="array" ref="C748">_xlfn.XLOOKUP(B748, DB[samplingPoint], DB[samplingTag])</f>
        <v>SV137.01</v>
      </c>
      <c r="D748" s="33" t="s">
        <v>436</v>
      </c>
      <c r="E748" s="38" t="b">
        <v>0</v>
      </c>
      <c r="F748" s="39" t="str">
        <f t="array" ref="F748">_xlfn.XLOOKUP($B748, DB[samplingPoint], DB[noLocation])</f>
        <v>WATER SYSTEM (B12)</v>
      </c>
      <c r="G748" s="33" t="s">
        <v>437</v>
      </c>
      <c r="H748" s="40" t="str">
        <f t="array" ref="H748">_xlfn.XLOOKUP($B748, DB[samplingPoint], DB[location])</f>
        <v>Return loop (B12)</v>
      </c>
      <c r="I748" s="39" t="str">
        <f t="array" ref="I748">_xlfn.XLOOKUP($B748, DB[samplingPoint], DB[waterType])</f>
        <v>PW</v>
      </c>
      <c r="J748" s="43">
        <f t="shared" si="4"/>
        <v>46168</v>
      </c>
      <c r="K748" s="26">
        <v>46171.0</v>
      </c>
      <c r="L748" s="32">
        <v>0.0</v>
      </c>
      <c r="M748" s="32">
        <v>0.0</v>
      </c>
      <c r="N748" s="32">
        <f t="shared" si="2"/>
        <v>0</v>
      </c>
      <c r="O748" s="49"/>
      <c r="P748" s="32">
        <f t="array" ref="P748">_xlfn.XLOOKUP($B748, DB[samplingPoint], DB[Criteria])</f>
        <v>100</v>
      </c>
      <c r="Q748" s="50" t="str">
        <f t="shared" si="3"/>
        <v>PASSED</v>
      </c>
      <c r="R748" s="38" t="b">
        <v>0</v>
      </c>
      <c r="S748" s="35"/>
      <c r="T748" s="39" t="s">
        <v>381</v>
      </c>
      <c r="U748" s="196"/>
    </row>
    <row r="749" ht="22.5" customHeight="1">
      <c r="A749" s="26">
        <v>46168.0</v>
      </c>
      <c r="B749" s="88" t="s">
        <v>443</v>
      </c>
      <c r="C749" s="32" t="str">
        <f t="array" ref="C749">_xlfn.XLOOKUP(B749, DB[samplingPoint], DB[samplingTag])</f>
        <v>SV136.09</v>
      </c>
      <c r="D749" s="33" t="s">
        <v>436</v>
      </c>
      <c r="E749" s="38" t="b">
        <v>0</v>
      </c>
      <c r="F749" s="39" t="str">
        <f t="array" ref="F749">_xlfn.XLOOKUP($B749, DB[samplingPoint], DB[noLocation])</f>
        <v>12-2-039</v>
      </c>
      <c r="G749" s="33" t="s">
        <v>437</v>
      </c>
      <c r="H749" s="40" t="str">
        <f t="array" ref="H749">_xlfn.XLOOKUP($B749, DB[samplingPoint], DB[location])</f>
        <v>MFG 1</v>
      </c>
      <c r="I749" s="39" t="str">
        <f t="array" ref="I749">_xlfn.XLOOKUP($B749, DB[samplingPoint], DB[waterType])</f>
        <v>PW</v>
      </c>
      <c r="J749" s="43">
        <f t="shared" si="4"/>
        <v>46168</v>
      </c>
      <c r="K749" s="26">
        <v>46171.0</v>
      </c>
      <c r="L749" s="32">
        <v>0.0</v>
      </c>
      <c r="M749" s="32">
        <v>0.0</v>
      </c>
      <c r="N749" s="32">
        <f t="shared" si="2"/>
        <v>0</v>
      </c>
      <c r="O749" s="49"/>
      <c r="P749" s="32">
        <f t="array" ref="P749">_xlfn.XLOOKUP($B749, DB[samplingPoint], DB[Criteria])</f>
        <v>100</v>
      </c>
      <c r="Q749" s="50" t="str">
        <f t="shared" si="3"/>
        <v>PASSED</v>
      </c>
      <c r="R749" s="38" t="b">
        <v>0</v>
      </c>
      <c r="S749" s="35"/>
      <c r="T749" s="39" t="s">
        <v>381</v>
      </c>
      <c r="U749" s="196"/>
    </row>
    <row r="750" ht="22.5" customHeight="1">
      <c r="A750" s="26">
        <v>46168.0</v>
      </c>
      <c r="B750" s="88" t="s">
        <v>445</v>
      </c>
      <c r="C750" s="32" t="str">
        <f t="array" ref="C750">_xlfn.XLOOKUP(B750, DB[samplingPoint], DB[samplingTag])</f>
        <v>SV136.10</v>
      </c>
      <c r="D750" s="33" t="s">
        <v>436</v>
      </c>
      <c r="E750" s="38" t="b">
        <v>0</v>
      </c>
      <c r="F750" s="39" t="str">
        <f t="array" ref="F750">_xlfn.XLOOKUP($B750, DB[samplingPoint], DB[noLocation])</f>
        <v>12-2-041</v>
      </c>
      <c r="G750" s="33" t="s">
        <v>437</v>
      </c>
      <c r="H750" s="40" t="str">
        <f t="array" ref="H750">_xlfn.XLOOKUP($B750, DB[samplingPoint], DB[location])</f>
        <v>MFG 2</v>
      </c>
      <c r="I750" s="39" t="str">
        <f t="array" ref="I750">_xlfn.XLOOKUP($B750, DB[samplingPoint], DB[waterType])</f>
        <v>PW</v>
      </c>
      <c r="J750" s="43">
        <f t="shared" si="4"/>
        <v>46168</v>
      </c>
      <c r="K750" s="26">
        <v>46171.0</v>
      </c>
      <c r="L750" s="32">
        <v>0.0</v>
      </c>
      <c r="M750" s="32">
        <v>0.0</v>
      </c>
      <c r="N750" s="32">
        <f t="shared" si="2"/>
        <v>0</v>
      </c>
      <c r="O750" s="49"/>
      <c r="P750" s="32">
        <f t="array" ref="P750">_xlfn.XLOOKUP($B750, DB[samplingPoint], DB[Criteria])</f>
        <v>100</v>
      </c>
      <c r="Q750" s="50" t="str">
        <f t="shared" si="3"/>
        <v>PASSED</v>
      </c>
      <c r="R750" s="38" t="b">
        <v>0</v>
      </c>
      <c r="S750" s="35"/>
      <c r="T750" s="39" t="s">
        <v>381</v>
      </c>
      <c r="U750" s="196"/>
    </row>
    <row r="751" ht="22.5" customHeight="1">
      <c r="A751" s="26">
        <v>46168.0</v>
      </c>
      <c r="B751" s="88" t="s">
        <v>449</v>
      </c>
      <c r="C751" s="32" t="str">
        <f t="array" ref="C751">_xlfn.XLOOKUP(B751, DB[samplingPoint], DB[samplingTag])</f>
        <v>SV136.11</v>
      </c>
      <c r="D751" s="33" t="s">
        <v>436</v>
      </c>
      <c r="E751" s="38" t="b">
        <v>0</v>
      </c>
      <c r="F751" s="39" t="str">
        <f t="array" ref="F751">_xlfn.XLOOKUP($B751, DB[samplingPoint], DB[noLocation])</f>
        <v>12-2-043</v>
      </c>
      <c r="G751" s="33" t="s">
        <v>437</v>
      </c>
      <c r="H751" s="40" t="str">
        <f t="array" ref="H751">_xlfn.XLOOKUP($B751, DB[samplingPoint], DB[location])</f>
        <v>MFG 3</v>
      </c>
      <c r="I751" s="39" t="str">
        <f t="array" ref="I751">_xlfn.XLOOKUP($B751, DB[samplingPoint], DB[waterType])</f>
        <v>PW</v>
      </c>
      <c r="J751" s="43">
        <f t="shared" si="4"/>
        <v>46168</v>
      </c>
      <c r="K751" s="26">
        <v>46171.0</v>
      </c>
      <c r="L751" s="32">
        <v>0.0</v>
      </c>
      <c r="M751" s="32">
        <v>0.0</v>
      </c>
      <c r="N751" s="32">
        <f t="shared" si="2"/>
        <v>0</v>
      </c>
      <c r="O751" s="49"/>
      <c r="P751" s="32">
        <f t="array" ref="P751">_xlfn.XLOOKUP($B751, DB[samplingPoint], DB[Criteria])</f>
        <v>100</v>
      </c>
      <c r="Q751" s="50" t="str">
        <f t="shared" si="3"/>
        <v>PASSED</v>
      </c>
      <c r="R751" s="38" t="b">
        <v>0</v>
      </c>
      <c r="S751" s="35"/>
      <c r="T751" s="39" t="s">
        <v>381</v>
      </c>
      <c r="U751" s="196"/>
    </row>
    <row r="752" ht="22.5" customHeight="1">
      <c r="A752" s="26">
        <v>46168.0</v>
      </c>
      <c r="B752" s="88" t="s">
        <v>453</v>
      </c>
      <c r="C752" s="32" t="str">
        <f t="array" ref="C752">_xlfn.XLOOKUP(B752, DB[samplingPoint], DB[samplingTag])</f>
        <v>SV136.13</v>
      </c>
      <c r="D752" s="33" t="s">
        <v>436</v>
      </c>
      <c r="E752" s="38" t="b">
        <v>0</v>
      </c>
      <c r="F752" s="39" t="str">
        <f t="array" ref="F752">_xlfn.XLOOKUP($B752, DB[samplingPoint], DB[noLocation])</f>
        <v>12-2-043</v>
      </c>
      <c r="G752" s="33" t="s">
        <v>437</v>
      </c>
      <c r="H752" s="40" t="str">
        <f t="array" ref="H752">_xlfn.XLOOKUP($B752, DB[samplingPoint], DB[location])</f>
        <v>MFG 3</v>
      </c>
      <c r="I752" s="39" t="str">
        <f t="array" ref="I752">_xlfn.XLOOKUP($B752, DB[samplingPoint], DB[waterType])</f>
        <v>PW</v>
      </c>
      <c r="J752" s="43">
        <f t="shared" si="4"/>
        <v>46168</v>
      </c>
      <c r="K752" s="26">
        <v>46171.0</v>
      </c>
      <c r="L752" s="32">
        <v>0.0</v>
      </c>
      <c r="M752" s="32">
        <v>0.0</v>
      </c>
      <c r="N752" s="32">
        <f t="shared" si="2"/>
        <v>0</v>
      </c>
      <c r="O752" s="49"/>
      <c r="P752" s="32">
        <f t="array" ref="P752">_xlfn.XLOOKUP($B752, DB[samplingPoint], DB[Criteria])</f>
        <v>100</v>
      </c>
      <c r="Q752" s="50" t="str">
        <f t="shared" si="3"/>
        <v>PASSED</v>
      </c>
      <c r="R752" s="38" t="b">
        <v>0</v>
      </c>
      <c r="S752" s="35"/>
      <c r="T752" s="39" t="s">
        <v>381</v>
      </c>
      <c r="U752" s="196"/>
    </row>
    <row r="753" ht="22.5" customHeight="1">
      <c r="A753" s="26">
        <v>46168.0</v>
      </c>
      <c r="B753" s="88" t="s">
        <v>455</v>
      </c>
      <c r="C753" s="32" t="str">
        <f t="array" ref="C753">_xlfn.XLOOKUP(B753, DB[samplingPoint], DB[samplingTag])</f>
        <v>SV136.08</v>
      </c>
      <c r="D753" s="33" t="s">
        <v>436</v>
      </c>
      <c r="E753" s="38" t="b">
        <v>0</v>
      </c>
      <c r="F753" s="39" t="str">
        <f t="array" ref="F753">_xlfn.XLOOKUP($B753, DB[samplingPoint], DB[noLocation])</f>
        <v>12-2-043</v>
      </c>
      <c r="G753" s="33" t="s">
        <v>437</v>
      </c>
      <c r="H753" s="40" t="str">
        <f t="array" ref="H753">_xlfn.XLOOKUP($B753, DB[samplingPoint], DB[location])</f>
        <v>MFG 3</v>
      </c>
      <c r="I753" s="39" t="str">
        <f t="array" ref="I753">_xlfn.XLOOKUP($B753, DB[samplingPoint], DB[waterType])</f>
        <v>PW</v>
      </c>
      <c r="J753" s="43">
        <f t="shared" si="4"/>
        <v>46168</v>
      </c>
      <c r="K753" s="26">
        <v>46171.0</v>
      </c>
      <c r="L753" s="32">
        <v>0.0</v>
      </c>
      <c r="M753" s="32">
        <v>0.0</v>
      </c>
      <c r="N753" s="32">
        <f t="shared" si="2"/>
        <v>0</v>
      </c>
      <c r="O753" s="49"/>
      <c r="P753" s="32">
        <f t="array" ref="P753">_xlfn.XLOOKUP($B753, DB[samplingPoint], DB[Criteria])</f>
        <v>100</v>
      </c>
      <c r="Q753" s="50" t="str">
        <f t="shared" si="3"/>
        <v>PASSED</v>
      </c>
      <c r="R753" s="38" t="b">
        <v>0</v>
      </c>
      <c r="S753" s="35"/>
      <c r="T753" s="39" t="s">
        <v>381</v>
      </c>
      <c r="U753" s="196"/>
    </row>
    <row r="754" ht="22.5" customHeight="1">
      <c r="A754" s="26">
        <v>46168.0</v>
      </c>
      <c r="B754" s="88" t="s">
        <v>458</v>
      </c>
      <c r="C754" s="32" t="str">
        <f t="array" ref="C754">_xlfn.XLOOKUP(B754, DB[samplingPoint], DB[samplingTag])</f>
        <v>SV136.14</v>
      </c>
      <c r="D754" s="33" t="s">
        <v>436</v>
      </c>
      <c r="E754" s="38" t="b">
        <v>0</v>
      </c>
      <c r="F754" s="39" t="str">
        <f t="array" ref="F754">_xlfn.XLOOKUP($B754, DB[samplingPoint], DB[noLocation])</f>
        <v>12-2-045</v>
      </c>
      <c r="G754" s="33" t="s">
        <v>437</v>
      </c>
      <c r="H754" s="40" t="str">
        <f t="array" ref="H754">_xlfn.XLOOKUP($B754, DB[samplingPoint], DB[location])</f>
        <v>MFG 4</v>
      </c>
      <c r="I754" s="39" t="str">
        <f t="array" ref="I754">_xlfn.XLOOKUP($B754, DB[samplingPoint], DB[waterType])</f>
        <v>PW</v>
      </c>
      <c r="J754" s="43">
        <f t="shared" si="4"/>
        <v>46168</v>
      </c>
      <c r="K754" s="26">
        <v>46171.0</v>
      </c>
      <c r="L754" s="32">
        <v>0.0</v>
      </c>
      <c r="M754" s="32">
        <v>0.0</v>
      </c>
      <c r="N754" s="32">
        <f t="shared" si="2"/>
        <v>0</v>
      </c>
      <c r="O754" s="49"/>
      <c r="P754" s="32">
        <f t="array" ref="P754">_xlfn.XLOOKUP($B754, DB[samplingPoint], DB[Criteria])</f>
        <v>100</v>
      </c>
      <c r="Q754" s="50" t="str">
        <f t="shared" si="3"/>
        <v>PASSED</v>
      </c>
      <c r="R754" s="38" t="b">
        <v>0</v>
      </c>
      <c r="S754" s="35"/>
      <c r="T754" s="39" t="s">
        <v>381</v>
      </c>
      <c r="U754" s="196"/>
    </row>
    <row r="755" ht="22.5" customHeight="1">
      <c r="A755" s="26">
        <v>46168.0</v>
      </c>
      <c r="B755" s="88" t="s">
        <v>460</v>
      </c>
      <c r="C755" s="32" t="str">
        <f t="array" ref="C755">_xlfn.XLOOKUP(B755, DB[samplingPoint], DB[samplingTag])</f>
        <v>SV136.02</v>
      </c>
      <c r="D755" s="33" t="s">
        <v>436</v>
      </c>
      <c r="E755" s="38" t="b">
        <v>0</v>
      </c>
      <c r="F755" s="39" t="str">
        <f t="array" ref="F755">_xlfn.XLOOKUP($B755, DB[samplingPoint], DB[noLocation])</f>
        <v>12-2-024</v>
      </c>
      <c r="G755" s="33" t="s">
        <v>437</v>
      </c>
      <c r="H755" s="40" t="str">
        <f t="array" ref="H755">_xlfn.XLOOKUP($B755, DB[samplingPoint], DB[location])</f>
        <v>LIQUORICE EXTRACT</v>
      </c>
      <c r="I755" s="39" t="str">
        <f t="array" ref="I755">_xlfn.XLOOKUP($B755, DB[samplingPoint], DB[waterType])</f>
        <v>PW</v>
      </c>
      <c r="J755" s="43">
        <f t="shared" si="4"/>
        <v>46168</v>
      </c>
      <c r="K755" s="26">
        <v>46171.0</v>
      </c>
      <c r="L755" s="32">
        <v>0.0</v>
      </c>
      <c r="M755" s="32">
        <v>0.0</v>
      </c>
      <c r="N755" s="32">
        <f t="shared" si="2"/>
        <v>0</v>
      </c>
      <c r="O755" s="49"/>
      <c r="P755" s="32">
        <f t="array" ref="P755">_xlfn.XLOOKUP($B755, DB[samplingPoint], DB[Criteria])</f>
        <v>100</v>
      </c>
      <c r="Q755" s="50" t="str">
        <f t="shared" si="3"/>
        <v>PASSED</v>
      </c>
      <c r="R755" s="38" t="b">
        <v>0</v>
      </c>
      <c r="S755" s="35"/>
      <c r="T755" s="39" t="s">
        <v>381</v>
      </c>
      <c r="U755" s="196"/>
    </row>
    <row r="756" ht="22.5" customHeight="1">
      <c r="A756" s="26">
        <v>46168.0</v>
      </c>
      <c r="B756" s="88" t="s">
        <v>463</v>
      </c>
      <c r="C756" s="32" t="str">
        <f t="array" ref="C756">_xlfn.XLOOKUP(B756, DB[samplingPoint], DB[samplingTag])</f>
        <v>DV136.08</v>
      </c>
      <c r="D756" s="33" t="s">
        <v>436</v>
      </c>
      <c r="E756" s="38" t="b">
        <v>0</v>
      </c>
      <c r="F756" s="39" t="str">
        <f t="array" ref="F756">_xlfn.XLOOKUP($B756, DB[samplingPoint], DB[noLocation])</f>
        <v>12-3-042</v>
      </c>
      <c r="G756" s="33" t="s">
        <v>437</v>
      </c>
      <c r="H756" s="40" t="str">
        <f t="array" ref="H756">_xlfn.XLOOKUP($B756, DB[samplingPoint], DB[location])</f>
        <v>SAMPLE PREPARATION</v>
      </c>
      <c r="I756" s="39" t="str">
        <f t="array" ref="I756">_xlfn.XLOOKUP($B756, DB[samplingPoint], DB[waterType])</f>
        <v>PW</v>
      </c>
      <c r="J756" s="43">
        <f t="shared" si="4"/>
        <v>46168</v>
      </c>
      <c r="K756" s="26">
        <v>46171.0</v>
      </c>
      <c r="L756" s="32">
        <v>0.0</v>
      </c>
      <c r="M756" s="32">
        <v>0.0</v>
      </c>
      <c r="N756" s="32">
        <f t="shared" si="2"/>
        <v>0</v>
      </c>
      <c r="O756" s="49"/>
      <c r="P756" s="32">
        <f t="array" ref="P756">_xlfn.XLOOKUP($B756, DB[samplingPoint], DB[Criteria])</f>
        <v>100</v>
      </c>
      <c r="Q756" s="50" t="str">
        <f t="shared" si="3"/>
        <v>PASSED</v>
      </c>
      <c r="R756" s="38" t="b">
        <v>0</v>
      </c>
      <c r="S756" s="35"/>
      <c r="T756" s="39" t="s">
        <v>381</v>
      </c>
      <c r="U756" s="196"/>
    </row>
    <row r="757" ht="22.5" customHeight="1">
      <c r="A757" s="26">
        <v>46168.0</v>
      </c>
      <c r="B757" s="88" t="s">
        <v>465</v>
      </c>
      <c r="C757" s="32" t="str">
        <f t="array" ref="C757">_xlfn.XLOOKUP(B757, DB[samplingPoint], DB[samplingTag])</f>
        <v>DV136.09</v>
      </c>
      <c r="D757" s="33" t="s">
        <v>436</v>
      </c>
      <c r="E757" s="38" t="b">
        <v>0</v>
      </c>
      <c r="F757" s="39" t="str">
        <f t="array" ref="F757">_xlfn.XLOOKUP($B757, DB[samplingPoint], DB[noLocation])</f>
        <v>12-3-042</v>
      </c>
      <c r="G757" s="33" t="s">
        <v>437</v>
      </c>
      <c r="H757" s="40" t="str">
        <f t="array" ref="H757">_xlfn.XLOOKUP($B757, DB[samplingPoint], DB[location])</f>
        <v>SAMPLE PREPARATION</v>
      </c>
      <c r="I757" s="39" t="str">
        <f t="array" ref="I757">_xlfn.XLOOKUP($B757, DB[samplingPoint], DB[waterType])</f>
        <v>PW</v>
      </c>
      <c r="J757" s="43">
        <f t="shared" si="4"/>
        <v>46168</v>
      </c>
      <c r="K757" s="26">
        <v>46171.0</v>
      </c>
      <c r="L757" s="32">
        <v>0.0</v>
      </c>
      <c r="M757" s="32">
        <v>0.0</v>
      </c>
      <c r="N757" s="32">
        <f t="shared" si="2"/>
        <v>0</v>
      </c>
      <c r="O757" s="49"/>
      <c r="P757" s="32">
        <f t="array" ref="P757">_xlfn.XLOOKUP($B757, DB[samplingPoint], DB[Criteria])</f>
        <v>100</v>
      </c>
      <c r="Q757" s="50" t="str">
        <f t="shared" si="3"/>
        <v>PASSED</v>
      </c>
      <c r="R757" s="38" t="b">
        <v>0</v>
      </c>
      <c r="S757" s="35"/>
      <c r="T757" s="39" t="s">
        <v>381</v>
      </c>
      <c r="U757" s="196"/>
    </row>
    <row r="758" ht="22.5" customHeight="1">
      <c r="A758" s="26">
        <v>46168.0</v>
      </c>
      <c r="B758" s="90" t="s">
        <v>467</v>
      </c>
      <c r="C758" s="32" t="str">
        <f t="array" ref="C758">_xlfn.XLOOKUP(B758, DB[samplingPoint], DB[samplingTag])</f>
        <v>SV123.01</v>
      </c>
      <c r="D758" s="33" t="s">
        <v>436</v>
      </c>
      <c r="E758" s="38" t="b">
        <v>0</v>
      </c>
      <c r="F758" s="39" t="str">
        <f t="array" ref="F758">_xlfn.XLOOKUP($B758, DB[samplingPoint], DB[noLocation])</f>
        <v>WATER SYSTEM (B16)</v>
      </c>
      <c r="G758" s="33" t="s">
        <v>327</v>
      </c>
      <c r="H758" s="40" t="str">
        <f t="array" ref="H758">_xlfn.XLOOKUP($B758, DB[samplingPoint], DB[location])</f>
        <v>After Storage tank (B16)</v>
      </c>
      <c r="I758" s="39" t="str">
        <f t="array" ref="I758">_xlfn.XLOOKUP($B758, DB[samplingPoint], DB[waterType])</f>
        <v>PW</v>
      </c>
      <c r="J758" s="43">
        <f t="shared" si="4"/>
        <v>46168</v>
      </c>
      <c r="K758" s="26">
        <v>46171.0</v>
      </c>
      <c r="L758" s="32">
        <v>0.0</v>
      </c>
      <c r="M758" s="32">
        <v>0.0</v>
      </c>
      <c r="N758" s="32">
        <f t="shared" si="2"/>
        <v>0</v>
      </c>
      <c r="O758" s="49"/>
      <c r="P758" s="32">
        <f t="array" ref="P758">_xlfn.XLOOKUP($B758, DB[samplingPoint], DB[Criteria])</f>
        <v>100</v>
      </c>
      <c r="Q758" s="50" t="str">
        <f t="shared" si="3"/>
        <v>PASSED</v>
      </c>
      <c r="R758" s="38" t="b">
        <v>0</v>
      </c>
      <c r="S758" s="35"/>
      <c r="T758" s="39" t="s">
        <v>381</v>
      </c>
      <c r="U758" s="196"/>
    </row>
    <row r="759" ht="22.5" customHeight="1">
      <c r="A759" s="26">
        <v>46168.0</v>
      </c>
      <c r="B759" s="58" t="s">
        <v>469</v>
      </c>
      <c r="C759" s="32" t="str">
        <f t="array" ref="C759">_xlfn.XLOOKUP(B759, DB[samplingPoint], DB[samplingTag])</f>
        <v>SV125.02</v>
      </c>
      <c r="D759" s="33" t="s">
        <v>436</v>
      </c>
      <c r="E759" s="38" t="b">
        <v>0</v>
      </c>
      <c r="F759" s="39" t="str">
        <f t="array" ref="F759">_xlfn.XLOOKUP($B759, DB[samplingPoint], DB[noLocation])</f>
        <v>WATER SYSTEM (B16)</v>
      </c>
      <c r="G759" s="33" t="s">
        <v>327</v>
      </c>
      <c r="H759" s="40" t="str">
        <f t="array" ref="H759">_xlfn.XLOOKUP($B759, DB[samplingPoint], DB[location])</f>
        <v>After UV (B16)</v>
      </c>
      <c r="I759" s="39" t="str">
        <f t="array" ref="I759">_xlfn.XLOOKUP($B759, DB[samplingPoint], DB[waterType])</f>
        <v>PW</v>
      </c>
      <c r="J759" s="43">
        <f t="shared" si="4"/>
        <v>46168</v>
      </c>
      <c r="K759" s="26">
        <v>46171.0</v>
      </c>
      <c r="L759" s="32">
        <v>0.0</v>
      </c>
      <c r="M759" s="32">
        <v>0.0</v>
      </c>
      <c r="N759" s="32">
        <f t="shared" si="2"/>
        <v>0</v>
      </c>
      <c r="O759" s="49"/>
      <c r="P759" s="32">
        <f t="array" ref="P759">_xlfn.XLOOKUP($B759, DB[samplingPoint], DB[Criteria])</f>
        <v>100</v>
      </c>
      <c r="Q759" s="50" t="str">
        <f t="shared" si="3"/>
        <v>PASSED</v>
      </c>
      <c r="R759" s="38" t="b">
        <v>0</v>
      </c>
      <c r="S759" s="35"/>
      <c r="T759" s="39" t="s">
        <v>381</v>
      </c>
      <c r="U759" s="196"/>
    </row>
    <row r="760" ht="22.5" customHeight="1">
      <c r="A760" s="26">
        <v>46168.0</v>
      </c>
      <c r="B760" s="58" t="s">
        <v>464</v>
      </c>
      <c r="C760" s="32" t="str">
        <f t="array" ref="C760">_xlfn.XLOOKUP(B760, DB[samplingPoint], DB[samplingTag])</f>
        <v>SV127.01</v>
      </c>
      <c r="D760" s="33" t="s">
        <v>436</v>
      </c>
      <c r="E760" s="38" t="b">
        <v>0</v>
      </c>
      <c r="F760" s="39" t="str">
        <f t="array" ref="F760">_xlfn.XLOOKUP($B760, DB[samplingPoint], DB[noLocation])</f>
        <v>WATER SYSTEM (B16)</v>
      </c>
      <c r="G760" s="33" t="s">
        <v>327</v>
      </c>
      <c r="H760" s="40" t="str">
        <f t="array" ref="H760">_xlfn.XLOOKUP($B760, DB[samplingPoint], DB[location])</f>
        <v>Return loop (B16)</v>
      </c>
      <c r="I760" s="39" t="str">
        <f t="array" ref="I760">_xlfn.XLOOKUP($B760, DB[samplingPoint], DB[waterType])</f>
        <v>PW</v>
      </c>
      <c r="J760" s="43">
        <f t="shared" si="4"/>
        <v>46168</v>
      </c>
      <c r="K760" s="26">
        <v>46171.0</v>
      </c>
      <c r="L760" s="32">
        <v>0.0</v>
      </c>
      <c r="M760" s="32">
        <v>0.0</v>
      </c>
      <c r="N760" s="32">
        <f t="shared" si="2"/>
        <v>0</v>
      </c>
      <c r="O760" s="49"/>
      <c r="P760" s="32">
        <f t="array" ref="P760">_xlfn.XLOOKUP($B760, DB[samplingPoint], DB[Criteria])</f>
        <v>100</v>
      </c>
      <c r="Q760" s="50" t="str">
        <f t="shared" si="3"/>
        <v>PASSED</v>
      </c>
      <c r="R760" s="38" t="b">
        <v>0</v>
      </c>
      <c r="S760" s="35"/>
      <c r="T760" s="39" t="s">
        <v>381</v>
      </c>
      <c r="U760" s="196"/>
    </row>
    <row r="761" ht="22.5" customHeight="1">
      <c r="A761" s="26">
        <v>46168.0</v>
      </c>
      <c r="B761" s="88" t="s">
        <v>472</v>
      </c>
      <c r="C761" s="32" t="str">
        <f t="array" ref="C761">_xlfn.XLOOKUP(B761, DB[samplingPoint], DB[samplingTag])</f>
        <v>SV126.19</v>
      </c>
      <c r="D761" s="33" t="s">
        <v>436</v>
      </c>
      <c r="E761" s="38" t="b">
        <v>0</v>
      </c>
      <c r="F761" s="39" t="str">
        <f t="array" ref="F761">_xlfn.XLOOKUP($B761, DB[samplingPoint], DB[noLocation])</f>
        <v>16-3-087</v>
      </c>
      <c r="G761" s="33" t="s">
        <v>327</v>
      </c>
      <c r="H761" s="40" t="str">
        <f t="array" ref="H761">_xlfn.XLOOKUP($B761, DB[samplingPoint], DB[location])</f>
        <v>CIP 2 (EQUIPMENT REQUIREMENT)</v>
      </c>
      <c r="I761" s="39" t="str">
        <f t="array" ref="I761">_xlfn.XLOOKUP($B761, DB[samplingPoint], DB[waterType])</f>
        <v>PW</v>
      </c>
      <c r="J761" s="43">
        <f t="shared" si="4"/>
        <v>46168</v>
      </c>
      <c r="K761" s="26">
        <v>46171.0</v>
      </c>
      <c r="L761" s="32">
        <v>0.0</v>
      </c>
      <c r="M761" s="32">
        <v>0.0</v>
      </c>
      <c r="N761" s="32">
        <f t="shared" si="2"/>
        <v>0</v>
      </c>
      <c r="O761" s="49"/>
      <c r="P761" s="32">
        <f t="array" ref="P761">_xlfn.XLOOKUP($B761, DB[samplingPoint], DB[Criteria])</f>
        <v>100</v>
      </c>
      <c r="Q761" s="50" t="str">
        <f t="shared" si="3"/>
        <v>PASSED</v>
      </c>
      <c r="R761" s="38" t="b">
        <v>0</v>
      </c>
      <c r="S761" s="35"/>
      <c r="T761" s="39" t="s">
        <v>381</v>
      </c>
      <c r="U761" s="196"/>
    </row>
    <row r="762" ht="22.5" customHeight="1">
      <c r="A762" s="26">
        <v>46168.0</v>
      </c>
      <c r="B762" s="88" t="s">
        <v>474</v>
      </c>
      <c r="C762" s="32" t="str">
        <f t="array" ref="C762">_xlfn.XLOOKUP(B762, DB[samplingPoint], DB[samplingTag])</f>
        <v>DV126.11</v>
      </c>
      <c r="D762" s="33" t="s">
        <v>436</v>
      </c>
      <c r="E762" s="38" t="b">
        <v>0</v>
      </c>
      <c r="F762" s="39" t="str">
        <f t="array" ref="F762">_xlfn.XLOOKUP($B762, DB[samplingPoint], DB[noLocation])</f>
        <v>16-3-073</v>
      </c>
      <c r="G762" s="33" t="s">
        <v>327</v>
      </c>
      <c r="H762" s="40" t="str">
        <f t="array" ref="H762">_xlfn.XLOOKUP($B762, DB[samplingPoint], DB[location])</f>
        <v>MFG 4 (5000L)</v>
      </c>
      <c r="I762" s="39" t="str">
        <f t="array" ref="I762">_xlfn.XLOOKUP($B762, DB[samplingPoint], DB[waterType])</f>
        <v>PW</v>
      </c>
      <c r="J762" s="43">
        <f t="shared" si="4"/>
        <v>46168</v>
      </c>
      <c r="K762" s="26">
        <v>46171.0</v>
      </c>
      <c r="L762" s="32">
        <v>0.0</v>
      </c>
      <c r="M762" s="32">
        <v>0.0</v>
      </c>
      <c r="N762" s="32">
        <f t="shared" si="2"/>
        <v>0</v>
      </c>
      <c r="O762" s="49"/>
      <c r="P762" s="32">
        <f t="array" ref="P762">_xlfn.XLOOKUP($B762, DB[samplingPoint], DB[Criteria])</f>
        <v>100</v>
      </c>
      <c r="Q762" s="50" t="str">
        <f t="shared" si="3"/>
        <v>PASSED</v>
      </c>
      <c r="R762" s="38" t="b">
        <v>0</v>
      </c>
      <c r="S762" s="35"/>
      <c r="T762" s="39" t="s">
        <v>381</v>
      </c>
      <c r="U762" s="196"/>
    </row>
    <row r="763" ht="22.5" customHeight="1">
      <c r="A763" s="26">
        <v>46168.0</v>
      </c>
      <c r="B763" s="88" t="s">
        <v>478</v>
      </c>
      <c r="C763" s="32" t="str">
        <f t="array" ref="C763">_xlfn.XLOOKUP(B763, DB[samplingPoint], DB[samplingTag])</f>
        <v>SV126.14</v>
      </c>
      <c r="D763" s="33" t="s">
        <v>436</v>
      </c>
      <c r="E763" s="38" t="b">
        <v>0</v>
      </c>
      <c r="F763" s="39" t="str">
        <f t="array" ref="F763">_xlfn.XLOOKUP($B763, DB[samplingPoint], DB[noLocation])</f>
        <v>16-3-073</v>
      </c>
      <c r="G763" s="33" t="s">
        <v>327</v>
      </c>
      <c r="H763" s="40" t="str">
        <f t="array" ref="H763">_xlfn.XLOOKUP($B763, DB[samplingPoint], DB[location])</f>
        <v>MFG 4 (400L)</v>
      </c>
      <c r="I763" s="39" t="str">
        <f t="array" ref="I763">_xlfn.XLOOKUP($B763, DB[samplingPoint], DB[waterType])</f>
        <v>PW</v>
      </c>
      <c r="J763" s="43">
        <f t="shared" si="4"/>
        <v>46168</v>
      </c>
      <c r="K763" s="26">
        <v>46171.0</v>
      </c>
      <c r="L763" s="32">
        <v>0.0</v>
      </c>
      <c r="M763" s="32">
        <v>0.0</v>
      </c>
      <c r="N763" s="32">
        <f t="shared" si="2"/>
        <v>0</v>
      </c>
      <c r="O763" s="49"/>
      <c r="P763" s="32">
        <f t="array" ref="P763">_xlfn.XLOOKUP($B763, DB[samplingPoint], DB[Criteria])</f>
        <v>100</v>
      </c>
      <c r="Q763" s="50" t="str">
        <f t="shared" si="3"/>
        <v>PASSED</v>
      </c>
      <c r="R763" s="38" t="b">
        <v>0</v>
      </c>
      <c r="S763" s="35"/>
      <c r="T763" s="39" t="s">
        <v>381</v>
      </c>
      <c r="U763" s="196"/>
    </row>
    <row r="764" ht="22.5" customHeight="1">
      <c r="A764" s="26">
        <v>46168.0</v>
      </c>
      <c r="B764" s="88" t="s">
        <v>481</v>
      </c>
      <c r="C764" s="32" t="str">
        <f t="array" ref="C764">_xlfn.XLOOKUP(B764, DB[samplingPoint], DB[samplingTag])</f>
        <v>SV126.15</v>
      </c>
      <c r="D764" s="33" t="s">
        <v>436</v>
      </c>
      <c r="E764" s="38" t="b">
        <v>0</v>
      </c>
      <c r="F764" s="39" t="str">
        <f t="array" ref="F764">_xlfn.XLOOKUP($B764, DB[samplingPoint], DB[noLocation])</f>
        <v>16-3-075</v>
      </c>
      <c r="G764" s="33" t="s">
        <v>327</v>
      </c>
      <c r="H764" s="40" t="str">
        <f t="array" ref="H764">_xlfn.XLOOKUP($B764, DB[samplingPoint], DB[location])</f>
        <v>MFG 5 PROCESS (2000L)</v>
      </c>
      <c r="I764" s="39" t="str">
        <f t="array" ref="I764">_xlfn.XLOOKUP($B764, DB[samplingPoint], DB[waterType])</f>
        <v>PW</v>
      </c>
      <c r="J764" s="43">
        <f t="shared" si="4"/>
        <v>46168</v>
      </c>
      <c r="K764" s="26">
        <v>46171.0</v>
      </c>
      <c r="L764" s="32">
        <v>0.0</v>
      </c>
      <c r="M764" s="32">
        <v>0.0</v>
      </c>
      <c r="N764" s="32">
        <f t="shared" si="2"/>
        <v>0</v>
      </c>
      <c r="O764" s="49"/>
      <c r="P764" s="32">
        <f t="array" ref="P764">_xlfn.XLOOKUP($B764, DB[samplingPoint], DB[Criteria])</f>
        <v>100</v>
      </c>
      <c r="Q764" s="50" t="str">
        <f t="shared" si="3"/>
        <v>PASSED</v>
      </c>
      <c r="R764" s="38" t="b">
        <v>0</v>
      </c>
      <c r="S764" s="35"/>
      <c r="T764" s="39" t="s">
        <v>381</v>
      </c>
      <c r="U764" s="196"/>
    </row>
    <row r="765" ht="22.5" customHeight="1">
      <c r="A765" s="26">
        <v>46168.0</v>
      </c>
      <c r="B765" s="88" t="s">
        <v>483</v>
      </c>
      <c r="C765" s="32" t="str">
        <f t="array" ref="C765">_xlfn.XLOOKUP(B765, DB[samplingPoint], DB[samplingTag])</f>
        <v>DV126.05</v>
      </c>
      <c r="D765" s="33" t="s">
        <v>436</v>
      </c>
      <c r="E765" s="38" t="b">
        <v>0</v>
      </c>
      <c r="F765" s="39" t="str">
        <f t="array" ref="F765">_xlfn.XLOOKUP($B765, DB[samplingPoint], DB[noLocation])</f>
        <v>16-3-054</v>
      </c>
      <c r="G765" s="33" t="s">
        <v>327</v>
      </c>
      <c r="H765" s="40" t="str">
        <f t="array" ref="H765">_xlfn.XLOOKUP($B765, DB[samplingPoint], DB[location])</f>
        <v>WASHING</v>
      </c>
      <c r="I765" s="39" t="str">
        <f t="array" ref="I765">_xlfn.XLOOKUP($B765, DB[samplingPoint], DB[waterType])</f>
        <v>PW</v>
      </c>
      <c r="J765" s="43">
        <f t="shared" si="4"/>
        <v>46168</v>
      </c>
      <c r="K765" s="26">
        <v>46171.0</v>
      </c>
      <c r="L765" s="32">
        <v>5.0</v>
      </c>
      <c r="M765" s="32">
        <v>33.0</v>
      </c>
      <c r="N765" s="32">
        <f t="shared" si="2"/>
        <v>19</v>
      </c>
      <c r="O765" s="49"/>
      <c r="P765" s="32">
        <f t="array" ref="P765">_xlfn.XLOOKUP($B765, DB[samplingPoint], DB[Criteria])</f>
        <v>100</v>
      </c>
      <c r="Q765" s="50" t="str">
        <f t="shared" si="3"/>
        <v>PASSED</v>
      </c>
      <c r="R765" s="38" t="b">
        <v>0</v>
      </c>
      <c r="S765" s="35"/>
      <c r="T765" s="39" t="s">
        <v>381</v>
      </c>
      <c r="U765" s="196"/>
    </row>
    <row r="766" ht="22.5" customHeight="1">
      <c r="A766" s="83">
        <v>46168.0</v>
      </c>
      <c r="B766" s="95" t="s">
        <v>486</v>
      </c>
      <c r="C766" s="78" t="str">
        <f t="array" ref="C766">_xlfn.XLOOKUP(B766, DB[samplingPoint], DB[samplingTag])</f>
        <v>SV126.04</v>
      </c>
      <c r="D766" s="77" t="s">
        <v>436</v>
      </c>
      <c r="E766" s="79" t="b">
        <v>0</v>
      </c>
      <c r="F766" s="80" t="str">
        <f t="array" ref="F766">_xlfn.XLOOKUP($B766, DB[samplingPoint], DB[noLocation])</f>
        <v>16-2-010</v>
      </c>
      <c r="G766" s="77" t="s">
        <v>327</v>
      </c>
      <c r="H766" s="81" t="str">
        <f t="array" ref="H766">_xlfn.XLOOKUP($B766, DB[samplingPoint], DB[location])</f>
        <v>WATER SYSTEM (PSG)</v>
      </c>
      <c r="I766" s="80" t="str">
        <f t="array" ref="I766">_xlfn.XLOOKUP($B766, DB[samplingPoint], DB[waterType])</f>
        <v>PW</v>
      </c>
      <c r="J766" s="82">
        <f t="shared" si="4"/>
        <v>46168</v>
      </c>
      <c r="K766" s="83">
        <v>46171.0</v>
      </c>
      <c r="L766" s="32">
        <v>0.0</v>
      </c>
      <c r="M766" s="32">
        <v>0.0</v>
      </c>
      <c r="N766" s="78">
        <f t="shared" si="2"/>
        <v>0</v>
      </c>
      <c r="O766" s="84"/>
      <c r="P766" s="78">
        <f t="array" ref="P766">_xlfn.XLOOKUP($B766, DB[samplingPoint], DB[Criteria])</f>
        <v>100</v>
      </c>
      <c r="Q766" s="85" t="str">
        <f t="shared" si="3"/>
        <v>PASSED</v>
      </c>
      <c r="R766" s="79" t="b">
        <v>0</v>
      </c>
      <c r="S766" s="78"/>
      <c r="T766" s="80" t="s">
        <v>381</v>
      </c>
      <c r="U766" s="209"/>
      <c r="V766" s="87"/>
      <c r="W766" s="87"/>
      <c r="X766" s="87"/>
      <c r="Y766" s="87"/>
      <c r="Z766" s="87"/>
    </row>
    <row r="767" ht="22.5" customHeight="1">
      <c r="A767" s="26">
        <v>46171.0</v>
      </c>
      <c r="B767" s="27" t="s">
        <v>390</v>
      </c>
      <c r="C767" s="32" t="str">
        <f t="array" ref="C767">_xlfn.XLOOKUP(B767, DB[samplingPoint], DB[samplingTag])</f>
        <v>SV117.01</v>
      </c>
      <c r="D767" s="33" t="s">
        <v>436</v>
      </c>
      <c r="E767" s="38" t="b">
        <v>0</v>
      </c>
      <c r="F767" s="39" t="str">
        <f t="array" ref="F767">_xlfn.XLOOKUP($B767, DB[samplingPoint], DB[noLocation])</f>
        <v>WATER SYSTEM (B10)</v>
      </c>
      <c r="G767" s="33" t="s">
        <v>180</v>
      </c>
      <c r="H767" s="40" t="str">
        <f t="array" ref="H767">_xlfn.XLOOKUP($B767, DB[samplingPoint], DB[location])</f>
        <v>Return loop (B10)</v>
      </c>
      <c r="I767" s="39" t="str">
        <f t="array" ref="I767">_xlfn.XLOOKUP($B767, DB[samplingPoint], DB[waterType])</f>
        <v>PW</v>
      </c>
      <c r="J767" s="43">
        <f t="shared" ref="J767:J801" si="5">$A767+1</f>
        <v>46172</v>
      </c>
      <c r="K767" s="26"/>
      <c r="L767" s="32">
        <v>0.0</v>
      </c>
      <c r="M767" s="32">
        <v>0.0</v>
      </c>
      <c r="N767" s="32">
        <f t="shared" si="2"/>
        <v>0</v>
      </c>
      <c r="O767" s="49"/>
      <c r="P767" s="32">
        <f t="array" ref="P767">_xlfn.XLOOKUP($B767, DB[samplingPoint], DB[Criteria])</f>
        <v>100</v>
      </c>
      <c r="Q767" s="50" t="str">
        <f t="shared" si="3"/>
        <v>PASSED</v>
      </c>
      <c r="R767" s="38" t="b">
        <v>0</v>
      </c>
      <c r="S767" s="35"/>
      <c r="T767" s="39" t="s">
        <v>381</v>
      </c>
      <c r="U767" s="196"/>
    </row>
    <row r="768" ht="22.5" customHeight="1">
      <c r="A768" s="26">
        <v>46171.0</v>
      </c>
      <c r="B768" s="88" t="s">
        <v>491</v>
      </c>
      <c r="C768" s="32" t="str">
        <f t="array" ref="C768">_xlfn.XLOOKUP(B768, DB[samplingPoint], DB[samplingTag])</f>
        <v>SV116.15</v>
      </c>
      <c r="D768" s="33" t="s">
        <v>436</v>
      </c>
      <c r="E768" s="38" t="b">
        <v>0</v>
      </c>
      <c r="F768" s="39" t="str">
        <f t="array" ref="F768">_xlfn.XLOOKUP($B768, DB[samplingPoint], DB[noLocation])</f>
        <v>10-4-012</v>
      </c>
      <c r="G768" s="33" t="s">
        <v>180</v>
      </c>
      <c r="H768" s="40" t="str">
        <f t="array" ref="H768">_xlfn.XLOOKUP($B768, DB[samplingPoint], DB[location])</f>
        <v>CIP SKID-1 FOR BIN WASHING-1</v>
      </c>
      <c r="I768" s="39" t="str">
        <f t="array" ref="I768">_xlfn.XLOOKUP($B768, DB[samplingPoint], DB[waterType])</f>
        <v>PW</v>
      </c>
      <c r="J768" s="43">
        <f t="shared" si="5"/>
        <v>46172</v>
      </c>
      <c r="K768" s="26"/>
      <c r="L768" s="32">
        <v>0.0</v>
      </c>
      <c r="M768" s="32">
        <v>0.0</v>
      </c>
      <c r="N768" s="32">
        <f t="shared" si="2"/>
        <v>0</v>
      </c>
      <c r="O768" s="49"/>
      <c r="P768" s="32">
        <f t="array" ref="P768">_xlfn.XLOOKUP($B768, DB[samplingPoint], DB[Criteria])</f>
        <v>100</v>
      </c>
      <c r="Q768" s="50" t="str">
        <f t="shared" si="3"/>
        <v>PASSED</v>
      </c>
      <c r="R768" s="38" t="b">
        <v>0</v>
      </c>
      <c r="S768" s="35"/>
      <c r="T768" s="39" t="s">
        <v>381</v>
      </c>
      <c r="U768" s="196"/>
    </row>
    <row r="769" ht="22.5" customHeight="1">
      <c r="A769" s="26">
        <v>46171.0</v>
      </c>
      <c r="B769" s="88" t="s">
        <v>493</v>
      </c>
      <c r="C769" s="32" t="str">
        <f t="array" ref="C769">_xlfn.XLOOKUP(B769, DB[samplingPoint], DB[samplingTag])</f>
        <v>SV116.16</v>
      </c>
      <c r="D769" s="33" t="s">
        <v>436</v>
      </c>
      <c r="E769" s="38" t="b">
        <v>0</v>
      </c>
      <c r="F769" s="39" t="str">
        <f t="array" ref="F769">_xlfn.XLOOKUP($B769, DB[samplingPoint], DB[noLocation])</f>
        <v>10-4-012</v>
      </c>
      <c r="G769" s="33" t="s">
        <v>180</v>
      </c>
      <c r="H769" s="40" t="str">
        <f t="array" ref="H769">_xlfn.XLOOKUP($B769, DB[samplingPoint], DB[location])</f>
        <v>WIP SKID-3 FOR GRANULATION POTENT</v>
      </c>
      <c r="I769" s="39" t="str">
        <f t="array" ref="I769">_xlfn.XLOOKUP($B769, DB[samplingPoint], DB[waterType])</f>
        <v>PW</v>
      </c>
      <c r="J769" s="43">
        <f t="shared" si="5"/>
        <v>46172</v>
      </c>
      <c r="K769" s="26"/>
      <c r="L769" s="32">
        <v>0.0</v>
      </c>
      <c r="M769" s="32">
        <v>0.0</v>
      </c>
      <c r="N769" s="32">
        <f t="shared" si="2"/>
        <v>0</v>
      </c>
      <c r="O769" s="49"/>
      <c r="P769" s="32">
        <f t="array" ref="P769">_xlfn.XLOOKUP($B769, DB[samplingPoint], DB[Criteria])</f>
        <v>100</v>
      </c>
      <c r="Q769" s="50" t="str">
        <f t="shared" si="3"/>
        <v>PASSED</v>
      </c>
      <c r="R769" s="38" t="b">
        <v>0</v>
      </c>
      <c r="S769" s="35"/>
      <c r="T769" s="39" t="s">
        <v>381</v>
      </c>
      <c r="U769" s="196"/>
    </row>
    <row r="770" ht="22.5" customHeight="1">
      <c r="A770" s="26">
        <v>46171.0</v>
      </c>
      <c r="B770" s="88" t="s">
        <v>494</v>
      </c>
      <c r="C770" s="32" t="str">
        <f t="array" ref="C770">_xlfn.XLOOKUP(B770, DB[samplingPoint], DB[samplingTag])</f>
        <v>SV116.17</v>
      </c>
      <c r="D770" s="33" t="s">
        <v>436</v>
      </c>
      <c r="E770" s="38" t="b">
        <v>0</v>
      </c>
      <c r="F770" s="39" t="str">
        <f t="array" ref="F770">_xlfn.XLOOKUP($B770, DB[samplingPoint], DB[noLocation])</f>
        <v>10-4-012</v>
      </c>
      <c r="G770" s="33" t="s">
        <v>180</v>
      </c>
      <c r="H770" s="40" t="str">
        <f t="array" ref="H770">_xlfn.XLOOKUP($B770, DB[samplingPoint], DB[location])</f>
        <v>CIP SKID-2 FOR BIN WASHING-1</v>
      </c>
      <c r="I770" s="39" t="str">
        <f t="array" ref="I770">_xlfn.XLOOKUP($B770, DB[samplingPoint], DB[waterType])</f>
        <v>PW</v>
      </c>
      <c r="J770" s="43">
        <f t="shared" si="5"/>
        <v>46172</v>
      </c>
      <c r="K770" s="26"/>
      <c r="L770" s="32">
        <v>0.0</v>
      </c>
      <c r="M770" s="32">
        <v>0.0</v>
      </c>
      <c r="N770" s="32">
        <f t="shared" si="2"/>
        <v>0</v>
      </c>
      <c r="O770" s="49"/>
      <c r="P770" s="32">
        <f t="array" ref="P770">_xlfn.XLOOKUP($B770, DB[samplingPoint], DB[Criteria])</f>
        <v>100</v>
      </c>
      <c r="Q770" s="50" t="str">
        <f t="shared" si="3"/>
        <v>PASSED</v>
      </c>
      <c r="R770" s="38" t="b">
        <v>0</v>
      </c>
      <c r="S770" s="35"/>
      <c r="T770" s="39" t="s">
        <v>381</v>
      </c>
      <c r="U770" s="196"/>
    </row>
    <row r="771" ht="22.5" customHeight="1">
      <c r="A771" s="26">
        <v>46171.0</v>
      </c>
      <c r="B771" s="88" t="s">
        <v>495</v>
      </c>
      <c r="C771" s="32" t="str">
        <f t="array" ref="C771">_xlfn.XLOOKUP(B771, DB[samplingPoint], DB[samplingTag])</f>
        <v>SV116.18</v>
      </c>
      <c r="D771" s="33" t="s">
        <v>436</v>
      </c>
      <c r="E771" s="38" t="b">
        <v>0</v>
      </c>
      <c r="F771" s="39" t="str">
        <f t="array" ref="F771">_xlfn.XLOOKUP($B771, DB[samplingPoint], DB[noLocation])</f>
        <v>10-4-012</v>
      </c>
      <c r="G771" s="33" t="s">
        <v>180</v>
      </c>
      <c r="H771" s="40" t="str">
        <f t="array" ref="H771">_xlfn.XLOOKUP($B771, DB[samplingPoint], DB[location])</f>
        <v>WIP SKID-1 FOR GRANULATION NON POTENT</v>
      </c>
      <c r="I771" s="39" t="str">
        <f t="array" ref="I771">_xlfn.XLOOKUP($B771, DB[samplingPoint], DB[waterType])</f>
        <v>PW</v>
      </c>
      <c r="J771" s="43">
        <f t="shared" si="5"/>
        <v>46172</v>
      </c>
      <c r="K771" s="26"/>
      <c r="L771" s="32">
        <v>0.0</v>
      </c>
      <c r="M771" s="32">
        <v>0.0</v>
      </c>
      <c r="N771" s="32">
        <f t="shared" si="2"/>
        <v>0</v>
      </c>
      <c r="O771" s="49"/>
      <c r="P771" s="32">
        <f t="array" ref="P771">_xlfn.XLOOKUP($B771, DB[samplingPoint], DB[Criteria])</f>
        <v>100</v>
      </c>
      <c r="Q771" s="50" t="str">
        <f t="shared" si="3"/>
        <v>PASSED</v>
      </c>
      <c r="R771" s="38" t="b">
        <v>0</v>
      </c>
      <c r="S771" s="35"/>
      <c r="T771" s="39" t="s">
        <v>381</v>
      </c>
      <c r="U771" s="196"/>
    </row>
    <row r="772" ht="22.5" customHeight="1">
      <c r="A772" s="26">
        <v>46171.0</v>
      </c>
      <c r="B772" s="88" t="s">
        <v>496</v>
      </c>
      <c r="C772" s="32" t="str">
        <f t="array" ref="C772">_xlfn.XLOOKUP(B772, DB[samplingPoint], DB[samplingTag])</f>
        <v>SV116.19</v>
      </c>
      <c r="D772" s="33" t="s">
        <v>436</v>
      </c>
      <c r="E772" s="38" t="b">
        <v>0</v>
      </c>
      <c r="F772" s="39" t="str">
        <f t="array" ref="F772">_xlfn.XLOOKUP($B772, DB[samplingPoint], DB[noLocation])</f>
        <v>10-4-012</v>
      </c>
      <c r="G772" s="33" t="s">
        <v>180</v>
      </c>
      <c r="H772" s="40" t="str">
        <f t="array" ref="H772">_xlfn.XLOOKUP($B772, DB[samplingPoint], DB[location])</f>
        <v>WIP SKID-2 FOR GRANULATION NON POTENT</v>
      </c>
      <c r="I772" s="39" t="str">
        <f t="array" ref="I772">_xlfn.XLOOKUP($B772, DB[samplingPoint], DB[waterType])</f>
        <v>PW</v>
      </c>
      <c r="J772" s="43">
        <f t="shared" si="5"/>
        <v>46172</v>
      </c>
      <c r="K772" s="26"/>
      <c r="L772" s="32">
        <v>8.0</v>
      </c>
      <c r="M772" s="32">
        <v>19.0</v>
      </c>
      <c r="N772" s="32">
        <f t="shared" si="2"/>
        <v>14</v>
      </c>
      <c r="O772" s="49"/>
      <c r="P772" s="32">
        <f t="array" ref="P772">_xlfn.XLOOKUP($B772, DB[samplingPoint], DB[Criteria])</f>
        <v>100</v>
      </c>
      <c r="Q772" s="50" t="str">
        <f t="shared" si="3"/>
        <v>PASSED</v>
      </c>
      <c r="R772" s="38" t="b">
        <v>0</v>
      </c>
      <c r="S772" s="35"/>
      <c r="T772" s="39" t="s">
        <v>381</v>
      </c>
      <c r="U772" s="196"/>
    </row>
    <row r="773" ht="22.5" customHeight="1">
      <c r="A773" s="26">
        <v>46171.0</v>
      </c>
      <c r="B773" s="88" t="s">
        <v>498</v>
      </c>
      <c r="C773" s="32" t="str">
        <f t="array" ref="C773">_xlfn.XLOOKUP(B773, DB[samplingPoint], DB[samplingTag])</f>
        <v>SV116.02</v>
      </c>
      <c r="D773" s="33" t="s">
        <v>436</v>
      </c>
      <c r="E773" s="38" t="b">
        <v>0</v>
      </c>
      <c r="F773" s="39" t="str">
        <f t="array" ref="F773">_xlfn.XLOOKUP($B773, DB[samplingPoint], DB[noLocation])</f>
        <v>10-2-037</v>
      </c>
      <c r="G773" s="33" t="s">
        <v>180</v>
      </c>
      <c r="H773" s="40" t="str">
        <f t="array" ref="H773">_xlfn.XLOOKUP($B773, DB[samplingPoint], DB[location])</f>
        <v>SKID FOR BIN WASHING-2</v>
      </c>
      <c r="I773" s="39" t="str">
        <f t="array" ref="I773">_xlfn.XLOOKUP($B773, DB[samplingPoint], DB[waterType])</f>
        <v>PW</v>
      </c>
      <c r="J773" s="43">
        <f t="shared" si="5"/>
        <v>46172</v>
      </c>
      <c r="K773" s="26"/>
      <c r="L773" s="32">
        <v>0.0</v>
      </c>
      <c r="M773" s="32">
        <v>0.0</v>
      </c>
      <c r="N773" s="32">
        <f t="shared" si="2"/>
        <v>0</v>
      </c>
      <c r="O773" s="49"/>
      <c r="P773" s="32">
        <f t="array" ref="P773">_xlfn.XLOOKUP($B773, DB[samplingPoint], DB[Criteria])</f>
        <v>100</v>
      </c>
      <c r="Q773" s="50" t="str">
        <f t="shared" si="3"/>
        <v>PASSED</v>
      </c>
      <c r="R773" s="38" t="b">
        <v>0</v>
      </c>
      <c r="S773" s="35"/>
      <c r="T773" s="39" t="s">
        <v>381</v>
      </c>
      <c r="U773" s="196"/>
    </row>
    <row r="774" ht="22.5" customHeight="1">
      <c r="A774" s="26">
        <v>46171.0</v>
      </c>
      <c r="B774" s="88" t="s">
        <v>499</v>
      </c>
      <c r="C774" s="32" t="str">
        <f t="array" ref="C774">_xlfn.XLOOKUP(B774, DB[samplingPoint], DB[samplingTag])</f>
        <v>SV116.01</v>
      </c>
      <c r="D774" s="33" t="s">
        <v>436</v>
      </c>
      <c r="E774" s="38" t="b">
        <v>0</v>
      </c>
      <c r="F774" s="39" t="str">
        <f t="array" ref="F774">_xlfn.XLOOKUP($B774, DB[samplingPoint], DB[noLocation])</f>
        <v>10-2-021</v>
      </c>
      <c r="G774" s="33" t="s">
        <v>180</v>
      </c>
      <c r="H774" s="40" t="str">
        <f t="array" ref="H774">_xlfn.XLOOKUP($B774, DB[samplingPoint], DB[location])</f>
        <v>INSTRUMENT-1</v>
      </c>
      <c r="I774" s="39" t="str">
        <f t="array" ref="I774">_xlfn.XLOOKUP($B774, DB[samplingPoint], DB[waterType])</f>
        <v>PW</v>
      </c>
      <c r="J774" s="43">
        <f t="shared" si="5"/>
        <v>46172</v>
      </c>
      <c r="K774" s="26"/>
      <c r="L774" s="32">
        <v>0.0</v>
      </c>
      <c r="M774" s="32">
        <v>0.0</v>
      </c>
      <c r="N774" s="32">
        <f t="shared" si="2"/>
        <v>0</v>
      </c>
      <c r="O774" s="49"/>
      <c r="P774" s="32">
        <f t="array" ref="P774">_xlfn.XLOOKUP($B774, DB[samplingPoint], DB[Criteria])</f>
        <v>100</v>
      </c>
      <c r="Q774" s="50" t="str">
        <f t="shared" si="3"/>
        <v>PASSED</v>
      </c>
      <c r="R774" s="38" t="b">
        <v>0</v>
      </c>
      <c r="S774" s="35"/>
      <c r="T774" s="39" t="s">
        <v>381</v>
      </c>
      <c r="U774" s="196"/>
    </row>
    <row r="775" ht="22.5" customHeight="1">
      <c r="A775" s="26">
        <v>46171.0</v>
      </c>
      <c r="B775" s="88" t="s">
        <v>502</v>
      </c>
      <c r="C775" s="32" t="str">
        <f t="array" ref="C775">_xlfn.XLOOKUP(B775, DB[samplingPoint], DB[samplingTag])</f>
        <v>DV116.26</v>
      </c>
      <c r="D775" s="33" t="s">
        <v>436</v>
      </c>
      <c r="E775" s="38" t="b">
        <v>0</v>
      </c>
      <c r="F775" s="39" t="str">
        <f t="array" ref="F775">_xlfn.XLOOKUP($B775, DB[samplingPoint], DB[noLocation])</f>
        <v>10-4-015</v>
      </c>
      <c r="G775" s="33" t="s">
        <v>180</v>
      </c>
      <c r="H775" s="40" t="str">
        <f t="array" ref="H775">_xlfn.XLOOKUP($B775, DB[samplingPoint], DB[location])</f>
        <v>WATER SYSTEM ROOM</v>
      </c>
      <c r="I775" s="39" t="str">
        <f t="array" ref="I775">_xlfn.XLOOKUP($B775, DB[samplingPoint], DB[waterType])</f>
        <v>PW</v>
      </c>
      <c r="J775" s="43">
        <f t="shared" si="5"/>
        <v>46172</v>
      </c>
      <c r="K775" s="26"/>
      <c r="L775" s="32">
        <v>0.0</v>
      </c>
      <c r="M775" s="32">
        <v>0.0</v>
      </c>
      <c r="N775" s="32">
        <f t="shared" si="2"/>
        <v>0</v>
      </c>
      <c r="O775" s="49"/>
      <c r="P775" s="32">
        <f t="array" ref="P775">_xlfn.XLOOKUP($B775, DB[samplingPoint], DB[Criteria])</f>
        <v>100</v>
      </c>
      <c r="Q775" s="50" t="str">
        <f t="shared" si="3"/>
        <v>PASSED</v>
      </c>
      <c r="R775" s="38" t="b">
        <v>0</v>
      </c>
      <c r="S775" s="35"/>
      <c r="T775" s="39" t="s">
        <v>381</v>
      </c>
      <c r="U775" s="196"/>
    </row>
    <row r="776" ht="22.5" customHeight="1">
      <c r="A776" s="26">
        <v>46175.0</v>
      </c>
      <c r="B776" s="27" t="s">
        <v>471</v>
      </c>
      <c r="C776" s="32" t="str">
        <f t="array" ref="C776">_xlfn.XLOOKUP(B776, DB[samplingPoint], DB[samplingTag])</f>
        <v>VB-05 (16)</v>
      </c>
      <c r="D776" s="33" t="s">
        <v>375</v>
      </c>
      <c r="E776" s="38" t="b">
        <v>0</v>
      </c>
      <c r="F776" s="39" t="str">
        <f t="array" ref="F776">_xlfn.XLOOKUP($B776, DB[samplingPoint], DB[noLocation])</f>
        <v>WATER SYSTEM (B16)</v>
      </c>
      <c r="G776" s="33" t="s">
        <v>327</v>
      </c>
      <c r="H776" s="40" t="str">
        <f t="array" ref="H776">_xlfn.XLOOKUP($B776, DB[samplingPoint], DB[location])</f>
        <v>After Chlorine circulation tank (B16)</v>
      </c>
      <c r="I776" s="39" t="str">
        <f t="array" ref="I776">_xlfn.XLOOKUP($B776, DB[samplingPoint], DB[waterType])</f>
        <v>PRW</v>
      </c>
      <c r="J776" s="43">
        <f t="shared" si="5"/>
        <v>46176</v>
      </c>
      <c r="K776" s="51">
        <v>46179.0</v>
      </c>
      <c r="L776" s="32">
        <v>4.0</v>
      </c>
      <c r="M776" s="32">
        <v>1.0</v>
      </c>
      <c r="N776" s="32">
        <f t="shared" si="2"/>
        <v>3</v>
      </c>
      <c r="O776" s="49"/>
      <c r="P776" s="32">
        <f t="array" ref="P776">_xlfn.XLOOKUP($B776, DB[samplingPoint], DB[Criteria])</f>
        <v>500</v>
      </c>
      <c r="Q776" s="50" t="str">
        <f t="shared" si="3"/>
        <v>PASSED</v>
      </c>
      <c r="R776" s="38" t="b">
        <v>0</v>
      </c>
      <c r="S776" s="35"/>
      <c r="T776" s="39" t="s">
        <v>381</v>
      </c>
      <c r="U776" s="196"/>
    </row>
    <row r="777" ht="22.5" customHeight="1">
      <c r="A777" s="26">
        <v>46175.0</v>
      </c>
      <c r="B777" s="27" t="s">
        <v>470</v>
      </c>
      <c r="C777" s="32" t="str">
        <f t="array" ref="C777">_xlfn.XLOOKUP(B777, DB[samplingPoint], DB[samplingTag])</f>
        <v>V50-61 (16)</v>
      </c>
      <c r="D777" s="33" t="s">
        <v>375</v>
      </c>
      <c r="E777" s="38" t="b">
        <v>0</v>
      </c>
      <c r="F777" s="39" t="str">
        <f t="array" ref="F777">_xlfn.XLOOKUP($B777, DB[samplingPoint], DB[noLocation])</f>
        <v>WATER SYSTEM (B16)</v>
      </c>
      <c r="G777" s="33" t="s">
        <v>327</v>
      </c>
      <c r="H777" s="40" t="str">
        <f t="array" ref="H777">_xlfn.XLOOKUP($B777, DB[samplingPoint], DB[location])</f>
        <v>After Cartridge filter 5 µm (B16)</v>
      </c>
      <c r="I777" s="39" t="str">
        <f t="array" ref="I777">_xlfn.XLOOKUP($B777, DB[samplingPoint], DB[waterType])</f>
        <v>PRW</v>
      </c>
      <c r="J777" s="43">
        <f t="shared" si="5"/>
        <v>46176</v>
      </c>
      <c r="K777" s="51">
        <v>46179.0</v>
      </c>
      <c r="L777" s="32">
        <v>1.0</v>
      </c>
      <c r="M777" s="32">
        <v>0.0</v>
      </c>
      <c r="N777" s="32">
        <f t="shared" si="2"/>
        <v>1</v>
      </c>
      <c r="O777" s="49"/>
      <c r="P777" s="32">
        <f t="array" ref="P777">_xlfn.XLOOKUP($B777, DB[samplingPoint], DB[Criteria])</f>
        <v>500</v>
      </c>
      <c r="Q777" s="50" t="str">
        <f t="shared" si="3"/>
        <v>PASSED</v>
      </c>
      <c r="R777" s="38" t="b">
        <v>0</v>
      </c>
      <c r="S777" s="35"/>
      <c r="T777" s="39" t="s">
        <v>381</v>
      </c>
      <c r="U777" s="196"/>
    </row>
    <row r="778" ht="22.5" customHeight="1">
      <c r="A778" s="26">
        <v>46175.0</v>
      </c>
      <c r="B778" s="27" t="s">
        <v>466</v>
      </c>
      <c r="C778" s="32" t="str">
        <f t="array" ref="C778">_xlfn.XLOOKUP(B778, DB[samplingPoint], DB[samplingTag])</f>
        <v>V50-11C (16)</v>
      </c>
      <c r="D778" s="33" t="s">
        <v>375</v>
      </c>
      <c r="E778" s="38" t="b">
        <v>0</v>
      </c>
      <c r="F778" s="39" t="str">
        <f t="array" ref="F778">_xlfn.XLOOKUP($B778, DB[samplingPoint], DB[noLocation])</f>
        <v>WATER SYSTEM (B16)</v>
      </c>
      <c r="G778" s="33" t="s">
        <v>327</v>
      </c>
      <c r="H778" s="40" t="str">
        <f t="array" ref="H778">_xlfn.XLOOKUP($B778, DB[samplingPoint], DB[location])</f>
        <v>After RO (Before EDI) (B16)</v>
      </c>
      <c r="I778" s="39" t="str">
        <f t="array" ref="I778">_xlfn.XLOOKUP($B778, DB[samplingPoint], DB[waterType])</f>
        <v>RO water</v>
      </c>
      <c r="J778" s="43">
        <f t="shared" si="5"/>
        <v>46176</v>
      </c>
      <c r="K778" s="51">
        <v>46179.0</v>
      </c>
      <c r="L778" s="32">
        <v>0.0</v>
      </c>
      <c r="M778" s="32">
        <v>0.0</v>
      </c>
      <c r="N778" s="32">
        <f t="shared" si="2"/>
        <v>0</v>
      </c>
      <c r="O778" s="49"/>
      <c r="P778" s="32">
        <f t="array" ref="P778">_xlfn.XLOOKUP($B778, DB[samplingPoint], DB[Criteria])</f>
        <v>500</v>
      </c>
      <c r="Q778" s="50" t="str">
        <f t="shared" si="3"/>
        <v>PASSED</v>
      </c>
      <c r="R778" s="38" t="b">
        <v>0</v>
      </c>
      <c r="S778" s="35"/>
      <c r="T778" s="39" t="s">
        <v>381</v>
      </c>
      <c r="U778" s="196"/>
    </row>
    <row r="779" ht="22.5" customHeight="1">
      <c r="A779" s="26">
        <v>46175.0</v>
      </c>
      <c r="B779" s="27" t="s">
        <v>468</v>
      </c>
      <c r="C779" s="32" t="str">
        <f t="array" ref="C779">_xlfn.XLOOKUP(B779, DB[samplingPoint], DB[samplingTag])</f>
        <v>V50-39 (16)</v>
      </c>
      <c r="D779" s="33" t="s">
        <v>375</v>
      </c>
      <c r="E779" s="38" t="b">
        <v>0</v>
      </c>
      <c r="F779" s="39" t="str">
        <f t="array" ref="F779">_xlfn.XLOOKUP($B779, DB[samplingPoint], DB[noLocation])</f>
        <v>WATER SYSTEM (B16)</v>
      </c>
      <c r="G779" s="33" t="s">
        <v>327</v>
      </c>
      <c r="H779" s="40" t="str">
        <f t="array" ref="H779">_xlfn.XLOOKUP($B779, DB[samplingPoint], DB[location])</f>
        <v>After EDI (B16)</v>
      </c>
      <c r="I779" s="39" t="str">
        <f t="array" ref="I779">_xlfn.XLOOKUP($B779, DB[samplingPoint], DB[waterType])</f>
        <v>PW</v>
      </c>
      <c r="J779" s="43">
        <f t="shared" si="5"/>
        <v>46176</v>
      </c>
      <c r="K779" s="51">
        <v>46179.0</v>
      </c>
      <c r="L779" s="32">
        <v>0.0</v>
      </c>
      <c r="M779" s="32">
        <v>0.0</v>
      </c>
      <c r="N779" s="32">
        <f t="shared" si="2"/>
        <v>0</v>
      </c>
      <c r="O779" s="49"/>
      <c r="P779" s="32">
        <f t="array" ref="P779">_xlfn.XLOOKUP($B779, DB[samplingPoint], DB[Criteria])</f>
        <v>100</v>
      </c>
      <c r="Q779" s="50" t="str">
        <f t="shared" si="3"/>
        <v>PASSED</v>
      </c>
      <c r="R779" s="38" t="b">
        <v>0</v>
      </c>
      <c r="S779" s="35"/>
      <c r="T779" s="39" t="s">
        <v>381</v>
      </c>
      <c r="U779" s="196"/>
    </row>
    <row r="780" ht="22.5" customHeight="1">
      <c r="A780" s="26">
        <v>46175.0</v>
      </c>
      <c r="B780" s="58" t="s">
        <v>464</v>
      </c>
      <c r="C780" s="32" t="str">
        <f t="array" ref="C780">_xlfn.XLOOKUP(B780, DB[samplingPoint], DB[samplingTag])</f>
        <v>SV127.01</v>
      </c>
      <c r="D780" s="33" t="s">
        <v>375</v>
      </c>
      <c r="E780" s="38" t="b">
        <v>0</v>
      </c>
      <c r="F780" s="39" t="str">
        <f t="array" ref="F780">_xlfn.XLOOKUP($B780, DB[samplingPoint], DB[noLocation])</f>
        <v>WATER SYSTEM (B16)</v>
      </c>
      <c r="G780" s="33" t="s">
        <v>327</v>
      </c>
      <c r="H780" s="40" t="str">
        <f t="array" ref="H780">_xlfn.XLOOKUP($B780, DB[samplingPoint], DB[location])</f>
        <v>Return loop (B16)</v>
      </c>
      <c r="I780" s="39" t="str">
        <f t="array" ref="I780">_xlfn.XLOOKUP($B780, DB[samplingPoint], DB[waterType])</f>
        <v>PW</v>
      </c>
      <c r="J780" s="43">
        <f t="shared" si="5"/>
        <v>46176</v>
      </c>
      <c r="K780" s="51">
        <v>46179.0</v>
      </c>
      <c r="L780" s="32">
        <v>0.0</v>
      </c>
      <c r="M780" s="32">
        <v>0.0</v>
      </c>
      <c r="N780" s="32">
        <f t="shared" si="2"/>
        <v>0</v>
      </c>
      <c r="O780" s="49"/>
      <c r="P780" s="32">
        <f t="array" ref="P780">_xlfn.XLOOKUP($B780, DB[samplingPoint], DB[Criteria])</f>
        <v>100</v>
      </c>
      <c r="Q780" s="50" t="str">
        <f t="shared" si="3"/>
        <v>PASSED</v>
      </c>
      <c r="R780" s="38" t="b">
        <v>0</v>
      </c>
      <c r="S780" s="35"/>
      <c r="T780" s="39" t="s">
        <v>381</v>
      </c>
      <c r="U780" s="196"/>
    </row>
    <row r="781" ht="22.5" customHeight="1">
      <c r="A781" s="26">
        <v>46175.0</v>
      </c>
      <c r="B781" s="27" t="s">
        <v>451</v>
      </c>
      <c r="C781" s="32" t="str">
        <f t="array" ref="C781">_xlfn.XLOOKUP(B781, DB[samplingPoint], DB[samplingTag])</f>
        <v>DV126.02</v>
      </c>
      <c r="D781" s="33" t="s">
        <v>375</v>
      </c>
      <c r="E781" s="38" t="b">
        <v>0</v>
      </c>
      <c r="F781" s="39" t="str">
        <f t="array" ref="F781">_xlfn.XLOOKUP($B781, DB[samplingPoint], DB[noLocation])</f>
        <v>16-1-082</v>
      </c>
      <c r="G781" s="33" t="s">
        <v>327</v>
      </c>
      <c r="H781" s="40" t="str">
        <f t="array" ref="H781">_xlfn.XLOOKUP($B781, DB[samplingPoint], DB[location])</f>
        <v>WASHING</v>
      </c>
      <c r="I781" s="39" t="str">
        <f t="array" ref="I781">_xlfn.XLOOKUP($B781, DB[samplingPoint], DB[waterType])</f>
        <v>PW</v>
      </c>
      <c r="J781" s="43">
        <f t="shared" si="5"/>
        <v>46176</v>
      </c>
      <c r="K781" s="51">
        <v>46179.0</v>
      </c>
      <c r="L781" s="32">
        <v>0.0</v>
      </c>
      <c r="M781" s="32">
        <v>0.0</v>
      </c>
      <c r="N781" s="32">
        <f t="shared" si="2"/>
        <v>0</v>
      </c>
      <c r="O781" s="49"/>
      <c r="P781" s="32">
        <f t="array" ref="P781">_xlfn.XLOOKUP($B781, DB[samplingPoint], DB[Criteria])</f>
        <v>100</v>
      </c>
      <c r="Q781" s="50" t="str">
        <f t="shared" si="3"/>
        <v>PASSED</v>
      </c>
      <c r="R781" s="38" t="b">
        <v>0</v>
      </c>
      <c r="S781" s="35"/>
      <c r="T781" s="39" t="s">
        <v>381</v>
      </c>
      <c r="U781" s="196"/>
    </row>
    <row r="782" ht="22.5" customHeight="1">
      <c r="A782" s="26">
        <v>46175.0</v>
      </c>
      <c r="B782" s="58" t="s">
        <v>447</v>
      </c>
      <c r="C782" s="32" t="str">
        <f t="array" ref="C782">_xlfn.XLOOKUP(B782, DB[samplingPoint], DB[samplingTag])</f>
        <v>DV126.01</v>
      </c>
      <c r="D782" s="33" t="s">
        <v>375</v>
      </c>
      <c r="E782" s="38" t="b">
        <v>0</v>
      </c>
      <c r="F782" s="39" t="str">
        <f t="array" ref="F782">_xlfn.XLOOKUP($B782, DB[samplingPoint], DB[noLocation])</f>
        <v>16-1-082</v>
      </c>
      <c r="G782" s="33" t="s">
        <v>327</v>
      </c>
      <c r="H782" s="40" t="str">
        <f t="array" ref="H782">_xlfn.XLOOKUP($B782, DB[samplingPoint], DB[location])</f>
        <v>WASHING</v>
      </c>
      <c r="I782" s="39" t="str">
        <f t="array" ref="I782">_xlfn.XLOOKUP($B782, DB[samplingPoint], DB[waterType])</f>
        <v>PW</v>
      </c>
      <c r="J782" s="43">
        <f t="shared" si="5"/>
        <v>46176</v>
      </c>
      <c r="K782" s="51">
        <v>46179.0</v>
      </c>
      <c r="L782" s="32">
        <v>0.0</v>
      </c>
      <c r="M782" s="32">
        <v>0.0</v>
      </c>
      <c r="N782" s="32">
        <f t="shared" si="2"/>
        <v>0</v>
      </c>
      <c r="O782" s="49"/>
      <c r="P782" s="32">
        <f t="array" ref="P782">_xlfn.XLOOKUP($B782, DB[samplingPoint], DB[Criteria])</f>
        <v>100</v>
      </c>
      <c r="Q782" s="50" t="str">
        <f t="shared" si="3"/>
        <v>PASSED</v>
      </c>
      <c r="R782" s="38" t="b">
        <v>0</v>
      </c>
      <c r="S782" s="35"/>
      <c r="T782" s="39" t="s">
        <v>381</v>
      </c>
      <c r="U782" s="196"/>
    </row>
    <row r="783" ht="22.5" customHeight="1">
      <c r="A783" s="26">
        <v>46175.0</v>
      </c>
      <c r="B783" s="27" t="s">
        <v>459</v>
      </c>
      <c r="C783" s="32" t="str">
        <f t="array" ref="C783">_xlfn.XLOOKUP(B783, DB[samplingPoint], DB[samplingTag])</f>
        <v>SV126.02</v>
      </c>
      <c r="D783" s="33" t="s">
        <v>375</v>
      </c>
      <c r="E783" s="38" t="b">
        <v>0</v>
      </c>
      <c r="F783" s="39" t="str">
        <f t="array" ref="F783">_xlfn.XLOOKUP($B783, DB[samplingPoint], DB[noLocation])</f>
        <v>16-1-098</v>
      </c>
      <c r="G783" s="33" t="s">
        <v>327</v>
      </c>
      <c r="H783" s="40" t="str">
        <f t="array" ref="H783">_xlfn.XLOOKUP($B783, DB[samplingPoint], DB[location])</f>
        <v>CIP/SIP (EQUIPMENT REQUIREMENT – 200L)</v>
      </c>
      <c r="I783" s="39" t="str">
        <f t="array" ref="I783">_xlfn.XLOOKUP($B783, DB[samplingPoint], DB[waterType])</f>
        <v>PW</v>
      </c>
      <c r="J783" s="43">
        <f t="shared" si="5"/>
        <v>46176</v>
      </c>
      <c r="K783" s="51">
        <v>46179.0</v>
      </c>
      <c r="L783" s="32">
        <v>0.0</v>
      </c>
      <c r="M783" s="32">
        <v>0.0</v>
      </c>
      <c r="N783" s="32">
        <f t="shared" si="2"/>
        <v>0</v>
      </c>
      <c r="O783" s="49"/>
      <c r="P783" s="32">
        <f t="array" ref="P783">_xlfn.XLOOKUP($B783, DB[samplingPoint], DB[Criteria])</f>
        <v>100</v>
      </c>
      <c r="Q783" s="50" t="str">
        <f t="shared" si="3"/>
        <v>PASSED</v>
      </c>
      <c r="R783" s="38" t="b">
        <v>0</v>
      </c>
      <c r="S783" s="35"/>
      <c r="T783" s="39" t="s">
        <v>381</v>
      </c>
      <c r="U783" s="196"/>
    </row>
    <row r="784" ht="22.5" customHeight="1">
      <c r="A784" s="26">
        <v>46175.0</v>
      </c>
      <c r="B784" s="58" t="s">
        <v>454</v>
      </c>
      <c r="C784" s="32" t="str">
        <f t="array" ref="C784">_xlfn.XLOOKUP(B784, DB[samplingPoint], DB[samplingTag])</f>
        <v>DV126.03</v>
      </c>
      <c r="D784" s="33" t="s">
        <v>375</v>
      </c>
      <c r="E784" s="38" t="b">
        <v>0</v>
      </c>
      <c r="F784" s="39" t="str">
        <f t="array" ref="F784">_xlfn.XLOOKUP($B784, DB[samplingPoint], DB[noLocation])</f>
        <v>16-1-098</v>
      </c>
      <c r="G784" s="33" t="s">
        <v>327</v>
      </c>
      <c r="H784" s="40" t="str">
        <f t="array" ref="H784">_xlfn.XLOOKUP($B784, DB[samplingPoint], DB[location])</f>
        <v>CIP/SIP (SINK WASHING)</v>
      </c>
      <c r="I784" s="39" t="str">
        <f t="array" ref="I784">_xlfn.XLOOKUP($B784, DB[samplingPoint], DB[waterType])</f>
        <v>PW</v>
      </c>
      <c r="J784" s="43">
        <f t="shared" si="5"/>
        <v>46176</v>
      </c>
      <c r="K784" s="51">
        <v>46179.0</v>
      </c>
      <c r="L784" s="32">
        <v>0.0</v>
      </c>
      <c r="M784" s="32">
        <v>0.0</v>
      </c>
      <c r="N784" s="32">
        <f t="shared" si="2"/>
        <v>0</v>
      </c>
      <c r="O784" s="49"/>
      <c r="P784" s="32">
        <f t="array" ref="P784">_xlfn.XLOOKUP($B784, DB[samplingPoint], DB[Criteria])</f>
        <v>100</v>
      </c>
      <c r="Q784" s="50" t="str">
        <f t="shared" si="3"/>
        <v>PASSED</v>
      </c>
      <c r="R784" s="38" t="b">
        <v>0</v>
      </c>
      <c r="S784" s="35"/>
      <c r="T784" s="39" t="s">
        <v>381</v>
      </c>
      <c r="U784" s="196"/>
    </row>
    <row r="785" ht="22.5" customHeight="1">
      <c r="A785" s="26">
        <v>46175.0</v>
      </c>
      <c r="B785" s="27" t="s">
        <v>457</v>
      </c>
      <c r="C785" s="32" t="str">
        <f t="array" ref="C785">_xlfn.XLOOKUP(B785, DB[samplingPoint], DB[samplingTag])</f>
        <v>SV126.01</v>
      </c>
      <c r="D785" s="33" t="s">
        <v>375</v>
      </c>
      <c r="E785" s="38" t="b">
        <v>0</v>
      </c>
      <c r="F785" s="39" t="str">
        <f t="array" ref="F785">_xlfn.XLOOKUP($B785, DB[samplingPoint], DB[noLocation])</f>
        <v>16-1-092</v>
      </c>
      <c r="G785" s="33" t="s">
        <v>327</v>
      </c>
      <c r="H785" s="40" t="str">
        <f t="array" ref="H785">_xlfn.XLOOKUP($B785, DB[samplingPoint], DB[location])</f>
        <v>LINEN WASHING</v>
      </c>
      <c r="I785" s="39" t="str">
        <f t="array" ref="I785">_xlfn.XLOOKUP($B785, DB[samplingPoint], DB[waterType])</f>
        <v>PW</v>
      </c>
      <c r="J785" s="43">
        <f t="shared" si="5"/>
        <v>46176</v>
      </c>
      <c r="K785" s="51">
        <v>46179.0</v>
      </c>
      <c r="L785" s="32">
        <v>0.0</v>
      </c>
      <c r="M785" s="32">
        <v>0.0</v>
      </c>
      <c r="N785" s="32">
        <f t="shared" si="2"/>
        <v>0</v>
      </c>
      <c r="O785" s="49"/>
      <c r="P785" s="32">
        <f t="array" ref="P785">_xlfn.XLOOKUP($B785, DB[samplingPoint], DB[Criteria])</f>
        <v>100</v>
      </c>
      <c r="Q785" s="50" t="str">
        <f t="shared" si="3"/>
        <v>PASSED</v>
      </c>
      <c r="R785" s="38" t="b">
        <v>0</v>
      </c>
      <c r="S785" s="35"/>
      <c r="T785" s="39" t="s">
        <v>381</v>
      </c>
      <c r="U785" s="196"/>
    </row>
    <row r="786" ht="22.5" customHeight="1">
      <c r="A786" s="26">
        <v>46175.0</v>
      </c>
      <c r="B786" s="58" t="s">
        <v>461</v>
      </c>
      <c r="C786" s="32" t="str">
        <f t="array" ref="C786">_xlfn.XLOOKUP(B786, DB[samplingPoint], DB[samplingTag])</f>
        <v>SV126.03</v>
      </c>
      <c r="D786" s="33" t="s">
        <v>375</v>
      </c>
      <c r="E786" s="38" t="b">
        <v>0</v>
      </c>
      <c r="F786" s="39" t="str">
        <f t="array" ref="F786">_xlfn.XLOOKUP($B786, DB[samplingPoint], DB[noLocation])</f>
        <v>16-2-010</v>
      </c>
      <c r="G786" s="33" t="s">
        <v>327</v>
      </c>
      <c r="H786" s="40" t="str">
        <f t="array" ref="H786">_xlfn.XLOOKUP($B786, DB[samplingPoint], DB[location])</f>
        <v>WATER SYSTEM (WFI)</v>
      </c>
      <c r="I786" s="39" t="str">
        <f t="array" ref="I786">_xlfn.XLOOKUP($B786, DB[samplingPoint], DB[waterType])</f>
        <v>PW</v>
      </c>
      <c r="J786" s="43">
        <f t="shared" si="5"/>
        <v>46176</v>
      </c>
      <c r="K786" s="51">
        <v>46179.0</v>
      </c>
      <c r="L786" s="32">
        <v>0.0</v>
      </c>
      <c r="M786" s="32">
        <v>0.0</v>
      </c>
      <c r="N786" s="32">
        <f t="shared" si="2"/>
        <v>0</v>
      </c>
      <c r="O786" s="49"/>
      <c r="P786" s="32">
        <f t="array" ref="P786">_xlfn.XLOOKUP($B786, DB[samplingPoint], DB[Criteria])</f>
        <v>100</v>
      </c>
      <c r="Q786" s="50" t="str">
        <f t="shared" si="3"/>
        <v>PASSED</v>
      </c>
      <c r="R786" s="38" t="b">
        <v>0</v>
      </c>
      <c r="S786" s="35"/>
      <c r="T786" s="39" t="s">
        <v>381</v>
      </c>
      <c r="U786" s="196"/>
    </row>
    <row r="787" ht="22.5" customHeight="1">
      <c r="A787" s="26">
        <v>46175.0</v>
      </c>
      <c r="B787" s="27" t="s">
        <v>444</v>
      </c>
      <c r="C787" s="32" t="str">
        <f t="array" ref="C787">_xlfn.XLOOKUP(B787, DB[samplingPoint], DB[samplingTag])</f>
        <v>VB-05 (12)</v>
      </c>
      <c r="D787" s="33" t="s">
        <v>375</v>
      </c>
      <c r="E787" s="38" t="b">
        <v>0</v>
      </c>
      <c r="F787" s="39" t="str">
        <f t="array" ref="F787">_xlfn.XLOOKUP($B787, DB[samplingPoint], DB[noLocation])</f>
        <v>WATER SYSTEM (B12)</v>
      </c>
      <c r="G787" s="33" t="s">
        <v>437</v>
      </c>
      <c r="H787" s="40" t="str">
        <f t="array" ref="H787">_xlfn.XLOOKUP($B787, DB[samplingPoint], DB[location])</f>
        <v>After Chlorine circulation tank</v>
      </c>
      <c r="I787" s="39" t="str">
        <f t="array" ref="I787">_xlfn.XLOOKUP($B787, DB[samplingPoint], DB[waterType])</f>
        <v>PRW</v>
      </c>
      <c r="J787" s="43">
        <f t="shared" si="5"/>
        <v>46176</v>
      </c>
      <c r="K787" s="51">
        <v>46179.0</v>
      </c>
      <c r="L787" s="32"/>
      <c r="M787" s="32"/>
      <c r="N787" s="32" t="str">
        <f t="shared" si="2"/>
        <v>#DIV/0!</v>
      </c>
      <c r="O787" s="49"/>
      <c r="P787" s="32">
        <f t="array" ref="P787">_xlfn.XLOOKUP($B787, DB[samplingPoint], DB[Criteria])</f>
        <v>500</v>
      </c>
      <c r="Q787" s="50" t="str">
        <f t="shared" si="3"/>
        <v>NA</v>
      </c>
      <c r="R787" s="38" t="b">
        <v>0</v>
      </c>
      <c r="S787" s="35"/>
      <c r="T787" s="39" t="s">
        <v>381</v>
      </c>
      <c r="U787" s="196"/>
    </row>
    <row r="788" ht="22.5" customHeight="1">
      <c r="A788" s="26">
        <v>46175.0</v>
      </c>
      <c r="B788" s="27" t="s">
        <v>442</v>
      </c>
      <c r="C788" s="32" t="str">
        <f t="array" ref="C788">_xlfn.XLOOKUP(B788, DB[samplingPoint], DB[samplingTag])</f>
        <v>V50-61 (12)</v>
      </c>
      <c r="D788" s="33" t="s">
        <v>375</v>
      </c>
      <c r="E788" s="38" t="b">
        <v>0</v>
      </c>
      <c r="F788" s="39" t="str">
        <f t="array" ref="F788">_xlfn.XLOOKUP($B788, DB[samplingPoint], DB[noLocation])</f>
        <v>WATER SYSTEM (B12)</v>
      </c>
      <c r="G788" s="33" t="s">
        <v>437</v>
      </c>
      <c r="H788" s="40" t="str">
        <f t="array" ref="H788">_xlfn.XLOOKUP($B788, DB[samplingPoint], DB[location])</f>
        <v>After Cartridge filter 5 µm (B12)</v>
      </c>
      <c r="I788" s="39" t="str">
        <f t="array" ref="I788">_xlfn.XLOOKUP($B788, DB[samplingPoint], DB[waterType])</f>
        <v>PRW</v>
      </c>
      <c r="J788" s="43">
        <f t="shared" si="5"/>
        <v>46176</v>
      </c>
      <c r="K788" s="51">
        <v>46179.0</v>
      </c>
      <c r="L788" s="32">
        <v>163.0</v>
      </c>
      <c r="M788" s="32">
        <v>144.0</v>
      </c>
      <c r="N788" s="32">
        <f t="shared" si="2"/>
        <v>154</v>
      </c>
      <c r="O788" s="49"/>
      <c r="P788" s="32">
        <f t="array" ref="P788">_xlfn.XLOOKUP($B788, DB[samplingPoint], DB[Criteria])</f>
        <v>500</v>
      </c>
      <c r="Q788" s="50" t="str">
        <f t="shared" si="3"/>
        <v>PASSED</v>
      </c>
      <c r="R788" s="38" t="b">
        <v>0</v>
      </c>
      <c r="S788" s="35"/>
      <c r="T788" s="39" t="s">
        <v>381</v>
      </c>
      <c r="U788" s="196"/>
    </row>
    <row r="789" ht="22.5" customHeight="1">
      <c r="A789" s="26">
        <v>46175.0</v>
      </c>
      <c r="B789" s="27" t="s">
        <v>434</v>
      </c>
      <c r="C789" s="32" t="str">
        <f t="array" ref="C789">_xlfn.XLOOKUP(B789, DB[samplingPoint], DB[samplingTag])</f>
        <v>V50-11C (12)</v>
      </c>
      <c r="D789" s="33" t="s">
        <v>375</v>
      </c>
      <c r="E789" s="38" t="b">
        <v>0</v>
      </c>
      <c r="F789" s="39" t="str">
        <f t="array" ref="F789">_xlfn.XLOOKUP($B789, DB[samplingPoint], DB[noLocation])</f>
        <v>WATER SYSTEM (B12)</v>
      </c>
      <c r="G789" s="33" t="s">
        <v>437</v>
      </c>
      <c r="H789" s="40" t="str">
        <f t="array" ref="H789">_xlfn.XLOOKUP($B789, DB[samplingPoint], DB[location])</f>
        <v>After RO (Before EDI) (B12)</v>
      </c>
      <c r="I789" s="39" t="str">
        <f t="array" ref="I789">_xlfn.XLOOKUP($B789, DB[samplingPoint], DB[waterType])</f>
        <v>RO water</v>
      </c>
      <c r="J789" s="43">
        <f t="shared" si="5"/>
        <v>46176</v>
      </c>
      <c r="K789" s="51">
        <v>46179.0</v>
      </c>
      <c r="L789" s="32">
        <v>0.0</v>
      </c>
      <c r="M789" s="32">
        <v>0.0</v>
      </c>
      <c r="N789" s="32">
        <f t="shared" si="2"/>
        <v>0</v>
      </c>
      <c r="O789" s="49"/>
      <c r="P789" s="32">
        <f t="array" ref="P789">_xlfn.XLOOKUP($B789, DB[samplingPoint], DB[Criteria])</f>
        <v>500</v>
      </c>
      <c r="Q789" s="50" t="str">
        <f t="shared" si="3"/>
        <v>PASSED</v>
      </c>
      <c r="R789" s="38" t="b">
        <v>0</v>
      </c>
      <c r="S789" s="35"/>
      <c r="T789" s="39" t="s">
        <v>381</v>
      </c>
      <c r="U789" s="196"/>
    </row>
    <row r="790" ht="22.5" customHeight="1">
      <c r="A790" s="26">
        <v>46175.0</v>
      </c>
      <c r="B790" s="27" t="s">
        <v>440</v>
      </c>
      <c r="C790" s="32" t="str">
        <f t="array" ref="C790">_xlfn.XLOOKUP(B790, DB[samplingPoint], DB[samplingTag])</f>
        <v>V50-39 (12)</v>
      </c>
      <c r="D790" s="33" t="s">
        <v>375</v>
      </c>
      <c r="E790" s="38" t="b">
        <v>0</v>
      </c>
      <c r="F790" s="39" t="str">
        <f t="array" ref="F790">_xlfn.XLOOKUP($B790, DB[samplingPoint], DB[noLocation])</f>
        <v>WATER SYSTEM (B12)</v>
      </c>
      <c r="G790" s="33" t="s">
        <v>437</v>
      </c>
      <c r="H790" s="40" t="str">
        <f t="array" ref="H790">_xlfn.XLOOKUP($B790, DB[samplingPoint], DB[location])</f>
        <v>After EDI (B12)</v>
      </c>
      <c r="I790" s="39" t="str">
        <f t="array" ref="I790">_xlfn.XLOOKUP($B790, DB[samplingPoint], DB[waterType])</f>
        <v>PW</v>
      </c>
      <c r="J790" s="43">
        <f t="shared" si="5"/>
        <v>46176</v>
      </c>
      <c r="K790" s="51">
        <v>46179.0</v>
      </c>
      <c r="L790" s="32">
        <v>0.0</v>
      </c>
      <c r="M790" s="32">
        <v>0.0</v>
      </c>
      <c r="N790" s="32">
        <f t="shared" si="2"/>
        <v>0</v>
      </c>
      <c r="O790" s="49"/>
      <c r="P790" s="32">
        <f t="array" ref="P790">_xlfn.XLOOKUP($B790, DB[samplingPoint], DB[Criteria])</f>
        <v>100</v>
      </c>
      <c r="Q790" s="50" t="str">
        <f t="shared" si="3"/>
        <v>PASSED</v>
      </c>
      <c r="R790" s="38" t="b">
        <v>0</v>
      </c>
      <c r="S790" s="35"/>
      <c r="T790" s="39" t="s">
        <v>381</v>
      </c>
      <c r="U790" s="196"/>
    </row>
    <row r="791" ht="22.5" customHeight="1">
      <c r="A791" s="26">
        <v>46175.0</v>
      </c>
      <c r="B791" s="27" t="s">
        <v>430</v>
      </c>
      <c r="C791" s="32" t="str">
        <f t="array" ref="C791">_xlfn.XLOOKUP(B791, DB[samplingPoint], DB[samplingTag])</f>
        <v>SV137.01</v>
      </c>
      <c r="D791" s="33" t="s">
        <v>375</v>
      </c>
      <c r="E791" s="38" t="b">
        <v>0</v>
      </c>
      <c r="F791" s="39" t="str">
        <f t="array" ref="F791">_xlfn.XLOOKUP($B791, DB[samplingPoint], DB[noLocation])</f>
        <v>WATER SYSTEM (B12)</v>
      </c>
      <c r="G791" s="33" t="s">
        <v>437</v>
      </c>
      <c r="H791" s="40" t="str">
        <f t="array" ref="H791">_xlfn.XLOOKUP($B791, DB[samplingPoint], DB[location])</f>
        <v>Return loop (B12)</v>
      </c>
      <c r="I791" s="39" t="str">
        <f t="array" ref="I791">_xlfn.XLOOKUP($B791, DB[samplingPoint], DB[waterType])</f>
        <v>PW</v>
      </c>
      <c r="J791" s="43">
        <f t="shared" si="5"/>
        <v>46176</v>
      </c>
      <c r="K791" s="51">
        <v>46179.0</v>
      </c>
      <c r="L791" s="32">
        <v>0.0</v>
      </c>
      <c r="M791" s="32">
        <v>0.0</v>
      </c>
      <c r="N791" s="32">
        <f t="shared" si="2"/>
        <v>0</v>
      </c>
      <c r="O791" s="49"/>
      <c r="P791" s="32">
        <f t="array" ref="P791">_xlfn.XLOOKUP($B791, DB[samplingPoint], DB[Criteria])</f>
        <v>100</v>
      </c>
      <c r="Q791" s="50" t="str">
        <f t="shared" si="3"/>
        <v>PASSED</v>
      </c>
      <c r="R791" s="38" t="b">
        <v>0</v>
      </c>
      <c r="S791" s="35"/>
      <c r="T791" s="39" t="s">
        <v>381</v>
      </c>
      <c r="U791" s="196"/>
    </row>
    <row r="792" ht="22.5" customHeight="1">
      <c r="A792" s="26">
        <v>46175.0</v>
      </c>
      <c r="B792" s="58" t="s">
        <v>419</v>
      </c>
      <c r="C792" s="32" t="str">
        <f t="array" ref="C792">_xlfn.XLOOKUP(B792, DB[samplingPoint], DB[samplingTag])</f>
        <v>DV136.15</v>
      </c>
      <c r="D792" s="33" t="s">
        <v>375</v>
      </c>
      <c r="E792" s="38" t="b">
        <v>0</v>
      </c>
      <c r="F792" s="39" t="str">
        <f t="array" ref="F792">_xlfn.XLOOKUP($B792, DB[samplingPoint], DB[noLocation])</f>
        <v>12-3-078</v>
      </c>
      <c r="G792" s="33" t="s">
        <v>437</v>
      </c>
      <c r="H792" s="40" t="str">
        <f t="array" ref="H792">_xlfn.XLOOKUP($B792, DB[samplingPoint], DB[location])</f>
        <v>GLASSWARE WASHING 2</v>
      </c>
      <c r="I792" s="39" t="str">
        <f t="array" ref="I792">_xlfn.XLOOKUP($B792, DB[samplingPoint], DB[waterType])</f>
        <v>PW</v>
      </c>
      <c r="J792" s="43">
        <f t="shared" si="5"/>
        <v>46176</v>
      </c>
      <c r="K792" s="51">
        <v>46179.0</v>
      </c>
      <c r="L792" s="32">
        <v>0.0</v>
      </c>
      <c r="M792" s="32">
        <v>0.0</v>
      </c>
      <c r="N792" s="32">
        <f t="shared" si="2"/>
        <v>0</v>
      </c>
      <c r="O792" s="49"/>
      <c r="P792" s="32">
        <f t="array" ref="P792">_xlfn.XLOOKUP($B792, DB[samplingPoint], DB[Criteria])</f>
        <v>100</v>
      </c>
      <c r="Q792" s="50" t="str">
        <f t="shared" si="3"/>
        <v>PASSED</v>
      </c>
      <c r="R792" s="38" t="b">
        <v>0</v>
      </c>
      <c r="S792" s="35"/>
      <c r="T792" s="39" t="s">
        <v>381</v>
      </c>
      <c r="U792" s="196"/>
    </row>
    <row r="793" ht="22.5" customHeight="1">
      <c r="A793" s="26">
        <v>46175.0</v>
      </c>
      <c r="B793" s="27" t="s">
        <v>409</v>
      </c>
      <c r="C793" s="32" t="str">
        <f t="array" ref="C793">_xlfn.XLOOKUP(B793, DB[samplingPoint], DB[samplingTag])</f>
        <v>DV136.13</v>
      </c>
      <c r="D793" s="33" t="s">
        <v>375</v>
      </c>
      <c r="E793" s="38" t="b">
        <v>0</v>
      </c>
      <c r="F793" s="39" t="str">
        <f t="array" ref="F793">_xlfn.XLOOKUP($B793, DB[samplingPoint], DB[noLocation])</f>
        <v>12-3-057</v>
      </c>
      <c r="G793" s="33" t="s">
        <v>437</v>
      </c>
      <c r="H793" s="40" t="str">
        <f t="array" ref="H793">_xlfn.XLOOKUP($B793, DB[samplingPoint], DB[location])</f>
        <v>STERILIZATION</v>
      </c>
      <c r="I793" s="39" t="str">
        <f t="array" ref="I793">_xlfn.XLOOKUP($B793, DB[samplingPoint], DB[waterType])</f>
        <v>PW</v>
      </c>
      <c r="J793" s="43">
        <f t="shared" si="5"/>
        <v>46176</v>
      </c>
      <c r="K793" s="51">
        <v>46179.0</v>
      </c>
      <c r="L793" s="32">
        <v>0.0</v>
      </c>
      <c r="M793" s="32">
        <v>0.0</v>
      </c>
      <c r="N793" s="32">
        <f t="shared" si="2"/>
        <v>0</v>
      </c>
      <c r="O793" s="49"/>
      <c r="P793" s="32">
        <f t="array" ref="P793">_xlfn.XLOOKUP($B793, DB[samplingPoint], DB[Criteria])</f>
        <v>100</v>
      </c>
      <c r="Q793" s="50" t="str">
        <f t="shared" si="3"/>
        <v>PASSED</v>
      </c>
      <c r="R793" s="38" t="b">
        <v>0</v>
      </c>
      <c r="S793" s="35"/>
      <c r="T793" s="39" t="s">
        <v>381</v>
      </c>
      <c r="U793" s="196"/>
    </row>
    <row r="794" ht="22.5" customHeight="1">
      <c r="A794" s="26">
        <v>46175.0</v>
      </c>
      <c r="B794" s="58" t="s">
        <v>427</v>
      </c>
      <c r="C794" s="32" t="str">
        <f t="array" ref="C794">_xlfn.XLOOKUP(B794, DB[samplingPoint], DB[samplingTag])</f>
        <v>SV136.18</v>
      </c>
      <c r="D794" s="33" t="s">
        <v>375</v>
      </c>
      <c r="E794" s="38" t="b">
        <v>0</v>
      </c>
      <c r="F794" s="39" t="str">
        <f t="array" ref="F794">_xlfn.XLOOKUP($B794, DB[samplingPoint], DB[noLocation])</f>
        <v>12-3-059</v>
      </c>
      <c r="G794" s="33" t="s">
        <v>437</v>
      </c>
      <c r="H794" s="40" t="str">
        <f t="array" ref="H794">_xlfn.XLOOKUP($B794, DB[samplingPoint], DB[location])</f>
        <v>AUTOCLAVE</v>
      </c>
      <c r="I794" s="39" t="str">
        <f t="array" ref="I794">_xlfn.XLOOKUP($B794, DB[samplingPoint], DB[waterType])</f>
        <v>PW</v>
      </c>
      <c r="J794" s="43">
        <f t="shared" si="5"/>
        <v>46176</v>
      </c>
      <c r="K794" s="51">
        <v>46179.0</v>
      </c>
      <c r="L794" s="32">
        <v>0.0</v>
      </c>
      <c r="M794" s="32">
        <v>0.0</v>
      </c>
      <c r="N794" s="32">
        <f t="shared" si="2"/>
        <v>0</v>
      </c>
      <c r="O794" s="49"/>
      <c r="P794" s="32">
        <f t="array" ref="P794">_xlfn.XLOOKUP($B794, DB[samplingPoint], DB[Criteria])</f>
        <v>100</v>
      </c>
      <c r="Q794" s="50" t="str">
        <f t="shared" si="3"/>
        <v>PASSED</v>
      </c>
      <c r="R794" s="38" t="b">
        <v>0</v>
      </c>
      <c r="S794" s="35"/>
      <c r="T794" s="39" t="s">
        <v>381</v>
      </c>
      <c r="U794" s="196"/>
    </row>
    <row r="795" ht="22.5" customHeight="1">
      <c r="A795" s="26">
        <v>46175.0</v>
      </c>
      <c r="B795" s="27" t="s">
        <v>399</v>
      </c>
      <c r="C795" s="32" t="str">
        <f t="array" ref="C795">_xlfn.XLOOKUP(B795, DB[samplingPoint], DB[samplingTag])</f>
        <v>DV136.11</v>
      </c>
      <c r="D795" s="33" t="s">
        <v>375</v>
      </c>
      <c r="E795" s="38" t="b">
        <v>0</v>
      </c>
      <c r="F795" s="39" t="str">
        <f t="array" ref="F795">_xlfn.XLOOKUP($B795, DB[samplingPoint], DB[noLocation])</f>
        <v>12-3-059</v>
      </c>
      <c r="G795" s="33" t="s">
        <v>437</v>
      </c>
      <c r="H795" s="40" t="str">
        <f t="array" ref="H795">_xlfn.XLOOKUP($B795, DB[samplingPoint], DB[location])</f>
        <v>AUTOCLAVE</v>
      </c>
      <c r="I795" s="39" t="str">
        <f t="array" ref="I795">_xlfn.XLOOKUP($B795, DB[samplingPoint], DB[waterType])</f>
        <v>PW</v>
      </c>
      <c r="J795" s="43">
        <f t="shared" si="5"/>
        <v>46176</v>
      </c>
      <c r="K795" s="51">
        <v>46179.0</v>
      </c>
      <c r="L795" s="32">
        <v>0.0</v>
      </c>
      <c r="M795" s="32">
        <v>0.0</v>
      </c>
      <c r="N795" s="32">
        <f t="shared" si="2"/>
        <v>0</v>
      </c>
      <c r="O795" s="49"/>
      <c r="P795" s="32">
        <f t="array" ref="P795">_xlfn.XLOOKUP($B795, DB[samplingPoint], DB[Criteria])</f>
        <v>100</v>
      </c>
      <c r="Q795" s="50" t="str">
        <f t="shared" si="3"/>
        <v>PASSED</v>
      </c>
      <c r="R795" s="38" t="b">
        <v>0</v>
      </c>
      <c r="S795" s="35"/>
      <c r="T795" s="39" t="s">
        <v>381</v>
      </c>
      <c r="U795" s="196"/>
    </row>
    <row r="796" ht="22.5" customHeight="1">
      <c r="A796" s="26">
        <v>46175.0</v>
      </c>
      <c r="B796" s="58" t="s">
        <v>405</v>
      </c>
      <c r="C796" s="32" t="str">
        <f t="array" ref="C796">_xlfn.XLOOKUP(B796, DB[samplingPoint], DB[samplingTag])</f>
        <v>DV136.12</v>
      </c>
      <c r="D796" s="33" t="s">
        <v>375</v>
      </c>
      <c r="E796" s="38" t="b">
        <v>0</v>
      </c>
      <c r="F796" s="39" t="str">
        <f t="array" ref="F796">_xlfn.XLOOKUP($B796, DB[samplingPoint], DB[noLocation])</f>
        <v>12-3-056</v>
      </c>
      <c r="G796" s="33" t="s">
        <v>437</v>
      </c>
      <c r="H796" s="40" t="str">
        <f t="array" ref="H796">_xlfn.XLOOKUP($B796, DB[samplingPoint], DB[location])</f>
        <v>MEDIA PREPARATION</v>
      </c>
      <c r="I796" s="39" t="str">
        <f t="array" ref="I796">_xlfn.XLOOKUP($B796, DB[samplingPoint], DB[waterType])</f>
        <v>PW</v>
      </c>
      <c r="J796" s="43">
        <f t="shared" si="5"/>
        <v>46176</v>
      </c>
      <c r="K796" s="51">
        <v>46179.0</v>
      </c>
      <c r="L796" s="32">
        <v>0.0</v>
      </c>
      <c r="M796" s="32">
        <v>0.0</v>
      </c>
      <c r="N796" s="32">
        <f t="shared" si="2"/>
        <v>0</v>
      </c>
      <c r="O796" s="49"/>
      <c r="P796" s="32">
        <f t="array" ref="P796">_xlfn.XLOOKUP($B796, DB[samplingPoint], DB[Criteria])</f>
        <v>100</v>
      </c>
      <c r="Q796" s="50" t="str">
        <f t="shared" si="3"/>
        <v>PASSED</v>
      </c>
      <c r="R796" s="38" t="b">
        <v>0</v>
      </c>
      <c r="S796" s="35"/>
      <c r="T796" s="39" t="s">
        <v>381</v>
      </c>
      <c r="U796" s="196"/>
    </row>
    <row r="797" ht="22.5" customHeight="1">
      <c r="A797" s="26">
        <v>46175.0</v>
      </c>
      <c r="B797" s="27" t="s">
        <v>393</v>
      </c>
      <c r="C797" s="32" t="str">
        <f t="array" ref="C797">_xlfn.XLOOKUP(B797, DB[samplingPoint], DB[samplingTag])</f>
        <v>DV136.10</v>
      </c>
      <c r="D797" s="33" t="s">
        <v>375</v>
      </c>
      <c r="E797" s="38" t="b">
        <v>0</v>
      </c>
      <c r="F797" s="39" t="str">
        <f t="array" ref="F797">_xlfn.XLOOKUP($B797, DB[samplingPoint], DB[noLocation])</f>
        <v>12-3-056</v>
      </c>
      <c r="G797" s="33" t="s">
        <v>437</v>
      </c>
      <c r="H797" s="40" t="str">
        <f t="array" ref="H797">_xlfn.XLOOKUP($B797, DB[samplingPoint], DB[location])</f>
        <v>MEDIA PREPARATION</v>
      </c>
      <c r="I797" s="39" t="str">
        <f t="array" ref="I797">_xlfn.XLOOKUP($B797, DB[samplingPoint], DB[waterType])</f>
        <v>PW</v>
      </c>
      <c r="J797" s="43">
        <f t="shared" si="5"/>
        <v>46176</v>
      </c>
      <c r="K797" s="51">
        <v>46179.0</v>
      </c>
      <c r="L797" s="32">
        <v>0.0</v>
      </c>
      <c r="M797" s="32">
        <v>0.0</v>
      </c>
      <c r="N797" s="32">
        <f t="shared" si="2"/>
        <v>0</v>
      </c>
      <c r="O797" s="49"/>
      <c r="P797" s="32">
        <f t="array" ref="P797">_xlfn.XLOOKUP($B797, DB[samplingPoint], DB[Criteria])</f>
        <v>100</v>
      </c>
      <c r="Q797" s="50" t="str">
        <f t="shared" si="3"/>
        <v>PASSED</v>
      </c>
      <c r="R797" s="38" t="b">
        <v>0</v>
      </c>
      <c r="S797" s="35"/>
      <c r="T797" s="39" t="s">
        <v>381</v>
      </c>
      <c r="U797" s="196"/>
    </row>
    <row r="798" ht="22.5" customHeight="1">
      <c r="A798" s="26">
        <v>46175.0</v>
      </c>
      <c r="B798" s="58" t="s">
        <v>413</v>
      </c>
      <c r="C798" s="32" t="str">
        <f t="array" ref="C798">_xlfn.XLOOKUP(B798, DB[samplingPoint], DB[samplingTag])</f>
        <v>DV136.14</v>
      </c>
      <c r="D798" s="33" t="s">
        <v>375</v>
      </c>
      <c r="E798" s="38" t="b">
        <v>0</v>
      </c>
      <c r="F798" s="39" t="str">
        <f t="array" ref="F798">_xlfn.XLOOKUP($B798, DB[samplingPoint], DB[noLocation])</f>
        <v>12-3-074</v>
      </c>
      <c r="G798" s="33" t="s">
        <v>437</v>
      </c>
      <c r="H798" s="40" t="str">
        <f t="array" ref="H798">_xlfn.XLOOKUP($B798, DB[samplingPoint], DB[location])</f>
        <v>DECONTAMINATION</v>
      </c>
      <c r="I798" s="39" t="str">
        <f t="array" ref="I798">_xlfn.XLOOKUP($B798, DB[samplingPoint], DB[waterType])</f>
        <v>PW</v>
      </c>
      <c r="J798" s="43">
        <f t="shared" si="5"/>
        <v>46176</v>
      </c>
      <c r="K798" s="51">
        <v>46179.0</v>
      </c>
      <c r="L798" s="32">
        <v>0.0</v>
      </c>
      <c r="M798" s="32">
        <v>0.0</v>
      </c>
      <c r="N798" s="32">
        <f t="shared" si="2"/>
        <v>0</v>
      </c>
      <c r="O798" s="49"/>
      <c r="P798" s="32">
        <f t="array" ref="P798">_xlfn.XLOOKUP($B798, DB[samplingPoint], DB[Criteria])</f>
        <v>100</v>
      </c>
      <c r="Q798" s="50" t="str">
        <f t="shared" si="3"/>
        <v>PASSED</v>
      </c>
      <c r="R798" s="38" t="b">
        <v>0</v>
      </c>
      <c r="S798" s="35"/>
      <c r="T798" s="39" t="s">
        <v>381</v>
      </c>
      <c r="U798" s="196"/>
    </row>
    <row r="799" ht="22.5" customHeight="1">
      <c r="A799" s="26">
        <v>46175.0</v>
      </c>
      <c r="B799" s="27" t="s">
        <v>422</v>
      </c>
      <c r="C799" s="32" t="str">
        <f t="array" ref="C799">_xlfn.XLOOKUP(B799, DB[samplingPoint], DB[samplingTag])</f>
        <v>DV136.18</v>
      </c>
      <c r="D799" s="33" t="s">
        <v>375</v>
      </c>
      <c r="E799" s="38" t="b">
        <v>0</v>
      </c>
      <c r="F799" s="39" t="str">
        <f t="array" ref="F799">_xlfn.XLOOKUP($B799, DB[samplingPoint], DB[noLocation])</f>
        <v>12-3-037</v>
      </c>
      <c r="G799" s="33" t="s">
        <v>437</v>
      </c>
      <c r="H799" s="40" t="str">
        <f t="array" ref="H799">_xlfn.XLOOKUP($B799, DB[samplingPoint], DB[location])</f>
        <v>GLASSWARE WASHING 1</v>
      </c>
      <c r="I799" s="39" t="str">
        <f t="array" ref="I799">_xlfn.XLOOKUP($B799, DB[samplingPoint], DB[waterType])</f>
        <v>PW</v>
      </c>
      <c r="J799" s="43">
        <f t="shared" si="5"/>
        <v>46176</v>
      </c>
      <c r="K799" s="51">
        <v>46179.0</v>
      </c>
      <c r="L799" s="32">
        <v>0.0</v>
      </c>
      <c r="M799" s="32">
        <v>0.0</v>
      </c>
      <c r="N799" s="32">
        <f t="shared" si="2"/>
        <v>0</v>
      </c>
      <c r="O799" s="49"/>
      <c r="P799" s="32">
        <f t="array" ref="P799">_xlfn.XLOOKUP($B799, DB[samplingPoint], DB[Criteria])</f>
        <v>100</v>
      </c>
      <c r="Q799" s="50" t="str">
        <f t="shared" si="3"/>
        <v>PASSED</v>
      </c>
      <c r="R799" s="38" t="b">
        <v>0</v>
      </c>
      <c r="S799" s="35"/>
      <c r="T799" s="39" t="s">
        <v>381</v>
      </c>
      <c r="U799" s="196"/>
    </row>
    <row r="800" ht="22.5" customHeight="1">
      <c r="A800" s="26">
        <v>46175.0</v>
      </c>
      <c r="B800" s="58" t="s">
        <v>373</v>
      </c>
      <c r="C800" s="32" t="str">
        <f t="array" ref="C800">_xlfn.XLOOKUP(B800, DB[samplingPoint], DB[samplingTag])</f>
        <v>DV136.05</v>
      </c>
      <c r="D800" s="33" t="s">
        <v>375</v>
      </c>
      <c r="E800" s="38" t="b">
        <v>0</v>
      </c>
      <c r="F800" s="39" t="str">
        <f t="array" ref="F800">_xlfn.XLOOKUP($B800, DB[samplingPoint], DB[noLocation])</f>
        <v>12-3-037</v>
      </c>
      <c r="G800" s="33" t="s">
        <v>437</v>
      </c>
      <c r="H800" s="40" t="str">
        <f t="array" ref="H800">_xlfn.XLOOKUP($B800, DB[samplingPoint], DB[location])</f>
        <v>GLASSWARE WASHING 1</v>
      </c>
      <c r="I800" s="39" t="str">
        <f t="array" ref="I800">_xlfn.XLOOKUP($B800, DB[samplingPoint], DB[waterType])</f>
        <v>PW</v>
      </c>
      <c r="J800" s="43">
        <f t="shared" si="5"/>
        <v>46176</v>
      </c>
      <c r="K800" s="51">
        <v>46179.0</v>
      </c>
      <c r="L800" s="32">
        <v>0.0</v>
      </c>
      <c r="M800" s="32">
        <v>0.0</v>
      </c>
      <c r="N800" s="32">
        <f t="shared" si="2"/>
        <v>0</v>
      </c>
      <c r="O800" s="49"/>
      <c r="P800" s="32">
        <f t="array" ref="P800">_xlfn.XLOOKUP($B800, DB[samplingPoint], DB[Criteria])</f>
        <v>100</v>
      </c>
      <c r="Q800" s="50" t="str">
        <f t="shared" si="3"/>
        <v>PASSED</v>
      </c>
      <c r="R800" s="38" t="b">
        <v>0</v>
      </c>
      <c r="S800" s="35"/>
      <c r="T800" s="39" t="s">
        <v>381</v>
      </c>
      <c r="U800" s="196"/>
    </row>
    <row r="801" ht="22.5" customHeight="1">
      <c r="A801" s="26">
        <v>46175.0</v>
      </c>
      <c r="B801" s="27" t="s">
        <v>389</v>
      </c>
      <c r="C801" s="32" t="str">
        <f t="array" ref="C801">_xlfn.XLOOKUP(B801, DB[samplingPoint], DB[samplingTag])</f>
        <v>DV136.06</v>
      </c>
      <c r="D801" s="33" t="s">
        <v>375</v>
      </c>
      <c r="E801" s="38" t="b">
        <v>0</v>
      </c>
      <c r="F801" s="39" t="str">
        <f t="array" ref="F801">_xlfn.XLOOKUP($B801, DB[samplingPoint], DB[noLocation])</f>
        <v>12-3-037</v>
      </c>
      <c r="G801" s="33" t="s">
        <v>437</v>
      </c>
      <c r="H801" s="40" t="str">
        <f t="array" ref="H801">_xlfn.XLOOKUP($B801, DB[samplingPoint], DB[location])</f>
        <v>GLASSWARE WASHING 1</v>
      </c>
      <c r="I801" s="39" t="str">
        <f t="array" ref="I801">_xlfn.XLOOKUP($B801, DB[samplingPoint], DB[waterType])</f>
        <v>PW</v>
      </c>
      <c r="J801" s="43">
        <f t="shared" si="5"/>
        <v>46176</v>
      </c>
      <c r="K801" s="51">
        <v>46179.0</v>
      </c>
      <c r="L801" s="32">
        <v>0.0</v>
      </c>
      <c r="M801" s="32">
        <v>0.0</v>
      </c>
      <c r="N801" s="32">
        <f t="shared" si="2"/>
        <v>0</v>
      </c>
      <c r="O801" s="49"/>
      <c r="P801" s="32">
        <f t="array" ref="P801">_xlfn.XLOOKUP($B801, DB[samplingPoint], DB[Criteria])</f>
        <v>100</v>
      </c>
      <c r="Q801" s="50" t="str">
        <f t="shared" si="3"/>
        <v>PASSED</v>
      </c>
      <c r="R801" s="38" t="b">
        <v>0</v>
      </c>
      <c r="S801" s="35"/>
      <c r="T801" s="39" t="s">
        <v>381</v>
      </c>
      <c r="U801" s="196"/>
    </row>
    <row r="802" ht="22.5" customHeight="1">
      <c r="A802" s="83">
        <v>46178.0</v>
      </c>
      <c r="B802" s="52" t="s">
        <v>349</v>
      </c>
      <c r="C802" s="78" t="str">
        <f t="array" ref="C802">_xlfn.XLOOKUP(B802, DB[samplingPoint], DB[samplingTag])</f>
        <v>VB-05(10)</v>
      </c>
      <c r="D802" s="77" t="s">
        <v>375</v>
      </c>
      <c r="E802" s="79" t="b">
        <v>0</v>
      </c>
      <c r="F802" s="80" t="str">
        <f t="array" ref="F802">_xlfn.XLOOKUP($B802, DB[samplingPoint], DB[noLocation])</f>
        <v>WATER SYSTEM (B10)</v>
      </c>
      <c r="G802" s="77" t="s">
        <v>180</v>
      </c>
      <c r="H802" s="81" t="str">
        <f t="array" ref="H802">_xlfn.XLOOKUP($B802, DB[samplingPoint], DB[location])</f>
        <v>After Chlorine circulation tank (B10)</v>
      </c>
      <c r="I802" s="80" t="str">
        <f t="array" ref="I802">_xlfn.XLOOKUP($B802, DB[samplingPoint], DB[waterType])</f>
        <v>PRW</v>
      </c>
      <c r="J802" s="82">
        <f t="shared" ref="J802:J816" si="6">$A802+0</f>
        <v>46178</v>
      </c>
      <c r="K802" s="51">
        <v>46181.0</v>
      </c>
      <c r="L802" s="78">
        <v>10.0</v>
      </c>
      <c r="M802" s="78">
        <v>21.0</v>
      </c>
      <c r="N802" s="78">
        <f t="shared" si="2"/>
        <v>16</v>
      </c>
      <c r="O802" s="84"/>
      <c r="P802" s="78">
        <f t="array" ref="P802">_xlfn.XLOOKUP($B802, DB[samplingPoint], DB[Criteria])</f>
        <v>500</v>
      </c>
      <c r="Q802" s="85" t="str">
        <f t="shared" si="3"/>
        <v>PASSED</v>
      </c>
      <c r="R802" s="79" t="b">
        <v>0</v>
      </c>
      <c r="S802" s="78"/>
      <c r="T802" s="80" t="s">
        <v>381</v>
      </c>
      <c r="U802" s="209"/>
      <c r="V802" s="87"/>
      <c r="W802" s="87"/>
      <c r="X802" s="87"/>
      <c r="Y802" s="87"/>
      <c r="Z802" s="87"/>
    </row>
    <row r="803" ht="22.5" customHeight="1">
      <c r="A803" s="26">
        <v>46178.0</v>
      </c>
      <c r="B803" s="58" t="s">
        <v>366</v>
      </c>
      <c r="C803" s="32" t="str">
        <f t="array" ref="C803">_xlfn.XLOOKUP(B803, DB[samplingPoint], DB[samplingTag])</f>
        <v>V50-61(10)</v>
      </c>
      <c r="D803" s="33" t="s">
        <v>375</v>
      </c>
      <c r="E803" s="38" t="b">
        <v>0</v>
      </c>
      <c r="F803" s="39" t="str">
        <f t="array" ref="F803">_xlfn.XLOOKUP($B803, DB[samplingPoint], DB[noLocation])</f>
        <v>WATER SYSTEM (B10)</v>
      </c>
      <c r="G803" s="33" t="s">
        <v>180</v>
      </c>
      <c r="H803" s="40" t="str">
        <f t="array" ref="H803">_xlfn.XLOOKUP($B803, DB[samplingPoint], DB[location])</f>
        <v>After Cartridge filter 5 µm (B10)</v>
      </c>
      <c r="I803" s="39" t="str">
        <f t="array" ref="I803">_xlfn.XLOOKUP($B803, DB[samplingPoint], DB[waterType])</f>
        <v>PRW</v>
      </c>
      <c r="J803" s="82">
        <f t="shared" si="6"/>
        <v>46178</v>
      </c>
      <c r="K803" s="51">
        <v>46181.0</v>
      </c>
      <c r="L803" s="32">
        <v>4.0</v>
      </c>
      <c r="M803" s="32">
        <v>5.0</v>
      </c>
      <c r="N803" s="32">
        <f t="shared" si="2"/>
        <v>5</v>
      </c>
      <c r="O803" s="49"/>
      <c r="P803" s="32">
        <f t="array" ref="P803">_xlfn.XLOOKUP($B803, DB[samplingPoint], DB[Criteria])</f>
        <v>500</v>
      </c>
      <c r="Q803" s="50" t="str">
        <f t="shared" si="3"/>
        <v>PASSED</v>
      </c>
      <c r="R803" s="38" t="b">
        <v>0</v>
      </c>
      <c r="S803" s="35"/>
      <c r="T803" s="39" t="s">
        <v>381</v>
      </c>
      <c r="U803" s="196"/>
    </row>
    <row r="804" ht="22.5" customHeight="1">
      <c r="A804" s="26">
        <v>46178.0</v>
      </c>
      <c r="B804" s="27" t="s">
        <v>368</v>
      </c>
      <c r="C804" s="32" t="str">
        <f t="array" ref="C804">_xlfn.XLOOKUP(B804, DB[samplingPoint], DB[samplingTag])</f>
        <v>V50-11C(10)</v>
      </c>
      <c r="D804" s="33" t="s">
        <v>375</v>
      </c>
      <c r="E804" s="38" t="b">
        <v>0</v>
      </c>
      <c r="F804" s="39" t="str">
        <f t="array" ref="F804">_xlfn.XLOOKUP($B804, DB[samplingPoint], DB[noLocation])</f>
        <v>WATER SYSTEM (B10)</v>
      </c>
      <c r="G804" s="33" t="s">
        <v>180</v>
      </c>
      <c r="H804" s="40" t="str">
        <f t="array" ref="H804">_xlfn.XLOOKUP($B804, DB[samplingPoint], DB[location])</f>
        <v>After RO (Before EDI) (B10)</v>
      </c>
      <c r="I804" s="39" t="str">
        <f t="array" ref="I804">_xlfn.XLOOKUP($B804, DB[samplingPoint], DB[waterType])</f>
        <v>RO water</v>
      </c>
      <c r="J804" s="82">
        <f t="shared" si="6"/>
        <v>46178</v>
      </c>
      <c r="K804" s="51">
        <v>46181.0</v>
      </c>
      <c r="L804" s="32">
        <v>0.0</v>
      </c>
      <c r="M804" s="32">
        <v>0.0</v>
      </c>
      <c r="N804" s="32">
        <f t="shared" si="2"/>
        <v>0</v>
      </c>
      <c r="O804" s="49"/>
      <c r="P804" s="32">
        <f t="array" ref="P804">_xlfn.XLOOKUP($B804, DB[samplingPoint], DB[Criteria])</f>
        <v>500</v>
      </c>
      <c r="Q804" s="50" t="str">
        <f t="shared" si="3"/>
        <v>PASSED</v>
      </c>
      <c r="R804" s="38" t="b">
        <v>0</v>
      </c>
      <c r="S804" s="35"/>
      <c r="T804" s="39" t="s">
        <v>381</v>
      </c>
      <c r="U804" s="196"/>
    </row>
    <row r="805" ht="22.5" customHeight="1">
      <c r="A805" s="26">
        <v>46178.0</v>
      </c>
      <c r="B805" s="58" t="s">
        <v>374</v>
      </c>
      <c r="C805" s="32" t="str">
        <f t="array" ref="C805">_xlfn.XLOOKUP(B805, DB[samplingPoint], DB[samplingTag])</f>
        <v>V50-39(10)</v>
      </c>
      <c r="D805" s="33" t="s">
        <v>375</v>
      </c>
      <c r="E805" s="38" t="b">
        <v>0</v>
      </c>
      <c r="F805" s="39" t="str">
        <f t="array" ref="F805">_xlfn.XLOOKUP($B805, DB[samplingPoint], DB[noLocation])</f>
        <v>WATER SYSTEM (B10)</v>
      </c>
      <c r="G805" s="33" t="s">
        <v>180</v>
      </c>
      <c r="H805" s="40" t="str">
        <f t="array" ref="H805">_xlfn.XLOOKUP($B805, DB[samplingPoint], DB[location])</f>
        <v>After EDI (B10)</v>
      </c>
      <c r="I805" s="39" t="str">
        <f t="array" ref="I805">_xlfn.XLOOKUP($B805, DB[samplingPoint], DB[waterType])</f>
        <v>PW</v>
      </c>
      <c r="J805" s="82">
        <f t="shared" si="6"/>
        <v>46178</v>
      </c>
      <c r="K805" s="51">
        <v>46181.0</v>
      </c>
      <c r="L805" s="32">
        <v>0.0</v>
      </c>
      <c r="M805" s="32">
        <v>0.0</v>
      </c>
      <c r="N805" s="32">
        <f t="shared" si="2"/>
        <v>0</v>
      </c>
      <c r="O805" s="49"/>
      <c r="P805" s="32">
        <f t="array" ref="P805">_xlfn.XLOOKUP($B805, DB[samplingPoint], DB[Criteria])</f>
        <v>100</v>
      </c>
      <c r="Q805" s="50" t="str">
        <f t="shared" si="3"/>
        <v>PASSED</v>
      </c>
      <c r="R805" s="38" t="b">
        <v>0</v>
      </c>
      <c r="S805" s="35"/>
      <c r="T805" s="39" t="s">
        <v>381</v>
      </c>
      <c r="U805" s="196"/>
    </row>
    <row r="806" ht="22.5" customHeight="1">
      <c r="A806" s="26">
        <v>46178.0</v>
      </c>
      <c r="B806" s="27" t="s">
        <v>390</v>
      </c>
      <c r="C806" s="32" t="str">
        <f t="array" ref="C806">_xlfn.XLOOKUP(B806, DB[samplingPoint], DB[samplingTag])</f>
        <v>SV117.01</v>
      </c>
      <c r="D806" s="33" t="s">
        <v>375</v>
      </c>
      <c r="E806" s="38" t="b">
        <v>0</v>
      </c>
      <c r="F806" s="39" t="str">
        <f t="array" ref="F806">_xlfn.XLOOKUP($B806, DB[samplingPoint], DB[noLocation])</f>
        <v>WATER SYSTEM (B10)</v>
      </c>
      <c r="G806" s="33" t="s">
        <v>180</v>
      </c>
      <c r="H806" s="40" t="str">
        <f t="array" ref="H806">_xlfn.XLOOKUP($B806, DB[samplingPoint], DB[location])</f>
        <v>Return loop (B10)</v>
      </c>
      <c r="I806" s="39" t="str">
        <f t="array" ref="I806">_xlfn.XLOOKUP($B806, DB[samplingPoint], DB[waterType])</f>
        <v>PW</v>
      </c>
      <c r="J806" s="82">
        <f t="shared" si="6"/>
        <v>46178</v>
      </c>
      <c r="K806" s="51">
        <v>46181.0</v>
      </c>
      <c r="L806" s="32">
        <v>0.0</v>
      </c>
      <c r="M806" s="32">
        <v>0.0</v>
      </c>
      <c r="N806" s="32">
        <f t="shared" si="2"/>
        <v>0</v>
      </c>
      <c r="O806" s="49"/>
      <c r="P806" s="32">
        <f t="array" ref="P806">_xlfn.XLOOKUP($B806, DB[samplingPoint], DB[Criteria])</f>
        <v>100</v>
      </c>
      <c r="Q806" s="50" t="str">
        <f t="shared" si="3"/>
        <v>PASSED</v>
      </c>
      <c r="R806" s="38" t="b">
        <v>0</v>
      </c>
      <c r="S806" s="35"/>
      <c r="T806" s="39" t="s">
        <v>381</v>
      </c>
      <c r="U806" s="196"/>
    </row>
    <row r="807" ht="22.5" customHeight="1">
      <c r="A807" s="26">
        <v>46178.0</v>
      </c>
      <c r="B807" s="27" t="s">
        <v>489</v>
      </c>
      <c r="C807" s="32" t="str">
        <f t="array" ref="C807">_xlfn.XLOOKUP(B807, DB[samplingPoint], DB[samplingTag])</f>
        <v>DV116.18</v>
      </c>
      <c r="D807" s="33" t="s">
        <v>375</v>
      </c>
      <c r="E807" s="38" t="b">
        <v>0</v>
      </c>
      <c r="F807" s="39" t="str">
        <f t="array" ref="F807">_xlfn.XLOOKUP($B807, DB[samplingPoint], DB[noLocation])</f>
        <v>10-3-111</v>
      </c>
      <c r="G807" s="33" t="s">
        <v>180</v>
      </c>
      <c r="H807" s="40" t="str">
        <f t="array" ref="H807">_xlfn.XLOOKUP($B807, DB[samplingPoint], DB[location])</f>
        <v>WET GRANULATION-5</v>
      </c>
      <c r="I807" s="39" t="str">
        <f t="array" ref="I807">_xlfn.XLOOKUP($B807, DB[samplingPoint], DB[waterType])</f>
        <v>PW</v>
      </c>
      <c r="J807" s="82">
        <f t="shared" si="6"/>
        <v>46178</v>
      </c>
      <c r="K807" s="51">
        <v>46181.0</v>
      </c>
      <c r="L807" s="32">
        <v>0.0</v>
      </c>
      <c r="M807" s="32">
        <v>0.0</v>
      </c>
      <c r="N807" s="32">
        <f t="shared" si="2"/>
        <v>0</v>
      </c>
      <c r="O807" s="49"/>
      <c r="P807" s="32">
        <f t="array" ref="P807">_xlfn.XLOOKUP($B807, DB[samplingPoint], DB[Criteria])</f>
        <v>100</v>
      </c>
      <c r="Q807" s="50" t="str">
        <f t="shared" si="3"/>
        <v>PASSED</v>
      </c>
      <c r="R807" s="38" t="b">
        <v>0</v>
      </c>
      <c r="S807" s="35"/>
      <c r="T807" s="39" t="s">
        <v>381</v>
      </c>
      <c r="U807" s="196"/>
    </row>
    <row r="808" ht="22.5" customHeight="1">
      <c r="A808" s="26">
        <v>46178.0</v>
      </c>
      <c r="B808" s="58" t="s">
        <v>485</v>
      </c>
      <c r="C808" s="32" t="str">
        <f t="array" ref="C808">_xlfn.XLOOKUP(B808, DB[samplingPoint], DB[samplingTag])</f>
        <v>DV116.16</v>
      </c>
      <c r="D808" s="33" t="s">
        <v>375</v>
      </c>
      <c r="E808" s="38" t="b">
        <v>0</v>
      </c>
      <c r="F808" s="39" t="str">
        <f t="array" ref="F808">_xlfn.XLOOKUP($B808, DB[samplingPoint], DB[noLocation])</f>
        <v>10-3-107</v>
      </c>
      <c r="G808" s="33" t="s">
        <v>180</v>
      </c>
      <c r="H808" s="40" t="str">
        <f t="array" ref="H808">_xlfn.XLOOKUP($B808, DB[samplingPoint], DB[location])</f>
        <v>WET GRANULATION-2</v>
      </c>
      <c r="I808" s="39" t="str">
        <f t="array" ref="I808">_xlfn.XLOOKUP($B808, DB[samplingPoint], DB[waterType])</f>
        <v>PW</v>
      </c>
      <c r="J808" s="82">
        <f t="shared" si="6"/>
        <v>46178</v>
      </c>
      <c r="K808" s="51">
        <v>46181.0</v>
      </c>
      <c r="L808" s="32">
        <v>0.0</v>
      </c>
      <c r="M808" s="32">
        <v>0.0</v>
      </c>
      <c r="N808" s="32">
        <f t="shared" si="2"/>
        <v>0</v>
      </c>
      <c r="O808" s="49"/>
      <c r="P808" s="32">
        <f t="array" ref="P808">_xlfn.XLOOKUP($B808, DB[samplingPoint], DB[Criteria])</f>
        <v>100</v>
      </c>
      <c r="Q808" s="50" t="str">
        <f t="shared" si="3"/>
        <v>PASSED</v>
      </c>
      <c r="R808" s="38" t="b">
        <v>0</v>
      </c>
      <c r="S808" s="35"/>
      <c r="T808" s="39" t="s">
        <v>381</v>
      </c>
      <c r="U808" s="196"/>
    </row>
    <row r="809" ht="22.5" customHeight="1">
      <c r="A809" s="26">
        <v>46178.0</v>
      </c>
      <c r="B809" s="27" t="s">
        <v>492</v>
      </c>
      <c r="C809" s="32" t="str">
        <f t="array" ref="C809">_xlfn.XLOOKUP(B809, DB[samplingPoint], DB[samplingTag])</f>
        <v>SV116.11</v>
      </c>
      <c r="D809" s="33" t="s">
        <v>375</v>
      </c>
      <c r="E809" s="38" t="b">
        <v>0</v>
      </c>
      <c r="F809" s="39" t="str">
        <f t="array" ref="F809">_xlfn.XLOOKUP($B809, DB[samplingPoint], DB[noLocation])</f>
        <v>10-3-107</v>
      </c>
      <c r="G809" s="33" t="s">
        <v>180</v>
      </c>
      <c r="H809" s="40" t="str">
        <f t="array" ref="H809">_xlfn.XLOOKUP($B809, DB[samplingPoint], DB[location])</f>
        <v>WET GRANULATION-2</v>
      </c>
      <c r="I809" s="39" t="str">
        <f t="array" ref="I809">_xlfn.XLOOKUP($B809, DB[samplingPoint], DB[waterType])</f>
        <v>PW</v>
      </c>
      <c r="J809" s="82">
        <f t="shared" si="6"/>
        <v>46178</v>
      </c>
      <c r="K809" s="51">
        <v>46181.0</v>
      </c>
      <c r="L809" s="32">
        <v>0.0</v>
      </c>
      <c r="M809" s="32">
        <v>0.0</v>
      </c>
      <c r="N809" s="32">
        <f t="shared" si="2"/>
        <v>0</v>
      </c>
      <c r="O809" s="49"/>
      <c r="P809" s="32">
        <f t="array" ref="P809">_xlfn.XLOOKUP($B809, DB[samplingPoint], DB[Criteria])</f>
        <v>100</v>
      </c>
      <c r="Q809" s="50" t="str">
        <f t="shared" si="3"/>
        <v>PASSED</v>
      </c>
      <c r="R809" s="38" t="b">
        <v>0</v>
      </c>
      <c r="S809" s="35"/>
      <c r="T809" s="39" t="s">
        <v>381</v>
      </c>
      <c r="U809" s="196"/>
    </row>
    <row r="810" ht="22.5" customHeight="1">
      <c r="A810" s="26">
        <v>46178.0</v>
      </c>
      <c r="B810" s="58" t="s">
        <v>482</v>
      </c>
      <c r="C810" s="32" t="str">
        <f t="array" ref="C810">_xlfn.XLOOKUP(B810, DB[samplingPoint], DB[samplingTag])</f>
        <v>DV116.14</v>
      </c>
      <c r="D810" s="33" t="s">
        <v>375</v>
      </c>
      <c r="E810" s="38" t="b">
        <v>0</v>
      </c>
      <c r="F810" s="39" t="str">
        <f t="array" ref="F810">_xlfn.XLOOKUP($B810, DB[samplingPoint], DB[noLocation])</f>
        <v>10-3-086</v>
      </c>
      <c r="G810" s="33" t="s">
        <v>180</v>
      </c>
      <c r="H810" s="40" t="str">
        <f t="array" ref="H810">_xlfn.XLOOKUP($B810, DB[samplingPoint], DB[location])</f>
        <v>TOOL WASHING</v>
      </c>
      <c r="I810" s="39" t="str">
        <f t="array" ref="I810">_xlfn.XLOOKUP($B810, DB[samplingPoint], DB[waterType])</f>
        <v>PW</v>
      </c>
      <c r="J810" s="82">
        <f t="shared" si="6"/>
        <v>46178</v>
      </c>
      <c r="K810" s="51">
        <v>46181.0</v>
      </c>
      <c r="L810" s="32">
        <v>0.0</v>
      </c>
      <c r="M810" s="32">
        <v>0.0</v>
      </c>
      <c r="N810" s="32">
        <f t="shared" si="2"/>
        <v>0</v>
      </c>
      <c r="O810" s="49"/>
      <c r="P810" s="32">
        <f t="array" ref="P810">_xlfn.XLOOKUP($B810, DB[samplingPoint], DB[Criteria])</f>
        <v>100</v>
      </c>
      <c r="Q810" s="50" t="str">
        <f t="shared" si="3"/>
        <v>PASSED</v>
      </c>
      <c r="R810" s="38" t="b">
        <v>0</v>
      </c>
      <c r="S810" s="35"/>
      <c r="T810" s="39" t="s">
        <v>381</v>
      </c>
      <c r="U810" s="196"/>
    </row>
    <row r="811" ht="22.5" customHeight="1">
      <c r="A811" s="26">
        <v>46178.0</v>
      </c>
      <c r="B811" s="27" t="s">
        <v>490</v>
      </c>
      <c r="C811" s="32" t="str">
        <f t="array" ref="C811">_xlfn.XLOOKUP(B811, DB[samplingPoint], DB[samplingTag])</f>
        <v>SV116.09</v>
      </c>
      <c r="D811" s="33" t="s">
        <v>375</v>
      </c>
      <c r="E811" s="38" t="b">
        <v>0</v>
      </c>
      <c r="F811" s="39" t="str">
        <f t="array" ref="F811">_xlfn.XLOOKUP($B811, DB[samplingPoint], DB[noLocation])</f>
        <v>10-3-078</v>
      </c>
      <c r="G811" s="33" t="s">
        <v>180</v>
      </c>
      <c r="H811" s="40" t="str">
        <f t="array" ref="H811">_xlfn.XLOOKUP($B811, DB[samplingPoint], DB[location])</f>
        <v>WASHING</v>
      </c>
      <c r="I811" s="39" t="str">
        <f t="array" ref="I811">_xlfn.XLOOKUP($B811, DB[samplingPoint], DB[waterType])</f>
        <v>PW</v>
      </c>
      <c r="J811" s="82">
        <f t="shared" si="6"/>
        <v>46178</v>
      </c>
      <c r="K811" s="51">
        <v>46181.0</v>
      </c>
      <c r="L811" s="32">
        <v>0.0</v>
      </c>
      <c r="M811" s="32">
        <v>0.0</v>
      </c>
      <c r="N811" s="32">
        <f t="shared" si="2"/>
        <v>0</v>
      </c>
      <c r="O811" s="49"/>
      <c r="P811" s="32">
        <f t="array" ref="P811">_xlfn.XLOOKUP($B811, DB[samplingPoint], DB[Criteria])</f>
        <v>100</v>
      </c>
      <c r="Q811" s="50" t="str">
        <f t="shared" si="3"/>
        <v>PASSED</v>
      </c>
      <c r="R811" s="38" t="b">
        <v>0</v>
      </c>
      <c r="S811" s="35"/>
      <c r="T811" s="39" t="s">
        <v>381</v>
      </c>
      <c r="U811" s="196"/>
    </row>
    <row r="812" ht="22.5" customHeight="1">
      <c r="A812" s="26">
        <v>46178.0</v>
      </c>
      <c r="B812" s="58" t="s">
        <v>479</v>
      </c>
      <c r="C812" s="32" t="str">
        <f t="array" ref="C812">_xlfn.XLOOKUP(B812, DB[samplingPoint], DB[samplingTag])</f>
        <v>DV116.13</v>
      </c>
      <c r="D812" s="33" t="s">
        <v>375</v>
      </c>
      <c r="E812" s="38" t="b">
        <v>0</v>
      </c>
      <c r="F812" s="39" t="str">
        <f t="array" ref="F812">_xlfn.XLOOKUP($B812, DB[samplingPoint], DB[noLocation])</f>
        <v>10-3-078</v>
      </c>
      <c r="G812" s="33" t="s">
        <v>180</v>
      </c>
      <c r="H812" s="40" t="str">
        <f t="array" ref="H812">_xlfn.XLOOKUP($B812, DB[samplingPoint], DB[location])</f>
        <v>WASHING</v>
      </c>
      <c r="I812" s="39" t="str">
        <f t="array" ref="I812">_xlfn.XLOOKUP($B812, DB[samplingPoint], DB[waterType])</f>
        <v>PW</v>
      </c>
      <c r="J812" s="82">
        <f t="shared" si="6"/>
        <v>46178</v>
      </c>
      <c r="K812" s="51">
        <v>46181.0</v>
      </c>
      <c r="L812" s="32">
        <v>0.0</v>
      </c>
      <c r="M812" s="32">
        <v>0.0</v>
      </c>
      <c r="N812" s="32">
        <f t="shared" si="2"/>
        <v>0</v>
      </c>
      <c r="O812" s="49"/>
      <c r="P812" s="32">
        <f t="array" ref="P812">_xlfn.XLOOKUP($B812, DB[samplingPoint], DB[Criteria])</f>
        <v>100</v>
      </c>
      <c r="Q812" s="50" t="str">
        <f t="shared" si="3"/>
        <v>PASSED</v>
      </c>
      <c r="R812" s="38" t="b">
        <v>0</v>
      </c>
      <c r="S812" s="35"/>
      <c r="T812" s="39" t="s">
        <v>381</v>
      </c>
      <c r="U812" s="196"/>
    </row>
    <row r="813" ht="22.5" customHeight="1">
      <c r="A813" s="26">
        <v>46178.0</v>
      </c>
      <c r="B813" s="27" t="s">
        <v>476</v>
      </c>
      <c r="C813" s="32" t="str">
        <f t="array" ref="C813">_xlfn.XLOOKUP(B813, DB[samplingPoint], DB[samplingTag])</f>
        <v>DV116.12</v>
      </c>
      <c r="D813" s="33" t="s">
        <v>375</v>
      </c>
      <c r="E813" s="38" t="b">
        <v>0</v>
      </c>
      <c r="F813" s="39" t="str">
        <f t="array" ref="F813">_xlfn.XLOOKUP($B813, DB[samplingPoint], DB[noLocation])</f>
        <v>10-3-078</v>
      </c>
      <c r="G813" s="33" t="s">
        <v>180</v>
      </c>
      <c r="H813" s="40" t="str">
        <f t="array" ref="H813">_xlfn.XLOOKUP($B813, DB[samplingPoint], DB[location])</f>
        <v>WASHING</v>
      </c>
      <c r="I813" s="39" t="str">
        <f t="array" ref="I813">_xlfn.XLOOKUP($B813, DB[samplingPoint], DB[waterType])</f>
        <v>PW</v>
      </c>
      <c r="J813" s="82">
        <f t="shared" si="6"/>
        <v>46178</v>
      </c>
      <c r="K813" s="51">
        <v>46181.0</v>
      </c>
      <c r="L813" s="32">
        <v>0.0</v>
      </c>
      <c r="M813" s="32">
        <v>0.0</v>
      </c>
      <c r="N813" s="32">
        <f t="shared" si="2"/>
        <v>0</v>
      </c>
      <c r="O813" s="49"/>
      <c r="P813" s="32">
        <f t="array" ref="P813">_xlfn.XLOOKUP($B813, DB[samplingPoint], DB[Criteria])</f>
        <v>100</v>
      </c>
      <c r="Q813" s="50" t="str">
        <f t="shared" si="3"/>
        <v>PASSED</v>
      </c>
      <c r="R813" s="38" t="b">
        <v>0</v>
      </c>
      <c r="S813" s="35"/>
      <c r="T813" s="39" t="s">
        <v>381</v>
      </c>
      <c r="U813" s="196"/>
    </row>
    <row r="814" ht="22.5" customHeight="1">
      <c r="A814" s="26">
        <v>46178.0</v>
      </c>
      <c r="B814" s="58" t="s">
        <v>488</v>
      </c>
      <c r="C814" s="32" t="str">
        <f t="array" ref="C814">_xlfn.XLOOKUP(B814, DB[samplingPoint], DB[samplingTag])</f>
        <v>DV116.17</v>
      </c>
      <c r="D814" s="33" t="s">
        <v>375</v>
      </c>
      <c r="E814" s="38" t="b">
        <v>0</v>
      </c>
      <c r="F814" s="39" t="str">
        <f t="array" ref="F814">_xlfn.XLOOKUP($B814, DB[samplingPoint], DB[noLocation])</f>
        <v>10-3-117</v>
      </c>
      <c r="G814" s="33" t="s">
        <v>180</v>
      </c>
      <c r="H814" s="40" t="str">
        <f t="array" ref="H814">_xlfn.XLOOKUP($B814, DB[samplingPoint], DB[location])</f>
        <v>IPQC-2</v>
      </c>
      <c r="I814" s="39" t="str">
        <f t="array" ref="I814">_xlfn.XLOOKUP($B814, DB[samplingPoint], DB[waterType])</f>
        <v>PW</v>
      </c>
      <c r="J814" s="82">
        <f t="shared" si="6"/>
        <v>46178</v>
      </c>
      <c r="K814" s="51">
        <v>46181.0</v>
      </c>
      <c r="L814" s="32">
        <v>0.0</v>
      </c>
      <c r="M814" s="32">
        <v>0.0</v>
      </c>
      <c r="N814" s="32">
        <f t="shared" si="2"/>
        <v>0</v>
      </c>
      <c r="O814" s="49"/>
      <c r="P814" s="32">
        <f t="array" ref="P814">_xlfn.XLOOKUP($B814, DB[samplingPoint], DB[Criteria])</f>
        <v>100</v>
      </c>
      <c r="Q814" s="50" t="str">
        <f t="shared" si="3"/>
        <v>PASSED</v>
      </c>
      <c r="R814" s="38" t="b">
        <v>0</v>
      </c>
      <c r="S814" s="35"/>
      <c r="T814" s="39" t="s">
        <v>381</v>
      </c>
      <c r="U814" s="196"/>
    </row>
    <row r="815" ht="22.5" customHeight="1">
      <c r="A815" s="26">
        <v>46178.0</v>
      </c>
      <c r="B815" s="27" t="s">
        <v>119</v>
      </c>
      <c r="C815" s="32" t="str">
        <f t="array" ref="C815">_xlfn.XLOOKUP(B815, DB[samplingPoint], DB[samplingTag])</f>
        <v>DV116.15</v>
      </c>
      <c r="D815" s="33" t="s">
        <v>375</v>
      </c>
      <c r="E815" s="38" t="b">
        <v>0</v>
      </c>
      <c r="F815" s="39" t="str">
        <f t="array" ref="F815">_xlfn.XLOOKUP($B815, DB[samplingPoint], DB[noLocation])</f>
        <v>10-3-104</v>
      </c>
      <c r="G815" s="33" t="s">
        <v>180</v>
      </c>
      <c r="H815" s="40" t="str">
        <f t="array" ref="H815">_xlfn.XLOOKUP($B815, DB[samplingPoint], DB[location])</f>
        <v>BINDER PREPARATION</v>
      </c>
      <c r="I815" s="39" t="str">
        <f t="array" ref="I815">_xlfn.XLOOKUP($B815, DB[samplingPoint], DB[waterType])</f>
        <v>PW</v>
      </c>
      <c r="J815" s="82">
        <f t="shared" si="6"/>
        <v>46178</v>
      </c>
      <c r="K815" s="51">
        <v>46181.0</v>
      </c>
      <c r="L815" s="32">
        <v>0.0</v>
      </c>
      <c r="M815" s="32">
        <v>0.0</v>
      </c>
      <c r="N815" s="32">
        <f t="shared" si="2"/>
        <v>0</v>
      </c>
      <c r="O815" s="49"/>
      <c r="P815" s="32">
        <f t="array" ref="P815">_xlfn.XLOOKUP($B815, DB[samplingPoint], DB[Criteria])</f>
        <v>100</v>
      </c>
      <c r="Q815" s="50" t="str">
        <f t="shared" si="3"/>
        <v>PASSED</v>
      </c>
      <c r="R815" s="38" t="b">
        <v>0</v>
      </c>
      <c r="S815" s="35"/>
      <c r="T815" s="39" t="s">
        <v>381</v>
      </c>
      <c r="U815" s="196"/>
    </row>
    <row r="816" ht="22.5" customHeight="1">
      <c r="A816" s="26">
        <v>46178.0</v>
      </c>
      <c r="B816" s="73" t="s">
        <v>431</v>
      </c>
      <c r="C816" s="32" t="str">
        <f t="array" ref="C816">_xlfn.XLOOKUP(B816, DB[samplingPoint], DB[samplingTag])</f>
        <v>SV-14</v>
      </c>
      <c r="D816" s="33" t="s">
        <v>375</v>
      </c>
      <c r="E816" s="38" t="b">
        <v>0</v>
      </c>
      <c r="F816" s="39" t="str">
        <f t="array" ref="F816">_xlfn.XLOOKUP($B816, DB[samplingPoint], DB[noLocation])</f>
        <v>PROCESS WATER (B19)</v>
      </c>
      <c r="G816" s="33" t="s">
        <v>432</v>
      </c>
      <c r="H816" s="40" t="str">
        <f t="array" ref="H816">_xlfn.XLOOKUP($B816, DB[samplingPoint], DB[location])</f>
        <v>AFTER RO SYSTEM NO.12 SV14</v>
      </c>
      <c r="I816" s="39" t="str">
        <f t="array" ref="I816">_xlfn.XLOOKUP($B816, DB[samplingPoint], DB[waterType])</f>
        <v>PRW</v>
      </c>
      <c r="J816" s="82">
        <f t="shared" si="6"/>
        <v>46178</v>
      </c>
      <c r="K816" s="51">
        <v>46181.0</v>
      </c>
      <c r="L816" s="32">
        <v>130.0</v>
      </c>
      <c r="M816" s="32">
        <v>138.0</v>
      </c>
      <c r="N816" s="32">
        <f t="shared" si="2"/>
        <v>134</v>
      </c>
      <c r="O816" s="49"/>
      <c r="P816" s="32">
        <f t="array" ref="P816">_xlfn.XLOOKUP($B816, DB[samplingPoint], DB[Criteria])</f>
        <v>500</v>
      </c>
      <c r="Q816" s="50" t="str">
        <f t="shared" si="3"/>
        <v>PASSED</v>
      </c>
      <c r="R816" s="38" t="b">
        <v>0</v>
      </c>
      <c r="S816" s="35"/>
      <c r="T816" s="39" t="s">
        <v>381</v>
      </c>
      <c r="U816" s="196"/>
    </row>
    <row r="817" ht="22.5" customHeight="1">
      <c r="A817" s="26">
        <v>46182.0</v>
      </c>
      <c r="B817" s="58" t="s">
        <v>467</v>
      </c>
      <c r="C817" s="32" t="str">
        <f t="array" ref="C817">_xlfn.XLOOKUP(B817, DB[samplingPoint], DB[samplingTag])</f>
        <v>SV123.01</v>
      </c>
      <c r="D817" s="33" t="s">
        <v>500</v>
      </c>
      <c r="E817" s="38" t="b">
        <v>0</v>
      </c>
      <c r="F817" s="39" t="str">
        <f t="array" ref="F817">_xlfn.XLOOKUP($B817, DB[samplingPoint], DB[noLocation])</f>
        <v>WATER SYSTEM (B16)</v>
      </c>
      <c r="G817" s="33" t="s">
        <v>327</v>
      </c>
      <c r="H817" s="40" t="str">
        <f t="array" ref="H817">_xlfn.XLOOKUP($B817, DB[samplingPoint], DB[location])</f>
        <v>After Storage tank (B16)</v>
      </c>
      <c r="I817" s="39" t="str">
        <f t="array" ref="I817">_xlfn.XLOOKUP($B817, DB[samplingPoint], DB[waterType])</f>
        <v>PW</v>
      </c>
      <c r="J817" s="43">
        <f t="shared" ref="J817:J854" si="7">$A817+1</f>
        <v>46183</v>
      </c>
      <c r="K817" s="26"/>
      <c r="L817" s="32"/>
      <c r="M817" s="32"/>
      <c r="N817" s="32" t="str">
        <f t="shared" si="2"/>
        <v>#DIV/0!</v>
      </c>
      <c r="O817" s="49"/>
      <c r="P817" s="32">
        <f t="array" ref="P817">_xlfn.XLOOKUP($B817, DB[samplingPoint], DB[Criteria])</f>
        <v>100</v>
      </c>
      <c r="Q817" s="50" t="str">
        <f t="shared" si="3"/>
        <v>NA</v>
      </c>
      <c r="R817" s="38" t="b">
        <v>0</v>
      </c>
      <c r="S817" s="35"/>
      <c r="T817" s="39" t="s">
        <v>381</v>
      </c>
      <c r="U817" s="196"/>
    </row>
    <row r="818" ht="22.5" customHeight="1">
      <c r="A818" s="26">
        <v>46182.0</v>
      </c>
      <c r="B818" s="48" t="s">
        <v>469</v>
      </c>
      <c r="C818" s="32" t="str">
        <f t="array" ref="C818">_xlfn.XLOOKUP(B818, DB[samplingPoint], DB[samplingTag])</f>
        <v>SV125.02</v>
      </c>
      <c r="D818" s="33" t="s">
        <v>500</v>
      </c>
      <c r="E818" s="38" t="b">
        <v>0</v>
      </c>
      <c r="F818" s="39" t="str">
        <f t="array" ref="F818">_xlfn.XLOOKUP($B818, DB[samplingPoint], DB[noLocation])</f>
        <v>WATER SYSTEM (B16)</v>
      </c>
      <c r="G818" s="33" t="s">
        <v>327</v>
      </c>
      <c r="H818" s="40" t="str">
        <f t="array" ref="H818">_xlfn.XLOOKUP($B818, DB[samplingPoint], DB[location])</f>
        <v>After UV (B16)</v>
      </c>
      <c r="I818" s="39" t="str">
        <f t="array" ref="I818">_xlfn.XLOOKUP($B818, DB[samplingPoint], DB[waterType])</f>
        <v>PW</v>
      </c>
      <c r="J818" s="43">
        <f t="shared" si="7"/>
        <v>46183</v>
      </c>
      <c r="K818" s="26"/>
      <c r="L818" s="32"/>
      <c r="M818" s="32"/>
      <c r="N818" s="32" t="str">
        <f t="shared" si="2"/>
        <v>#DIV/0!</v>
      </c>
      <c r="O818" s="49"/>
      <c r="P818" s="32">
        <f t="array" ref="P818">_xlfn.XLOOKUP($B818, DB[samplingPoint], DB[Criteria])</f>
        <v>100</v>
      </c>
      <c r="Q818" s="50" t="str">
        <f t="shared" si="3"/>
        <v>NA</v>
      </c>
      <c r="R818" s="38" t="b">
        <v>0</v>
      </c>
      <c r="S818" s="35"/>
      <c r="T818" s="39" t="s">
        <v>381</v>
      </c>
      <c r="U818" s="196"/>
    </row>
    <row r="819" ht="22.5" customHeight="1">
      <c r="A819" s="26">
        <v>46182.0</v>
      </c>
      <c r="B819" s="48" t="s">
        <v>464</v>
      </c>
      <c r="C819" s="32" t="str">
        <f t="array" ref="C819">_xlfn.XLOOKUP(B819, DB[samplingPoint], DB[samplingTag])</f>
        <v>SV127.01</v>
      </c>
      <c r="D819" s="33" t="s">
        <v>500</v>
      </c>
      <c r="E819" s="38" t="b">
        <v>0</v>
      </c>
      <c r="F819" s="39" t="str">
        <f t="array" ref="F819">_xlfn.XLOOKUP($B819, DB[samplingPoint], DB[noLocation])</f>
        <v>WATER SYSTEM (B16)</v>
      </c>
      <c r="G819" s="33" t="s">
        <v>327</v>
      </c>
      <c r="H819" s="40" t="str">
        <f t="array" ref="H819">_xlfn.XLOOKUP($B819, DB[samplingPoint], DB[location])</f>
        <v>Return loop (B16)</v>
      </c>
      <c r="I819" s="39" t="str">
        <f t="array" ref="I819">_xlfn.XLOOKUP($B819, DB[samplingPoint], DB[waterType])</f>
        <v>PW</v>
      </c>
      <c r="J819" s="43">
        <f t="shared" si="7"/>
        <v>46183</v>
      </c>
      <c r="K819" s="26"/>
      <c r="L819" s="32"/>
      <c r="M819" s="32"/>
      <c r="N819" s="32" t="str">
        <f t="shared" si="2"/>
        <v>#DIV/0!</v>
      </c>
      <c r="O819" s="49"/>
      <c r="P819" s="32">
        <f t="array" ref="P819">_xlfn.XLOOKUP($B819, DB[samplingPoint], DB[Criteria])</f>
        <v>100</v>
      </c>
      <c r="Q819" s="50" t="str">
        <f t="shared" si="3"/>
        <v>NA</v>
      </c>
      <c r="R819" s="38" t="b">
        <v>0</v>
      </c>
      <c r="S819" s="35"/>
      <c r="T819" s="39" t="s">
        <v>381</v>
      </c>
      <c r="U819" s="196"/>
    </row>
    <row r="820" ht="22.5" customHeight="1">
      <c r="A820" s="26">
        <v>46182.0</v>
      </c>
      <c r="B820" s="27" t="s">
        <v>472</v>
      </c>
      <c r="C820" s="32" t="str">
        <f t="array" ref="C820">_xlfn.XLOOKUP(B820, DB[samplingPoint], DB[samplingTag])</f>
        <v>SV126.19</v>
      </c>
      <c r="D820" s="33" t="s">
        <v>500</v>
      </c>
      <c r="E820" s="38" t="b">
        <v>0</v>
      </c>
      <c r="F820" s="39" t="str">
        <f t="array" ref="F820">_xlfn.XLOOKUP($B820, DB[samplingPoint], DB[noLocation])</f>
        <v>16-3-087</v>
      </c>
      <c r="G820" s="33" t="s">
        <v>327</v>
      </c>
      <c r="H820" s="40" t="str">
        <f t="array" ref="H820">_xlfn.XLOOKUP($B820, DB[samplingPoint], DB[location])</f>
        <v>CIP 2 (EQUIPMENT REQUIREMENT)</v>
      </c>
      <c r="I820" s="39" t="str">
        <f t="array" ref="I820">_xlfn.XLOOKUP($B820, DB[samplingPoint], DB[waterType])</f>
        <v>PW</v>
      </c>
      <c r="J820" s="43">
        <f t="shared" si="7"/>
        <v>46183</v>
      </c>
      <c r="K820" s="26"/>
      <c r="L820" s="32"/>
      <c r="M820" s="32"/>
      <c r="N820" s="32" t="str">
        <f t="shared" si="2"/>
        <v>#DIV/0!</v>
      </c>
      <c r="O820" s="49"/>
      <c r="P820" s="32">
        <f t="array" ref="P820">_xlfn.XLOOKUP($B820, DB[samplingPoint], DB[Criteria])</f>
        <v>100</v>
      </c>
      <c r="Q820" s="50" t="str">
        <f t="shared" si="3"/>
        <v>NA</v>
      </c>
      <c r="R820" s="38" t="b">
        <v>0</v>
      </c>
      <c r="S820" s="35"/>
      <c r="T820" s="39" t="s">
        <v>381</v>
      </c>
      <c r="U820" s="196"/>
    </row>
    <row r="821" ht="22.5" customHeight="1">
      <c r="A821" s="26">
        <v>46182.0</v>
      </c>
      <c r="B821" s="58" t="s">
        <v>474</v>
      </c>
      <c r="C821" s="32" t="str">
        <f t="array" ref="C821">_xlfn.XLOOKUP(B821, DB[samplingPoint], DB[samplingTag])</f>
        <v>DV126.11</v>
      </c>
      <c r="D821" s="33" t="s">
        <v>500</v>
      </c>
      <c r="E821" s="38" t="b">
        <v>0</v>
      </c>
      <c r="F821" s="39" t="str">
        <f t="array" ref="F821">_xlfn.XLOOKUP($B821, DB[samplingPoint], DB[noLocation])</f>
        <v>16-3-073</v>
      </c>
      <c r="G821" s="33" t="s">
        <v>327</v>
      </c>
      <c r="H821" s="40" t="str">
        <f t="array" ref="H821">_xlfn.XLOOKUP($B821, DB[samplingPoint], DB[location])</f>
        <v>MFG 4 (5000L)</v>
      </c>
      <c r="I821" s="39" t="str">
        <f t="array" ref="I821">_xlfn.XLOOKUP($B821, DB[samplingPoint], DB[waterType])</f>
        <v>PW</v>
      </c>
      <c r="J821" s="43">
        <f t="shared" si="7"/>
        <v>46183</v>
      </c>
      <c r="K821" s="26"/>
      <c r="L821" s="32"/>
      <c r="M821" s="32"/>
      <c r="N821" s="32" t="str">
        <f t="shared" si="2"/>
        <v>#DIV/0!</v>
      </c>
      <c r="O821" s="49"/>
      <c r="P821" s="32">
        <f t="array" ref="P821">_xlfn.XLOOKUP($B821, DB[samplingPoint], DB[Criteria])</f>
        <v>100</v>
      </c>
      <c r="Q821" s="50" t="str">
        <f t="shared" si="3"/>
        <v>NA</v>
      </c>
      <c r="R821" s="38" t="b">
        <v>0</v>
      </c>
      <c r="S821" s="35"/>
      <c r="T821" s="39" t="s">
        <v>381</v>
      </c>
      <c r="U821" s="196"/>
    </row>
    <row r="822" ht="22.5" customHeight="1">
      <c r="A822" s="26">
        <v>46182.0</v>
      </c>
      <c r="B822" s="27" t="s">
        <v>478</v>
      </c>
      <c r="C822" s="32" t="str">
        <f t="array" ref="C822">_xlfn.XLOOKUP(B822, DB[samplingPoint], DB[samplingTag])</f>
        <v>SV126.14</v>
      </c>
      <c r="D822" s="33" t="s">
        <v>500</v>
      </c>
      <c r="E822" s="38" t="b">
        <v>0</v>
      </c>
      <c r="F822" s="39" t="str">
        <f t="array" ref="F822">_xlfn.XLOOKUP($B822, DB[samplingPoint], DB[noLocation])</f>
        <v>16-3-073</v>
      </c>
      <c r="G822" s="33" t="s">
        <v>327</v>
      </c>
      <c r="H822" s="40" t="str">
        <f t="array" ref="H822">_xlfn.XLOOKUP($B822, DB[samplingPoint], DB[location])</f>
        <v>MFG 4 (400L)</v>
      </c>
      <c r="I822" s="39" t="str">
        <f t="array" ref="I822">_xlfn.XLOOKUP($B822, DB[samplingPoint], DB[waterType])</f>
        <v>PW</v>
      </c>
      <c r="J822" s="43">
        <f t="shared" si="7"/>
        <v>46183</v>
      </c>
      <c r="K822" s="26"/>
      <c r="L822" s="32"/>
      <c r="M822" s="32"/>
      <c r="N822" s="32" t="str">
        <f t="shared" si="2"/>
        <v>#DIV/0!</v>
      </c>
      <c r="O822" s="49"/>
      <c r="P822" s="32">
        <f t="array" ref="P822">_xlfn.XLOOKUP($B822, DB[samplingPoint], DB[Criteria])</f>
        <v>100</v>
      </c>
      <c r="Q822" s="50" t="str">
        <f t="shared" si="3"/>
        <v>NA</v>
      </c>
      <c r="R822" s="38" t="b">
        <v>0</v>
      </c>
      <c r="S822" s="35"/>
      <c r="T822" s="39" t="s">
        <v>381</v>
      </c>
      <c r="U822" s="196"/>
    </row>
    <row r="823" ht="22.5" customHeight="1">
      <c r="A823" s="26">
        <v>46182.0</v>
      </c>
      <c r="B823" s="27" t="s">
        <v>481</v>
      </c>
      <c r="C823" s="32" t="str">
        <f t="array" ref="C823">_xlfn.XLOOKUP(B823, DB[samplingPoint], DB[samplingTag])</f>
        <v>SV126.15</v>
      </c>
      <c r="D823" s="33" t="s">
        <v>500</v>
      </c>
      <c r="E823" s="38" t="b">
        <v>0</v>
      </c>
      <c r="F823" s="39" t="str">
        <f t="array" ref="F823">_xlfn.XLOOKUP($B823, DB[samplingPoint], DB[noLocation])</f>
        <v>16-3-075</v>
      </c>
      <c r="G823" s="33" t="s">
        <v>327</v>
      </c>
      <c r="H823" s="40" t="str">
        <f t="array" ref="H823">_xlfn.XLOOKUP($B823, DB[samplingPoint], DB[location])</f>
        <v>MFG 5 PROCESS (2000L)</v>
      </c>
      <c r="I823" s="39" t="str">
        <f t="array" ref="I823">_xlfn.XLOOKUP($B823, DB[samplingPoint], DB[waterType])</f>
        <v>PW</v>
      </c>
      <c r="J823" s="43">
        <f t="shared" si="7"/>
        <v>46183</v>
      </c>
      <c r="K823" s="26"/>
      <c r="L823" s="32"/>
      <c r="M823" s="32"/>
      <c r="N823" s="32" t="str">
        <f t="shared" si="2"/>
        <v>#DIV/0!</v>
      </c>
      <c r="O823" s="49"/>
      <c r="P823" s="32">
        <f t="array" ref="P823">_xlfn.XLOOKUP($B823, DB[samplingPoint], DB[Criteria])</f>
        <v>100</v>
      </c>
      <c r="Q823" s="50" t="str">
        <f t="shared" si="3"/>
        <v>NA</v>
      </c>
      <c r="R823" s="38" t="b">
        <v>0</v>
      </c>
      <c r="S823" s="35"/>
      <c r="T823" s="39" t="s">
        <v>381</v>
      </c>
      <c r="U823" s="196"/>
    </row>
    <row r="824" ht="22.5" customHeight="1">
      <c r="A824" s="26">
        <v>46182.0</v>
      </c>
      <c r="B824" s="88" t="s">
        <v>483</v>
      </c>
      <c r="C824" s="32" t="str">
        <f t="array" ref="C824">_xlfn.XLOOKUP(B824, DB[samplingPoint], DB[samplingTag])</f>
        <v>DV126.05</v>
      </c>
      <c r="D824" s="33" t="s">
        <v>500</v>
      </c>
      <c r="E824" s="38" t="b">
        <v>0</v>
      </c>
      <c r="F824" s="39" t="str">
        <f t="array" ref="F824">_xlfn.XLOOKUP($B824, DB[samplingPoint], DB[noLocation])</f>
        <v>16-3-054</v>
      </c>
      <c r="G824" s="33" t="s">
        <v>327</v>
      </c>
      <c r="H824" s="40" t="str">
        <f t="array" ref="H824">_xlfn.XLOOKUP($B824, DB[samplingPoint], DB[location])</f>
        <v>WASHING</v>
      </c>
      <c r="I824" s="39" t="str">
        <f t="array" ref="I824">_xlfn.XLOOKUP($B824, DB[samplingPoint], DB[waterType])</f>
        <v>PW</v>
      </c>
      <c r="J824" s="43">
        <f t="shared" si="7"/>
        <v>46183</v>
      </c>
      <c r="K824" s="26"/>
      <c r="L824" s="32"/>
      <c r="M824" s="32"/>
      <c r="N824" s="32" t="str">
        <f t="shared" si="2"/>
        <v>#DIV/0!</v>
      </c>
      <c r="O824" s="49"/>
      <c r="P824" s="32">
        <f t="array" ref="P824">_xlfn.XLOOKUP($B824, DB[samplingPoint], DB[Criteria])</f>
        <v>100</v>
      </c>
      <c r="Q824" s="50" t="str">
        <f t="shared" si="3"/>
        <v>NA</v>
      </c>
      <c r="R824" s="38" t="b">
        <v>0</v>
      </c>
      <c r="S824" s="35"/>
      <c r="T824" s="39" t="s">
        <v>381</v>
      </c>
      <c r="U824" s="196"/>
    </row>
    <row r="825" ht="22.5" customHeight="1">
      <c r="A825" s="26">
        <v>46182.0</v>
      </c>
      <c r="B825" s="88" t="s">
        <v>486</v>
      </c>
      <c r="C825" s="32" t="str">
        <f t="array" ref="C825">_xlfn.XLOOKUP(B825, DB[samplingPoint], DB[samplingTag])</f>
        <v>SV126.04</v>
      </c>
      <c r="D825" s="33" t="s">
        <v>500</v>
      </c>
      <c r="E825" s="38" t="b">
        <v>0</v>
      </c>
      <c r="F825" s="39" t="str">
        <f t="array" ref="F825">_xlfn.XLOOKUP($B825, DB[samplingPoint], DB[noLocation])</f>
        <v>16-2-010</v>
      </c>
      <c r="G825" s="33" t="s">
        <v>327</v>
      </c>
      <c r="H825" s="40" t="str">
        <f t="array" ref="H825">_xlfn.XLOOKUP($B825, DB[samplingPoint], DB[location])</f>
        <v>WATER SYSTEM (PSG)</v>
      </c>
      <c r="I825" s="39" t="str">
        <f t="array" ref="I825">_xlfn.XLOOKUP($B825, DB[samplingPoint], DB[waterType])</f>
        <v>PW</v>
      </c>
      <c r="J825" s="43">
        <f t="shared" si="7"/>
        <v>46183</v>
      </c>
      <c r="K825" s="26"/>
      <c r="L825" s="32"/>
      <c r="M825" s="32"/>
      <c r="N825" s="32" t="str">
        <f t="shared" si="2"/>
        <v>#DIV/0!</v>
      </c>
      <c r="O825" s="49"/>
      <c r="P825" s="32">
        <f t="array" ref="P825">_xlfn.XLOOKUP($B825, DB[samplingPoint], DB[Criteria])</f>
        <v>100</v>
      </c>
      <c r="Q825" s="50" t="str">
        <f t="shared" si="3"/>
        <v>NA</v>
      </c>
      <c r="R825" s="38" t="b">
        <v>0</v>
      </c>
      <c r="S825" s="35"/>
      <c r="T825" s="39" t="s">
        <v>381</v>
      </c>
      <c r="U825" s="196"/>
    </row>
    <row r="826" ht="22.5" customHeight="1">
      <c r="A826" s="26">
        <v>46182.0</v>
      </c>
      <c r="B826" s="27" t="s">
        <v>435</v>
      </c>
      <c r="C826" s="32" t="str">
        <f t="array" ref="C826">_xlfn.XLOOKUP(B826, DB[samplingPoint], DB[samplingTag])</f>
        <v>SV133.01</v>
      </c>
      <c r="D826" s="33" t="s">
        <v>500</v>
      </c>
      <c r="E826" s="38" t="b">
        <v>0</v>
      </c>
      <c r="F826" s="39" t="str">
        <f t="array" ref="F826">_xlfn.XLOOKUP($B826, DB[samplingPoint], DB[noLocation])</f>
        <v>WATER SYSTEM (B12)</v>
      </c>
      <c r="G826" s="33" t="s">
        <v>437</v>
      </c>
      <c r="H826" s="40" t="str">
        <f t="array" ref="H826">_xlfn.XLOOKUP($B826, DB[samplingPoint], DB[location])</f>
        <v>After Storage tank (B12)</v>
      </c>
      <c r="I826" s="39" t="str">
        <f t="array" ref="I826">_xlfn.XLOOKUP($B826, DB[samplingPoint], DB[waterType])</f>
        <v>PW</v>
      </c>
      <c r="J826" s="43">
        <f t="shared" si="7"/>
        <v>46183</v>
      </c>
      <c r="K826" s="26"/>
      <c r="L826" s="32"/>
      <c r="M826" s="32"/>
      <c r="N826" s="32" t="str">
        <f t="shared" si="2"/>
        <v>#DIV/0!</v>
      </c>
      <c r="O826" s="49"/>
      <c r="P826" s="32">
        <f t="array" ref="P826">_xlfn.XLOOKUP($B826, DB[samplingPoint], DB[Criteria])</f>
        <v>100</v>
      </c>
      <c r="Q826" s="50" t="str">
        <f t="shared" si="3"/>
        <v>NA</v>
      </c>
      <c r="R826" s="38" t="b">
        <v>0</v>
      </c>
      <c r="S826" s="35"/>
      <c r="T826" s="39" t="s">
        <v>381</v>
      </c>
      <c r="U826" s="196"/>
    </row>
    <row r="827" ht="22.5" customHeight="1">
      <c r="A827" s="26">
        <v>46182.0</v>
      </c>
      <c r="B827" s="58" t="s">
        <v>438</v>
      </c>
      <c r="C827" s="32" t="str">
        <f t="array" ref="C827">_xlfn.XLOOKUP(B827, DB[samplingPoint], DB[samplingTag])</f>
        <v>SV135.02</v>
      </c>
      <c r="D827" s="33" t="s">
        <v>500</v>
      </c>
      <c r="E827" s="38" t="b">
        <v>0</v>
      </c>
      <c r="F827" s="39" t="str">
        <f t="array" ref="F827">_xlfn.XLOOKUP($B827, DB[samplingPoint], DB[noLocation])</f>
        <v>WATER SYSTEM (B12)</v>
      </c>
      <c r="G827" s="33" t="s">
        <v>437</v>
      </c>
      <c r="H827" s="40" t="str">
        <f t="array" ref="H827">_xlfn.XLOOKUP($B827, DB[samplingPoint], DB[location])</f>
        <v>After UV (B12)</v>
      </c>
      <c r="I827" s="39" t="str">
        <f t="array" ref="I827">_xlfn.XLOOKUP($B827, DB[samplingPoint], DB[waterType])</f>
        <v>PW</v>
      </c>
      <c r="J827" s="43">
        <f t="shared" si="7"/>
        <v>46183</v>
      </c>
      <c r="K827" s="26"/>
      <c r="L827" s="32"/>
      <c r="M827" s="32"/>
      <c r="N827" s="32" t="str">
        <f t="shared" si="2"/>
        <v>#DIV/0!</v>
      </c>
      <c r="O827" s="49"/>
      <c r="P827" s="32">
        <f t="array" ref="P827">_xlfn.XLOOKUP($B827, DB[samplingPoint], DB[Criteria])</f>
        <v>100</v>
      </c>
      <c r="Q827" s="50" t="str">
        <f t="shared" si="3"/>
        <v>NA</v>
      </c>
      <c r="R827" s="38" t="b">
        <v>0</v>
      </c>
      <c r="S827" s="35"/>
      <c r="T827" s="39" t="s">
        <v>381</v>
      </c>
      <c r="U827" s="196"/>
    </row>
    <row r="828" ht="22.5" customHeight="1">
      <c r="A828" s="26">
        <v>46182.0</v>
      </c>
      <c r="B828" s="27" t="s">
        <v>430</v>
      </c>
      <c r="C828" s="32" t="str">
        <f t="array" ref="C828">_xlfn.XLOOKUP(B828, DB[samplingPoint], DB[samplingTag])</f>
        <v>SV137.01</v>
      </c>
      <c r="D828" s="33" t="s">
        <v>500</v>
      </c>
      <c r="E828" s="38" t="b">
        <v>0</v>
      </c>
      <c r="F828" s="39" t="str">
        <f t="array" ref="F828">_xlfn.XLOOKUP($B828, DB[samplingPoint], DB[noLocation])</f>
        <v>WATER SYSTEM (B12)</v>
      </c>
      <c r="G828" s="33" t="s">
        <v>437</v>
      </c>
      <c r="H828" s="40" t="str">
        <f t="array" ref="H828">_xlfn.XLOOKUP($B828, DB[samplingPoint], DB[location])</f>
        <v>Return loop (B12)</v>
      </c>
      <c r="I828" s="39" t="str">
        <f t="array" ref="I828">_xlfn.XLOOKUP($B828, DB[samplingPoint], DB[waterType])</f>
        <v>PW</v>
      </c>
      <c r="J828" s="43">
        <f t="shared" si="7"/>
        <v>46183</v>
      </c>
      <c r="K828" s="26"/>
      <c r="L828" s="32"/>
      <c r="M828" s="32"/>
      <c r="N828" s="32" t="str">
        <f t="shared" si="2"/>
        <v>#DIV/0!</v>
      </c>
      <c r="O828" s="49"/>
      <c r="P828" s="32">
        <f t="array" ref="P828">_xlfn.XLOOKUP($B828, DB[samplingPoint], DB[Criteria])</f>
        <v>100</v>
      </c>
      <c r="Q828" s="50" t="str">
        <f t="shared" si="3"/>
        <v>NA</v>
      </c>
      <c r="R828" s="38" t="b">
        <v>0</v>
      </c>
      <c r="S828" s="35"/>
      <c r="T828" s="39" t="s">
        <v>381</v>
      </c>
      <c r="U828" s="196"/>
    </row>
    <row r="829" ht="22.5" customHeight="1">
      <c r="A829" s="26">
        <v>46182.0</v>
      </c>
      <c r="B829" s="58" t="s">
        <v>518</v>
      </c>
      <c r="C829" s="32" t="str">
        <f t="array" ref="C829">_xlfn.XLOOKUP(B829, DB[samplingPoint], DB[samplingTag])</f>
        <v>SV136.12</v>
      </c>
      <c r="D829" s="33" t="s">
        <v>500</v>
      </c>
      <c r="E829" s="38" t="b">
        <v>0</v>
      </c>
      <c r="F829" s="39" t="str">
        <f t="array" ref="F829">_xlfn.XLOOKUP($B829, DB[samplingPoint], DB[noLocation])</f>
        <v>12-2-036</v>
      </c>
      <c r="G829" s="33" t="s">
        <v>437</v>
      </c>
      <c r="H829" s="40" t="str">
        <f t="array" ref="H829">_xlfn.XLOOKUP($B829, DB[samplingPoint], DB[location])</f>
        <v>CIP 1</v>
      </c>
      <c r="I829" s="39" t="str">
        <f t="array" ref="I829">_xlfn.XLOOKUP($B829, DB[samplingPoint], DB[waterType])</f>
        <v>PW</v>
      </c>
      <c r="J829" s="43">
        <f t="shared" si="7"/>
        <v>46183</v>
      </c>
      <c r="K829" s="26"/>
      <c r="L829" s="32"/>
      <c r="M829" s="32"/>
      <c r="N829" s="32" t="str">
        <f t="shared" si="2"/>
        <v>#DIV/0!</v>
      </c>
      <c r="O829" s="49"/>
      <c r="P829" s="32">
        <f t="array" ref="P829">_xlfn.XLOOKUP($B829, DB[samplingPoint], DB[Criteria])</f>
        <v>100</v>
      </c>
      <c r="Q829" s="50" t="str">
        <f t="shared" si="3"/>
        <v>NA</v>
      </c>
      <c r="R829" s="38" t="b">
        <v>0</v>
      </c>
      <c r="S829" s="35"/>
      <c r="T829" s="39" t="s">
        <v>381</v>
      </c>
      <c r="U829" s="196"/>
    </row>
    <row r="830" ht="22.5" customHeight="1">
      <c r="A830" s="26">
        <v>46182.0</v>
      </c>
      <c r="B830" s="27" t="s">
        <v>517</v>
      </c>
      <c r="C830" s="32" t="str">
        <f t="array" ref="C830">_xlfn.XLOOKUP(B830, DB[samplingPoint], DB[samplingTag])</f>
        <v>SV136.07</v>
      </c>
      <c r="D830" s="33" t="s">
        <v>500</v>
      </c>
      <c r="E830" s="38" t="b">
        <v>0</v>
      </c>
      <c r="F830" s="39" t="str">
        <f t="array" ref="F830">_xlfn.XLOOKUP($B830, DB[samplingPoint], DB[noLocation])</f>
        <v>12-2-034</v>
      </c>
      <c r="G830" s="33" t="s">
        <v>437</v>
      </c>
      <c r="H830" s="40" t="str">
        <f t="array" ref="H830">_xlfn.XLOOKUP($B830, DB[samplingPoint], DB[location])</f>
        <v>SYRUP PREPARATION</v>
      </c>
      <c r="I830" s="39" t="str">
        <f t="array" ref="I830">_xlfn.XLOOKUP($B830, DB[samplingPoint], DB[waterType])</f>
        <v>PW</v>
      </c>
      <c r="J830" s="43">
        <f t="shared" si="7"/>
        <v>46183</v>
      </c>
      <c r="K830" s="26"/>
      <c r="L830" s="32"/>
      <c r="M830" s="32"/>
      <c r="N830" s="32" t="str">
        <f t="shared" si="2"/>
        <v>#DIV/0!</v>
      </c>
      <c r="O830" s="49"/>
      <c r="P830" s="32">
        <f t="array" ref="P830">_xlfn.XLOOKUP($B830, DB[samplingPoint], DB[Criteria])</f>
        <v>100</v>
      </c>
      <c r="Q830" s="50" t="str">
        <f t="shared" si="3"/>
        <v>NA</v>
      </c>
      <c r="R830" s="38" t="b">
        <v>0</v>
      </c>
      <c r="S830" s="35"/>
      <c r="T830" s="39" t="s">
        <v>381</v>
      </c>
      <c r="U830" s="196"/>
    </row>
    <row r="831" ht="22.5" customHeight="1">
      <c r="A831" s="26">
        <v>46182.0</v>
      </c>
      <c r="B831" s="58" t="s">
        <v>516</v>
      </c>
      <c r="C831" s="32" t="str">
        <f t="array" ref="C831">_xlfn.XLOOKUP(B831, DB[samplingPoint], DB[samplingTag])</f>
        <v>SV136.06</v>
      </c>
      <c r="D831" s="33" t="s">
        <v>500</v>
      </c>
      <c r="E831" s="38" t="b">
        <v>0</v>
      </c>
      <c r="F831" s="39" t="str">
        <f t="array" ref="F831">_xlfn.XLOOKUP($B831, DB[samplingPoint], DB[noLocation])</f>
        <v>12-2-034</v>
      </c>
      <c r="G831" s="33" t="s">
        <v>437</v>
      </c>
      <c r="H831" s="40" t="str">
        <f t="array" ref="H831">_xlfn.XLOOKUP($B831, DB[samplingPoint], DB[location])</f>
        <v>SYRUP PREPARATION</v>
      </c>
      <c r="I831" s="39" t="str">
        <f t="array" ref="I831">_xlfn.XLOOKUP($B831, DB[samplingPoint], DB[waterType])</f>
        <v>PW</v>
      </c>
      <c r="J831" s="43">
        <f t="shared" si="7"/>
        <v>46183</v>
      </c>
      <c r="K831" s="26"/>
      <c r="L831" s="32"/>
      <c r="M831" s="32"/>
      <c r="N831" s="32" t="str">
        <f t="shared" si="2"/>
        <v>#DIV/0!</v>
      </c>
      <c r="O831" s="49"/>
      <c r="P831" s="32">
        <f t="array" ref="P831">_xlfn.XLOOKUP($B831, DB[samplingPoint], DB[Criteria])</f>
        <v>100</v>
      </c>
      <c r="Q831" s="50" t="str">
        <f t="shared" si="3"/>
        <v>NA</v>
      </c>
      <c r="R831" s="38" t="b">
        <v>0</v>
      </c>
      <c r="S831" s="35"/>
      <c r="T831" s="39" t="s">
        <v>381</v>
      </c>
      <c r="U831" s="196"/>
    </row>
    <row r="832" ht="22.5" customHeight="1">
      <c r="A832" s="26">
        <v>46182.0</v>
      </c>
      <c r="B832" s="27" t="s">
        <v>510</v>
      </c>
      <c r="C832" s="32" t="str">
        <f t="array" ref="C832">_xlfn.XLOOKUP(B832, DB[samplingPoint], DB[samplingTag])</f>
        <v>SV136.03</v>
      </c>
      <c r="D832" s="33" t="s">
        <v>500</v>
      </c>
      <c r="E832" s="38" t="b">
        <v>0</v>
      </c>
      <c r="F832" s="39" t="str">
        <f t="array" ref="F832">_xlfn.XLOOKUP($B832, DB[samplingPoint], DB[noLocation])</f>
        <v>12-2-032</v>
      </c>
      <c r="G832" s="33" t="s">
        <v>437</v>
      </c>
      <c r="H832" s="40" t="str">
        <f t="array" ref="H832">_xlfn.XLOOKUP($B832, DB[samplingPoint], DB[location])</f>
        <v>CAMPHORATED OPIUM TINCTURE</v>
      </c>
      <c r="I832" s="39" t="str">
        <f t="array" ref="I832">_xlfn.XLOOKUP($B832, DB[samplingPoint], DB[waterType])</f>
        <v>PW</v>
      </c>
      <c r="J832" s="43">
        <f t="shared" si="7"/>
        <v>46183</v>
      </c>
      <c r="K832" s="26"/>
      <c r="L832" s="32"/>
      <c r="M832" s="32"/>
      <c r="N832" s="32" t="str">
        <f t="shared" si="2"/>
        <v>#DIV/0!</v>
      </c>
      <c r="O832" s="49"/>
      <c r="P832" s="32">
        <f t="array" ref="P832">_xlfn.XLOOKUP($B832, DB[samplingPoint], DB[Criteria])</f>
        <v>100</v>
      </c>
      <c r="Q832" s="50" t="str">
        <f t="shared" si="3"/>
        <v>NA</v>
      </c>
      <c r="R832" s="38" t="b">
        <v>0</v>
      </c>
      <c r="S832" s="35"/>
      <c r="T832" s="39" t="s">
        <v>381</v>
      </c>
      <c r="U832" s="196"/>
    </row>
    <row r="833" ht="22.5" customHeight="1">
      <c r="A833" s="26">
        <v>46182.0</v>
      </c>
      <c r="B833" s="58" t="s">
        <v>514</v>
      </c>
      <c r="C833" s="32" t="str">
        <f t="array" ref="C833">_xlfn.XLOOKUP(B833, DB[samplingPoint], DB[samplingTag])</f>
        <v>SV136.05</v>
      </c>
      <c r="D833" s="33" t="s">
        <v>500</v>
      </c>
      <c r="E833" s="38" t="b">
        <v>0</v>
      </c>
      <c r="F833" s="39" t="str">
        <f t="array" ref="F833">_xlfn.XLOOKUP($B833, DB[samplingPoint], DB[noLocation])</f>
        <v>12-2-032</v>
      </c>
      <c r="G833" s="33" t="s">
        <v>437</v>
      </c>
      <c r="H833" s="40" t="str">
        <f t="array" ref="H833">_xlfn.XLOOKUP($B833, DB[samplingPoint], DB[location])</f>
        <v>CAMPHORATED OPIUM TINCTURE</v>
      </c>
      <c r="I833" s="39" t="str">
        <f t="array" ref="I833">_xlfn.XLOOKUP($B833, DB[samplingPoint], DB[waterType])</f>
        <v>PW</v>
      </c>
      <c r="J833" s="43">
        <f t="shared" si="7"/>
        <v>46183</v>
      </c>
      <c r="K833" s="26"/>
      <c r="L833" s="32"/>
      <c r="M833" s="32"/>
      <c r="N833" s="32" t="str">
        <f t="shared" si="2"/>
        <v>#DIV/0!</v>
      </c>
      <c r="O833" s="49"/>
      <c r="P833" s="32">
        <f t="array" ref="P833">_xlfn.XLOOKUP($B833, DB[samplingPoint], DB[Criteria])</f>
        <v>100</v>
      </c>
      <c r="Q833" s="50" t="str">
        <f t="shared" si="3"/>
        <v>NA</v>
      </c>
      <c r="R833" s="38" t="b">
        <v>0</v>
      </c>
      <c r="S833" s="35"/>
      <c r="T833" s="39" t="s">
        <v>381</v>
      </c>
      <c r="U833" s="196"/>
    </row>
    <row r="834" ht="22.5" customHeight="1">
      <c r="A834" s="26">
        <v>46182.0</v>
      </c>
      <c r="B834" s="27" t="s">
        <v>513</v>
      </c>
      <c r="C834" s="32" t="str">
        <f t="array" ref="C834">_xlfn.XLOOKUP(B834, DB[samplingPoint], DB[samplingTag])</f>
        <v>SV136.04</v>
      </c>
      <c r="D834" s="33" t="s">
        <v>500</v>
      </c>
      <c r="E834" s="38" t="b">
        <v>0</v>
      </c>
      <c r="F834" s="39" t="str">
        <f t="array" ref="F834">_xlfn.XLOOKUP($B834, DB[samplingPoint], DB[noLocation])</f>
        <v>12-2-030</v>
      </c>
      <c r="G834" s="33" t="s">
        <v>437</v>
      </c>
      <c r="H834" s="40" t="str">
        <f t="array" ref="H834">_xlfn.XLOOKUP($B834, DB[samplingPoint], DB[location])</f>
        <v>OPIUM TINCTURE</v>
      </c>
      <c r="I834" s="39" t="str">
        <f t="array" ref="I834">_xlfn.XLOOKUP($B834, DB[samplingPoint], DB[waterType])</f>
        <v>PW</v>
      </c>
      <c r="J834" s="43">
        <f t="shared" si="7"/>
        <v>46183</v>
      </c>
      <c r="K834" s="26"/>
      <c r="L834" s="32"/>
      <c r="M834" s="32"/>
      <c r="N834" s="32" t="str">
        <f t="shared" si="2"/>
        <v>#DIV/0!</v>
      </c>
      <c r="O834" s="49"/>
      <c r="P834" s="32">
        <f t="array" ref="P834">_xlfn.XLOOKUP($B834, DB[samplingPoint], DB[Criteria])</f>
        <v>100</v>
      </c>
      <c r="Q834" s="50" t="str">
        <f t="shared" si="3"/>
        <v>NA</v>
      </c>
      <c r="R834" s="38" t="b">
        <v>0</v>
      </c>
      <c r="S834" s="35"/>
      <c r="T834" s="39" t="s">
        <v>381</v>
      </c>
      <c r="U834" s="196"/>
    </row>
    <row r="835" ht="22.5" customHeight="1">
      <c r="A835" s="26">
        <v>46182.0</v>
      </c>
      <c r="B835" s="58" t="s">
        <v>506</v>
      </c>
      <c r="C835" s="32" t="str">
        <f t="array" ref="C835">_xlfn.XLOOKUP(B835, DB[samplingPoint], DB[samplingTag])</f>
        <v>DV136.02</v>
      </c>
      <c r="D835" s="33" t="s">
        <v>500</v>
      </c>
      <c r="E835" s="38" t="b">
        <v>0</v>
      </c>
      <c r="F835" s="39" t="str">
        <f t="array" ref="F835">_xlfn.XLOOKUP($B835, DB[samplingPoint], DB[noLocation])</f>
        <v>12-2-028</v>
      </c>
      <c r="G835" s="33" t="s">
        <v>437</v>
      </c>
      <c r="H835" s="40" t="str">
        <f t="array" ref="H835">_xlfn.XLOOKUP($B835, DB[samplingPoint], DB[location])</f>
        <v>ALCOHOL STORAGE</v>
      </c>
      <c r="I835" s="39" t="str">
        <f t="array" ref="I835">_xlfn.XLOOKUP($B835, DB[samplingPoint], DB[waterType])</f>
        <v>PW</v>
      </c>
      <c r="J835" s="43">
        <f t="shared" si="7"/>
        <v>46183</v>
      </c>
      <c r="K835" s="26"/>
      <c r="L835" s="32"/>
      <c r="M835" s="32"/>
      <c r="N835" s="32" t="str">
        <f t="shared" si="2"/>
        <v>#DIV/0!</v>
      </c>
      <c r="O835" s="49"/>
      <c r="P835" s="32">
        <f t="array" ref="P835">_xlfn.XLOOKUP($B835, DB[samplingPoint], DB[Criteria])</f>
        <v>100</v>
      </c>
      <c r="Q835" s="50" t="str">
        <f t="shared" si="3"/>
        <v>NA</v>
      </c>
      <c r="R835" s="38" t="b">
        <v>0</v>
      </c>
      <c r="S835" s="35"/>
      <c r="T835" s="39" t="s">
        <v>381</v>
      </c>
      <c r="U835" s="196"/>
    </row>
    <row r="836" ht="22.5" customHeight="1">
      <c r="A836" s="26">
        <v>46182.0</v>
      </c>
      <c r="B836" s="58" t="s">
        <v>508</v>
      </c>
      <c r="C836" s="32" t="str">
        <f t="array" ref="C836">_xlfn.XLOOKUP(B836, DB[samplingPoint], DB[samplingTag])</f>
        <v>DV136.07</v>
      </c>
      <c r="D836" s="33" t="s">
        <v>500</v>
      </c>
      <c r="E836" s="38" t="b">
        <v>0</v>
      </c>
      <c r="F836" s="39" t="str">
        <f t="array" ref="F836">_xlfn.XLOOKUP($B836, DB[samplingPoint], DB[noLocation])</f>
        <v>12-3-039</v>
      </c>
      <c r="G836" s="33" t="s">
        <v>437</v>
      </c>
      <c r="H836" s="40" t="str">
        <f t="array" ref="H836">_xlfn.XLOOKUP($B836, DB[samplingPoint], DB[location])</f>
        <v>INSTRUMENT 7</v>
      </c>
      <c r="I836" s="39" t="str">
        <f t="array" ref="I836">_xlfn.XLOOKUP($B836, DB[samplingPoint], DB[waterType])</f>
        <v>PW</v>
      </c>
      <c r="J836" s="43">
        <f t="shared" si="7"/>
        <v>46183</v>
      </c>
      <c r="K836" s="26"/>
      <c r="L836" s="32"/>
      <c r="M836" s="32"/>
      <c r="N836" s="32" t="str">
        <f t="shared" si="2"/>
        <v>#DIV/0!</v>
      </c>
      <c r="O836" s="49"/>
      <c r="P836" s="32">
        <f t="array" ref="P836">_xlfn.XLOOKUP($B836, DB[samplingPoint], DB[Criteria])</f>
        <v>100</v>
      </c>
      <c r="Q836" s="50" t="str">
        <f t="shared" si="3"/>
        <v>NA</v>
      </c>
      <c r="R836" s="38" t="b">
        <v>0</v>
      </c>
      <c r="S836" s="35"/>
      <c r="T836" s="39" t="s">
        <v>381</v>
      </c>
      <c r="U836" s="196"/>
    </row>
    <row r="837" ht="22.5" customHeight="1">
      <c r="A837" s="26">
        <v>46185.0</v>
      </c>
      <c r="B837" s="27" t="s">
        <v>380</v>
      </c>
      <c r="C837" s="32" t="str">
        <f t="array" ref="C837">_xlfn.XLOOKUP(B837, DB[samplingPoint], DB[samplingTag])</f>
        <v>SV113.01</v>
      </c>
      <c r="D837" s="33" t="s">
        <v>500</v>
      </c>
      <c r="E837" s="38" t="b">
        <v>0</v>
      </c>
      <c r="F837" s="39" t="str">
        <f t="array" ref="F837">_xlfn.XLOOKUP($B837, DB[samplingPoint], DB[noLocation])</f>
        <v>WATER SYSTEM (B10)</v>
      </c>
      <c r="G837" s="33" t="s">
        <v>180</v>
      </c>
      <c r="H837" s="40" t="str">
        <f t="array" ref="H837">_xlfn.XLOOKUP($B837, DB[samplingPoint], DB[location])</f>
        <v>After Storage tank (B10)</v>
      </c>
      <c r="I837" s="39" t="str">
        <f t="array" ref="I837">_xlfn.XLOOKUP($B837, DB[samplingPoint], DB[waterType])</f>
        <v>PW</v>
      </c>
      <c r="J837" s="43">
        <f t="shared" si="7"/>
        <v>46186</v>
      </c>
      <c r="K837" s="26"/>
      <c r="L837" s="32"/>
      <c r="M837" s="32"/>
      <c r="N837" s="32" t="str">
        <f t="shared" si="2"/>
        <v>#DIV/0!</v>
      </c>
      <c r="O837" s="49"/>
      <c r="P837" s="32">
        <f t="array" ref="P837">_xlfn.XLOOKUP($B837, DB[samplingPoint], DB[Criteria])</f>
        <v>100</v>
      </c>
      <c r="Q837" s="50" t="str">
        <f t="shared" si="3"/>
        <v>NA</v>
      </c>
      <c r="R837" s="38" t="b">
        <v>0</v>
      </c>
      <c r="S837" s="35"/>
      <c r="T837" s="39" t="s">
        <v>381</v>
      </c>
      <c r="U837" s="196"/>
    </row>
    <row r="838" ht="22.5" customHeight="1">
      <c r="A838" s="26">
        <v>46185.0</v>
      </c>
      <c r="B838" s="58" t="s">
        <v>385</v>
      </c>
      <c r="C838" s="32" t="str">
        <f t="array" ref="C838">_xlfn.XLOOKUP(B838, DB[samplingPoint], DB[samplingTag])</f>
        <v>SV115.02</v>
      </c>
      <c r="D838" s="33" t="s">
        <v>500</v>
      </c>
      <c r="E838" s="38" t="b">
        <v>0</v>
      </c>
      <c r="F838" s="39" t="str">
        <f t="array" ref="F838">_xlfn.XLOOKUP($B838, DB[samplingPoint], DB[noLocation])</f>
        <v>WATER SYSTEM (B10)</v>
      </c>
      <c r="G838" s="33" t="s">
        <v>180</v>
      </c>
      <c r="H838" s="40" t="str">
        <f t="array" ref="H838">_xlfn.XLOOKUP($B838, DB[samplingPoint], DB[location])</f>
        <v>After UV (B10)</v>
      </c>
      <c r="I838" s="39" t="str">
        <f t="array" ref="I838">_xlfn.XLOOKUP($B838, DB[samplingPoint], DB[waterType])</f>
        <v>PW</v>
      </c>
      <c r="J838" s="43">
        <f t="shared" si="7"/>
        <v>46186</v>
      </c>
      <c r="K838" s="26"/>
      <c r="L838" s="32"/>
      <c r="M838" s="32"/>
      <c r="N838" s="32" t="str">
        <f t="shared" si="2"/>
        <v>#DIV/0!</v>
      </c>
      <c r="O838" s="49"/>
      <c r="P838" s="32">
        <f t="array" ref="P838">_xlfn.XLOOKUP($B838, DB[samplingPoint], DB[Criteria])</f>
        <v>100</v>
      </c>
      <c r="Q838" s="50" t="str">
        <f t="shared" si="3"/>
        <v>NA</v>
      </c>
      <c r="R838" s="38" t="b">
        <v>0</v>
      </c>
      <c r="S838" s="35"/>
      <c r="T838" s="39" t="s">
        <v>381</v>
      </c>
      <c r="U838" s="196"/>
    </row>
    <row r="839" ht="22.5" customHeight="1">
      <c r="A839" s="26">
        <v>46185.0</v>
      </c>
      <c r="B839" s="27" t="s">
        <v>390</v>
      </c>
      <c r="C839" s="32" t="str">
        <f t="array" ref="C839">_xlfn.XLOOKUP(B839, DB[samplingPoint], DB[samplingTag])</f>
        <v>SV117.01</v>
      </c>
      <c r="D839" s="33" t="s">
        <v>500</v>
      </c>
      <c r="E839" s="38" t="b">
        <v>0</v>
      </c>
      <c r="F839" s="39" t="str">
        <f t="array" ref="F839">_xlfn.XLOOKUP($B839, DB[samplingPoint], DB[noLocation])</f>
        <v>WATER SYSTEM (B10)</v>
      </c>
      <c r="G839" s="33" t="s">
        <v>180</v>
      </c>
      <c r="H839" s="40" t="str">
        <f t="array" ref="H839">_xlfn.XLOOKUP($B839, DB[samplingPoint], DB[location])</f>
        <v>Return loop (B10)</v>
      </c>
      <c r="I839" s="39" t="str">
        <f t="array" ref="I839">_xlfn.XLOOKUP($B839, DB[samplingPoint], DB[waterType])</f>
        <v>PW</v>
      </c>
      <c r="J839" s="43">
        <f t="shared" si="7"/>
        <v>46186</v>
      </c>
      <c r="K839" s="26"/>
      <c r="L839" s="32"/>
      <c r="M839" s="32"/>
      <c r="N839" s="32" t="str">
        <f t="shared" si="2"/>
        <v>#DIV/0!</v>
      </c>
      <c r="O839" s="49"/>
      <c r="P839" s="32">
        <f t="array" ref="P839">_xlfn.XLOOKUP($B839, DB[samplingPoint], DB[Criteria])</f>
        <v>100</v>
      </c>
      <c r="Q839" s="50" t="str">
        <f t="shared" si="3"/>
        <v>NA</v>
      </c>
      <c r="R839" s="38" t="b">
        <v>0</v>
      </c>
      <c r="S839" s="35"/>
      <c r="T839" s="39" t="s">
        <v>381</v>
      </c>
      <c r="U839" s="196"/>
    </row>
    <row r="840" ht="22.5" customHeight="1">
      <c r="A840" s="26">
        <v>46185.0</v>
      </c>
      <c r="B840" s="27" t="s">
        <v>536</v>
      </c>
      <c r="C840" s="32" t="str">
        <f t="array" ref="C840">_xlfn.XLOOKUP(B840, DB[samplingPoint], DB[samplingTag])</f>
        <v>SV116.05</v>
      </c>
      <c r="D840" s="33" t="s">
        <v>500</v>
      </c>
      <c r="E840" s="38" t="b">
        <v>0</v>
      </c>
      <c r="F840" s="39" t="str">
        <f t="array" ref="F840">_xlfn.XLOOKUP($B840, DB[samplingPoint], DB[noLocation])</f>
        <v>10-3-062</v>
      </c>
      <c r="G840" s="33" t="s">
        <v>180</v>
      </c>
      <c r="H840" s="40" t="str">
        <f t="array" ref="H840">_xlfn.XLOOKUP($B840, DB[samplingPoint], DB[location])</f>
        <v>COATING ROOM-3</v>
      </c>
      <c r="I840" s="39" t="str">
        <f t="array" ref="I840">_xlfn.XLOOKUP($B840, DB[samplingPoint], DB[waterType])</f>
        <v>PW</v>
      </c>
      <c r="J840" s="43">
        <f t="shared" si="7"/>
        <v>46186</v>
      </c>
      <c r="K840" s="26"/>
      <c r="L840" s="32"/>
      <c r="M840" s="32"/>
      <c r="N840" s="32" t="str">
        <f t="shared" si="2"/>
        <v>#DIV/0!</v>
      </c>
      <c r="O840" s="49"/>
      <c r="P840" s="32">
        <f t="array" ref="P840">_xlfn.XLOOKUP($B840, DB[samplingPoint], DB[Criteria])</f>
        <v>100</v>
      </c>
      <c r="Q840" s="50" t="str">
        <f t="shared" si="3"/>
        <v>NA</v>
      </c>
      <c r="R840" s="38" t="b">
        <v>0</v>
      </c>
      <c r="S840" s="35"/>
      <c r="T840" s="39" t="s">
        <v>381</v>
      </c>
      <c r="U840" s="196"/>
    </row>
    <row r="841" ht="22.5" customHeight="1">
      <c r="A841" s="26">
        <v>46185.0</v>
      </c>
      <c r="B841" s="58" t="s">
        <v>535</v>
      </c>
      <c r="C841" s="32" t="str">
        <f t="array" ref="C841">_xlfn.XLOOKUP(B841, DB[samplingPoint], DB[samplingTag])</f>
        <v>SV116.04</v>
      </c>
      <c r="D841" s="33" t="s">
        <v>500</v>
      </c>
      <c r="E841" s="38" t="b">
        <v>0</v>
      </c>
      <c r="F841" s="39" t="str">
        <f t="array" ref="F841">_xlfn.XLOOKUP($B841, DB[samplingPoint], DB[noLocation])</f>
        <v>10-3-061</v>
      </c>
      <c r="G841" s="33" t="s">
        <v>180</v>
      </c>
      <c r="H841" s="40" t="str">
        <f t="array" ref="H841">_xlfn.XLOOKUP($B841, DB[samplingPoint], DB[location])</f>
        <v>COATING ROOM-2</v>
      </c>
      <c r="I841" s="39" t="str">
        <f t="array" ref="I841">_xlfn.XLOOKUP($B841, DB[samplingPoint], DB[waterType])</f>
        <v>PW</v>
      </c>
      <c r="J841" s="43">
        <f t="shared" si="7"/>
        <v>46186</v>
      </c>
      <c r="K841" s="26"/>
      <c r="L841" s="32"/>
      <c r="M841" s="32"/>
      <c r="N841" s="32" t="str">
        <f t="shared" si="2"/>
        <v>#DIV/0!</v>
      </c>
      <c r="O841" s="49"/>
      <c r="P841" s="32">
        <f t="array" ref="P841">_xlfn.XLOOKUP($B841, DB[samplingPoint], DB[Criteria])</f>
        <v>100</v>
      </c>
      <c r="Q841" s="50" t="str">
        <f t="shared" si="3"/>
        <v>NA</v>
      </c>
      <c r="R841" s="38" t="b">
        <v>0</v>
      </c>
      <c r="S841" s="35"/>
      <c r="T841" s="39" t="s">
        <v>381</v>
      </c>
      <c r="U841" s="196"/>
    </row>
    <row r="842" ht="22.5" customHeight="1">
      <c r="A842" s="26">
        <v>46185.0</v>
      </c>
      <c r="B842" s="27" t="s">
        <v>529</v>
      </c>
      <c r="C842" s="32" t="str">
        <f t="array" ref="C842">_xlfn.XLOOKUP(B842, DB[samplingPoint], DB[samplingTag])</f>
        <v>DV116.09</v>
      </c>
      <c r="D842" s="33" t="s">
        <v>500</v>
      </c>
      <c r="E842" s="38" t="b">
        <v>0</v>
      </c>
      <c r="F842" s="39" t="str">
        <f t="array" ref="F842">_xlfn.XLOOKUP($B842, DB[samplingPoint], DB[noLocation])</f>
        <v>10-3-060</v>
      </c>
      <c r="G842" s="33" t="s">
        <v>180</v>
      </c>
      <c r="H842" s="40" t="str">
        <f t="array" ref="H842">_xlfn.XLOOKUP($B842, DB[samplingPoint], DB[location])</f>
        <v>COATING SOLUTION PREP.-2</v>
      </c>
      <c r="I842" s="39" t="str">
        <f t="array" ref="I842">_xlfn.XLOOKUP($B842, DB[samplingPoint], DB[waterType])</f>
        <v>PW</v>
      </c>
      <c r="J842" s="43">
        <f t="shared" si="7"/>
        <v>46186</v>
      </c>
      <c r="K842" s="26"/>
      <c r="L842" s="32"/>
      <c r="M842" s="32"/>
      <c r="N842" s="32" t="str">
        <f t="shared" si="2"/>
        <v>#DIV/0!</v>
      </c>
      <c r="O842" s="49"/>
      <c r="P842" s="32">
        <f t="array" ref="P842">_xlfn.XLOOKUP($B842, DB[samplingPoint], DB[Criteria])</f>
        <v>100</v>
      </c>
      <c r="Q842" s="50" t="str">
        <f t="shared" si="3"/>
        <v>NA</v>
      </c>
      <c r="R842" s="38" t="b">
        <v>0</v>
      </c>
      <c r="S842" s="35"/>
      <c r="T842" s="39" t="s">
        <v>381</v>
      </c>
      <c r="U842" s="196"/>
    </row>
    <row r="843" ht="22.5" customHeight="1">
      <c r="A843" s="26">
        <v>46185.0</v>
      </c>
      <c r="B843" s="58" t="s">
        <v>528</v>
      </c>
      <c r="C843" s="32" t="str">
        <f t="array" ref="C843">_xlfn.XLOOKUP(B843, DB[samplingPoint], DB[samplingTag])</f>
        <v>DV116.08</v>
      </c>
      <c r="D843" s="33" t="s">
        <v>500</v>
      </c>
      <c r="E843" s="38" t="b">
        <v>0</v>
      </c>
      <c r="F843" s="39" t="str">
        <f t="array" ref="F843">_xlfn.XLOOKUP($B843, DB[samplingPoint], DB[noLocation])</f>
        <v>10-3-059</v>
      </c>
      <c r="G843" s="33" t="s">
        <v>180</v>
      </c>
      <c r="H843" s="40" t="str">
        <f t="array" ref="H843">_xlfn.XLOOKUP($B843, DB[samplingPoint], DB[location])</f>
        <v>COATING SOLUTION PREP.-1</v>
      </c>
      <c r="I843" s="39" t="str">
        <f t="array" ref="I843">_xlfn.XLOOKUP($B843, DB[samplingPoint], DB[waterType])</f>
        <v>PW</v>
      </c>
      <c r="J843" s="43">
        <f t="shared" si="7"/>
        <v>46186</v>
      </c>
      <c r="K843" s="26"/>
      <c r="L843" s="32"/>
      <c r="M843" s="32"/>
      <c r="N843" s="32" t="str">
        <f t="shared" si="2"/>
        <v>#DIV/0!</v>
      </c>
      <c r="O843" s="49"/>
      <c r="P843" s="32">
        <f t="array" ref="P843">_xlfn.XLOOKUP($B843, DB[samplingPoint], DB[Criteria])</f>
        <v>100</v>
      </c>
      <c r="Q843" s="50" t="str">
        <f t="shared" si="3"/>
        <v>NA</v>
      </c>
      <c r="R843" s="38" t="b">
        <v>0</v>
      </c>
      <c r="S843" s="35"/>
      <c r="T843" s="39" t="s">
        <v>381</v>
      </c>
      <c r="U843" s="196"/>
    </row>
    <row r="844" ht="22.5" customHeight="1">
      <c r="A844" s="26">
        <v>46185.0</v>
      </c>
      <c r="B844" s="27" t="s">
        <v>534</v>
      </c>
      <c r="C844" s="32" t="str">
        <f t="array" ref="C844">_xlfn.XLOOKUP(B844, DB[samplingPoint], DB[samplingTag])</f>
        <v>SV116.03</v>
      </c>
      <c r="D844" s="33" t="s">
        <v>500</v>
      </c>
      <c r="E844" s="38" t="b">
        <v>0</v>
      </c>
      <c r="F844" s="39" t="str">
        <f t="array" ref="F844">_xlfn.XLOOKUP($B844, DB[samplingPoint], DB[noLocation])</f>
        <v>10-3-058</v>
      </c>
      <c r="G844" s="33" t="s">
        <v>180</v>
      </c>
      <c r="H844" s="40" t="str">
        <f t="array" ref="H844">_xlfn.XLOOKUP($B844, DB[samplingPoint], DB[location])</f>
        <v>COATING ROOM-1</v>
      </c>
      <c r="I844" s="39" t="str">
        <f t="array" ref="I844">_xlfn.XLOOKUP($B844, DB[samplingPoint], DB[waterType])</f>
        <v>PW</v>
      </c>
      <c r="J844" s="43">
        <f t="shared" si="7"/>
        <v>46186</v>
      </c>
      <c r="K844" s="26"/>
      <c r="L844" s="32"/>
      <c r="M844" s="32"/>
      <c r="N844" s="32" t="str">
        <f t="shared" si="2"/>
        <v>#DIV/0!</v>
      </c>
      <c r="O844" s="49"/>
      <c r="P844" s="32">
        <f t="array" ref="P844">_xlfn.XLOOKUP($B844, DB[samplingPoint], DB[Criteria])</f>
        <v>100</v>
      </c>
      <c r="Q844" s="50" t="str">
        <f t="shared" si="3"/>
        <v>NA</v>
      </c>
      <c r="R844" s="38" t="b">
        <v>0</v>
      </c>
      <c r="S844" s="35"/>
      <c r="T844" s="39" t="s">
        <v>381</v>
      </c>
      <c r="U844" s="196"/>
    </row>
    <row r="845" ht="22.5" customHeight="1">
      <c r="A845" s="26">
        <v>46185.0</v>
      </c>
      <c r="B845" s="58" t="s">
        <v>541</v>
      </c>
      <c r="C845" s="32" t="str">
        <f t="array" ref="C845">_xlfn.XLOOKUP(B845, DB[samplingPoint], DB[samplingTag])</f>
        <v>SV116.08</v>
      </c>
      <c r="D845" s="33" t="s">
        <v>500</v>
      </c>
      <c r="E845" s="38" t="b">
        <v>0</v>
      </c>
      <c r="F845" s="39" t="str">
        <f t="array" ref="F845">_xlfn.XLOOKUP($B845, DB[samplingPoint], DB[noLocation])</f>
        <v>10-3-067</v>
      </c>
      <c r="G845" s="33" t="s">
        <v>180</v>
      </c>
      <c r="H845" s="40" t="str">
        <f t="array" ref="H845">_xlfn.XLOOKUP($B845, DB[samplingPoint], DB[location])</f>
        <v>COATING ROOM-6</v>
      </c>
      <c r="I845" s="39" t="str">
        <f t="array" ref="I845">_xlfn.XLOOKUP($B845, DB[samplingPoint], DB[waterType])</f>
        <v>PW</v>
      </c>
      <c r="J845" s="43">
        <f t="shared" si="7"/>
        <v>46186</v>
      </c>
      <c r="K845" s="26"/>
      <c r="L845" s="32"/>
      <c r="M845" s="32"/>
      <c r="N845" s="32" t="str">
        <f t="shared" si="2"/>
        <v>#DIV/0!</v>
      </c>
      <c r="O845" s="49"/>
      <c r="P845" s="32">
        <f t="array" ref="P845">_xlfn.XLOOKUP($B845, DB[samplingPoint], DB[Criteria])</f>
        <v>100</v>
      </c>
      <c r="Q845" s="50" t="str">
        <f t="shared" si="3"/>
        <v>NA</v>
      </c>
      <c r="R845" s="38" t="b">
        <v>0</v>
      </c>
      <c r="S845" s="35"/>
      <c r="T845" s="39" t="s">
        <v>381</v>
      </c>
      <c r="U845" s="196"/>
    </row>
    <row r="846" ht="22.5" customHeight="1">
      <c r="A846" s="26">
        <v>46185.0</v>
      </c>
      <c r="B846" s="27" t="s">
        <v>532</v>
      </c>
      <c r="C846" s="32" t="str">
        <f t="array" ref="C846">_xlfn.XLOOKUP(B846, DB[samplingPoint], DB[samplingTag])</f>
        <v>DV116.11</v>
      </c>
      <c r="D846" s="33" t="s">
        <v>500</v>
      </c>
      <c r="E846" s="38" t="b">
        <v>0</v>
      </c>
      <c r="F846" s="39" t="str">
        <f t="array" ref="F846">_xlfn.XLOOKUP($B846, DB[samplingPoint], DB[noLocation])</f>
        <v>10-3-066</v>
      </c>
      <c r="G846" s="33" t="s">
        <v>180</v>
      </c>
      <c r="H846" s="40" t="str">
        <f t="array" ref="H846">_xlfn.XLOOKUP($B846, DB[samplingPoint], DB[location])</f>
        <v>COATING SOLUTION PREP.-4</v>
      </c>
      <c r="I846" s="39" t="str">
        <f t="array" ref="I846">_xlfn.XLOOKUP($B846, DB[samplingPoint], DB[waterType])</f>
        <v>PW</v>
      </c>
      <c r="J846" s="43">
        <f t="shared" si="7"/>
        <v>46186</v>
      </c>
      <c r="K846" s="26"/>
      <c r="L846" s="32"/>
      <c r="M846" s="32"/>
      <c r="N846" s="32" t="str">
        <f t="shared" si="2"/>
        <v>#DIV/0!</v>
      </c>
      <c r="O846" s="49"/>
      <c r="P846" s="32">
        <f t="array" ref="P846">_xlfn.XLOOKUP($B846, DB[samplingPoint], DB[Criteria])</f>
        <v>100</v>
      </c>
      <c r="Q846" s="50" t="str">
        <f t="shared" si="3"/>
        <v>NA</v>
      </c>
      <c r="R846" s="38" t="b">
        <v>0</v>
      </c>
      <c r="S846" s="35"/>
      <c r="T846" s="39" t="s">
        <v>381</v>
      </c>
      <c r="U846" s="196"/>
    </row>
    <row r="847" ht="22.5" customHeight="1">
      <c r="A847" s="26">
        <v>46185.0</v>
      </c>
      <c r="B847" s="58" t="s">
        <v>531</v>
      </c>
      <c r="C847" s="32" t="str">
        <f t="array" ref="C847">_xlfn.XLOOKUP(B847, DB[samplingPoint], DB[samplingTag])</f>
        <v>DV116.10</v>
      </c>
      <c r="D847" s="33" t="s">
        <v>500</v>
      </c>
      <c r="E847" s="38" t="b">
        <v>0</v>
      </c>
      <c r="F847" s="39" t="str">
        <f t="array" ref="F847">_xlfn.XLOOKUP($B847, DB[samplingPoint], DB[noLocation])</f>
        <v>10-3-065</v>
      </c>
      <c r="G847" s="33" t="s">
        <v>180</v>
      </c>
      <c r="H847" s="40" t="str">
        <f t="array" ref="H847">_xlfn.XLOOKUP($B847, DB[samplingPoint], DB[location])</f>
        <v>COATING SOLUTION PREP.-3</v>
      </c>
      <c r="I847" s="39" t="str">
        <f t="array" ref="I847">_xlfn.XLOOKUP($B847, DB[samplingPoint], DB[waterType])</f>
        <v>PW</v>
      </c>
      <c r="J847" s="43">
        <f t="shared" si="7"/>
        <v>46186</v>
      </c>
      <c r="K847" s="26"/>
      <c r="L847" s="32"/>
      <c r="M847" s="32"/>
      <c r="N847" s="32" t="str">
        <f t="shared" si="2"/>
        <v>#DIV/0!</v>
      </c>
      <c r="O847" s="49"/>
      <c r="P847" s="32">
        <f t="array" ref="P847">_xlfn.XLOOKUP($B847, DB[samplingPoint], DB[Criteria])</f>
        <v>100</v>
      </c>
      <c r="Q847" s="50" t="str">
        <f t="shared" si="3"/>
        <v>NA</v>
      </c>
      <c r="R847" s="38" t="b">
        <v>0</v>
      </c>
      <c r="S847" s="35"/>
      <c r="T847" s="39" t="s">
        <v>381</v>
      </c>
      <c r="U847" s="196"/>
    </row>
    <row r="848" ht="22.5" customHeight="1">
      <c r="A848" s="26">
        <v>46185.0</v>
      </c>
      <c r="B848" s="27" t="s">
        <v>539</v>
      </c>
      <c r="C848" s="32" t="str">
        <f t="array" ref="C848">_xlfn.XLOOKUP(B848, DB[samplingPoint], DB[samplingTag])</f>
        <v>SV116.07</v>
      </c>
      <c r="D848" s="33" t="s">
        <v>500</v>
      </c>
      <c r="E848" s="38" t="b">
        <v>0</v>
      </c>
      <c r="F848" s="39" t="str">
        <f t="array" ref="F848">_xlfn.XLOOKUP($B848, DB[samplingPoint], DB[noLocation])</f>
        <v>10-3-064</v>
      </c>
      <c r="G848" s="33" t="s">
        <v>180</v>
      </c>
      <c r="H848" s="40" t="str">
        <f t="array" ref="H848">_xlfn.XLOOKUP($B848, DB[samplingPoint], DB[location])</f>
        <v>COATING ROOM-5</v>
      </c>
      <c r="I848" s="39" t="str">
        <f t="array" ref="I848">_xlfn.XLOOKUP($B848, DB[samplingPoint], DB[waterType])</f>
        <v>PW</v>
      </c>
      <c r="J848" s="43">
        <f t="shared" si="7"/>
        <v>46186</v>
      </c>
      <c r="K848" s="26"/>
      <c r="L848" s="32"/>
      <c r="M848" s="32"/>
      <c r="N848" s="32" t="str">
        <f t="shared" si="2"/>
        <v>#DIV/0!</v>
      </c>
      <c r="O848" s="49"/>
      <c r="P848" s="32">
        <f t="array" ref="P848">_xlfn.XLOOKUP($B848, DB[samplingPoint], DB[Criteria])</f>
        <v>100</v>
      </c>
      <c r="Q848" s="50" t="str">
        <f t="shared" si="3"/>
        <v>NA</v>
      </c>
      <c r="R848" s="38" t="b">
        <v>0</v>
      </c>
      <c r="S848" s="35"/>
      <c r="T848" s="39" t="s">
        <v>381</v>
      </c>
      <c r="U848" s="196"/>
    </row>
    <row r="849" ht="22.5" customHeight="1">
      <c r="A849" s="26">
        <v>46185.0</v>
      </c>
      <c r="B849" s="58" t="s">
        <v>538</v>
      </c>
      <c r="C849" s="32" t="str">
        <f t="array" ref="C849">_xlfn.XLOOKUP(B849, DB[samplingPoint], DB[samplingTag])</f>
        <v>SV116.06</v>
      </c>
      <c r="D849" s="33" t="s">
        <v>500</v>
      </c>
      <c r="E849" s="38" t="b">
        <v>0</v>
      </c>
      <c r="F849" s="39" t="str">
        <f t="array" ref="F849">_xlfn.XLOOKUP($B849, DB[samplingPoint], DB[noLocation])</f>
        <v>10-3-063</v>
      </c>
      <c r="G849" s="33" t="s">
        <v>180</v>
      </c>
      <c r="H849" s="40" t="str">
        <f t="array" ref="H849">_xlfn.XLOOKUP($B849, DB[samplingPoint], DB[location])</f>
        <v>COATING ROOM-4</v>
      </c>
      <c r="I849" s="39" t="str">
        <f t="array" ref="I849">_xlfn.XLOOKUP($B849, DB[samplingPoint], DB[waterType])</f>
        <v>PW</v>
      </c>
      <c r="J849" s="43">
        <f t="shared" si="7"/>
        <v>46186</v>
      </c>
      <c r="K849" s="26"/>
      <c r="L849" s="32"/>
      <c r="M849" s="32"/>
      <c r="N849" s="32" t="str">
        <f t="shared" si="2"/>
        <v>#DIV/0!</v>
      </c>
      <c r="O849" s="49"/>
      <c r="P849" s="32">
        <f t="array" ref="P849">_xlfn.XLOOKUP($B849, DB[samplingPoint], DB[Criteria])</f>
        <v>100</v>
      </c>
      <c r="Q849" s="50" t="str">
        <f t="shared" si="3"/>
        <v>NA</v>
      </c>
      <c r="R849" s="38" t="b">
        <v>0</v>
      </c>
      <c r="S849" s="35"/>
      <c r="T849" s="39" t="s">
        <v>381</v>
      </c>
      <c r="U849" s="196"/>
    </row>
    <row r="850" ht="22.5" customHeight="1">
      <c r="A850" s="26">
        <v>46185.0</v>
      </c>
      <c r="B850" s="27" t="s">
        <v>520</v>
      </c>
      <c r="C850" s="32" t="str">
        <f t="array" ref="C850">_xlfn.XLOOKUP(B850, DB[samplingPoint], DB[samplingTag])</f>
        <v>DV116.03</v>
      </c>
      <c r="D850" s="33" t="s">
        <v>500</v>
      </c>
      <c r="E850" s="38" t="b">
        <v>0</v>
      </c>
      <c r="F850" s="39" t="str">
        <f t="array" ref="F850">_xlfn.XLOOKUP($B850, DB[samplingPoint], DB[noLocation])</f>
        <v>10-2-034</v>
      </c>
      <c r="G850" s="33" t="s">
        <v>180</v>
      </c>
      <c r="H850" s="40" t="str">
        <f t="array" ref="H850">_xlfn.XLOOKUP($B850, DB[samplingPoint], DB[location])</f>
        <v>SAMPLE PREPARATION</v>
      </c>
      <c r="I850" s="39" t="str">
        <f t="array" ref="I850">_xlfn.XLOOKUP($B850, DB[samplingPoint], DB[waterType])</f>
        <v>PW</v>
      </c>
      <c r="J850" s="43">
        <f t="shared" si="7"/>
        <v>46186</v>
      </c>
      <c r="K850" s="26"/>
      <c r="L850" s="32"/>
      <c r="M850" s="32"/>
      <c r="N850" s="32" t="str">
        <f t="shared" si="2"/>
        <v>#DIV/0!</v>
      </c>
      <c r="O850" s="49"/>
      <c r="P850" s="32">
        <f t="array" ref="P850">_xlfn.XLOOKUP($B850, DB[samplingPoint], DB[Criteria])</f>
        <v>100</v>
      </c>
      <c r="Q850" s="50" t="str">
        <f t="shared" si="3"/>
        <v>NA</v>
      </c>
      <c r="R850" s="38" t="b">
        <v>0</v>
      </c>
      <c r="S850" s="35"/>
      <c r="T850" s="39" t="s">
        <v>381</v>
      </c>
      <c r="U850" s="196"/>
    </row>
    <row r="851" ht="22.5" customHeight="1">
      <c r="A851" s="26">
        <v>46185.0</v>
      </c>
      <c r="B851" s="58" t="s">
        <v>526</v>
      </c>
      <c r="C851" s="32" t="str">
        <f t="array" ref="C851">_xlfn.XLOOKUP(B851, DB[samplingPoint], DB[samplingTag])</f>
        <v>DV116.06</v>
      </c>
      <c r="D851" s="33" t="s">
        <v>500</v>
      </c>
      <c r="E851" s="38" t="b">
        <v>0</v>
      </c>
      <c r="F851" s="39" t="str">
        <f t="array" ref="F851">_xlfn.XLOOKUP($B851, DB[samplingPoint], DB[noLocation])</f>
        <v>10-2-034</v>
      </c>
      <c r="G851" s="33" t="s">
        <v>180</v>
      </c>
      <c r="H851" s="40" t="str">
        <f t="array" ref="H851">_xlfn.XLOOKUP($B851, DB[samplingPoint], DB[location])</f>
        <v>SAMPLE PREPARATION</v>
      </c>
      <c r="I851" s="39" t="str">
        <f t="array" ref="I851">_xlfn.XLOOKUP($B851, DB[samplingPoint], DB[waterType])</f>
        <v>PW</v>
      </c>
      <c r="J851" s="43">
        <f t="shared" si="7"/>
        <v>46186</v>
      </c>
      <c r="K851" s="26"/>
      <c r="L851" s="32"/>
      <c r="M851" s="32"/>
      <c r="N851" s="32" t="str">
        <f t="shared" si="2"/>
        <v>#DIV/0!</v>
      </c>
      <c r="O851" s="49"/>
      <c r="P851" s="32">
        <f t="array" ref="P851">_xlfn.XLOOKUP($B851, DB[samplingPoint], DB[Criteria])</f>
        <v>100</v>
      </c>
      <c r="Q851" s="50" t="str">
        <f t="shared" si="3"/>
        <v>NA</v>
      </c>
      <c r="R851" s="38" t="b">
        <v>0</v>
      </c>
      <c r="S851" s="35"/>
      <c r="T851" s="39" t="s">
        <v>381</v>
      </c>
      <c r="U851" s="196"/>
    </row>
    <row r="852" ht="22.5" customHeight="1">
      <c r="A852" s="26">
        <v>46185.0</v>
      </c>
      <c r="B852" s="27" t="s">
        <v>527</v>
      </c>
      <c r="C852" s="32" t="str">
        <f t="array" ref="C852">_xlfn.XLOOKUP(B852, DB[samplingPoint], DB[samplingTag])</f>
        <v>DV116.07</v>
      </c>
      <c r="D852" s="33" t="s">
        <v>500</v>
      </c>
      <c r="E852" s="38" t="b">
        <v>0</v>
      </c>
      <c r="F852" s="39" t="str">
        <f t="array" ref="F852">_xlfn.XLOOKUP($B852, DB[samplingPoint], DB[noLocation])</f>
        <v>10-2-032</v>
      </c>
      <c r="G852" s="33" t="s">
        <v>180</v>
      </c>
      <c r="H852" s="40" t="str">
        <f t="array" ref="H852">_xlfn.XLOOKUP($B852, DB[samplingPoint], DB[location])</f>
        <v>GLASS-WARE WASHING</v>
      </c>
      <c r="I852" s="39" t="str">
        <f t="array" ref="I852">_xlfn.XLOOKUP($B852, DB[samplingPoint], DB[waterType])</f>
        <v>PW</v>
      </c>
      <c r="J852" s="43">
        <f t="shared" si="7"/>
        <v>46186</v>
      </c>
      <c r="K852" s="26"/>
      <c r="L852" s="32"/>
      <c r="M852" s="32"/>
      <c r="N852" s="32" t="str">
        <f t="shared" si="2"/>
        <v>#DIV/0!</v>
      </c>
      <c r="O852" s="49"/>
      <c r="P852" s="32">
        <f t="array" ref="P852">_xlfn.XLOOKUP($B852, DB[samplingPoint], DB[Criteria])</f>
        <v>100</v>
      </c>
      <c r="Q852" s="50" t="str">
        <f t="shared" si="3"/>
        <v>NA</v>
      </c>
      <c r="R852" s="38" t="b">
        <v>0</v>
      </c>
      <c r="S852" s="35"/>
      <c r="T852" s="39" t="s">
        <v>381</v>
      </c>
      <c r="U852" s="196"/>
    </row>
    <row r="853" ht="22.5" customHeight="1">
      <c r="A853" s="26">
        <v>46185.0</v>
      </c>
      <c r="B853" s="58" t="s">
        <v>524</v>
      </c>
      <c r="C853" s="32" t="str">
        <f t="array" ref="C853">_xlfn.XLOOKUP(B853, DB[samplingPoint], DB[samplingTag])</f>
        <v>DV116.05</v>
      </c>
      <c r="D853" s="33" t="s">
        <v>500</v>
      </c>
      <c r="E853" s="38" t="b">
        <v>0</v>
      </c>
      <c r="F853" s="39" t="str">
        <f t="array" ref="F853">_xlfn.XLOOKUP($B853, DB[samplingPoint], DB[noLocation])</f>
        <v>10-2-032</v>
      </c>
      <c r="G853" s="33" t="s">
        <v>180</v>
      </c>
      <c r="H853" s="40" t="str">
        <f t="array" ref="H853">_xlfn.XLOOKUP($B853, DB[samplingPoint], DB[location])</f>
        <v>GLASS-WARE WASHING</v>
      </c>
      <c r="I853" s="39" t="str">
        <f t="array" ref="I853">_xlfn.XLOOKUP($B853, DB[samplingPoint], DB[waterType])</f>
        <v>PW</v>
      </c>
      <c r="J853" s="43">
        <f t="shared" si="7"/>
        <v>46186</v>
      </c>
      <c r="K853" s="26"/>
      <c r="L853" s="32"/>
      <c r="M853" s="32"/>
      <c r="N853" s="32" t="str">
        <f t="shared" si="2"/>
        <v>#DIV/0!</v>
      </c>
      <c r="O853" s="49"/>
      <c r="P853" s="32">
        <f t="array" ref="P853">_xlfn.XLOOKUP($B853, DB[samplingPoint], DB[Criteria])</f>
        <v>100</v>
      </c>
      <c r="Q853" s="50" t="str">
        <f t="shared" si="3"/>
        <v>NA</v>
      </c>
      <c r="R853" s="38" t="b">
        <v>0</v>
      </c>
      <c r="S853" s="35"/>
      <c r="T853" s="39" t="s">
        <v>381</v>
      </c>
      <c r="U853" s="196"/>
    </row>
    <row r="854" ht="22.5" customHeight="1">
      <c r="A854" s="26">
        <v>46185.0</v>
      </c>
      <c r="B854" s="27" t="s">
        <v>522</v>
      </c>
      <c r="C854" s="32" t="str">
        <f t="array" ref="C854">_xlfn.XLOOKUP(B854, DB[samplingPoint], DB[samplingTag])</f>
        <v>DV116.04</v>
      </c>
      <c r="D854" s="33" t="s">
        <v>500</v>
      </c>
      <c r="E854" s="38" t="b">
        <v>0</v>
      </c>
      <c r="F854" s="39" t="str">
        <f t="array" ref="F854">_xlfn.XLOOKUP($B854, DB[samplingPoint], DB[noLocation])</f>
        <v>10-2-037</v>
      </c>
      <c r="G854" s="33" t="s">
        <v>180</v>
      </c>
      <c r="H854" s="40" t="str">
        <f t="array" ref="H854">_xlfn.XLOOKUP($B854, DB[samplingPoint], DB[location])</f>
        <v>SKID FOR BIN WASHING-1</v>
      </c>
      <c r="I854" s="39" t="str">
        <f t="array" ref="I854">_xlfn.XLOOKUP($B854, DB[samplingPoint], DB[waterType])</f>
        <v>PW</v>
      </c>
      <c r="J854" s="43">
        <f t="shared" si="7"/>
        <v>46186</v>
      </c>
      <c r="K854" s="26"/>
      <c r="L854" s="32"/>
      <c r="M854" s="32"/>
      <c r="N854" s="32" t="str">
        <f t="shared" si="2"/>
        <v>#DIV/0!</v>
      </c>
      <c r="O854" s="49"/>
      <c r="P854" s="32">
        <f t="array" ref="P854">_xlfn.XLOOKUP($B854, DB[samplingPoint], DB[Criteria])</f>
        <v>100</v>
      </c>
      <c r="Q854" s="50" t="str">
        <f t="shared" si="3"/>
        <v>NA</v>
      </c>
      <c r="R854" s="38" t="b">
        <v>0</v>
      </c>
      <c r="S854" s="35"/>
      <c r="T854" s="39" t="s">
        <v>381</v>
      </c>
      <c r="U854" s="196"/>
    </row>
  </sheetData>
  <conditionalFormatting sqref="S1:S854">
    <cfRule type="containsBlanks" dxfId="11" priority="1">
      <formula>LEN(TRIM(S1))=0</formula>
    </cfRule>
  </conditionalFormatting>
  <conditionalFormatting sqref="S1:S854">
    <cfRule type="notContainsBlanks" dxfId="12" priority="2">
      <formula>LEN(TRIM(S1))&gt;0</formula>
    </cfRule>
  </conditionalFormatting>
  <conditionalFormatting sqref="L2:M854">
    <cfRule type="containsBlanks" dxfId="13" priority="3">
      <formula>LEN(TRIM(L2))=0</formula>
    </cfRule>
  </conditionalFormatting>
  <conditionalFormatting sqref="T2:T854">
    <cfRule type="containsText" dxfId="8" priority="4" operator="containsText" text="Complete">
      <formula>NOT(ISERROR(SEARCH(("Complete"),(T2))))</formula>
    </cfRule>
  </conditionalFormatting>
  <conditionalFormatting sqref="T2:T854">
    <cfRule type="containsText" dxfId="9" priority="5" operator="containsText" text="Pending">
      <formula>NOT(ISERROR(SEARCH(("Pending"),(T2))))</formula>
    </cfRule>
  </conditionalFormatting>
  <dataValidations>
    <dataValidation type="list" allowBlank="1" sqref="G2:G854">
      <formula1>"Building 12,Building 16,Building 19,Building 10,#N/A"</formula1>
    </dataValidation>
    <dataValidation type="custom" allowBlank="1" showDropDown="1" sqref="A2:A854 J2:K854">
      <formula1>OR(NOT(ISERROR(DATEVALUE(A2))), AND(ISNUMBER(A2), LEFT(CELL("format", A2))="D"))</formula1>
    </dataValidation>
    <dataValidation type="list" allowBlank="1" sqref="D2:D854">
      <formula1>"PQ3-Week1,PQ3-Week2,PQ3-Week3,PQ3-Week4,Speacial"</formula1>
    </dataValidation>
    <dataValidation allowBlank="1" showDropDown="1" sqref="B2:B854 F2:F854 H2:I854 T2:T854"/>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4" max="4" width="15.5"/>
    <col customWidth="1" min="5" max="5" width="10.88"/>
    <col customWidth="1" min="7" max="7" width="14.75"/>
    <col customWidth="1" min="8" max="8" width="19.88"/>
    <col customWidth="1" min="11" max="11" width="17.75"/>
    <col customWidth="1" min="14" max="14" width="17.5"/>
    <col customWidth="1" min="17" max="17" width="14.63"/>
    <col customWidth="1" min="18" max="18" width="17.25"/>
    <col customWidth="1" min="19" max="19" width="13.38"/>
  </cols>
  <sheetData>
    <row r="1" ht="22.5" customHeight="1">
      <c r="A1" s="11" t="s">
        <v>15</v>
      </c>
      <c r="B1" s="11" t="s">
        <v>17</v>
      </c>
      <c r="C1" s="11" t="s">
        <v>19</v>
      </c>
      <c r="D1" s="11" t="s">
        <v>21</v>
      </c>
      <c r="E1" s="16" t="s">
        <v>32</v>
      </c>
      <c r="F1" s="11" t="s">
        <v>37</v>
      </c>
      <c r="G1" s="11" t="s">
        <v>41</v>
      </c>
      <c r="H1" s="11" t="s">
        <v>45</v>
      </c>
      <c r="I1" s="11" t="s">
        <v>47</v>
      </c>
      <c r="J1" s="11" t="s">
        <v>49</v>
      </c>
      <c r="K1" s="11" t="s">
        <v>52</v>
      </c>
      <c r="L1" s="11" t="s">
        <v>54</v>
      </c>
      <c r="M1" s="11" t="s">
        <v>61</v>
      </c>
      <c r="N1" s="23" t="s">
        <v>69</v>
      </c>
      <c r="O1" s="23" t="s">
        <v>74</v>
      </c>
      <c r="P1" s="23" t="s">
        <v>78</v>
      </c>
      <c r="Q1" s="23" t="s">
        <v>84</v>
      </c>
      <c r="R1" s="23" t="s">
        <v>152</v>
      </c>
      <c r="S1" s="24" t="s">
        <v>90</v>
      </c>
      <c r="T1" s="24" t="s">
        <v>98</v>
      </c>
      <c r="U1" s="25"/>
      <c r="V1" s="25"/>
      <c r="W1" s="25"/>
      <c r="X1" s="25"/>
      <c r="Y1" s="25"/>
    </row>
    <row r="2" ht="22.5" customHeight="1">
      <c r="A2" s="26">
        <v>46027.0</v>
      </c>
      <c r="B2" s="39" t="str">
        <f t="array" ref="B2">_xlfn.XLOOKUP($C2, DB[samplingTag], DB[samplingPoint])</f>
        <v>GWFI01</v>
      </c>
      <c r="C2" s="32" t="s">
        <v>370</v>
      </c>
      <c r="D2" s="33" t="s">
        <v>371</v>
      </c>
      <c r="E2" s="38" t="b">
        <v>1</v>
      </c>
      <c r="F2" s="39" t="str">
        <f t="array" ref="F2">_xlfn.XLOOKUP($B2, DB[samplingPoint], DB[noLocation])</f>
        <v>16-2-010</v>
      </c>
      <c r="G2" s="59" t="str">
        <f t="array" ref="G2">_xlfn.XLOOKUP($B2, DB[samplingPoint], DB[building])</f>
        <v>Building 16</v>
      </c>
      <c r="H2" s="40" t="str">
        <f t="array" ref="H2">_xlfn.XLOOKUP($B2, DB[samplingPoint], DB[location])</f>
        <v>AFTER WFI GENERATOR</v>
      </c>
      <c r="I2" s="40" t="str">
        <f t="array" ref="I2">_xlfn.XLOOKUP($B2, DB[samplingPoint], DB[waterType])</f>
        <v>WFI</v>
      </c>
      <c r="J2" s="60">
        <f t="shared" ref="J2:J6" si="1">$A2+1</f>
        <v>46028</v>
      </c>
      <c r="K2" s="26">
        <v>46031.0</v>
      </c>
      <c r="L2" s="32">
        <v>0.0</v>
      </c>
      <c r="M2" s="32">
        <f t="shared" ref="M2:M290" si="2">iferror(ROUNDUP(AVERAGE($L2), 0),"")</f>
        <v>0</v>
      </c>
      <c r="N2" s="32" t="s">
        <v>376</v>
      </c>
      <c r="O2" s="32">
        <v>10.0</v>
      </c>
      <c r="P2" s="50" t="str">
        <f t="shared" ref="P2:P308" si="3">iferror(ifs($M2&gt;O2, "NOT-PASSED", M2&lt;=O2, "PASSED"), "NA")</f>
        <v>PASSED</v>
      </c>
      <c r="Q2" s="38" t="b">
        <v>0</v>
      </c>
      <c r="R2" s="32" t="s">
        <v>378</v>
      </c>
      <c r="S2" s="39" t="str">
        <f t="array" ref="S2:S308">if(R2:R308="", "pending", "complete")</f>
        <v>complete</v>
      </c>
      <c r="T2" s="32" t="s">
        <v>381</v>
      </c>
    </row>
    <row r="3" ht="22.5" customHeight="1">
      <c r="A3" s="26">
        <v>46027.0</v>
      </c>
      <c r="B3" s="39" t="str">
        <f t="array" ref="B3">_xlfn.XLOOKUP($C3, DB[samplingTag], DB[samplingPoint])</f>
        <v>GWFI02</v>
      </c>
      <c r="C3" s="32" t="s">
        <v>382</v>
      </c>
      <c r="D3" s="33" t="s">
        <v>371</v>
      </c>
      <c r="E3" s="38" t="b">
        <v>1</v>
      </c>
      <c r="F3" s="39" t="str">
        <f t="array" ref="F3">_xlfn.XLOOKUP($B3, DB[samplingPoint], DB[noLocation])</f>
        <v>16-2-010</v>
      </c>
      <c r="G3" s="59" t="str">
        <f t="array" ref="G3">_xlfn.XLOOKUP($B3, DB[samplingPoint], DB[building])</f>
        <v>Building 16</v>
      </c>
      <c r="H3" s="40" t="str">
        <f t="array" ref="H3">_xlfn.XLOOKUP($B3, DB[samplingPoint], DB[location])</f>
        <v>AFTER STORAGE TANK</v>
      </c>
      <c r="I3" s="40" t="str">
        <f t="array" ref="I3">_xlfn.XLOOKUP($B3, DB[samplingPoint], DB[waterType])</f>
        <v>WFI</v>
      </c>
      <c r="J3" s="60">
        <f t="shared" si="1"/>
        <v>46028</v>
      </c>
      <c r="K3" s="26">
        <v>46031.0</v>
      </c>
      <c r="L3" s="32">
        <v>0.0</v>
      </c>
      <c r="M3" s="32">
        <f t="shared" si="2"/>
        <v>0</v>
      </c>
      <c r="N3" s="32" t="s">
        <v>376</v>
      </c>
      <c r="O3" s="32">
        <v>10.0</v>
      </c>
      <c r="P3" s="50" t="str">
        <f t="shared" si="3"/>
        <v>PASSED</v>
      </c>
      <c r="Q3" s="38" t="b">
        <v>0</v>
      </c>
      <c r="R3" s="32" t="s">
        <v>378</v>
      </c>
      <c r="S3" s="39" t="s">
        <v>386</v>
      </c>
      <c r="T3" s="32" t="s">
        <v>381</v>
      </c>
    </row>
    <row r="4" ht="22.5" customHeight="1">
      <c r="A4" s="26">
        <v>46027.0</v>
      </c>
      <c r="B4" s="39" t="str">
        <f t="array" ref="B4">_xlfn.XLOOKUP($C4, DB[samplingTag], DB[samplingPoint])</f>
        <v>GWFI03</v>
      </c>
      <c r="C4" s="32" t="s">
        <v>387</v>
      </c>
      <c r="D4" s="33" t="s">
        <v>371</v>
      </c>
      <c r="E4" s="38" t="b">
        <v>1</v>
      </c>
      <c r="F4" s="39" t="str">
        <f t="array" ref="F4">_xlfn.XLOOKUP($B4, DB[samplingPoint], DB[noLocation])</f>
        <v>16-2-010</v>
      </c>
      <c r="G4" s="59" t="str">
        <f t="array" ref="G4">_xlfn.XLOOKUP($B4, DB[samplingPoint], DB[building])</f>
        <v>Building 16</v>
      </c>
      <c r="H4" s="40" t="str">
        <f t="array" ref="H4">_xlfn.XLOOKUP($B4, DB[samplingPoint], DB[location])</f>
        <v>RETURN LOOP</v>
      </c>
      <c r="I4" s="40" t="str">
        <f t="array" ref="I4">_xlfn.XLOOKUP($B4, DB[samplingPoint], DB[waterType])</f>
        <v>WFI</v>
      </c>
      <c r="J4" s="60">
        <f t="shared" si="1"/>
        <v>46028</v>
      </c>
      <c r="K4" s="26">
        <v>46031.0</v>
      </c>
      <c r="L4" s="32">
        <v>0.0</v>
      </c>
      <c r="M4" s="32">
        <f t="shared" si="2"/>
        <v>0</v>
      </c>
      <c r="N4" s="32" t="s">
        <v>376</v>
      </c>
      <c r="O4" s="32">
        <v>10.0</v>
      </c>
      <c r="P4" s="50" t="str">
        <f t="shared" si="3"/>
        <v>PASSED</v>
      </c>
      <c r="Q4" s="38" t="b">
        <v>0</v>
      </c>
      <c r="R4" s="32" t="s">
        <v>378</v>
      </c>
      <c r="S4" s="39" t="s">
        <v>386</v>
      </c>
      <c r="T4" s="32" t="s">
        <v>381</v>
      </c>
    </row>
    <row r="5" ht="22.5" customHeight="1">
      <c r="A5" s="26">
        <v>46027.0</v>
      </c>
      <c r="B5" s="39" t="str">
        <f t="array" ref="B5">_xlfn.XLOOKUP($C5, DB[samplingTag], DB[samplingPoint])</f>
        <v>WFI07</v>
      </c>
      <c r="C5" s="32" t="s">
        <v>392</v>
      </c>
      <c r="D5" s="33" t="s">
        <v>371</v>
      </c>
      <c r="E5" s="38" t="b">
        <v>1</v>
      </c>
      <c r="F5" s="39" t="str">
        <f t="array" ref="F5">_xlfn.XLOOKUP($B5, DB[samplingPoint], DB[noLocation])</f>
        <v>16-1-098</v>
      </c>
      <c r="G5" s="59" t="str">
        <f t="array" ref="G5">_xlfn.XLOOKUP($B5, DB[samplingPoint], DB[building])</f>
        <v>Building 16</v>
      </c>
      <c r="H5" s="40" t="str">
        <f t="array" ref="H5">_xlfn.XLOOKUP($B5, DB[samplingPoint], DB[location])</f>
        <v>CIP/SIP</v>
      </c>
      <c r="I5" s="40" t="str">
        <f t="array" ref="I5">_xlfn.XLOOKUP($B5, DB[samplingPoint], DB[waterType])</f>
        <v>WFI</v>
      </c>
      <c r="J5" s="60">
        <f t="shared" si="1"/>
        <v>46028</v>
      </c>
      <c r="K5" s="26">
        <v>46031.0</v>
      </c>
      <c r="L5" s="32">
        <v>0.0</v>
      </c>
      <c r="M5" s="32">
        <f t="shared" si="2"/>
        <v>0</v>
      </c>
      <c r="N5" s="32" t="s">
        <v>376</v>
      </c>
      <c r="O5" s="32">
        <v>10.0</v>
      </c>
      <c r="P5" s="50" t="str">
        <f t="shared" si="3"/>
        <v>PASSED</v>
      </c>
      <c r="Q5" s="38" t="b">
        <v>0</v>
      </c>
      <c r="R5" s="32" t="s">
        <v>378</v>
      </c>
      <c r="S5" s="39" t="s">
        <v>386</v>
      </c>
      <c r="T5" s="32" t="s">
        <v>381</v>
      </c>
    </row>
    <row r="6" ht="22.5" customHeight="1">
      <c r="A6" s="26">
        <v>46027.0</v>
      </c>
      <c r="B6" s="39" t="str">
        <f t="array" ref="B6">_xlfn.XLOOKUP($C6, DB[samplingTag], DB[samplingPoint])</f>
        <v>WFI08</v>
      </c>
      <c r="C6" s="32" t="s">
        <v>396</v>
      </c>
      <c r="D6" s="33" t="s">
        <v>371</v>
      </c>
      <c r="E6" s="38" t="b">
        <v>1</v>
      </c>
      <c r="F6" s="39" t="str">
        <f t="array" ref="F6">_xlfn.XLOOKUP($B6, DB[samplingPoint], DB[noLocation])</f>
        <v>16-1-098</v>
      </c>
      <c r="G6" s="59" t="str">
        <f t="array" ref="G6">_xlfn.XLOOKUP($B6, DB[samplingPoint], DB[building])</f>
        <v>Building 16</v>
      </c>
      <c r="H6" s="40" t="str">
        <f t="array" ref="H6">_xlfn.XLOOKUP($B6, DB[samplingPoint], DB[location])</f>
        <v>CIP/SIP</v>
      </c>
      <c r="I6" s="40" t="str">
        <f t="array" ref="I6">_xlfn.XLOOKUP($B6, DB[samplingPoint], DB[waterType])</f>
        <v>WFI</v>
      </c>
      <c r="J6" s="60">
        <f t="shared" si="1"/>
        <v>46028</v>
      </c>
      <c r="K6" s="26">
        <v>46031.0</v>
      </c>
      <c r="L6" s="32">
        <v>0.0</v>
      </c>
      <c r="M6" s="32">
        <f t="shared" si="2"/>
        <v>0</v>
      </c>
      <c r="N6" s="32" t="s">
        <v>376</v>
      </c>
      <c r="O6" s="32">
        <v>10.0</v>
      </c>
      <c r="P6" s="50" t="str">
        <f t="shared" si="3"/>
        <v>PASSED</v>
      </c>
      <c r="Q6" s="38" t="b">
        <v>0</v>
      </c>
      <c r="R6" s="32" t="s">
        <v>378</v>
      </c>
      <c r="S6" s="39" t="s">
        <v>386</v>
      </c>
      <c r="T6" s="32" t="s">
        <v>381</v>
      </c>
    </row>
    <row r="7" ht="22.5" customHeight="1">
      <c r="A7" s="26">
        <v>46028.0</v>
      </c>
      <c r="B7" s="39" t="str">
        <f t="array" ref="B7">_xlfn.XLOOKUP($C7, DB[samplingTag], DB[samplingPoint])</f>
        <v>GWFI01</v>
      </c>
      <c r="C7" s="32" t="s">
        <v>370</v>
      </c>
      <c r="D7" s="33" t="s">
        <v>371</v>
      </c>
      <c r="E7" s="38" t="b">
        <v>1</v>
      </c>
      <c r="F7" s="39" t="str">
        <f t="array" ref="F7">_xlfn.XLOOKUP($B7, DB[samplingPoint], DB[noLocation])</f>
        <v>16-2-010</v>
      </c>
      <c r="G7" s="59" t="str">
        <f t="array" ref="G7">_xlfn.XLOOKUP($B7, DB[samplingPoint], DB[building])</f>
        <v>Building 16</v>
      </c>
      <c r="H7" s="40" t="str">
        <f t="array" ref="H7">_xlfn.XLOOKUP($B7, DB[samplingPoint], DB[location])</f>
        <v>AFTER WFI GENERATOR</v>
      </c>
      <c r="I7" s="39" t="s">
        <v>400</v>
      </c>
      <c r="J7" s="43">
        <v>46030.0</v>
      </c>
      <c r="K7" s="26">
        <v>46034.0</v>
      </c>
      <c r="L7" s="32">
        <v>0.0</v>
      </c>
      <c r="M7" s="32">
        <f t="shared" si="2"/>
        <v>0</v>
      </c>
      <c r="N7" s="32" t="s">
        <v>376</v>
      </c>
      <c r="O7" s="32">
        <v>10.0</v>
      </c>
      <c r="P7" s="50" t="str">
        <f t="shared" si="3"/>
        <v>PASSED</v>
      </c>
      <c r="Q7" s="38" t="b">
        <v>0</v>
      </c>
      <c r="R7" s="32" t="s">
        <v>402</v>
      </c>
      <c r="S7" s="39" t="s">
        <v>386</v>
      </c>
      <c r="T7" s="32" t="s">
        <v>381</v>
      </c>
    </row>
    <row r="8" ht="22.5" customHeight="1">
      <c r="A8" s="26">
        <v>46028.0</v>
      </c>
      <c r="B8" s="39" t="str">
        <f t="array" ref="B8">_xlfn.XLOOKUP($C8, DB[samplingTag], DB[samplingPoint])</f>
        <v>GWFI03</v>
      </c>
      <c r="C8" s="32" t="s">
        <v>387</v>
      </c>
      <c r="D8" s="33" t="s">
        <v>371</v>
      </c>
      <c r="E8" s="38" t="b">
        <v>1</v>
      </c>
      <c r="F8" s="39" t="str">
        <f t="array" ref="F8">_xlfn.XLOOKUP($B8, DB[samplingPoint], DB[noLocation])</f>
        <v>16-2-010</v>
      </c>
      <c r="G8" s="59" t="str">
        <f t="array" ref="G8">_xlfn.XLOOKUP($B8, DB[samplingPoint], DB[building])</f>
        <v>Building 16</v>
      </c>
      <c r="H8" s="40" t="str">
        <f t="array" ref="H8">_xlfn.XLOOKUP($B8, DB[samplingPoint], DB[location])</f>
        <v>RETURN LOOP</v>
      </c>
      <c r="I8" s="39" t="s">
        <v>400</v>
      </c>
      <c r="J8" s="43">
        <v>46030.0</v>
      </c>
      <c r="K8" s="26">
        <v>46034.0</v>
      </c>
      <c r="L8" s="32">
        <v>0.0</v>
      </c>
      <c r="M8" s="32">
        <f t="shared" si="2"/>
        <v>0</v>
      </c>
      <c r="N8" s="32" t="s">
        <v>376</v>
      </c>
      <c r="O8" s="32">
        <v>10.0</v>
      </c>
      <c r="P8" s="50" t="str">
        <f t="shared" si="3"/>
        <v>PASSED</v>
      </c>
      <c r="Q8" s="38" t="b">
        <v>0</v>
      </c>
      <c r="R8" s="32" t="s">
        <v>402</v>
      </c>
      <c r="S8" s="39" t="s">
        <v>386</v>
      </c>
      <c r="T8" s="32" t="s">
        <v>381</v>
      </c>
    </row>
    <row r="9" ht="22.5" customHeight="1">
      <c r="A9" s="26">
        <v>46028.0</v>
      </c>
      <c r="B9" s="39" t="str">
        <f t="array" ref="B9">_xlfn.XLOOKUP($C9, DB[samplingTag], DB[samplingPoint])</f>
        <v>WFI03</v>
      </c>
      <c r="C9" s="32" t="s">
        <v>408</v>
      </c>
      <c r="D9" s="33" t="s">
        <v>371</v>
      </c>
      <c r="E9" s="38" t="b">
        <v>1</v>
      </c>
      <c r="F9" s="39" t="str">
        <f t="array" ref="F9">_xlfn.XLOOKUP($B9, DB[samplingPoint], DB[noLocation])</f>
        <v>16-1-096</v>
      </c>
      <c r="G9" s="59" t="str">
        <f t="array" ref="G9">_xlfn.XLOOKUP($B9, DB[samplingPoint], DB[building])</f>
        <v>Building 16</v>
      </c>
      <c r="H9" s="40" t="str">
        <f t="array" ref="H9">_xlfn.XLOOKUP($B9, DB[samplingPoint], DB[location])</f>
        <v>WASHING/TUNNEL-02</v>
      </c>
      <c r="I9" s="39" t="s">
        <v>400</v>
      </c>
      <c r="J9" s="43">
        <v>46030.0</v>
      </c>
      <c r="K9" s="26">
        <v>46034.0</v>
      </c>
      <c r="L9" s="32">
        <v>0.0</v>
      </c>
      <c r="M9" s="32">
        <f t="shared" si="2"/>
        <v>0</v>
      </c>
      <c r="N9" s="32" t="s">
        <v>376</v>
      </c>
      <c r="O9" s="32">
        <v>10.0</v>
      </c>
      <c r="P9" s="50" t="str">
        <f t="shared" si="3"/>
        <v>PASSED</v>
      </c>
      <c r="Q9" s="38" t="b">
        <v>0</v>
      </c>
      <c r="R9" s="32" t="s">
        <v>402</v>
      </c>
      <c r="S9" s="39" t="s">
        <v>386</v>
      </c>
      <c r="T9" s="32" t="s">
        <v>381</v>
      </c>
    </row>
    <row r="10" ht="22.5" customHeight="1">
      <c r="A10" s="26">
        <v>46028.0</v>
      </c>
      <c r="B10" s="39" t="str">
        <f t="array" ref="B10">_xlfn.XLOOKUP($C10, DB[samplingTag], DB[samplingPoint])</f>
        <v>WFI04</v>
      </c>
      <c r="C10" s="32" t="s">
        <v>411</v>
      </c>
      <c r="D10" s="33" t="s">
        <v>371</v>
      </c>
      <c r="E10" s="38" t="b">
        <v>1</v>
      </c>
      <c r="F10" s="39" t="str">
        <f t="array" ref="F10">_xlfn.XLOOKUP($B10, DB[samplingPoint], DB[noLocation])</f>
        <v>16-1-082</v>
      </c>
      <c r="G10" s="59" t="str">
        <f t="array" ref="G10">_xlfn.XLOOKUP($B10, DB[samplingPoint], DB[building])</f>
        <v>Building 16</v>
      </c>
      <c r="H10" s="40" t="str">
        <f t="array" ref="H10">_xlfn.XLOOKUP($B10, DB[samplingPoint], DB[location])</f>
        <v>WASHING</v>
      </c>
      <c r="I10" s="39" t="s">
        <v>400</v>
      </c>
      <c r="J10" s="43">
        <v>46030.0</v>
      </c>
      <c r="K10" s="26">
        <v>46034.0</v>
      </c>
      <c r="L10" s="32">
        <v>0.0</v>
      </c>
      <c r="M10" s="32">
        <f t="shared" si="2"/>
        <v>0</v>
      </c>
      <c r="N10" s="32" t="s">
        <v>376</v>
      </c>
      <c r="O10" s="32">
        <v>10.0</v>
      </c>
      <c r="P10" s="50" t="str">
        <f t="shared" si="3"/>
        <v>PASSED</v>
      </c>
      <c r="Q10" s="38" t="b">
        <v>0</v>
      </c>
      <c r="R10" s="32" t="s">
        <v>402</v>
      </c>
      <c r="S10" s="39" t="s">
        <v>386</v>
      </c>
      <c r="T10" s="32" t="s">
        <v>381</v>
      </c>
    </row>
    <row r="11" ht="22.5" customHeight="1">
      <c r="A11" s="26">
        <v>46028.0</v>
      </c>
      <c r="B11" s="39" t="str">
        <f t="array" ref="B11">_xlfn.XLOOKUP($C11, DB[samplingTag], DB[samplingPoint])</f>
        <v>WFI05</v>
      </c>
      <c r="C11" s="32" t="s">
        <v>415</v>
      </c>
      <c r="D11" s="33" t="s">
        <v>371</v>
      </c>
      <c r="E11" s="38" t="b">
        <v>1</v>
      </c>
      <c r="F11" s="39" t="str">
        <f t="array" ref="F11">_xlfn.XLOOKUP($B11, DB[samplingPoint], DB[noLocation])</f>
        <v>16-1-082</v>
      </c>
      <c r="G11" s="59" t="str">
        <f t="array" ref="G11">_xlfn.XLOOKUP($B11, DB[samplingPoint], DB[building])</f>
        <v>Building 16</v>
      </c>
      <c r="H11" s="40" t="str">
        <f t="array" ref="H11">_xlfn.XLOOKUP($B11, DB[samplingPoint], DB[location])</f>
        <v>WASHING</v>
      </c>
      <c r="I11" s="39" t="s">
        <v>400</v>
      </c>
      <c r="J11" s="43">
        <v>46030.0</v>
      </c>
      <c r="K11" s="26">
        <v>46034.0</v>
      </c>
      <c r="L11" s="32">
        <v>0.0</v>
      </c>
      <c r="M11" s="32">
        <f t="shared" si="2"/>
        <v>0</v>
      </c>
      <c r="N11" s="32" t="s">
        <v>376</v>
      </c>
      <c r="O11" s="32">
        <v>10.0</v>
      </c>
      <c r="P11" s="50" t="str">
        <f t="shared" si="3"/>
        <v>PASSED</v>
      </c>
      <c r="Q11" s="38" t="b">
        <v>0</v>
      </c>
      <c r="R11" s="32" t="s">
        <v>402</v>
      </c>
      <c r="S11" s="39" t="s">
        <v>386</v>
      </c>
      <c r="T11" s="32" t="s">
        <v>381</v>
      </c>
    </row>
    <row r="12" ht="22.5" customHeight="1">
      <c r="A12" s="26">
        <v>46029.0</v>
      </c>
      <c r="B12" s="39" t="str">
        <f t="array" ref="B12">_xlfn.XLOOKUP($C12, DB[samplingTag], DB[samplingPoint])</f>
        <v>GWFI01</v>
      </c>
      <c r="C12" s="32" t="s">
        <v>370</v>
      </c>
      <c r="D12" s="33" t="s">
        <v>371</v>
      </c>
      <c r="E12" s="38" t="b">
        <v>1</v>
      </c>
      <c r="F12" s="39" t="str">
        <f t="array" ref="F12">_xlfn.XLOOKUP($B12, DB[samplingPoint], DB[noLocation])</f>
        <v>16-2-010</v>
      </c>
      <c r="G12" s="59" t="str">
        <f t="array" ref="G12">_xlfn.XLOOKUP($B12, DB[samplingPoint], DB[building])</f>
        <v>Building 16</v>
      </c>
      <c r="H12" s="40" t="str">
        <f t="array" ref="H12">_xlfn.XLOOKUP($B12, DB[samplingPoint], DB[location])</f>
        <v>AFTER WFI GENERATOR</v>
      </c>
      <c r="I12" s="39" t="s">
        <v>400</v>
      </c>
      <c r="J12" s="43">
        <v>46030.0</v>
      </c>
      <c r="K12" s="26">
        <v>46034.0</v>
      </c>
      <c r="L12" s="32">
        <v>0.0</v>
      </c>
      <c r="M12" s="32">
        <f t="shared" si="2"/>
        <v>0</v>
      </c>
      <c r="N12" s="32" t="s">
        <v>376</v>
      </c>
      <c r="O12" s="32">
        <v>10.0</v>
      </c>
      <c r="P12" s="50" t="str">
        <f t="shared" si="3"/>
        <v>PASSED</v>
      </c>
      <c r="Q12" s="38" t="b">
        <v>0</v>
      </c>
      <c r="R12" s="32" t="s">
        <v>420</v>
      </c>
      <c r="S12" s="39" t="s">
        <v>386</v>
      </c>
      <c r="T12" s="32" t="s">
        <v>381</v>
      </c>
    </row>
    <row r="13" ht="22.5" customHeight="1">
      <c r="A13" s="26">
        <v>46029.0</v>
      </c>
      <c r="B13" s="39" t="str">
        <f t="array" ref="B13">_xlfn.XLOOKUP($C13, DB[samplingTag], DB[samplingPoint])</f>
        <v>GWFI03</v>
      </c>
      <c r="C13" s="32" t="s">
        <v>387</v>
      </c>
      <c r="D13" s="33" t="s">
        <v>371</v>
      </c>
      <c r="E13" s="38" t="b">
        <v>1</v>
      </c>
      <c r="F13" s="39" t="str">
        <f t="array" ref="F13">_xlfn.XLOOKUP($B13, DB[samplingPoint], DB[noLocation])</f>
        <v>16-2-010</v>
      </c>
      <c r="G13" s="59" t="str">
        <f t="array" ref="G13">_xlfn.XLOOKUP($B13, DB[samplingPoint], DB[building])</f>
        <v>Building 16</v>
      </c>
      <c r="H13" s="40" t="str">
        <f t="array" ref="H13">_xlfn.XLOOKUP($B13, DB[samplingPoint], DB[location])</f>
        <v>RETURN LOOP</v>
      </c>
      <c r="I13" s="39" t="s">
        <v>400</v>
      </c>
      <c r="J13" s="43">
        <v>46030.0</v>
      </c>
      <c r="K13" s="26">
        <v>46034.0</v>
      </c>
      <c r="L13" s="32">
        <v>0.0</v>
      </c>
      <c r="M13" s="32">
        <f t="shared" si="2"/>
        <v>0</v>
      </c>
      <c r="N13" s="32" t="s">
        <v>376</v>
      </c>
      <c r="O13" s="32">
        <v>10.0</v>
      </c>
      <c r="P13" s="50" t="str">
        <f t="shared" si="3"/>
        <v>PASSED</v>
      </c>
      <c r="Q13" s="38" t="b">
        <v>0</v>
      </c>
      <c r="R13" s="32" t="s">
        <v>420</v>
      </c>
      <c r="S13" s="39" t="s">
        <v>386</v>
      </c>
      <c r="T13" s="32" t="s">
        <v>381</v>
      </c>
    </row>
    <row r="14" ht="22.5" customHeight="1">
      <c r="A14" s="26">
        <v>46029.0</v>
      </c>
      <c r="B14" s="39" t="str">
        <f t="array" ref="B14">_xlfn.XLOOKUP($C14, DB[samplingTag], DB[samplingPoint])</f>
        <v>WFI06</v>
      </c>
      <c r="C14" s="32" t="s">
        <v>424</v>
      </c>
      <c r="D14" s="33" t="s">
        <v>371</v>
      </c>
      <c r="E14" s="38" t="b">
        <v>1</v>
      </c>
      <c r="F14" s="39" t="str">
        <f t="array" ref="F14">_xlfn.XLOOKUP($B14, DB[samplingPoint], DB[noLocation])</f>
        <v>16-1-110</v>
      </c>
      <c r="G14" s="59" t="str">
        <f t="array" ref="G14">_xlfn.XLOOKUP($B14, DB[samplingPoint], DB[building])</f>
        <v>Building 16</v>
      </c>
      <c r="H14" s="40" t="str">
        <f t="array" ref="H14">_xlfn.XLOOKUP($B14, DB[samplingPoint], DB[location])</f>
        <v>DISINFECTANT PREPARATION</v>
      </c>
      <c r="I14" s="39" t="s">
        <v>400</v>
      </c>
      <c r="J14" s="43">
        <v>46030.0</v>
      </c>
      <c r="K14" s="26">
        <v>46034.0</v>
      </c>
      <c r="L14" s="32">
        <v>0.0</v>
      </c>
      <c r="M14" s="32">
        <f t="shared" si="2"/>
        <v>0</v>
      </c>
      <c r="N14" s="32" t="s">
        <v>376</v>
      </c>
      <c r="O14" s="32">
        <v>10.0</v>
      </c>
      <c r="P14" s="50" t="str">
        <f t="shared" si="3"/>
        <v>PASSED</v>
      </c>
      <c r="Q14" s="38" t="b">
        <v>0</v>
      </c>
      <c r="R14" s="32" t="s">
        <v>420</v>
      </c>
      <c r="S14" s="39" t="s">
        <v>386</v>
      </c>
      <c r="T14" s="32" t="s">
        <v>381</v>
      </c>
    </row>
    <row r="15" ht="22.5" customHeight="1">
      <c r="A15" s="26">
        <v>46029.0</v>
      </c>
      <c r="B15" s="39" t="str">
        <f t="array" ref="B15">_xlfn.XLOOKUP($C15, DB[samplingTag], DB[samplingPoint])</f>
        <v>WFI09</v>
      </c>
      <c r="C15" s="32" t="s">
        <v>426</v>
      </c>
      <c r="D15" s="33" t="s">
        <v>371</v>
      </c>
      <c r="E15" s="38" t="b">
        <v>1</v>
      </c>
      <c r="F15" s="39" t="str">
        <f t="array" ref="F15">_xlfn.XLOOKUP($B15, DB[samplingPoint], DB[noLocation])</f>
        <v>16-1-105</v>
      </c>
      <c r="G15" s="59" t="str">
        <f t="array" ref="G15">_xlfn.XLOOKUP($B15, DB[samplingPoint], DB[building])</f>
        <v>Building 16</v>
      </c>
      <c r="H15" s="40" t="str">
        <f t="array" ref="H15">_xlfn.XLOOKUP($B15, DB[samplingPoint], DB[location])</f>
        <v>WASHING/TUNNEL-01</v>
      </c>
      <c r="I15" s="39" t="s">
        <v>400</v>
      </c>
      <c r="J15" s="43">
        <v>46030.0</v>
      </c>
      <c r="K15" s="26">
        <v>46034.0</v>
      </c>
      <c r="L15" s="32">
        <v>0.0</v>
      </c>
      <c r="M15" s="32">
        <f t="shared" si="2"/>
        <v>0</v>
      </c>
      <c r="N15" s="32" t="s">
        <v>376</v>
      </c>
      <c r="O15" s="32">
        <v>10.0</v>
      </c>
      <c r="P15" s="50" t="str">
        <f t="shared" si="3"/>
        <v>PASSED</v>
      </c>
      <c r="Q15" s="38" t="b">
        <v>0</v>
      </c>
      <c r="R15" s="32" t="s">
        <v>420</v>
      </c>
      <c r="S15" s="39" t="s">
        <v>386</v>
      </c>
      <c r="T15" s="32" t="s">
        <v>381</v>
      </c>
    </row>
    <row r="16" ht="22.5" customHeight="1">
      <c r="A16" s="26">
        <v>46030.0</v>
      </c>
      <c r="B16" s="39" t="str">
        <f t="array" ref="B16">_xlfn.XLOOKUP($C16, DB[samplingTag], DB[samplingPoint])</f>
        <v>GWFI01</v>
      </c>
      <c r="C16" s="32" t="s">
        <v>370</v>
      </c>
      <c r="D16" s="33" t="s">
        <v>371</v>
      </c>
      <c r="E16" s="38" t="b">
        <v>1</v>
      </c>
      <c r="F16" s="39" t="str">
        <f t="array" ref="F16">_xlfn.XLOOKUP($B16, DB[samplingPoint], DB[noLocation])</f>
        <v>16-2-010</v>
      </c>
      <c r="G16" s="59" t="str">
        <f t="array" ref="G16">_xlfn.XLOOKUP($B16, DB[samplingPoint], DB[building])</f>
        <v>Building 16</v>
      </c>
      <c r="H16" s="40" t="str">
        <f t="array" ref="H16">_xlfn.XLOOKUP($B16, DB[samplingPoint], DB[location])</f>
        <v>AFTER WFI GENERATOR</v>
      </c>
      <c r="I16" s="39" t="s">
        <v>400</v>
      </c>
      <c r="J16" s="43">
        <v>46032.0</v>
      </c>
      <c r="K16" s="26">
        <v>46035.0</v>
      </c>
      <c r="L16" s="32">
        <v>0.0</v>
      </c>
      <c r="M16" s="32">
        <f t="shared" si="2"/>
        <v>0</v>
      </c>
      <c r="N16" s="32" t="s">
        <v>376</v>
      </c>
      <c r="O16" s="32">
        <v>10.0</v>
      </c>
      <c r="P16" s="50" t="str">
        <f t="shared" si="3"/>
        <v>PASSED</v>
      </c>
      <c r="Q16" s="38" t="b">
        <v>0</v>
      </c>
      <c r="R16" s="32" t="s">
        <v>429</v>
      </c>
      <c r="S16" s="39" t="s">
        <v>386</v>
      </c>
      <c r="T16" s="32" t="s">
        <v>381</v>
      </c>
    </row>
    <row r="17" ht="22.5" customHeight="1">
      <c r="A17" s="26">
        <v>46030.0</v>
      </c>
      <c r="B17" s="39" t="str">
        <f t="array" ref="B17">_xlfn.XLOOKUP($C17, DB[samplingTag], DB[samplingPoint])</f>
        <v>GWFI03</v>
      </c>
      <c r="C17" s="32" t="s">
        <v>387</v>
      </c>
      <c r="D17" s="33" t="s">
        <v>371</v>
      </c>
      <c r="E17" s="38" t="b">
        <v>1</v>
      </c>
      <c r="F17" s="39" t="str">
        <f t="array" ref="F17">_xlfn.XLOOKUP($B17, DB[samplingPoint], DB[noLocation])</f>
        <v>16-2-010</v>
      </c>
      <c r="G17" s="59" t="str">
        <f t="array" ref="G17">_xlfn.XLOOKUP($B17, DB[samplingPoint], DB[building])</f>
        <v>Building 16</v>
      </c>
      <c r="H17" s="40" t="str">
        <f t="array" ref="H17">_xlfn.XLOOKUP($B17, DB[samplingPoint], DB[location])</f>
        <v>RETURN LOOP</v>
      </c>
      <c r="I17" s="39" t="s">
        <v>400</v>
      </c>
      <c r="J17" s="43">
        <v>46032.0</v>
      </c>
      <c r="K17" s="26">
        <v>46035.0</v>
      </c>
      <c r="L17" s="32">
        <v>0.0</v>
      </c>
      <c r="M17" s="32">
        <f t="shared" si="2"/>
        <v>0</v>
      </c>
      <c r="N17" s="32" t="s">
        <v>376</v>
      </c>
      <c r="O17" s="32">
        <v>10.0</v>
      </c>
      <c r="P17" s="50" t="str">
        <f t="shared" si="3"/>
        <v>PASSED</v>
      </c>
      <c r="Q17" s="38" t="b">
        <v>0</v>
      </c>
      <c r="R17" s="32" t="s">
        <v>429</v>
      </c>
      <c r="S17" s="39" t="s">
        <v>386</v>
      </c>
      <c r="T17" s="32" t="s">
        <v>381</v>
      </c>
    </row>
    <row r="18" ht="22.5" customHeight="1">
      <c r="A18" s="26">
        <v>46030.0</v>
      </c>
      <c r="B18" s="39" t="str">
        <f t="array" ref="B18">_xlfn.XLOOKUP($C18, DB[samplingTag], DB[samplingPoint])</f>
        <v>WFI01</v>
      </c>
      <c r="C18" s="32" t="s">
        <v>433</v>
      </c>
      <c r="D18" s="33" t="s">
        <v>371</v>
      </c>
      <c r="E18" s="38" t="b">
        <v>1</v>
      </c>
      <c r="F18" s="39" t="str">
        <f t="array" ref="F18">_xlfn.XLOOKUP($B18, DB[samplingPoint], DB[noLocation])</f>
        <v>16-1-107</v>
      </c>
      <c r="G18" s="59" t="str">
        <f t="array" ref="G18">_xlfn.XLOOKUP($B18, DB[samplingPoint], DB[building])</f>
        <v>Building 16</v>
      </c>
      <c r="H18" s="40" t="str">
        <f t="array" ref="H18">_xlfn.XLOOKUP($B18, DB[samplingPoint], DB[location])</f>
        <v>COMPOUNDING-01</v>
      </c>
      <c r="I18" s="39" t="s">
        <v>400</v>
      </c>
      <c r="J18" s="43">
        <v>46032.0</v>
      </c>
      <c r="K18" s="26">
        <v>46035.0</v>
      </c>
      <c r="L18" s="32">
        <v>0.0</v>
      </c>
      <c r="M18" s="32">
        <f t="shared" si="2"/>
        <v>0</v>
      </c>
      <c r="N18" s="32" t="s">
        <v>376</v>
      </c>
      <c r="O18" s="32">
        <v>10.0</v>
      </c>
      <c r="P18" s="50" t="str">
        <f t="shared" si="3"/>
        <v>PASSED</v>
      </c>
      <c r="Q18" s="38" t="b">
        <v>0</v>
      </c>
      <c r="R18" s="32" t="s">
        <v>429</v>
      </c>
      <c r="S18" s="39" t="s">
        <v>386</v>
      </c>
      <c r="T18" s="32" t="s">
        <v>381</v>
      </c>
    </row>
    <row r="19" ht="22.5" customHeight="1">
      <c r="A19" s="26">
        <v>46030.0</v>
      </c>
      <c r="B19" s="39" t="str">
        <f t="array" ref="B19">_xlfn.XLOOKUP($C19, DB[samplingTag], DB[samplingPoint])</f>
        <v>WFI01</v>
      </c>
      <c r="C19" s="32" t="s">
        <v>433</v>
      </c>
      <c r="D19" s="33" t="s">
        <v>371</v>
      </c>
      <c r="E19" s="38" t="b">
        <v>1</v>
      </c>
      <c r="F19" s="39" t="str">
        <f t="array" ref="F19">_xlfn.XLOOKUP($B19, DB[samplingPoint], DB[noLocation])</f>
        <v>16-1-107</v>
      </c>
      <c r="G19" s="59" t="str">
        <f t="array" ref="G19">_xlfn.XLOOKUP($B19, DB[samplingPoint], DB[building])</f>
        <v>Building 16</v>
      </c>
      <c r="H19" s="40" t="str">
        <f t="array" ref="H19">_xlfn.XLOOKUP($B19, DB[samplingPoint], DB[location])</f>
        <v>COMPOUNDING-01</v>
      </c>
      <c r="I19" s="39" t="s">
        <v>400</v>
      </c>
      <c r="J19" s="43">
        <v>46032.0</v>
      </c>
      <c r="K19" s="26">
        <v>46035.0</v>
      </c>
      <c r="L19" s="32">
        <v>0.0</v>
      </c>
      <c r="M19" s="32">
        <f t="shared" si="2"/>
        <v>0</v>
      </c>
      <c r="N19" s="32" t="s">
        <v>439</v>
      </c>
      <c r="O19" s="32">
        <v>10.0</v>
      </c>
      <c r="P19" s="50" t="str">
        <f t="shared" si="3"/>
        <v>PASSED</v>
      </c>
      <c r="Q19" s="38" t="b">
        <v>0</v>
      </c>
      <c r="R19" s="32" t="s">
        <v>429</v>
      </c>
      <c r="S19" s="39" t="s">
        <v>386</v>
      </c>
      <c r="T19" s="32" t="s">
        <v>381</v>
      </c>
    </row>
    <row r="20" ht="22.5" customHeight="1">
      <c r="A20" s="26">
        <v>46030.0</v>
      </c>
      <c r="B20" s="39" t="str">
        <f t="array" ref="B20">_xlfn.XLOOKUP($C20, DB[samplingTag], DB[samplingPoint])</f>
        <v>WFI02</v>
      </c>
      <c r="C20" s="32" t="s">
        <v>441</v>
      </c>
      <c r="D20" s="33" t="s">
        <v>371</v>
      </c>
      <c r="E20" s="38" t="b">
        <v>1</v>
      </c>
      <c r="F20" s="39" t="str">
        <f t="array" ref="F20">_xlfn.XLOOKUP($B20, DB[samplingPoint], DB[noLocation])</f>
        <v>16-1-107</v>
      </c>
      <c r="G20" s="59" t="str">
        <f t="array" ref="G20">_xlfn.XLOOKUP($B20, DB[samplingPoint], DB[building])</f>
        <v>Building 16</v>
      </c>
      <c r="H20" s="40" t="str">
        <f t="array" ref="H20">_xlfn.XLOOKUP($B20, DB[samplingPoint], DB[location])</f>
        <v>COMPOUNDING-01</v>
      </c>
      <c r="I20" s="39" t="s">
        <v>400</v>
      </c>
      <c r="J20" s="43">
        <v>46032.0</v>
      </c>
      <c r="K20" s="26">
        <v>46035.0</v>
      </c>
      <c r="L20" s="32">
        <v>1.0</v>
      </c>
      <c r="M20" s="32">
        <f t="shared" si="2"/>
        <v>1</v>
      </c>
      <c r="N20" s="32" t="s">
        <v>376</v>
      </c>
      <c r="O20" s="32">
        <v>10.0</v>
      </c>
      <c r="P20" s="50" t="str">
        <f t="shared" si="3"/>
        <v>PASSED</v>
      </c>
      <c r="Q20" s="38" t="b">
        <v>0</v>
      </c>
      <c r="R20" s="32" t="s">
        <v>429</v>
      </c>
      <c r="S20" s="39" t="s">
        <v>386</v>
      </c>
      <c r="T20" s="32" t="s">
        <v>381</v>
      </c>
    </row>
    <row r="21" ht="22.5" customHeight="1">
      <c r="A21" s="26">
        <v>46030.0</v>
      </c>
      <c r="B21" s="39" t="str">
        <f t="array" ref="B21">_xlfn.XLOOKUP($C21, DB[samplingTag], DB[samplingPoint])</f>
        <v>WFI02</v>
      </c>
      <c r="C21" s="32" t="s">
        <v>441</v>
      </c>
      <c r="D21" s="33" t="s">
        <v>371</v>
      </c>
      <c r="E21" s="38" t="b">
        <v>1</v>
      </c>
      <c r="F21" s="39" t="str">
        <f t="array" ref="F21">_xlfn.XLOOKUP($B21, DB[samplingPoint], DB[noLocation])</f>
        <v>16-1-107</v>
      </c>
      <c r="G21" s="59" t="str">
        <f t="array" ref="G21">_xlfn.XLOOKUP($B21, DB[samplingPoint], DB[building])</f>
        <v>Building 16</v>
      </c>
      <c r="H21" s="40" t="str">
        <f t="array" ref="H21">_xlfn.XLOOKUP($B21, DB[samplingPoint], DB[location])</f>
        <v>COMPOUNDING-01</v>
      </c>
      <c r="I21" s="39" t="s">
        <v>400</v>
      </c>
      <c r="J21" s="43">
        <v>46032.0</v>
      </c>
      <c r="K21" s="26">
        <v>46035.0</v>
      </c>
      <c r="L21" s="32">
        <v>11.0</v>
      </c>
      <c r="M21" s="32">
        <f t="shared" si="2"/>
        <v>11</v>
      </c>
      <c r="N21" s="32" t="s">
        <v>439</v>
      </c>
      <c r="O21" s="32">
        <v>10.0</v>
      </c>
      <c r="P21" s="50" t="str">
        <f t="shared" si="3"/>
        <v>NOT-PASSED</v>
      </c>
      <c r="Q21" s="38" t="b">
        <v>0</v>
      </c>
      <c r="R21" s="32" t="s">
        <v>429</v>
      </c>
      <c r="S21" s="39" t="s">
        <v>386</v>
      </c>
      <c r="T21" s="32" t="s">
        <v>381</v>
      </c>
    </row>
    <row r="22" ht="22.5" customHeight="1">
      <c r="A22" s="26">
        <v>46031.0</v>
      </c>
      <c r="B22" s="39" t="str">
        <f t="array" ref="B22">_xlfn.XLOOKUP($C22, DB[samplingTag], DB[samplingPoint])</f>
        <v>GWFI01</v>
      </c>
      <c r="C22" s="32" t="s">
        <v>370</v>
      </c>
      <c r="D22" s="33" t="s">
        <v>371</v>
      </c>
      <c r="E22" s="38" t="b">
        <v>1</v>
      </c>
      <c r="F22" s="39" t="str">
        <f t="array" ref="F22">_xlfn.XLOOKUP($B22, DB[samplingPoint], DB[noLocation])</f>
        <v>16-2-010</v>
      </c>
      <c r="G22" s="59" t="str">
        <f t="array" ref="G22">_xlfn.XLOOKUP($B22, DB[samplingPoint], DB[building])</f>
        <v>Building 16</v>
      </c>
      <c r="H22" s="40" t="str">
        <f t="array" ref="H22">_xlfn.XLOOKUP($B22, DB[samplingPoint], DB[location])</f>
        <v>AFTER WFI GENERATOR</v>
      </c>
      <c r="I22" s="39" t="s">
        <v>400</v>
      </c>
      <c r="J22" s="43">
        <v>46032.0</v>
      </c>
      <c r="K22" s="26">
        <v>46035.0</v>
      </c>
      <c r="L22" s="32">
        <v>0.0</v>
      </c>
      <c r="M22" s="32">
        <f t="shared" si="2"/>
        <v>0</v>
      </c>
      <c r="N22" s="32" t="s">
        <v>376</v>
      </c>
      <c r="O22" s="32">
        <v>10.0</v>
      </c>
      <c r="P22" s="50" t="str">
        <f t="shared" si="3"/>
        <v>PASSED</v>
      </c>
      <c r="Q22" s="38" t="b">
        <v>0</v>
      </c>
      <c r="R22" s="32" t="s">
        <v>446</v>
      </c>
      <c r="S22" s="39" t="s">
        <v>386</v>
      </c>
      <c r="T22" s="32" t="s">
        <v>381</v>
      </c>
    </row>
    <row r="23" ht="22.5" customHeight="1">
      <c r="A23" s="26">
        <v>46031.0</v>
      </c>
      <c r="B23" s="39" t="str">
        <f t="array" ref="B23">_xlfn.XLOOKUP($C23, DB[samplingTag], DB[samplingPoint])</f>
        <v>GWFI03</v>
      </c>
      <c r="C23" s="32" t="s">
        <v>387</v>
      </c>
      <c r="D23" s="33" t="s">
        <v>371</v>
      </c>
      <c r="E23" s="38" t="b">
        <v>1</v>
      </c>
      <c r="F23" s="39" t="str">
        <f t="array" ref="F23">_xlfn.XLOOKUP($B23, DB[samplingPoint], DB[noLocation])</f>
        <v>16-2-010</v>
      </c>
      <c r="G23" s="59" t="str">
        <f t="array" ref="G23">_xlfn.XLOOKUP($B23, DB[samplingPoint], DB[building])</f>
        <v>Building 16</v>
      </c>
      <c r="H23" s="40" t="str">
        <f t="array" ref="H23">_xlfn.XLOOKUP($B23, DB[samplingPoint], DB[location])</f>
        <v>RETURN LOOP</v>
      </c>
      <c r="I23" s="39" t="s">
        <v>400</v>
      </c>
      <c r="J23" s="43">
        <v>46032.0</v>
      </c>
      <c r="K23" s="26">
        <v>46035.0</v>
      </c>
      <c r="L23" s="32">
        <v>0.0</v>
      </c>
      <c r="M23" s="32">
        <f t="shared" si="2"/>
        <v>0</v>
      </c>
      <c r="N23" s="32" t="s">
        <v>376</v>
      </c>
      <c r="O23" s="32">
        <v>10.0</v>
      </c>
      <c r="P23" s="50" t="str">
        <f t="shared" si="3"/>
        <v>PASSED</v>
      </c>
      <c r="Q23" s="38" t="b">
        <v>0</v>
      </c>
      <c r="R23" s="32" t="s">
        <v>446</v>
      </c>
      <c r="S23" s="39" t="s">
        <v>386</v>
      </c>
      <c r="T23" s="32" t="s">
        <v>381</v>
      </c>
    </row>
    <row r="24" ht="22.5" customHeight="1">
      <c r="A24" s="26">
        <v>46031.0</v>
      </c>
      <c r="B24" s="39" t="str">
        <f t="array" ref="B24">_xlfn.XLOOKUP($C24, DB[samplingTag], DB[samplingPoint])</f>
        <v>WFI10</v>
      </c>
      <c r="C24" s="32" t="s">
        <v>452</v>
      </c>
      <c r="D24" s="33" t="s">
        <v>371</v>
      </c>
      <c r="E24" s="38" t="b">
        <v>1</v>
      </c>
      <c r="F24" s="39" t="str">
        <f t="array" ref="F24">_xlfn.XLOOKUP($B24, DB[samplingPoint], DB[noLocation])</f>
        <v>16-1-114</v>
      </c>
      <c r="G24" s="59" t="str">
        <f t="array" ref="G24">_xlfn.XLOOKUP($B24, DB[samplingPoint], DB[building])</f>
        <v>Building 16</v>
      </c>
      <c r="H24" s="40" t="str">
        <f t="array" ref="H24">_xlfn.XLOOKUP($B24, DB[samplingPoint], DB[location])</f>
        <v>COMPOUNDING-02</v>
      </c>
      <c r="I24" s="39" t="s">
        <v>400</v>
      </c>
      <c r="J24" s="43">
        <v>46032.0</v>
      </c>
      <c r="K24" s="26">
        <v>46035.0</v>
      </c>
      <c r="L24" s="32">
        <v>0.0</v>
      </c>
      <c r="M24" s="32">
        <f t="shared" si="2"/>
        <v>0</v>
      </c>
      <c r="N24" s="32" t="s">
        <v>376</v>
      </c>
      <c r="O24" s="32">
        <v>10.0</v>
      </c>
      <c r="P24" s="50" t="str">
        <f t="shared" si="3"/>
        <v>PASSED</v>
      </c>
      <c r="Q24" s="38" t="b">
        <v>0</v>
      </c>
      <c r="R24" s="32" t="s">
        <v>446</v>
      </c>
      <c r="S24" s="39" t="s">
        <v>386</v>
      </c>
      <c r="T24" s="32" t="s">
        <v>381</v>
      </c>
    </row>
    <row r="25" ht="22.5" customHeight="1">
      <c r="A25" s="26">
        <v>46031.0</v>
      </c>
      <c r="B25" s="39" t="str">
        <f t="array" ref="B25">_xlfn.XLOOKUP($C25, DB[samplingTag], DB[samplingPoint])</f>
        <v>WFI10</v>
      </c>
      <c r="C25" s="32" t="s">
        <v>452</v>
      </c>
      <c r="D25" s="33" t="s">
        <v>371</v>
      </c>
      <c r="E25" s="38" t="b">
        <v>1</v>
      </c>
      <c r="F25" s="39" t="str">
        <f t="array" ref="F25">_xlfn.XLOOKUP($B25, DB[samplingPoint], DB[noLocation])</f>
        <v>16-1-114</v>
      </c>
      <c r="G25" s="59" t="str">
        <f t="array" ref="G25">_xlfn.XLOOKUP($B25, DB[samplingPoint], DB[building])</f>
        <v>Building 16</v>
      </c>
      <c r="H25" s="40" t="str">
        <f t="array" ref="H25">_xlfn.XLOOKUP($B25, DB[samplingPoint], DB[location])</f>
        <v>COMPOUNDING-02</v>
      </c>
      <c r="I25" s="39" t="s">
        <v>400</v>
      </c>
      <c r="J25" s="43">
        <v>46032.0</v>
      </c>
      <c r="K25" s="26">
        <v>46035.0</v>
      </c>
      <c r="L25" s="32">
        <v>9999.0</v>
      </c>
      <c r="M25" s="32">
        <f t="shared" si="2"/>
        <v>9999</v>
      </c>
      <c r="N25" s="32" t="s">
        <v>439</v>
      </c>
      <c r="O25" s="32">
        <v>10.0</v>
      </c>
      <c r="P25" s="50" t="str">
        <f t="shared" si="3"/>
        <v>NOT-PASSED</v>
      </c>
      <c r="Q25" s="38" t="b">
        <v>0</v>
      </c>
      <c r="R25" s="32" t="s">
        <v>446</v>
      </c>
      <c r="S25" s="39" t="s">
        <v>386</v>
      </c>
      <c r="T25" s="32" t="s">
        <v>381</v>
      </c>
    </row>
    <row r="26" ht="22.5" customHeight="1">
      <c r="A26" s="26">
        <v>46031.0</v>
      </c>
      <c r="B26" s="39" t="str">
        <f t="array" ref="B26">_xlfn.XLOOKUP($C26, DB[samplingTag], DB[samplingPoint])</f>
        <v>WFI11</v>
      </c>
      <c r="C26" s="32" t="s">
        <v>456</v>
      </c>
      <c r="D26" s="33" t="s">
        <v>371</v>
      </c>
      <c r="E26" s="38" t="b">
        <v>1</v>
      </c>
      <c r="F26" s="39" t="str">
        <f t="array" ref="F26">_xlfn.XLOOKUP($B26, DB[samplingPoint], DB[noLocation])</f>
        <v>16-1-114</v>
      </c>
      <c r="G26" s="59" t="str">
        <f t="array" ref="G26">_xlfn.XLOOKUP($B26, DB[samplingPoint], DB[building])</f>
        <v>Building 16</v>
      </c>
      <c r="H26" s="40" t="str">
        <f t="array" ref="H26">_xlfn.XLOOKUP($B26, DB[samplingPoint], DB[location])</f>
        <v>COMPOUNDING-02</v>
      </c>
      <c r="I26" s="39" t="s">
        <v>400</v>
      </c>
      <c r="J26" s="43">
        <v>46032.0</v>
      </c>
      <c r="K26" s="26">
        <v>46035.0</v>
      </c>
      <c r="L26" s="32">
        <v>63.0</v>
      </c>
      <c r="M26" s="32">
        <f t="shared" si="2"/>
        <v>63</v>
      </c>
      <c r="N26" s="32" t="s">
        <v>376</v>
      </c>
      <c r="O26" s="32">
        <v>10.0</v>
      </c>
      <c r="P26" s="50" t="str">
        <f t="shared" si="3"/>
        <v>NOT-PASSED</v>
      </c>
      <c r="Q26" s="38" t="b">
        <v>0</v>
      </c>
      <c r="R26" s="32" t="s">
        <v>446</v>
      </c>
      <c r="S26" s="39" t="s">
        <v>386</v>
      </c>
      <c r="T26" s="32" t="s">
        <v>381</v>
      </c>
    </row>
    <row r="27" ht="22.5" customHeight="1">
      <c r="A27" s="26">
        <v>46031.0</v>
      </c>
      <c r="B27" s="39" t="str">
        <f t="array" ref="B27">_xlfn.XLOOKUP($C27, DB[samplingTag], DB[samplingPoint])</f>
        <v>WFI11</v>
      </c>
      <c r="C27" s="32" t="s">
        <v>456</v>
      </c>
      <c r="D27" s="33" t="s">
        <v>371</v>
      </c>
      <c r="E27" s="38" t="b">
        <v>1</v>
      </c>
      <c r="F27" s="39" t="str">
        <f t="array" ref="F27">_xlfn.XLOOKUP($B27, DB[samplingPoint], DB[noLocation])</f>
        <v>16-1-114</v>
      </c>
      <c r="G27" s="59" t="str">
        <f t="array" ref="G27">_xlfn.XLOOKUP($B27, DB[samplingPoint], DB[building])</f>
        <v>Building 16</v>
      </c>
      <c r="H27" s="40" t="str">
        <f t="array" ref="H27">_xlfn.XLOOKUP($B27, DB[samplingPoint], DB[location])</f>
        <v>COMPOUNDING-02</v>
      </c>
      <c r="I27" s="39" t="s">
        <v>400</v>
      </c>
      <c r="J27" s="43">
        <v>46032.0</v>
      </c>
      <c r="K27" s="26">
        <v>46035.0</v>
      </c>
      <c r="L27" s="32">
        <v>2.0</v>
      </c>
      <c r="M27" s="32">
        <f t="shared" si="2"/>
        <v>2</v>
      </c>
      <c r="N27" s="32" t="s">
        <v>439</v>
      </c>
      <c r="O27" s="32">
        <v>10.0</v>
      </c>
      <c r="P27" s="50" t="str">
        <f t="shared" si="3"/>
        <v>PASSED</v>
      </c>
      <c r="Q27" s="38" t="b">
        <v>0</v>
      </c>
      <c r="R27" s="32" t="s">
        <v>446</v>
      </c>
      <c r="S27" s="39" t="s">
        <v>386</v>
      </c>
      <c r="T27" s="32" t="s">
        <v>381</v>
      </c>
    </row>
    <row r="28" ht="22.5" customHeight="1">
      <c r="A28" s="26">
        <v>46041.0</v>
      </c>
      <c r="B28" s="39" t="s">
        <v>377</v>
      </c>
      <c r="C28" s="32" t="str">
        <f t="array" ref="C28">_xlfn.XLOOKUP(B28, DB[samplingPoint], DB[samplingTag])</f>
        <v>V12-4</v>
      </c>
      <c r="D28" s="33" t="s">
        <v>371</v>
      </c>
      <c r="E28" s="38" t="b">
        <v>1</v>
      </c>
      <c r="F28" s="39" t="str">
        <f t="array" ref="F28">_xlfn.XLOOKUP($B28, DB[samplingPoint], DB[noLocation])</f>
        <v>16-2-010</v>
      </c>
      <c r="G28" s="59" t="str">
        <f t="array" ref="G28">_xlfn.XLOOKUP($B28, DB[samplingPoint], DB[building])</f>
        <v>Building 16</v>
      </c>
      <c r="H28" s="40" t="str">
        <f t="array" ref="H28">_xlfn.XLOOKUP($B28, DB[samplingPoint], DB[location])</f>
        <v>AFTER WFI GENERATOR</v>
      </c>
      <c r="I28" s="39" t="str">
        <f t="array" ref="I28">_xlfn.XLOOKUP($B28, DB[samplingPoint], DB[waterType])</f>
        <v>WFI</v>
      </c>
      <c r="J28" s="43">
        <f t="shared" ref="J28:J32" si="4">$A28+1</f>
        <v>46042</v>
      </c>
      <c r="K28" s="26">
        <v>46045.0</v>
      </c>
      <c r="L28" s="32">
        <v>0.0</v>
      </c>
      <c r="M28" s="32">
        <f t="shared" si="2"/>
        <v>0</v>
      </c>
      <c r="N28" s="32" t="s">
        <v>376</v>
      </c>
      <c r="O28" s="32">
        <v>10.0</v>
      </c>
      <c r="P28" s="50" t="str">
        <f t="shared" si="3"/>
        <v>PASSED</v>
      </c>
      <c r="Q28" s="38" t="b">
        <v>0</v>
      </c>
      <c r="R28" s="32" t="s">
        <v>462</v>
      </c>
      <c r="S28" s="39" t="s">
        <v>386</v>
      </c>
      <c r="T28" s="32" t="s">
        <v>381</v>
      </c>
    </row>
    <row r="29" ht="22.5" customHeight="1">
      <c r="A29" s="26">
        <v>46041.0</v>
      </c>
      <c r="B29" s="39" t="s">
        <v>383</v>
      </c>
      <c r="C29" s="32" t="str">
        <f t="array" ref="C29">_xlfn.XLOOKUP(B29, DB[samplingPoint], DB[samplingTag])</f>
        <v>SV213.01</v>
      </c>
      <c r="D29" s="33" t="s">
        <v>371</v>
      </c>
      <c r="E29" s="38" t="b">
        <v>1</v>
      </c>
      <c r="F29" s="39" t="str">
        <f t="array" ref="F29">_xlfn.XLOOKUP($B29, DB[samplingPoint], DB[noLocation])</f>
        <v>16-2-010</v>
      </c>
      <c r="G29" s="59" t="str">
        <f t="array" ref="G29">_xlfn.XLOOKUP($B29, DB[samplingPoint], DB[building])</f>
        <v>Building 16</v>
      </c>
      <c r="H29" s="40" t="str">
        <f t="array" ref="H29">_xlfn.XLOOKUP($B29, DB[samplingPoint], DB[location])</f>
        <v>AFTER STORAGE TANK</v>
      </c>
      <c r="I29" s="39" t="str">
        <f t="array" ref="I29">_xlfn.XLOOKUP($B29, DB[samplingPoint], DB[waterType])</f>
        <v>WFI</v>
      </c>
      <c r="J29" s="43">
        <f t="shared" si="4"/>
        <v>46042</v>
      </c>
      <c r="K29" s="26">
        <v>46045.0</v>
      </c>
      <c r="L29" s="32">
        <v>0.0</v>
      </c>
      <c r="M29" s="32">
        <f t="shared" si="2"/>
        <v>0</v>
      </c>
      <c r="N29" s="32" t="s">
        <v>376</v>
      </c>
      <c r="O29" s="32">
        <v>10.0</v>
      </c>
      <c r="P29" s="50" t="str">
        <f t="shared" si="3"/>
        <v>PASSED</v>
      </c>
      <c r="Q29" s="38" t="b">
        <v>0</v>
      </c>
      <c r="R29" s="32" t="s">
        <v>462</v>
      </c>
      <c r="S29" s="39" t="s">
        <v>386</v>
      </c>
      <c r="T29" s="32" t="s">
        <v>381</v>
      </c>
    </row>
    <row r="30" ht="22.5" customHeight="1">
      <c r="A30" s="26">
        <v>46041.0</v>
      </c>
      <c r="B30" s="39" t="s">
        <v>388</v>
      </c>
      <c r="C30" s="32" t="str">
        <f t="array" ref="C30">_xlfn.XLOOKUP(B30, DB[samplingPoint], DB[samplingTag])</f>
        <v>SV217.01</v>
      </c>
      <c r="D30" s="33" t="s">
        <v>371</v>
      </c>
      <c r="E30" s="38" t="b">
        <v>1</v>
      </c>
      <c r="F30" s="39" t="str">
        <f t="array" ref="F30">_xlfn.XLOOKUP($B30, DB[samplingPoint], DB[noLocation])</f>
        <v>16-2-010</v>
      </c>
      <c r="G30" s="59" t="str">
        <f t="array" ref="G30">_xlfn.XLOOKUP($B30, DB[samplingPoint], DB[building])</f>
        <v>Building 16</v>
      </c>
      <c r="H30" s="40" t="str">
        <f t="array" ref="H30">_xlfn.XLOOKUP($B30, DB[samplingPoint], DB[location])</f>
        <v>RETURN LOOP</v>
      </c>
      <c r="I30" s="39" t="str">
        <f t="array" ref="I30">_xlfn.XLOOKUP($B30, DB[samplingPoint], DB[waterType])</f>
        <v>WFI</v>
      </c>
      <c r="J30" s="43">
        <f t="shared" si="4"/>
        <v>46042</v>
      </c>
      <c r="K30" s="26">
        <v>46045.0</v>
      </c>
      <c r="L30" s="32">
        <v>0.0</v>
      </c>
      <c r="M30" s="32">
        <f t="shared" si="2"/>
        <v>0</v>
      </c>
      <c r="N30" s="32" t="s">
        <v>376</v>
      </c>
      <c r="O30" s="32">
        <v>10.0</v>
      </c>
      <c r="P30" s="50" t="str">
        <f t="shared" si="3"/>
        <v>PASSED</v>
      </c>
      <c r="Q30" s="38" t="b">
        <v>0</v>
      </c>
      <c r="R30" s="32" t="s">
        <v>462</v>
      </c>
      <c r="S30" s="39" t="s">
        <v>386</v>
      </c>
      <c r="T30" s="32" t="s">
        <v>381</v>
      </c>
    </row>
    <row r="31" ht="22.5" customHeight="1">
      <c r="A31" s="26">
        <v>46041.0</v>
      </c>
      <c r="B31" s="39" t="s">
        <v>416</v>
      </c>
      <c r="C31" s="32" t="str">
        <f t="array" ref="C31">_xlfn.XLOOKUP(B31, DB[samplingPoint], DB[samplingTag])</f>
        <v>SV216.02</v>
      </c>
      <c r="D31" s="33" t="s">
        <v>371</v>
      </c>
      <c r="E31" s="38" t="b">
        <v>1</v>
      </c>
      <c r="F31" s="39" t="str">
        <f t="array" ref="F31">_xlfn.XLOOKUP($B31, DB[samplingPoint], DB[noLocation])</f>
        <v>16-1-098</v>
      </c>
      <c r="G31" s="59" t="str">
        <f t="array" ref="G31">_xlfn.XLOOKUP($B31, DB[samplingPoint], DB[building])</f>
        <v>Building 16</v>
      </c>
      <c r="H31" s="40" t="str">
        <f t="array" ref="H31">_xlfn.XLOOKUP($B31, DB[samplingPoint], DB[location])</f>
        <v>CIP/SIP</v>
      </c>
      <c r="I31" s="39" t="str">
        <f t="array" ref="I31">_xlfn.XLOOKUP($B31, DB[samplingPoint], DB[waterType])</f>
        <v>WFI</v>
      </c>
      <c r="J31" s="43">
        <f t="shared" si="4"/>
        <v>46042</v>
      </c>
      <c r="K31" s="26">
        <v>46045.0</v>
      </c>
      <c r="L31" s="32">
        <v>0.0</v>
      </c>
      <c r="M31" s="32">
        <f t="shared" si="2"/>
        <v>0</v>
      </c>
      <c r="N31" s="32" t="s">
        <v>376</v>
      </c>
      <c r="O31" s="32">
        <v>10.0</v>
      </c>
      <c r="P31" s="50" t="str">
        <f t="shared" si="3"/>
        <v>PASSED</v>
      </c>
      <c r="Q31" s="38" t="b">
        <v>0</v>
      </c>
      <c r="R31" s="32" t="s">
        <v>462</v>
      </c>
      <c r="S31" s="39" t="s">
        <v>386</v>
      </c>
      <c r="T31" s="32" t="s">
        <v>381</v>
      </c>
    </row>
    <row r="32" ht="22.5" customHeight="1">
      <c r="A32" s="26">
        <v>46041.0</v>
      </c>
      <c r="B32" s="39" t="s">
        <v>418</v>
      </c>
      <c r="C32" s="32" t="str">
        <f t="array" ref="C32">_xlfn.XLOOKUP(B32, DB[samplingPoint], DB[samplingTag])</f>
        <v>SV216.04</v>
      </c>
      <c r="D32" s="33" t="s">
        <v>371</v>
      </c>
      <c r="E32" s="38" t="b">
        <v>1</v>
      </c>
      <c r="F32" s="39" t="str">
        <f t="array" ref="F32">_xlfn.XLOOKUP($B32, DB[samplingPoint], DB[noLocation])</f>
        <v>16-1-098</v>
      </c>
      <c r="G32" s="59" t="str">
        <f t="array" ref="G32">_xlfn.XLOOKUP($B32, DB[samplingPoint], DB[building])</f>
        <v>Building 16</v>
      </c>
      <c r="H32" s="40" t="str">
        <f t="array" ref="H32">_xlfn.XLOOKUP($B32, DB[samplingPoint], DB[location])</f>
        <v>CIP/SIP</v>
      </c>
      <c r="I32" s="39" t="str">
        <f t="array" ref="I32">_xlfn.XLOOKUP($B32, DB[samplingPoint], DB[waterType])</f>
        <v>WFI</v>
      </c>
      <c r="J32" s="43">
        <f t="shared" si="4"/>
        <v>46042</v>
      </c>
      <c r="K32" s="26">
        <v>46045.0</v>
      </c>
      <c r="L32" s="32">
        <v>0.0</v>
      </c>
      <c r="M32" s="32">
        <f t="shared" si="2"/>
        <v>0</v>
      </c>
      <c r="N32" s="32" t="s">
        <v>376</v>
      </c>
      <c r="O32" s="32">
        <v>10.0</v>
      </c>
      <c r="P32" s="50" t="str">
        <f t="shared" si="3"/>
        <v>PASSED</v>
      </c>
      <c r="Q32" s="38" t="b">
        <v>0</v>
      </c>
      <c r="R32" s="32" t="s">
        <v>462</v>
      </c>
      <c r="S32" s="39" t="s">
        <v>386</v>
      </c>
      <c r="T32" s="32" t="s">
        <v>381</v>
      </c>
    </row>
    <row r="33" ht="22.5" customHeight="1">
      <c r="A33" s="26">
        <v>46042.0</v>
      </c>
      <c r="B33" s="39" t="s">
        <v>377</v>
      </c>
      <c r="C33" s="32" t="str">
        <f t="array" ref="C33">_xlfn.XLOOKUP(B33, DB[samplingPoint], DB[samplingTag])</f>
        <v>V12-4</v>
      </c>
      <c r="D33" s="33" t="s">
        <v>371</v>
      </c>
      <c r="E33" s="38" t="b">
        <v>1</v>
      </c>
      <c r="F33" s="39" t="str">
        <f t="array" ref="F33">_xlfn.XLOOKUP($B33, DB[samplingPoint], DB[noLocation])</f>
        <v>16-2-010</v>
      </c>
      <c r="G33" s="59" t="str">
        <f t="array" ref="G33">_xlfn.XLOOKUP($B33, DB[samplingPoint], DB[building])</f>
        <v>Building 16</v>
      </c>
      <c r="H33" s="40" t="str">
        <f t="array" ref="H33">_xlfn.XLOOKUP($B33, DB[samplingPoint], DB[location])</f>
        <v>AFTER WFI GENERATOR</v>
      </c>
      <c r="I33" s="39" t="str">
        <f t="array" ref="I33">_xlfn.XLOOKUP($B33, DB[samplingPoint], DB[waterType])</f>
        <v>WFI</v>
      </c>
      <c r="J33" s="43">
        <f t="shared" ref="J33:J37" si="5">$A33+2</f>
        <v>46044</v>
      </c>
      <c r="K33" s="26">
        <v>46047.0</v>
      </c>
      <c r="L33" s="32">
        <v>0.0</v>
      </c>
      <c r="M33" s="32">
        <f t="shared" si="2"/>
        <v>0</v>
      </c>
      <c r="N33" s="32" t="s">
        <v>376</v>
      </c>
      <c r="O33" s="32">
        <v>10.0</v>
      </c>
      <c r="P33" s="50" t="str">
        <f t="shared" si="3"/>
        <v>PASSED</v>
      </c>
      <c r="Q33" s="38" t="b">
        <v>0</v>
      </c>
      <c r="R33" s="32" t="s">
        <v>473</v>
      </c>
      <c r="S33" s="39" t="s">
        <v>386</v>
      </c>
      <c r="T33" s="32" t="s">
        <v>381</v>
      </c>
    </row>
    <row r="34" ht="22.5" customHeight="1">
      <c r="A34" s="26">
        <v>46042.0</v>
      </c>
      <c r="B34" s="39" t="s">
        <v>388</v>
      </c>
      <c r="C34" s="32" t="str">
        <f t="array" ref="C34">_xlfn.XLOOKUP(B34, DB[samplingPoint], DB[samplingTag])</f>
        <v>SV217.01</v>
      </c>
      <c r="D34" s="33" t="s">
        <v>371</v>
      </c>
      <c r="E34" s="38" t="b">
        <v>1</v>
      </c>
      <c r="F34" s="39" t="str">
        <f t="array" ref="F34">_xlfn.XLOOKUP($B34, DB[samplingPoint], DB[noLocation])</f>
        <v>16-2-010</v>
      </c>
      <c r="G34" s="59" t="str">
        <f t="array" ref="G34">_xlfn.XLOOKUP($B34, DB[samplingPoint], DB[building])</f>
        <v>Building 16</v>
      </c>
      <c r="H34" s="40" t="str">
        <f t="array" ref="H34">_xlfn.XLOOKUP($B34, DB[samplingPoint], DB[location])</f>
        <v>RETURN LOOP</v>
      </c>
      <c r="I34" s="39" t="str">
        <f t="array" ref="I34">_xlfn.XLOOKUP($B34, DB[samplingPoint], DB[waterType])</f>
        <v>WFI</v>
      </c>
      <c r="J34" s="43">
        <f t="shared" si="5"/>
        <v>46044</v>
      </c>
      <c r="K34" s="26">
        <v>46047.0</v>
      </c>
      <c r="L34" s="32">
        <v>0.0</v>
      </c>
      <c r="M34" s="32">
        <f t="shared" si="2"/>
        <v>0</v>
      </c>
      <c r="N34" s="32" t="s">
        <v>376</v>
      </c>
      <c r="O34" s="32">
        <v>10.0</v>
      </c>
      <c r="P34" s="50" t="str">
        <f t="shared" si="3"/>
        <v>PASSED</v>
      </c>
      <c r="Q34" s="38" t="b">
        <v>0</v>
      </c>
      <c r="R34" s="32" t="s">
        <v>473</v>
      </c>
      <c r="S34" s="39" t="s">
        <v>386</v>
      </c>
      <c r="T34" s="32" t="s">
        <v>381</v>
      </c>
    </row>
    <row r="35" ht="22.5" customHeight="1">
      <c r="A35" s="26">
        <v>46042.0</v>
      </c>
      <c r="B35" s="39" t="s">
        <v>391</v>
      </c>
      <c r="C35" s="32" t="str">
        <f t="array" ref="C35">_xlfn.XLOOKUP(B35, DB[samplingPoint], DB[samplingTag])</f>
        <v>SV216.03</v>
      </c>
      <c r="D35" s="33" t="s">
        <v>371</v>
      </c>
      <c r="E35" s="38" t="b">
        <v>1</v>
      </c>
      <c r="F35" s="39" t="str">
        <f t="array" ref="F35">_xlfn.XLOOKUP($B35, DB[samplingPoint], DB[noLocation])</f>
        <v>16-1-096</v>
      </c>
      <c r="G35" s="59" t="str">
        <f t="array" ref="G35">_xlfn.XLOOKUP($B35, DB[samplingPoint], DB[building])</f>
        <v>Building 16</v>
      </c>
      <c r="H35" s="40" t="str">
        <f t="array" ref="H35">_xlfn.XLOOKUP($B35, DB[samplingPoint], DB[location])</f>
        <v>WASHING/TUNNEL-02</v>
      </c>
      <c r="I35" s="39" t="str">
        <f t="array" ref="I35">_xlfn.XLOOKUP($B35, DB[samplingPoint], DB[waterType])</f>
        <v>WFI</v>
      </c>
      <c r="J35" s="43">
        <f t="shared" si="5"/>
        <v>46044</v>
      </c>
      <c r="K35" s="26">
        <v>46047.0</v>
      </c>
      <c r="L35" s="32">
        <v>0.0</v>
      </c>
      <c r="M35" s="32">
        <f t="shared" si="2"/>
        <v>0</v>
      </c>
      <c r="N35" s="32" t="s">
        <v>376</v>
      </c>
      <c r="O35" s="32">
        <v>10.0</v>
      </c>
      <c r="P35" s="50" t="str">
        <f t="shared" si="3"/>
        <v>PASSED</v>
      </c>
      <c r="Q35" s="38" t="b">
        <v>0</v>
      </c>
      <c r="R35" s="32" t="s">
        <v>473</v>
      </c>
      <c r="S35" s="39" t="s">
        <v>386</v>
      </c>
      <c r="T35" s="32" t="s">
        <v>381</v>
      </c>
    </row>
    <row r="36" ht="22.5" customHeight="1">
      <c r="A36" s="26">
        <v>46042.0</v>
      </c>
      <c r="B36" s="39" t="s">
        <v>395</v>
      </c>
      <c r="C36" s="32" t="str">
        <f t="array" ref="C36">_xlfn.XLOOKUP(B36, DB[samplingPoint], DB[samplingTag])</f>
        <v>POU HE216.03</v>
      </c>
      <c r="D36" s="33" t="s">
        <v>371</v>
      </c>
      <c r="E36" s="38" t="b">
        <v>1</v>
      </c>
      <c r="F36" s="39" t="str">
        <f t="array" ref="F36">_xlfn.XLOOKUP($B36, DB[samplingPoint], DB[noLocation])</f>
        <v>16-1-082</v>
      </c>
      <c r="G36" s="59" t="str">
        <f t="array" ref="G36">_xlfn.XLOOKUP($B36, DB[samplingPoint], DB[building])</f>
        <v>Building 16</v>
      </c>
      <c r="H36" s="40" t="str">
        <f t="array" ref="H36">_xlfn.XLOOKUP($B36, DB[samplingPoint], DB[location])</f>
        <v>WASHING</v>
      </c>
      <c r="I36" s="39" t="str">
        <f t="array" ref="I36">_xlfn.XLOOKUP($B36, DB[samplingPoint], DB[waterType])</f>
        <v>WFI</v>
      </c>
      <c r="J36" s="43">
        <f t="shared" si="5"/>
        <v>46044</v>
      </c>
      <c r="K36" s="26">
        <v>46047.0</v>
      </c>
      <c r="L36" s="32">
        <v>0.0</v>
      </c>
      <c r="M36" s="32">
        <f t="shared" si="2"/>
        <v>0</v>
      </c>
      <c r="N36" s="32" t="s">
        <v>376</v>
      </c>
      <c r="O36" s="32">
        <v>10.0</v>
      </c>
      <c r="P36" s="50" t="str">
        <f t="shared" si="3"/>
        <v>PASSED</v>
      </c>
      <c r="Q36" s="38" t="b">
        <v>0</v>
      </c>
      <c r="R36" s="32" t="s">
        <v>473</v>
      </c>
      <c r="S36" s="39" t="s">
        <v>386</v>
      </c>
      <c r="T36" s="32" t="s">
        <v>381</v>
      </c>
    </row>
    <row r="37" ht="22.5" customHeight="1">
      <c r="A37" s="26">
        <v>46042.0</v>
      </c>
      <c r="B37" s="39" t="s">
        <v>397</v>
      </c>
      <c r="C37" s="32" t="str">
        <f t="array" ref="C37">_xlfn.XLOOKUP(B37, DB[samplingPoint], DB[samplingTag])</f>
        <v>SV216.06</v>
      </c>
      <c r="D37" s="33" t="s">
        <v>371</v>
      </c>
      <c r="E37" s="38" t="b">
        <v>1</v>
      </c>
      <c r="F37" s="39" t="str">
        <f t="array" ref="F37">_xlfn.XLOOKUP($B37, DB[samplingPoint], DB[noLocation])</f>
        <v>16-1-082</v>
      </c>
      <c r="G37" s="59" t="str">
        <f t="array" ref="G37">_xlfn.XLOOKUP($B37, DB[samplingPoint], DB[building])</f>
        <v>Building 16</v>
      </c>
      <c r="H37" s="40" t="str">
        <f t="array" ref="H37">_xlfn.XLOOKUP($B37, DB[samplingPoint], DB[location])</f>
        <v>WASHING</v>
      </c>
      <c r="I37" s="39" t="str">
        <f t="array" ref="I37">_xlfn.XLOOKUP($B37, DB[samplingPoint], DB[waterType])</f>
        <v>WFI</v>
      </c>
      <c r="J37" s="43">
        <f t="shared" si="5"/>
        <v>46044</v>
      </c>
      <c r="K37" s="26">
        <v>46047.0</v>
      </c>
      <c r="L37" s="32">
        <v>0.0</v>
      </c>
      <c r="M37" s="32">
        <f t="shared" si="2"/>
        <v>0</v>
      </c>
      <c r="N37" s="32" t="s">
        <v>376</v>
      </c>
      <c r="O37" s="32">
        <v>10.0</v>
      </c>
      <c r="P37" s="50" t="str">
        <f t="shared" si="3"/>
        <v>PASSED</v>
      </c>
      <c r="Q37" s="38" t="b">
        <v>0</v>
      </c>
      <c r="R37" s="32" t="s">
        <v>473</v>
      </c>
      <c r="S37" s="39" t="s">
        <v>386</v>
      </c>
      <c r="T37" s="32" t="s">
        <v>381</v>
      </c>
    </row>
    <row r="38" ht="22.5" customHeight="1">
      <c r="A38" s="26">
        <v>46043.0</v>
      </c>
      <c r="B38" s="39" t="s">
        <v>377</v>
      </c>
      <c r="C38" s="32" t="str">
        <f t="array" ref="C38">_xlfn.XLOOKUP(B38, DB[samplingPoint], DB[samplingTag])</f>
        <v>V12-4</v>
      </c>
      <c r="D38" s="33" t="s">
        <v>371</v>
      </c>
      <c r="E38" s="38" t="b">
        <v>1</v>
      </c>
      <c r="F38" s="39" t="str">
        <f t="array" ref="F38">_xlfn.XLOOKUP($B38, DB[samplingPoint], DB[noLocation])</f>
        <v>16-2-010</v>
      </c>
      <c r="G38" s="59" t="str">
        <f t="array" ref="G38">_xlfn.XLOOKUP($B38, DB[samplingPoint], DB[building])</f>
        <v>Building 16</v>
      </c>
      <c r="H38" s="40" t="str">
        <f t="array" ref="H38">_xlfn.XLOOKUP($B38, DB[samplingPoint], DB[location])</f>
        <v>AFTER WFI GENERATOR</v>
      </c>
      <c r="I38" s="39" t="str">
        <f t="array" ref="I38">_xlfn.XLOOKUP($B38, DB[samplingPoint], DB[waterType])</f>
        <v>WFI</v>
      </c>
      <c r="J38" s="43">
        <f t="shared" ref="J38:J41" si="6">$A38+1</f>
        <v>46044</v>
      </c>
      <c r="K38" s="26">
        <v>46047.0</v>
      </c>
      <c r="L38" s="32">
        <v>0.0</v>
      </c>
      <c r="M38" s="32">
        <f t="shared" si="2"/>
        <v>0</v>
      </c>
      <c r="N38" s="32" t="s">
        <v>376</v>
      </c>
      <c r="O38" s="32">
        <v>10.0</v>
      </c>
      <c r="P38" s="50" t="str">
        <f t="shared" si="3"/>
        <v>PASSED</v>
      </c>
      <c r="Q38" s="38" t="b">
        <v>0</v>
      </c>
      <c r="R38" s="32" t="s">
        <v>487</v>
      </c>
      <c r="S38" s="39" t="s">
        <v>386</v>
      </c>
      <c r="T38" s="32" t="s">
        <v>381</v>
      </c>
    </row>
    <row r="39" ht="22.5" customHeight="1">
      <c r="A39" s="26">
        <v>46043.0</v>
      </c>
      <c r="B39" s="39" t="s">
        <v>388</v>
      </c>
      <c r="C39" s="32" t="str">
        <f t="array" ref="C39">_xlfn.XLOOKUP(B39, DB[samplingPoint], DB[samplingTag])</f>
        <v>SV217.01</v>
      </c>
      <c r="D39" s="33" t="s">
        <v>371</v>
      </c>
      <c r="E39" s="38" t="b">
        <v>1</v>
      </c>
      <c r="F39" s="39" t="str">
        <f t="array" ref="F39">_xlfn.XLOOKUP($B39, DB[samplingPoint], DB[noLocation])</f>
        <v>16-2-010</v>
      </c>
      <c r="G39" s="59" t="str">
        <f t="array" ref="G39">_xlfn.XLOOKUP($B39, DB[samplingPoint], DB[building])</f>
        <v>Building 16</v>
      </c>
      <c r="H39" s="40" t="str">
        <f t="array" ref="H39">_xlfn.XLOOKUP($B39, DB[samplingPoint], DB[location])</f>
        <v>RETURN LOOP</v>
      </c>
      <c r="I39" s="39" t="str">
        <f t="array" ref="I39">_xlfn.XLOOKUP($B39, DB[samplingPoint], DB[waterType])</f>
        <v>WFI</v>
      </c>
      <c r="J39" s="43">
        <f t="shared" si="6"/>
        <v>46044</v>
      </c>
      <c r="K39" s="26">
        <v>46047.0</v>
      </c>
      <c r="L39" s="32">
        <v>0.0</v>
      </c>
      <c r="M39" s="32">
        <f t="shared" si="2"/>
        <v>0</v>
      </c>
      <c r="N39" s="32" t="s">
        <v>376</v>
      </c>
      <c r="O39" s="32">
        <v>10.0</v>
      </c>
      <c r="P39" s="50" t="str">
        <f t="shared" si="3"/>
        <v>PASSED</v>
      </c>
      <c r="Q39" s="38" t="b">
        <v>0</v>
      </c>
      <c r="R39" s="32" t="s">
        <v>487</v>
      </c>
      <c r="S39" s="39" t="s">
        <v>386</v>
      </c>
      <c r="T39" s="32" t="s">
        <v>381</v>
      </c>
    </row>
    <row r="40" ht="22.5" customHeight="1">
      <c r="A40" s="26">
        <v>46043.0</v>
      </c>
      <c r="B40" s="39" t="s">
        <v>225</v>
      </c>
      <c r="C40" s="32" t="str">
        <f t="array" ref="C40">_xlfn.XLOOKUP(B40, DB[samplingPoint], DB[samplingTag])</f>
        <v>SV216.05</v>
      </c>
      <c r="D40" s="33" t="s">
        <v>371</v>
      </c>
      <c r="E40" s="38" t="b">
        <v>1</v>
      </c>
      <c r="F40" s="39" t="str">
        <f t="array" ref="F40">_xlfn.XLOOKUP($B40, DB[samplingPoint], DB[noLocation])</f>
        <v>16-1-110</v>
      </c>
      <c r="G40" s="59" t="str">
        <f t="array" ref="G40">_xlfn.XLOOKUP($B40, DB[samplingPoint], DB[building])</f>
        <v>Building 16</v>
      </c>
      <c r="H40" s="40" t="str">
        <f t="array" ref="H40">_xlfn.XLOOKUP($B40, DB[samplingPoint], DB[location])</f>
        <v>DISINFECTANT PREPARATION</v>
      </c>
      <c r="I40" s="39" t="str">
        <f t="array" ref="I40">_xlfn.XLOOKUP($B40, DB[samplingPoint], DB[waterType])</f>
        <v>WFI</v>
      </c>
      <c r="J40" s="43">
        <f t="shared" si="6"/>
        <v>46044</v>
      </c>
      <c r="K40" s="26">
        <v>46047.0</v>
      </c>
      <c r="L40" s="32">
        <v>0.0</v>
      </c>
      <c r="M40" s="32">
        <f t="shared" si="2"/>
        <v>0</v>
      </c>
      <c r="N40" s="32" t="s">
        <v>376</v>
      </c>
      <c r="O40" s="32">
        <v>10.0</v>
      </c>
      <c r="P40" s="50" t="str">
        <f t="shared" si="3"/>
        <v>PASSED</v>
      </c>
      <c r="Q40" s="38" t="b">
        <v>0</v>
      </c>
      <c r="R40" s="32" t="s">
        <v>487</v>
      </c>
      <c r="S40" s="39" t="s">
        <v>386</v>
      </c>
      <c r="T40" s="32" t="s">
        <v>381</v>
      </c>
    </row>
    <row r="41" ht="22.5" customHeight="1">
      <c r="A41" s="26">
        <v>46043.0</v>
      </c>
      <c r="B41" s="39" t="s">
        <v>365</v>
      </c>
      <c r="C41" s="32" t="str">
        <f t="array" ref="C41">_xlfn.XLOOKUP(B41, DB[samplingPoint], DB[samplingTag])</f>
        <v>SV216.10</v>
      </c>
      <c r="D41" s="33" t="s">
        <v>371</v>
      </c>
      <c r="E41" s="38" t="b">
        <v>1</v>
      </c>
      <c r="F41" s="39" t="str">
        <f t="array" ref="F41">_xlfn.XLOOKUP($B41, DB[samplingPoint], DB[noLocation])</f>
        <v>16-1-105</v>
      </c>
      <c r="G41" s="59" t="str">
        <f t="array" ref="G41">_xlfn.XLOOKUP($B41, DB[samplingPoint], DB[building])</f>
        <v>Building 16</v>
      </c>
      <c r="H41" s="40" t="str">
        <f t="array" ref="H41">_xlfn.XLOOKUP($B41, DB[samplingPoint], DB[location])</f>
        <v>WASHING/TUNNEL-01</v>
      </c>
      <c r="I41" s="39" t="str">
        <f t="array" ref="I41">_xlfn.XLOOKUP($B41, DB[samplingPoint], DB[waterType])</f>
        <v>WFI</v>
      </c>
      <c r="J41" s="43">
        <f t="shared" si="6"/>
        <v>46044</v>
      </c>
      <c r="K41" s="26">
        <v>46047.0</v>
      </c>
      <c r="L41" s="32">
        <v>0.0</v>
      </c>
      <c r="M41" s="32">
        <f t="shared" si="2"/>
        <v>0</v>
      </c>
      <c r="N41" s="32" t="s">
        <v>376</v>
      </c>
      <c r="O41" s="32">
        <v>10.0</v>
      </c>
      <c r="P41" s="50" t="str">
        <f t="shared" si="3"/>
        <v>PASSED</v>
      </c>
      <c r="Q41" s="38" t="b">
        <v>0</v>
      </c>
      <c r="R41" s="32" t="s">
        <v>487</v>
      </c>
      <c r="S41" s="39" t="s">
        <v>386</v>
      </c>
      <c r="T41" s="32" t="s">
        <v>381</v>
      </c>
    </row>
    <row r="42" ht="22.5" customHeight="1">
      <c r="A42" s="26">
        <v>46044.0</v>
      </c>
      <c r="B42" s="39" t="s">
        <v>377</v>
      </c>
      <c r="C42" s="32" t="str">
        <f t="array" ref="C42">_xlfn.XLOOKUP(B42, DB[samplingPoint], DB[samplingTag])</f>
        <v>V12-4</v>
      </c>
      <c r="D42" s="33" t="s">
        <v>371</v>
      </c>
      <c r="E42" s="38" t="b">
        <v>1</v>
      </c>
      <c r="F42" s="39" t="str">
        <f t="array" ref="F42">_xlfn.XLOOKUP($B42, DB[samplingPoint], DB[noLocation])</f>
        <v>16-2-010</v>
      </c>
      <c r="G42" s="59" t="str">
        <f t="array" ref="G42">_xlfn.XLOOKUP($B42, DB[samplingPoint], DB[building])</f>
        <v>Building 16</v>
      </c>
      <c r="H42" s="40" t="str">
        <f t="array" ref="H42">_xlfn.XLOOKUP($B42, DB[samplingPoint], DB[location])</f>
        <v>AFTER WFI GENERATOR</v>
      </c>
      <c r="I42" s="39" t="str">
        <f t="array" ref="I42">_xlfn.XLOOKUP($B42, DB[samplingPoint], DB[waterType])</f>
        <v>WFI</v>
      </c>
      <c r="J42" s="43">
        <f t="shared" ref="J42:J47" si="7">$A42+2</f>
        <v>46046</v>
      </c>
      <c r="K42" s="26">
        <v>46049.0</v>
      </c>
      <c r="L42" s="32">
        <v>0.0</v>
      </c>
      <c r="M42" s="32">
        <f t="shared" si="2"/>
        <v>0</v>
      </c>
      <c r="N42" s="32" t="s">
        <v>376</v>
      </c>
      <c r="O42" s="32">
        <v>10.0</v>
      </c>
      <c r="P42" s="50" t="str">
        <f t="shared" si="3"/>
        <v>PASSED</v>
      </c>
      <c r="Q42" s="38" t="b">
        <v>0</v>
      </c>
      <c r="R42" s="32" t="s">
        <v>65</v>
      </c>
      <c r="S42" s="39" t="s">
        <v>386</v>
      </c>
      <c r="T42" s="32" t="s">
        <v>304</v>
      </c>
    </row>
    <row r="43" ht="22.5" customHeight="1">
      <c r="A43" s="26">
        <v>46044.0</v>
      </c>
      <c r="B43" s="39" t="s">
        <v>388</v>
      </c>
      <c r="C43" s="32" t="str">
        <f t="array" ref="C43">_xlfn.XLOOKUP(B43, DB[samplingPoint], DB[samplingTag])</f>
        <v>SV217.01</v>
      </c>
      <c r="D43" s="33" t="s">
        <v>371</v>
      </c>
      <c r="E43" s="38" t="b">
        <v>1</v>
      </c>
      <c r="F43" s="39" t="str">
        <f t="array" ref="F43">_xlfn.XLOOKUP($B43, DB[samplingPoint], DB[noLocation])</f>
        <v>16-2-010</v>
      </c>
      <c r="G43" s="59" t="str">
        <f t="array" ref="G43">_xlfn.XLOOKUP($B43, DB[samplingPoint], DB[building])</f>
        <v>Building 16</v>
      </c>
      <c r="H43" s="40" t="str">
        <f t="array" ref="H43">_xlfn.XLOOKUP($B43, DB[samplingPoint], DB[location])</f>
        <v>RETURN LOOP</v>
      </c>
      <c r="I43" s="39" t="str">
        <f t="array" ref="I43">_xlfn.XLOOKUP($B43, DB[samplingPoint], DB[waterType])</f>
        <v>WFI</v>
      </c>
      <c r="J43" s="43">
        <f t="shared" si="7"/>
        <v>46046</v>
      </c>
      <c r="K43" s="26">
        <v>46049.0</v>
      </c>
      <c r="L43" s="32">
        <v>0.0</v>
      </c>
      <c r="M43" s="32">
        <f t="shared" si="2"/>
        <v>0</v>
      </c>
      <c r="N43" s="32" t="s">
        <v>376</v>
      </c>
      <c r="O43" s="32">
        <v>10.0</v>
      </c>
      <c r="P43" s="50" t="str">
        <f t="shared" si="3"/>
        <v>PASSED</v>
      </c>
      <c r="Q43" s="38" t="b">
        <v>0</v>
      </c>
      <c r="R43" s="32" t="s">
        <v>65</v>
      </c>
      <c r="S43" s="39" t="s">
        <v>386</v>
      </c>
      <c r="T43" s="32" t="s">
        <v>304</v>
      </c>
    </row>
    <row r="44" ht="22.5" customHeight="1">
      <c r="A44" s="26">
        <v>46044.0</v>
      </c>
      <c r="B44" s="39" t="s">
        <v>403</v>
      </c>
      <c r="C44" s="32" t="str">
        <f t="array" ref="C44">_xlfn.XLOOKUP(B44, DB[samplingPoint], DB[samplingTag])</f>
        <v>POU HE216.01</v>
      </c>
      <c r="D44" s="33" t="s">
        <v>371</v>
      </c>
      <c r="E44" s="38" t="b">
        <v>1</v>
      </c>
      <c r="F44" s="39" t="str">
        <f t="array" ref="F44">_xlfn.XLOOKUP($B44, DB[samplingPoint], DB[noLocation])</f>
        <v>16-1-107</v>
      </c>
      <c r="G44" s="59" t="str">
        <f t="array" ref="G44">_xlfn.XLOOKUP($B44, DB[samplingPoint], DB[building])</f>
        <v>Building 16</v>
      </c>
      <c r="H44" s="40" t="str">
        <f t="array" ref="H44">_xlfn.XLOOKUP($B44, DB[samplingPoint], DB[location])</f>
        <v>COMPOUNDING-01</v>
      </c>
      <c r="I44" s="39" t="str">
        <f t="array" ref="I44">_xlfn.XLOOKUP($B44, DB[samplingPoint], DB[waterType])</f>
        <v>WFI</v>
      </c>
      <c r="J44" s="43">
        <f t="shared" si="7"/>
        <v>46046</v>
      </c>
      <c r="K44" s="26">
        <v>46049.0</v>
      </c>
      <c r="L44" s="32">
        <v>0.0</v>
      </c>
      <c r="M44" s="32">
        <f t="shared" si="2"/>
        <v>0</v>
      </c>
      <c r="N44" s="32" t="s">
        <v>376</v>
      </c>
      <c r="O44" s="32">
        <v>10.0</v>
      </c>
      <c r="P44" s="50" t="str">
        <f t="shared" si="3"/>
        <v>PASSED</v>
      </c>
      <c r="Q44" s="38" t="b">
        <v>0</v>
      </c>
      <c r="R44" s="32" t="s">
        <v>65</v>
      </c>
      <c r="S44" s="39" t="s">
        <v>386</v>
      </c>
      <c r="T44" s="32" t="s">
        <v>304</v>
      </c>
    </row>
    <row r="45" ht="22.5" customHeight="1">
      <c r="A45" s="26">
        <v>46044.0</v>
      </c>
      <c r="B45" s="39" t="s">
        <v>403</v>
      </c>
      <c r="C45" s="32" t="str">
        <f t="array" ref="C45">_xlfn.XLOOKUP(B45, DB[samplingPoint], DB[samplingTag])</f>
        <v>POU HE216.01</v>
      </c>
      <c r="D45" s="33" t="s">
        <v>371</v>
      </c>
      <c r="E45" s="38" t="b">
        <v>1</v>
      </c>
      <c r="F45" s="39" t="str">
        <f t="array" ref="F45">_xlfn.XLOOKUP($B45, DB[samplingPoint], DB[noLocation])</f>
        <v>16-1-107</v>
      </c>
      <c r="G45" s="59" t="str">
        <f t="array" ref="G45">_xlfn.XLOOKUP($B45, DB[samplingPoint], DB[building])</f>
        <v>Building 16</v>
      </c>
      <c r="H45" s="40" t="str">
        <f t="array" ref="H45">_xlfn.XLOOKUP($B45, DB[samplingPoint], DB[location])</f>
        <v>COMPOUNDING-01</v>
      </c>
      <c r="I45" s="39" t="str">
        <f t="array" ref="I45">_xlfn.XLOOKUP($B45, DB[samplingPoint], DB[waterType])</f>
        <v>WFI</v>
      </c>
      <c r="J45" s="43">
        <f t="shared" si="7"/>
        <v>46046</v>
      </c>
      <c r="K45" s="26">
        <v>46049.0</v>
      </c>
      <c r="L45" s="32">
        <v>0.0</v>
      </c>
      <c r="M45" s="32">
        <f t="shared" si="2"/>
        <v>0</v>
      </c>
      <c r="N45" s="32" t="s">
        <v>439</v>
      </c>
      <c r="O45" s="32">
        <v>10.0</v>
      </c>
      <c r="P45" s="50" t="str">
        <f t="shared" si="3"/>
        <v>PASSED</v>
      </c>
      <c r="Q45" s="38" t="b">
        <v>0</v>
      </c>
      <c r="R45" s="32" t="s">
        <v>65</v>
      </c>
      <c r="S45" s="39" t="s">
        <v>386</v>
      </c>
      <c r="T45" s="32" t="s">
        <v>304</v>
      </c>
    </row>
    <row r="46" ht="22.5" customHeight="1">
      <c r="A46" s="26">
        <v>46044.0</v>
      </c>
      <c r="B46" s="39" t="s">
        <v>407</v>
      </c>
      <c r="C46" s="32" t="str">
        <f t="array" ref="C46">_xlfn.XLOOKUP(B46, DB[samplingPoint], DB[samplingTag])</f>
        <v>POU HE216.02</v>
      </c>
      <c r="D46" s="33" t="s">
        <v>371</v>
      </c>
      <c r="E46" s="38" t="b">
        <v>1</v>
      </c>
      <c r="F46" s="39" t="str">
        <f t="array" ref="F46">_xlfn.XLOOKUP($B46, DB[samplingPoint], DB[noLocation])</f>
        <v>16-1-107</v>
      </c>
      <c r="G46" s="59" t="str">
        <f t="array" ref="G46">_xlfn.XLOOKUP($B46, DB[samplingPoint], DB[building])</f>
        <v>Building 16</v>
      </c>
      <c r="H46" s="40" t="str">
        <f t="array" ref="H46">_xlfn.XLOOKUP($B46, DB[samplingPoint], DB[location])</f>
        <v>COMPOUNDING-01</v>
      </c>
      <c r="I46" s="39" t="str">
        <f t="array" ref="I46">_xlfn.XLOOKUP($B46, DB[samplingPoint], DB[waterType])</f>
        <v>WFI</v>
      </c>
      <c r="J46" s="43">
        <f t="shared" si="7"/>
        <v>46046</v>
      </c>
      <c r="K46" s="26">
        <v>46049.0</v>
      </c>
      <c r="L46" s="32">
        <v>0.0</v>
      </c>
      <c r="M46" s="32">
        <f t="shared" si="2"/>
        <v>0</v>
      </c>
      <c r="N46" s="32" t="s">
        <v>376</v>
      </c>
      <c r="O46" s="32">
        <v>10.0</v>
      </c>
      <c r="P46" s="50" t="str">
        <f t="shared" si="3"/>
        <v>PASSED</v>
      </c>
      <c r="Q46" s="38" t="b">
        <v>0</v>
      </c>
      <c r="R46" s="32" t="s">
        <v>65</v>
      </c>
      <c r="S46" s="39" t="s">
        <v>386</v>
      </c>
      <c r="T46" s="32" t="s">
        <v>304</v>
      </c>
    </row>
    <row r="47" ht="22.5" customHeight="1">
      <c r="A47" s="26">
        <v>46044.0</v>
      </c>
      <c r="B47" s="39" t="s">
        <v>407</v>
      </c>
      <c r="C47" s="32" t="str">
        <f t="array" ref="C47">_xlfn.XLOOKUP(B47, DB[samplingPoint], DB[samplingTag])</f>
        <v>POU HE216.02</v>
      </c>
      <c r="D47" s="33" t="s">
        <v>371</v>
      </c>
      <c r="E47" s="38" t="b">
        <v>1</v>
      </c>
      <c r="F47" s="39" t="str">
        <f t="array" ref="F47">_xlfn.XLOOKUP($B47, DB[samplingPoint], DB[noLocation])</f>
        <v>16-1-107</v>
      </c>
      <c r="G47" s="59" t="str">
        <f t="array" ref="G47">_xlfn.XLOOKUP($B47, DB[samplingPoint], DB[building])</f>
        <v>Building 16</v>
      </c>
      <c r="H47" s="40" t="str">
        <f t="array" ref="H47">_xlfn.XLOOKUP($B47, DB[samplingPoint], DB[location])</f>
        <v>COMPOUNDING-01</v>
      </c>
      <c r="I47" s="39" t="str">
        <f t="array" ref="I47">_xlfn.XLOOKUP($B47, DB[samplingPoint], DB[waterType])</f>
        <v>WFI</v>
      </c>
      <c r="J47" s="43">
        <f t="shared" si="7"/>
        <v>46046</v>
      </c>
      <c r="K47" s="26">
        <v>46049.0</v>
      </c>
      <c r="L47" s="32">
        <v>22.0</v>
      </c>
      <c r="M47" s="32">
        <f t="shared" si="2"/>
        <v>22</v>
      </c>
      <c r="N47" s="32" t="s">
        <v>439</v>
      </c>
      <c r="O47" s="32">
        <v>10.0</v>
      </c>
      <c r="P47" s="50" t="str">
        <f t="shared" si="3"/>
        <v>NOT-PASSED</v>
      </c>
      <c r="Q47" s="38" t="b">
        <v>0</v>
      </c>
      <c r="R47" s="32" t="s">
        <v>65</v>
      </c>
      <c r="S47" s="39" t="s">
        <v>386</v>
      </c>
      <c r="T47" s="32" t="s">
        <v>304</v>
      </c>
    </row>
    <row r="48" ht="22.5" customHeight="1">
      <c r="A48" s="26">
        <v>46045.0</v>
      </c>
      <c r="B48" s="39" t="s">
        <v>377</v>
      </c>
      <c r="C48" s="32" t="str">
        <f t="array" ref="C48">_xlfn.XLOOKUP(B48, DB[samplingPoint], DB[samplingTag])</f>
        <v>V12-4</v>
      </c>
      <c r="D48" s="33" t="s">
        <v>371</v>
      </c>
      <c r="E48" s="38" t="b">
        <v>1</v>
      </c>
      <c r="F48" s="39" t="str">
        <f t="array" ref="F48">_xlfn.XLOOKUP($B48, DB[samplingPoint], DB[noLocation])</f>
        <v>16-2-010</v>
      </c>
      <c r="G48" s="59" t="str">
        <f t="array" ref="G48">_xlfn.XLOOKUP($B48, DB[samplingPoint], DB[building])</f>
        <v>Building 16</v>
      </c>
      <c r="H48" s="40" t="str">
        <f t="array" ref="H48">_xlfn.XLOOKUP($B48, DB[samplingPoint], DB[location])</f>
        <v>AFTER WFI GENERATOR</v>
      </c>
      <c r="I48" s="39" t="str">
        <f t="array" ref="I48">_xlfn.XLOOKUP($B48, DB[samplingPoint], DB[waterType])</f>
        <v>WFI</v>
      </c>
      <c r="J48" s="43">
        <f t="shared" ref="J48:J58" si="8">$A48+1</f>
        <v>46046</v>
      </c>
      <c r="K48" s="26">
        <v>46049.0</v>
      </c>
      <c r="L48" s="32">
        <v>0.0</v>
      </c>
      <c r="M48" s="32">
        <f t="shared" si="2"/>
        <v>0</v>
      </c>
      <c r="N48" s="32" t="s">
        <v>376</v>
      </c>
      <c r="O48" s="32">
        <v>10.0</v>
      </c>
      <c r="P48" s="50" t="str">
        <f t="shared" si="3"/>
        <v>PASSED</v>
      </c>
      <c r="Q48" s="38" t="b">
        <v>0</v>
      </c>
      <c r="R48" s="32" t="s">
        <v>503</v>
      </c>
      <c r="S48" s="39" t="s">
        <v>386</v>
      </c>
      <c r="T48" s="32" t="s">
        <v>381</v>
      </c>
    </row>
    <row r="49" ht="22.5" customHeight="1">
      <c r="A49" s="26">
        <v>46045.0</v>
      </c>
      <c r="B49" s="39" t="s">
        <v>388</v>
      </c>
      <c r="C49" s="32" t="str">
        <f t="array" ref="C49">_xlfn.XLOOKUP(B49, DB[samplingPoint], DB[samplingTag])</f>
        <v>SV217.01</v>
      </c>
      <c r="D49" s="33" t="s">
        <v>371</v>
      </c>
      <c r="E49" s="38" t="b">
        <v>1</v>
      </c>
      <c r="F49" s="39" t="str">
        <f t="array" ref="F49">_xlfn.XLOOKUP($B49, DB[samplingPoint], DB[noLocation])</f>
        <v>16-2-010</v>
      </c>
      <c r="G49" s="59" t="str">
        <f t="array" ref="G49">_xlfn.XLOOKUP($B49, DB[samplingPoint], DB[building])</f>
        <v>Building 16</v>
      </c>
      <c r="H49" s="40" t="str">
        <f t="array" ref="H49">_xlfn.XLOOKUP($B49, DB[samplingPoint], DB[location])</f>
        <v>RETURN LOOP</v>
      </c>
      <c r="I49" s="39" t="str">
        <f t="array" ref="I49">_xlfn.XLOOKUP($B49, DB[samplingPoint], DB[waterType])</f>
        <v>WFI</v>
      </c>
      <c r="J49" s="43">
        <f t="shared" si="8"/>
        <v>46046</v>
      </c>
      <c r="K49" s="26">
        <v>46049.0</v>
      </c>
      <c r="L49" s="32">
        <v>0.0</v>
      </c>
      <c r="M49" s="32">
        <f t="shared" si="2"/>
        <v>0</v>
      </c>
      <c r="N49" s="32" t="s">
        <v>376</v>
      </c>
      <c r="O49" s="32">
        <v>10.0</v>
      </c>
      <c r="P49" s="50" t="str">
        <f t="shared" si="3"/>
        <v>PASSED</v>
      </c>
      <c r="Q49" s="38" t="b">
        <v>0</v>
      </c>
      <c r="R49" s="32" t="s">
        <v>503</v>
      </c>
      <c r="S49" s="39" t="s">
        <v>386</v>
      </c>
      <c r="T49" s="32" t="s">
        <v>381</v>
      </c>
    </row>
    <row r="50" ht="22.5" customHeight="1">
      <c r="A50" s="26">
        <v>46045.0</v>
      </c>
      <c r="B50" s="39" t="s">
        <v>367</v>
      </c>
      <c r="C50" s="32" t="str">
        <f t="array" ref="C50">_xlfn.XLOOKUP(B50, DB[samplingPoint], DB[samplingTag])</f>
        <v>POU HE216.04</v>
      </c>
      <c r="D50" s="33" t="s">
        <v>371</v>
      </c>
      <c r="E50" s="38" t="b">
        <v>1</v>
      </c>
      <c r="F50" s="39" t="str">
        <f t="array" ref="F50">_xlfn.XLOOKUP($B50, DB[samplingPoint], DB[noLocation])</f>
        <v>16-1-114</v>
      </c>
      <c r="G50" s="59" t="str">
        <f t="array" ref="G50">_xlfn.XLOOKUP($B50, DB[samplingPoint], DB[building])</f>
        <v>Building 16</v>
      </c>
      <c r="H50" s="40" t="str">
        <f t="array" ref="H50">_xlfn.XLOOKUP($B50, DB[samplingPoint], DB[location])</f>
        <v>COMPOUNDING-02</v>
      </c>
      <c r="I50" s="39" t="str">
        <f t="array" ref="I50">_xlfn.XLOOKUP($B50, DB[samplingPoint], DB[waterType])</f>
        <v>WFI</v>
      </c>
      <c r="J50" s="43">
        <f t="shared" si="8"/>
        <v>46046</v>
      </c>
      <c r="K50" s="26">
        <v>46049.0</v>
      </c>
      <c r="L50" s="32">
        <v>0.0</v>
      </c>
      <c r="M50" s="32">
        <f t="shared" si="2"/>
        <v>0</v>
      </c>
      <c r="N50" s="32" t="s">
        <v>376</v>
      </c>
      <c r="O50" s="32">
        <v>10.0</v>
      </c>
      <c r="P50" s="50" t="str">
        <f t="shared" si="3"/>
        <v>PASSED</v>
      </c>
      <c r="Q50" s="38" t="b">
        <v>0</v>
      </c>
      <c r="R50" s="32" t="s">
        <v>503</v>
      </c>
      <c r="S50" s="39" t="s">
        <v>386</v>
      </c>
      <c r="T50" s="32" t="s">
        <v>381</v>
      </c>
    </row>
    <row r="51" ht="22.5" customHeight="1">
      <c r="A51" s="26">
        <v>46045.0</v>
      </c>
      <c r="B51" s="39" t="s">
        <v>367</v>
      </c>
      <c r="C51" s="32" t="str">
        <f t="array" ref="C51">_xlfn.XLOOKUP(B51, DB[samplingPoint], DB[samplingTag])</f>
        <v>POU HE216.04</v>
      </c>
      <c r="D51" s="33" t="s">
        <v>371</v>
      </c>
      <c r="E51" s="38" t="b">
        <v>1</v>
      </c>
      <c r="F51" s="39" t="str">
        <f t="array" ref="F51">_xlfn.XLOOKUP($B51, DB[samplingPoint], DB[noLocation])</f>
        <v>16-1-114</v>
      </c>
      <c r="G51" s="59" t="str">
        <f t="array" ref="G51">_xlfn.XLOOKUP($B51, DB[samplingPoint], DB[building])</f>
        <v>Building 16</v>
      </c>
      <c r="H51" s="40" t="str">
        <f t="array" ref="H51">_xlfn.XLOOKUP($B51, DB[samplingPoint], DB[location])</f>
        <v>COMPOUNDING-02</v>
      </c>
      <c r="I51" s="39" t="str">
        <f t="array" ref="I51">_xlfn.XLOOKUP($B51, DB[samplingPoint], DB[waterType])</f>
        <v>WFI</v>
      </c>
      <c r="J51" s="43">
        <f t="shared" si="8"/>
        <v>46046</v>
      </c>
      <c r="K51" s="26">
        <v>46049.0</v>
      </c>
      <c r="L51" s="32">
        <v>13.0</v>
      </c>
      <c r="M51" s="32">
        <f t="shared" si="2"/>
        <v>13</v>
      </c>
      <c r="N51" s="32" t="s">
        <v>439</v>
      </c>
      <c r="O51" s="32">
        <v>10.0</v>
      </c>
      <c r="P51" s="50" t="str">
        <f t="shared" si="3"/>
        <v>NOT-PASSED</v>
      </c>
      <c r="Q51" s="38" t="b">
        <v>0</v>
      </c>
      <c r="R51" s="32" t="s">
        <v>503</v>
      </c>
      <c r="S51" s="39" t="s">
        <v>386</v>
      </c>
      <c r="T51" s="32" t="s">
        <v>381</v>
      </c>
    </row>
    <row r="52" ht="22.5" customHeight="1">
      <c r="A52" s="26">
        <v>46045.0</v>
      </c>
      <c r="B52" s="39" t="s">
        <v>372</v>
      </c>
      <c r="C52" s="32" t="str">
        <f t="array" ref="C52">_xlfn.XLOOKUP(B52, DB[samplingPoint], DB[samplingTag])</f>
        <v>POU HE216.05</v>
      </c>
      <c r="D52" s="33" t="s">
        <v>371</v>
      </c>
      <c r="E52" s="38" t="b">
        <v>1</v>
      </c>
      <c r="F52" s="39" t="str">
        <f t="array" ref="F52">_xlfn.XLOOKUP($B52, DB[samplingPoint], DB[noLocation])</f>
        <v>16-1-114</v>
      </c>
      <c r="G52" s="59" t="str">
        <f t="array" ref="G52">_xlfn.XLOOKUP($B52, DB[samplingPoint], DB[building])</f>
        <v>Building 16</v>
      </c>
      <c r="H52" s="40" t="str">
        <f t="array" ref="H52">_xlfn.XLOOKUP($B52, DB[samplingPoint], DB[location])</f>
        <v>COMPOUNDING-02</v>
      </c>
      <c r="I52" s="39" t="str">
        <f t="array" ref="I52">_xlfn.XLOOKUP($B52, DB[samplingPoint], DB[waterType])</f>
        <v>WFI</v>
      </c>
      <c r="J52" s="43">
        <f t="shared" si="8"/>
        <v>46046</v>
      </c>
      <c r="K52" s="26">
        <v>46049.0</v>
      </c>
      <c r="L52" s="32">
        <v>0.0</v>
      </c>
      <c r="M52" s="32">
        <f t="shared" si="2"/>
        <v>0</v>
      </c>
      <c r="N52" s="32" t="s">
        <v>376</v>
      </c>
      <c r="O52" s="32">
        <v>10.0</v>
      </c>
      <c r="P52" s="50" t="str">
        <f t="shared" si="3"/>
        <v>PASSED</v>
      </c>
      <c r="Q52" s="38" t="b">
        <v>0</v>
      </c>
      <c r="R52" s="32" t="s">
        <v>503</v>
      </c>
      <c r="S52" s="39" t="s">
        <v>386</v>
      </c>
      <c r="T52" s="32" t="s">
        <v>381</v>
      </c>
    </row>
    <row r="53" ht="22.5" customHeight="1">
      <c r="A53" s="26">
        <v>46045.0</v>
      </c>
      <c r="B53" s="39" t="s">
        <v>372</v>
      </c>
      <c r="C53" s="32" t="str">
        <f t="array" ref="C53">_xlfn.XLOOKUP(B53, DB[samplingPoint], DB[samplingTag])</f>
        <v>POU HE216.05</v>
      </c>
      <c r="D53" s="33" t="s">
        <v>371</v>
      </c>
      <c r="E53" s="38" t="b">
        <v>1</v>
      </c>
      <c r="F53" s="39" t="str">
        <f t="array" ref="F53">_xlfn.XLOOKUP($B53, DB[samplingPoint], DB[noLocation])</f>
        <v>16-1-114</v>
      </c>
      <c r="G53" s="59" t="str">
        <f t="array" ref="G53">_xlfn.XLOOKUP($B53, DB[samplingPoint], DB[building])</f>
        <v>Building 16</v>
      </c>
      <c r="H53" s="40" t="str">
        <f t="array" ref="H53">_xlfn.XLOOKUP($B53, DB[samplingPoint], DB[location])</f>
        <v>COMPOUNDING-02</v>
      </c>
      <c r="I53" s="39" t="str">
        <f t="array" ref="I53">_xlfn.XLOOKUP($B53, DB[samplingPoint], DB[waterType])</f>
        <v>WFI</v>
      </c>
      <c r="J53" s="43">
        <f t="shared" si="8"/>
        <v>46046</v>
      </c>
      <c r="K53" s="26">
        <v>46049.0</v>
      </c>
      <c r="L53" s="32">
        <v>0.0</v>
      </c>
      <c r="M53" s="32">
        <f t="shared" si="2"/>
        <v>0</v>
      </c>
      <c r="N53" s="32" t="s">
        <v>439</v>
      </c>
      <c r="O53" s="32">
        <v>10.0</v>
      </c>
      <c r="P53" s="50" t="str">
        <f t="shared" si="3"/>
        <v>PASSED</v>
      </c>
      <c r="Q53" s="38" t="b">
        <v>0</v>
      </c>
      <c r="R53" s="32" t="s">
        <v>503</v>
      </c>
      <c r="S53" s="39" t="s">
        <v>386</v>
      </c>
      <c r="T53" s="32" t="s">
        <v>381</v>
      </c>
    </row>
    <row r="54" ht="22.5" customHeight="1">
      <c r="A54" s="26">
        <v>46055.0</v>
      </c>
      <c r="B54" s="39" t="s">
        <v>377</v>
      </c>
      <c r="C54" s="32" t="str">
        <f t="array" ref="C54">_xlfn.XLOOKUP(B54, DB[samplingPoint], DB[samplingTag])</f>
        <v>V12-4</v>
      </c>
      <c r="D54" s="33" t="s">
        <v>379</v>
      </c>
      <c r="E54" s="38" t="b">
        <v>1</v>
      </c>
      <c r="F54" s="39" t="str">
        <f t="array" ref="F54">_xlfn.XLOOKUP($B54, DB[samplingPoint], DB[noLocation])</f>
        <v>16-2-010</v>
      </c>
      <c r="G54" s="59" t="str">
        <f t="array" ref="G54">_xlfn.XLOOKUP($B54, DB[samplingPoint], DB[building])</f>
        <v>Building 16</v>
      </c>
      <c r="H54" s="40" t="str">
        <f t="array" ref="H54">_xlfn.XLOOKUP($B54, DB[samplingPoint], DB[location])</f>
        <v>AFTER WFI GENERATOR</v>
      </c>
      <c r="I54" s="39" t="str">
        <f t="array" ref="I54">_xlfn.XLOOKUP($B54, DB[samplingPoint], DB[waterType])</f>
        <v>WFI</v>
      </c>
      <c r="J54" s="43">
        <f t="shared" si="8"/>
        <v>46056</v>
      </c>
      <c r="K54" s="26">
        <v>46059.0</v>
      </c>
      <c r="L54" s="32">
        <v>0.0</v>
      </c>
      <c r="M54" s="32">
        <f t="shared" si="2"/>
        <v>0</v>
      </c>
      <c r="N54" s="32" t="s">
        <v>376</v>
      </c>
      <c r="O54" s="32">
        <v>10.0</v>
      </c>
      <c r="P54" s="50" t="str">
        <f t="shared" si="3"/>
        <v>PASSED</v>
      </c>
      <c r="Q54" s="38" t="b">
        <v>0</v>
      </c>
      <c r="R54" s="32" t="s">
        <v>505</v>
      </c>
      <c r="S54" s="39" t="s">
        <v>386</v>
      </c>
      <c r="T54" s="32" t="s">
        <v>381</v>
      </c>
    </row>
    <row r="55" ht="22.5" customHeight="1">
      <c r="A55" s="26">
        <v>46055.0</v>
      </c>
      <c r="B55" s="39" t="s">
        <v>383</v>
      </c>
      <c r="C55" s="32" t="str">
        <f t="array" ref="C55">_xlfn.XLOOKUP(B55, DB[samplingPoint], DB[samplingTag])</f>
        <v>SV213.01</v>
      </c>
      <c r="D55" s="33" t="s">
        <v>379</v>
      </c>
      <c r="E55" s="38" t="b">
        <v>1</v>
      </c>
      <c r="F55" s="39" t="str">
        <f t="array" ref="F55">_xlfn.XLOOKUP($B55, DB[samplingPoint], DB[noLocation])</f>
        <v>16-2-010</v>
      </c>
      <c r="G55" s="59" t="str">
        <f t="array" ref="G55">_xlfn.XLOOKUP($B55, DB[samplingPoint], DB[building])</f>
        <v>Building 16</v>
      </c>
      <c r="H55" s="40" t="str">
        <f t="array" ref="H55">_xlfn.XLOOKUP($B55, DB[samplingPoint], DB[location])</f>
        <v>AFTER STORAGE TANK</v>
      </c>
      <c r="I55" s="39" t="str">
        <f t="array" ref="I55">_xlfn.XLOOKUP($B55, DB[samplingPoint], DB[waterType])</f>
        <v>WFI</v>
      </c>
      <c r="J55" s="43">
        <f t="shared" si="8"/>
        <v>46056</v>
      </c>
      <c r="K55" s="26">
        <v>46059.0</v>
      </c>
      <c r="L55" s="32">
        <v>0.0</v>
      </c>
      <c r="M55" s="32">
        <f t="shared" si="2"/>
        <v>0</v>
      </c>
      <c r="N55" s="32" t="s">
        <v>376</v>
      </c>
      <c r="O55" s="32">
        <v>10.0</v>
      </c>
      <c r="P55" s="50" t="str">
        <f t="shared" si="3"/>
        <v>PASSED</v>
      </c>
      <c r="Q55" s="38" t="b">
        <v>0</v>
      </c>
      <c r="R55" s="32" t="s">
        <v>505</v>
      </c>
      <c r="S55" s="39" t="s">
        <v>386</v>
      </c>
      <c r="T55" s="32" t="s">
        <v>381</v>
      </c>
    </row>
    <row r="56" ht="22.5" customHeight="1">
      <c r="A56" s="26">
        <v>46055.0</v>
      </c>
      <c r="B56" s="39" t="s">
        <v>388</v>
      </c>
      <c r="C56" s="32" t="str">
        <f t="array" ref="C56">_xlfn.XLOOKUP(B56, DB[samplingPoint], DB[samplingTag])</f>
        <v>SV217.01</v>
      </c>
      <c r="D56" s="33" t="s">
        <v>379</v>
      </c>
      <c r="E56" s="38" t="b">
        <v>1</v>
      </c>
      <c r="F56" s="39" t="str">
        <f t="array" ref="F56">_xlfn.XLOOKUP($B56, DB[samplingPoint], DB[noLocation])</f>
        <v>16-2-010</v>
      </c>
      <c r="G56" s="59" t="str">
        <f t="array" ref="G56">_xlfn.XLOOKUP($B56, DB[samplingPoint], DB[building])</f>
        <v>Building 16</v>
      </c>
      <c r="H56" s="40" t="str">
        <f t="array" ref="H56">_xlfn.XLOOKUP($B56, DB[samplingPoint], DB[location])</f>
        <v>RETURN LOOP</v>
      </c>
      <c r="I56" s="39" t="str">
        <f t="array" ref="I56">_xlfn.XLOOKUP($B56, DB[samplingPoint], DB[waterType])</f>
        <v>WFI</v>
      </c>
      <c r="J56" s="43">
        <f t="shared" si="8"/>
        <v>46056</v>
      </c>
      <c r="K56" s="26">
        <v>46059.0</v>
      </c>
      <c r="L56" s="32">
        <v>0.0</v>
      </c>
      <c r="M56" s="32">
        <f t="shared" si="2"/>
        <v>0</v>
      </c>
      <c r="N56" s="32" t="s">
        <v>376</v>
      </c>
      <c r="O56" s="32">
        <v>10.0</v>
      </c>
      <c r="P56" s="50" t="str">
        <f t="shared" si="3"/>
        <v>PASSED</v>
      </c>
      <c r="Q56" s="38" t="b">
        <v>0</v>
      </c>
      <c r="R56" s="32" t="s">
        <v>505</v>
      </c>
      <c r="S56" s="39" t="s">
        <v>386</v>
      </c>
      <c r="T56" s="32" t="s">
        <v>381</v>
      </c>
    </row>
    <row r="57" ht="22.5" customHeight="1">
      <c r="A57" s="26">
        <v>46055.0</v>
      </c>
      <c r="B57" s="39" t="s">
        <v>416</v>
      </c>
      <c r="C57" s="32" t="str">
        <f t="array" ref="C57">_xlfn.XLOOKUP(B57, DB[samplingPoint], DB[samplingTag])</f>
        <v>SV216.02</v>
      </c>
      <c r="D57" s="33" t="s">
        <v>379</v>
      </c>
      <c r="E57" s="38" t="b">
        <v>1</v>
      </c>
      <c r="F57" s="39" t="str">
        <f t="array" ref="F57">_xlfn.XLOOKUP($B57, DB[samplingPoint], DB[noLocation])</f>
        <v>16-1-098</v>
      </c>
      <c r="G57" s="59" t="str">
        <f t="array" ref="G57">_xlfn.XLOOKUP($B57, DB[samplingPoint], DB[building])</f>
        <v>Building 16</v>
      </c>
      <c r="H57" s="40" t="str">
        <f t="array" ref="H57">_xlfn.XLOOKUP($B57, DB[samplingPoint], DB[location])</f>
        <v>CIP/SIP</v>
      </c>
      <c r="I57" s="39" t="str">
        <f t="array" ref="I57">_xlfn.XLOOKUP($B57, DB[samplingPoint], DB[waterType])</f>
        <v>WFI</v>
      </c>
      <c r="J57" s="43">
        <f t="shared" si="8"/>
        <v>46056</v>
      </c>
      <c r="K57" s="26">
        <v>46059.0</v>
      </c>
      <c r="L57" s="32">
        <v>0.0</v>
      </c>
      <c r="M57" s="32">
        <f t="shared" si="2"/>
        <v>0</v>
      </c>
      <c r="N57" s="32" t="s">
        <v>376</v>
      </c>
      <c r="O57" s="32">
        <v>10.0</v>
      </c>
      <c r="P57" s="50" t="str">
        <f t="shared" si="3"/>
        <v>PASSED</v>
      </c>
      <c r="Q57" s="38" t="b">
        <v>0</v>
      </c>
      <c r="R57" s="32" t="s">
        <v>505</v>
      </c>
      <c r="S57" s="39" t="s">
        <v>386</v>
      </c>
      <c r="T57" s="32" t="s">
        <v>381</v>
      </c>
    </row>
    <row r="58" ht="22.5" customHeight="1">
      <c r="A58" s="26">
        <v>46055.0</v>
      </c>
      <c r="B58" s="39" t="s">
        <v>418</v>
      </c>
      <c r="C58" s="32" t="str">
        <f t="array" ref="C58">_xlfn.XLOOKUP(B58, DB[samplingPoint], DB[samplingTag])</f>
        <v>SV216.04</v>
      </c>
      <c r="D58" s="33" t="s">
        <v>379</v>
      </c>
      <c r="E58" s="38" t="b">
        <v>1</v>
      </c>
      <c r="F58" s="39" t="str">
        <f t="array" ref="F58">_xlfn.XLOOKUP($B58, DB[samplingPoint], DB[noLocation])</f>
        <v>16-1-098</v>
      </c>
      <c r="G58" s="59" t="str">
        <f t="array" ref="G58">_xlfn.XLOOKUP($B58, DB[samplingPoint], DB[building])</f>
        <v>Building 16</v>
      </c>
      <c r="H58" s="40" t="str">
        <f t="array" ref="H58">_xlfn.XLOOKUP($B58, DB[samplingPoint], DB[location])</f>
        <v>CIP/SIP</v>
      </c>
      <c r="I58" s="39" t="str">
        <f t="array" ref="I58">_xlfn.XLOOKUP($B58, DB[samplingPoint], DB[waterType])</f>
        <v>WFI</v>
      </c>
      <c r="J58" s="43">
        <f t="shared" si="8"/>
        <v>46056</v>
      </c>
      <c r="K58" s="26">
        <v>46059.0</v>
      </c>
      <c r="L58" s="32">
        <v>0.0</v>
      </c>
      <c r="M58" s="32">
        <f t="shared" si="2"/>
        <v>0</v>
      </c>
      <c r="N58" s="32" t="s">
        <v>376</v>
      </c>
      <c r="O58" s="32">
        <v>10.0</v>
      </c>
      <c r="P58" s="50" t="str">
        <f t="shared" si="3"/>
        <v>PASSED</v>
      </c>
      <c r="Q58" s="38" t="b">
        <v>0</v>
      </c>
      <c r="R58" s="32" t="s">
        <v>505</v>
      </c>
      <c r="S58" s="39" t="s">
        <v>386</v>
      </c>
      <c r="T58" s="32" t="s">
        <v>381</v>
      </c>
    </row>
    <row r="59" ht="22.5" customHeight="1">
      <c r="A59" s="26">
        <v>46056.0</v>
      </c>
      <c r="B59" s="39" t="s">
        <v>391</v>
      </c>
      <c r="C59" s="32" t="str">
        <f t="array" ref="C59">_xlfn.XLOOKUP(B59, DB[samplingPoint], DB[samplingTag])</f>
        <v>SV216.03</v>
      </c>
      <c r="D59" s="33" t="s">
        <v>404</v>
      </c>
      <c r="E59" s="38" t="b">
        <v>1</v>
      </c>
      <c r="F59" s="39" t="str">
        <f t="array" ref="F59">_xlfn.XLOOKUP($B59, DB[samplingPoint], DB[noLocation])</f>
        <v>16-1-096</v>
      </c>
      <c r="G59" s="59" t="str">
        <f t="array" ref="G59">_xlfn.XLOOKUP($B59, DB[samplingPoint], DB[building])</f>
        <v>Building 16</v>
      </c>
      <c r="H59" s="40" t="str">
        <f t="array" ref="H59">_xlfn.XLOOKUP($B59, DB[samplingPoint], DB[location])</f>
        <v>WASHING/TUNNEL-02</v>
      </c>
      <c r="I59" s="39" t="str">
        <f t="array" ref="I59">_xlfn.XLOOKUP($B59, DB[samplingPoint], DB[waterType])</f>
        <v>WFI</v>
      </c>
      <c r="J59" s="43">
        <f t="shared" ref="J59:J61" si="9">$A59+2</f>
        <v>46058</v>
      </c>
      <c r="K59" s="26">
        <v>46062.0</v>
      </c>
      <c r="L59" s="32">
        <v>0.0</v>
      </c>
      <c r="M59" s="32">
        <f t="shared" si="2"/>
        <v>0</v>
      </c>
      <c r="N59" s="32" t="s">
        <v>376</v>
      </c>
      <c r="O59" s="32">
        <v>10.0</v>
      </c>
      <c r="P59" s="50" t="str">
        <f t="shared" si="3"/>
        <v>PASSED</v>
      </c>
      <c r="Q59" s="38" t="b">
        <v>0</v>
      </c>
      <c r="R59" s="32" t="s">
        <v>509</v>
      </c>
      <c r="S59" s="39" t="s">
        <v>386</v>
      </c>
      <c r="T59" s="32" t="s">
        <v>381</v>
      </c>
    </row>
    <row r="60" ht="22.5" customHeight="1">
      <c r="A60" s="26">
        <v>46056.0</v>
      </c>
      <c r="B60" s="39" t="s">
        <v>395</v>
      </c>
      <c r="C60" s="32" t="str">
        <f t="array" ref="C60">_xlfn.XLOOKUP(B60, DB[samplingPoint], DB[samplingTag])</f>
        <v>POU HE216.03</v>
      </c>
      <c r="D60" s="33" t="s">
        <v>404</v>
      </c>
      <c r="E60" s="38" t="b">
        <v>1</v>
      </c>
      <c r="F60" s="39" t="str">
        <f t="array" ref="F60">_xlfn.XLOOKUP($B60, DB[samplingPoint], DB[noLocation])</f>
        <v>16-1-082</v>
      </c>
      <c r="G60" s="59" t="str">
        <f t="array" ref="G60">_xlfn.XLOOKUP($B60, DB[samplingPoint], DB[building])</f>
        <v>Building 16</v>
      </c>
      <c r="H60" s="40" t="str">
        <f t="array" ref="H60">_xlfn.XLOOKUP($B60, DB[samplingPoint], DB[location])</f>
        <v>WASHING</v>
      </c>
      <c r="I60" s="39" t="str">
        <f t="array" ref="I60">_xlfn.XLOOKUP($B60, DB[samplingPoint], DB[waterType])</f>
        <v>WFI</v>
      </c>
      <c r="J60" s="43">
        <f t="shared" si="9"/>
        <v>46058</v>
      </c>
      <c r="K60" s="26">
        <v>46062.0</v>
      </c>
      <c r="L60" s="32">
        <v>0.0</v>
      </c>
      <c r="M60" s="32">
        <f t="shared" si="2"/>
        <v>0</v>
      </c>
      <c r="N60" s="32" t="s">
        <v>376</v>
      </c>
      <c r="O60" s="32">
        <v>10.0</v>
      </c>
      <c r="P60" s="50" t="str">
        <f t="shared" si="3"/>
        <v>PASSED</v>
      </c>
      <c r="Q60" s="38" t="b">
        <v>0</v>
      </c>
      <c r="R60" s="32" t="s">
        <v>509</v>
      </c>
      <c r="S60" s="39" t="s">
        <v>386</v>
      </c>
      <c r="T60" s="32" t="s">
        <v>381</v>
      </c>
    </row>
    <row r="61" ht="22.5" customHeight="1">
      <c r="A61" s="26">
        <v>46056.0</v>
      </c>
      <c r="B61" s="39" t="s">
        <v>397</v>
      </c>
      <c r="C61" s="32" t="str">
        <f t="array" ref="C61">_xlfn.XLOOKUP(B61, DB[samplingPoint], DB[samplingTag])</f>
        <v>SV216.06</v>
      </c>
      <c r="D61" s="33" t="s">
        <v>404</v>
      </c>
      <c r="E61" s="38" t="b">
        <v>1</v>
      </c>
      <c r="F61" s="39" t="str">
        <f t="array" ref="F61">_xlfn.XLOOKUP($B61, DB[samplingPoint], DB[noLocation])</f>
        <v>16-1-082</v>
      </c>
      <c r="G61" s="59" t="str">
        <f t="array" ref="G61">_xlfn.XLOOKUP($B61, DB[samplingPoint], DB[building])</f>
        <v>Building 16</v>
      </c>
      <c r="H61" s="40" t="str">
        <f t="array" ref="H61">_xlfn.XLOOKUP($B61, DB[samplingPoint], DB[location])</f>
        <v>WASHING</v>
      </c>
      <c r="I61" s="39" t="str">
        <f t="array" ref="I61">_xlfn.XLOOKUP($B61, DB[samplingPoint], DB[waterType])</f>
        <v>WFI</v>
      </c>
      <c r="J61" s="43">
        <f t="shared" si="9"/>
        <v>46058</v>
      </c>
      <c r="K61" s="26">
        <v>46062.0</v>
      </c>
      <c r="L61" s="32">
        <v>0.0</v>
      </c>
      <c r="M61" s="32">
        <f t="shared" si="2"/>
        <v>0</v>
      </c>
      <c r="N61" s="32" t="s">
        <v>376</v>
      </c>
      <c r="O61" s="32">
        <v>10.0</v>
      </c>
      <c r="P61" s="50" t="str">
        <f t="shared" si="3"/>
        <v>PASSED</v>
      </c>
      <c r="Q61" s="38" t="b">
        <v>0</v>
      </c>
      <c r="R61" s="32" t="s">
        <v>509</v>
      </c>
      <c r="S61" s="39" t="s">
        <v>386</v>
      </c>
      <c r="T61" s="32" t="s">
        <v>381</v>
      </c>
    </row>
    <row r="62" ht="22.5" customHeight="1">
      <c r="A62" s="26">
        <v>46057.0</v>
      </c>
      <c r="B62" s="39" t="s">
        <v>365</v>
      </c>
      <c r="C62" s="32" t="str">
        <f t="array" ref="C62">_xlfn.XLOOKUP(B62, DB[samplingPoint], DB[samplingTag])</f>
        <v>SV216.10</v>
      </c>
      <c r="D62" s="33" t="s">
        <v>412</v>
      </c>
      <c r="E62" s="38" t="b">
        <v>1</v>
      </c>
      <c r="F62" s="39" t="str">
        <f t="array" ref="F62">_xlfn.XLOOKUP($B62, DB[samplingPoint], DB[noLocation])</f>
        <v>16-1-105</v>
      </c>
      <c r="G62" s="59" t="str">
        <f t="array" ref="G62">_xlfn.XLOOKUP($B62, DB[samplingPoint], DB[building])</f>
        <v>Building 16</v>
      </c>
      <c r="H62" s="40" t="str">
        <f t="array" ref="H62">_xlfn.XLOOKUP($B62, DB[samplingPoint], DB[location])</f>
        <v>WASHING/TUNNEL-01</v>
      </c>
      <c r="I62" s="39" t="str">
        <f t="array" ref="I62">_xlfn.XLOOKUP($B62, DB[samplingPoint], DB[waterType])</f>
        <v>WFI</v>
      </c>
      <c r="J62" s="43">
        <f t="shared" ref="J62:J64" si="10">$A62+1</f>
        <v>46058</v>
      </c>
      <c r="K62" s="26">
        <v>46062.0</v>
      </c>
      <c r="L62" s="32">
        <v>0.0</v>
      </c>
      <c r="M62" s="32">
        <f t="shared" si="2"/>
        <v>0</v>
      </c>
      <c r="N62" s="32" t="s">
        <v>376</v>
      </c>
      <c r="O62" s="32">
        <v>10.0</v>
      </c>
      <c r="P62" s="50" t="str">
        <f t="shared" si="3"/>
        <v>PASSED</v>
      </c>
      <c r="Q62" s="38" t="b">
        <v>0</v>
      </c>
      <c r="R62" s="32" t="s">
        <v>515</v>
      </c>
      <c r="S62" s="39" t="s">
        <v>386</v>
      </c>
      <c r="T62" s="32" t="s">
        <v>381</v>
      </c>
    </row>
    <row r="63" ht="22.5" customHeight="1">
      <c r="A63" s="26">
        <v>46057.0</v>
      </c>
      <c r="B63" s="39" t="s">
        <v>367</v>
      </c>
      <c r="C63" s="32" t="str">
        <f t="array" ref="C63">_xlfn.XLOOKUP(B63, DB[samplingPoint], DB[samplingTag])</f>
        <v>POU HE216.04</v>
      </c>
      <c r="D63" s="33" t="s">
        <v>412</v>
      </c>
      <c r="E63" s="38" t="b">
        <v>1</v>
      </c>
      <c r="F63" s="39" t="str">
        <f t="array" ref="F63">_xlfn.XLOOKUP($B63, DB[samplingPoint], DB[noLocation])</f>
        <v>16-1-114</v>
      </c>
      <c r="G63" s="59" t="str">
        <f t="array" ref="G63">_xlfn.XLOOKUP($B63, DB[samplingPoint], DB[building])</f>
        <v>Building 16</v>
      </c>
      <c r="H63" s="40" t="str">
        <f t="array" ref="H63">_xlfn.XLOOKUP($B63, DB[samplingPoint], DB[location])</f>
        <v>COMPOUNDING-02</v>
      </c>
      <c r="I63" s="39" t="str">
        <f t="array" ref="I63">_xlfn.XLOOKUP($B63, DB[samplingPoint], DB[waterType])</f>
        <v>WFI</v>
      </c>
      <c r="J63" s="43">
        <f t="shared" si="10"/>
        <v>46058</v>
      </c>
      <c r="K63" s="26">
        <v>46062.0</v>
      </c>
      <c r="L63" s="32">
        <v>0.0</v>
      </c>
      <c r="M63" s="32">
        <f t="shared" si="2"/>
        <v>0</v>
      </c>
      <c r="N63" s="32" t="s">
        <v>376</v>
      </c>
      <c r="O63" s="32">
        <v>10.0</v>
      </c>
      <c r="P63" s="50" t="str">
        <f t="shared" si="3"/>
        <v>PASSED</v>
      </c>
      <c r="Q63" s="38" t="b">
        <v>0</v>
      </c>
      <c r="R63" s="32" t="s">
        <v>515</v>
      </c>
      <c r="S63" s="39" t="s">
        <v>386</v>
      </c>
      <c r="T63" s="32" t="s">
        <v>381</v>
      </c>
    </row>
    <row r="64" ht="22.5" customHeight="1">
      <c r="A64" s="26">
        <v>46057.0</v>
      </c>
      <c r="B64" s="39" t="s">
        <v>372</v>
      </c>
      <c r="C64" s="32" t="str">
        <f t="array" ref="C64">_xlfn.XLOOKUP(B64, DB[samplingPoint], DB[samplingTag])</f>
        <v>POU HE216.05</v>
      </c>
      <c r="D64" s="33" t="s">
        <v>412</v>
      </c>
      <c r="E64" s="38" t="b">
        <v>1</v>
      </c>
      <c r="F64" s="39" t="str">
        <f t="array" ref="F64">_xlfn.XLOOKUP($B64, DB[samplingPoint], DB[noLocation])</f>
        <v>16-1-114</v>
      </c>
      <c r="G64" s="59" t="str">
        <f t="array" ref="G64">_xlfn.XLOOKUP($B64, DB[samplingPoint], DB[building])</f>
        <v>Building 16</v>
      </c>
      <c r="H64" s="40" t="str">
        <f t="array" ref="H64">_xlfn.XLOOKUP($B64, DB[samplingPoint], DB[location])</f>
        <v>COMPOUNDING-02</v>
      </c>
      <c r="I64" s="39" t="str">
        <f t="array" ref="I64">_xlfn.XLOOKUP($B64, DB[samplingPoint], DB[waterType])</f>
        <v>WFI</v>
      </c>
      <c r="J64" s="43">
        <f t="shared" si="10"/>
        <v>46058</v>
      </c>
      <c r="K64" s="26">
        <v>46062.0</v>
      </c>
      <c r="L64" s="32">
        <v>9.0</v>
      </c>
      <c r="M64" s="98">
        <f t="shared" si="2"/>
        <v>9</v>
      </c>
      <c r="N64" s="32" t="s">
        <v>376</v>
      </c>
      <c r="O64" s="32">
        <v>10.0</v>
      </c>
      <c r="P64" s="50" t="str">
        <f t="shared" si="3"/>
        <v>PASSED</v>
      </c>
      <c r="Q64" s="38" t="b">
        <v>0</v>
      </c>
      <c r="R64" s="32" t="s">
        <v>515</v>
      </c>
      <c r="S64" s="39" t="s">
        <v>386</v>
      </c>
      <c r="T64" s="32" t="s">
        <v>381</v>
      </c>
    </row>
    <row r="65" ht="22.5" customHeight="1">
      <c r="A65" s="26">
        <v>46058.0</v>
      </c>
      <c r="B65" s="39" t="s">
        <v>403</v>
      </c>
      <c r="C65" s="32" t="str">
        <f t="array" ref="C65">_xlfn.XLOOKUP(B65, DB[samplingPoint], DB[samplingTag])</f>
        <v>POU HE216.01</v>
      </c>
      <c r="D65" s="33" t="s">
        <v>292</v>
      </c>
      <c r="E65" s="38" t="b">
        <v>1</v>
      </c>
      <c r="F65" s="39" t="str">
        <f t="array" ref="F65">_xlfn.XLOOKUP($B65, DB[samplingPoint], DB[noLocation])</f>
        <v>16-1-107</v>
      </c>
      <c r="G65" s="59" t="str">
        <f t="array" ref="G65">_xlfn.XLOOKUP($B65, DB[samplingPoint], DB[building])</f>
        <v>Building 16</v>
      </c>
      <c r="H65" s="40" t="str">
        <f t="array" ref="H65">_xlfn.XLOOKUP($B65, DB[samplingPoint], DB[location])</f>
        <v>COMPOUNDING-01</v>
      </c>
      <c r="I65" s="39" t="str">
        <f t="array" ref="I65">_xlfn.XLOOKUP($B65, DB[samplingPoint], DB[waterType])</f>
        <v>WFI</v>
      </c>
      <c r="J65" s="43">
        <f t="shared" ref="J65:J66" si="11">$A65+2</f>
        <v>46060</v>
      </c>
      <c r="K65" s="26">
        <v>46063.0</v>
      </c>
      <c r="L65" s="32">
        <v>0.0</v>
      </c>
      <c r="M65" s="32">
        <f t="shared" si="2"/>
        <v>0</v>
      </c>
      <c r="N65" s="32" t="s">
        <v>376</v>
      </c>
      <c r="O65" s="32">
        <v>10.0</v>
      </c>
      <c r="P65" s="50" t="str">
        <f t="shared" si="3"/>
        <v>PASSED</v>
      </c>
      <c r="Q65" s="38" t="b">
        <v>0</v>
      </c>
      <c r="R65" s="32" t="s">
        <v>519</v>
      </c>
      <c r="S65" s="39" t="s">
        <v>386</v>
      </c>
      <c r="T65" s="32" t="s">
        <v>381</v>
      </c>
    </row>
    <row r="66" ht="22.5" customHeight="1">
      <c r="A66" s="26">
        <v>46058.0</v>
      </c>
      <c r="B66" s="39" t="s">
        <v>407</v>
      </c>
      <c r="C66" s="32" t="str">
        <f t="array" ref="C66">_xlfn.XLOOKUP(B66, DB[samplingPoint], DB[samplingTag])</f>
        <v>POU HE216.02</v>
      </c>
      <c r="D66" s="33" t="s">
        <v>292</v>
      </c>
      <c r="E66" s="38" t="b">
        <v>1</v>
      </c>
      <c r="F66" s="39" t="str">
        <f t="array" ref="F66">_xlfn.XLOOKUP($B66, DB[samplingPoint], DB[noLocation])</f>
        <v>16-1-107</v>
      </c>
      <c r="G66" s="59" t="str">
        <f t="array" ref="G66">_xlfn.XLOOKUP($B66, DB[samplingPoint], DB[building])</f>
        <v>Building 16</v>
      </c>
      <c r="H66" s="40" t="str">
        <f t="array" ref="H66">_xlfn.XLOOKUP($B66, DB[samplingPoint], DB[location])</f>
        <v>COMPOUNDING-01</v>
      </c>
      <c r="I66" s="39" t="str">
        <f t="array" ref="I66">_xlfn.XLOOKUP($B66, DB[samplingPoint], DB[waterType])</f>
        <v>WFI</v>
      </c>
      <c r="J66" s="43">
        <f t="shared" si="11"/>
        <v>46060</v>
      </c>
      <c r="K66" s="26">
        <v>46063.0</v>
      </c>
      <c r="L66" s="32">
        <v>0.0</v>
      </c>
      <c r="M66" s="32">
        <f t="shared" si="2"/>
        <v>0</v>
      </c>
      <c r="N66" s="32" t="s">
        <v>376</v>
      </c>
      <c r="O66" s="32">
        <v>10.0</v>
      </c>
      <c r="P66" s="50" t="str">
        <f t="shared" si="3"/>
        <v>PASSED</v>
      </c>
      <c r="Q66" s="38" t="b">
        <v>0</v>
      </c>
      <c r="R66" s="32" t="s">
        <v>519</v>
      </c>
      <c r="S66" s="39" t="s">
        <v>386</v>
      </c>
      <c r="T66" s="32" t="s">
        <v>381</v>
      </c>
    </row>
    <row r="67" ht="22.5" customHeight="1">
      <c r="A67" s="26">
        <v>46059.0</v>
      </c>
      <c r="B67" s="39" t="s">
        <v>225</v>
      </c>
      <c r="C67" s="32" t="str">
        <f t="array" ref="C67">_xlfn.XLOOKUP(B67, DB[samplingPoint], DB[samplingTag])</f>
        <v>SV216.05</v>
      </c>
      <c r="D67" s="33" t="s">
        <v>369</v>
      </c>
      <c r="E67" s="38" t="b">
        <v>1</v>
      </c>
      <c r="F67" s="39" t="str">
        <f t="array" ref="F67">_xlfn.XLOOKUP($B67, DB[samplingPoint], DB[noLocation])</f>
        <v>16-1-110</v>
      </c>
      <c r="G67" s="59" t="str">
        <f t="array" ref="G67">_xlfn.XLOOKUP($B67, DB[samplingPoint], DB[building])</f>
        <v>Building 16</v>
      </c>
      <c r="H67" s="40" t="str">
        <f t="array" ref="H67">_xlfn.XLOOKUP($B67, DB[samplingPoint], DB[location])</f>
        <v>DISINFECTANT PREPARATION</v>
      </c>
      <c r="I67" s="39" t="str">
        <f t="array" ref="I67">_xlfn.XLOOKUP($B67, DB[samplingPoint], DB[waterType])</f>
        <v>WFI</v>
      </c>
      <c r="J67" s="43">
        <f t="shared" ref="J67:J71" si="12">$A67+1</f>
        <v>46060</v>
      </c>
      <c r="K67" s="26">
        <v>46063.0</v>
      </c>
      <c r="L67" s="32">
        <v>0.0</v>
      </c>
      <c r="M67" s="32">
        <f t="shared" si="2"/>
        <v>0</v>
      </c>
      <c r="N67" s="32" t="s">
        <v>376</v>
      </c>
      <c r="O67" s="32">
        <v>10.0</v>
      </c>
      <c r="P67" s="50" t="str">
        <f t="shared" si="3"/>
        <v>PASSED</v>
      </c>
      <c r="Q67" s="38" t="b">
        <v>0</v>
      </c>
      <c r="R67" s="32" t="s">
        <v>523</v>
      </c>
      <c r="S67" s="39" t="s">
        <v>386</v>
      </c>
      <c r="T67" s="32" t="s">
        <v>381</v>
      </c>
    </row>
    <row r="68" ht="22.5" customHeight="1">
      <c r="A68" s="26">
        <v>46062.0</v>
      </c>
      <c r="B68" s="39" t="s">
        <v>377</v>
      </c>
      <c r="C68" s="32" t="str">
        <f t="array" ref="C68">_xlfn.XLOOKUP(B68, DB[samplingPoint], DB[samplingTag])</f>
        <v>V12-4</v>
      </c>
      <c r="D68" s="33" t="s">
        <v>379</v>
      </c>
      <c r="E68" s="38" t="b">
        <v>1</v>
      </c>
      <c r="F68" s="39" t="str">
        <f t="array" ref="F68">_xlfn.XLOOKUP($B68, DB[samplingPoint], DB[noLocation])</f>
        <v>16-2-010</v>
      </c>
      <c r="G68" s="59" t="str">
        <f t="array" ref="G68">_xlfn.XLOOKUP($B68, DB[samplingPoint], DB[building])</f>
        <v>Building 16</v>
      </c>
      <c r="H68" s="40" t="str">
        <f t="array" ref="H68">_xlfn.XLOOKUP($B68, DB[samplingPoint], DB[location])</f>
        <v>AFTER WFI GENERATOR</v>
      </c>
      <c r="I68" s="39" t="str">
        <f t="array" ref="I68">_xlfn.XLOOKUP($B68, DB[samplingPoint], DB[waterType])</f>
        <v>WFI</v>
      </c>
      <c r="J68" s="43">
        <f t="shared" si="12"/>
        <v>46063</v>
      </c>
      <c r="K68" s="26">
        <v>46066.0</v>
      </c>
      <c r="L68" s="32">
        <v>0.0</v>
      </c>
      <c r="M68" s="32">
        <f t="shared" si="2"/>
        <v>0</v>
      </c>
      <c r="N68" s="32" t="s">
        <v>376</v>
      </c>
      <c r="O68" s="32">
        <v>10.0</v>
      </c>
      <c r="P68" s="50" t="str">
        <f t="shared" si="3"/>
        <v>PASSED</v>
      </c>
      <c r="Q68" s="38" t="b">
        <v>0</v>
      </c>
      <c r="R68" s="32" t="s">
        <v>525</v>
      </c>
      <c r="S68" s="39" t="s">
        <v>386</v>
      </c>
      <c r="T68" s="32" t="s">
        <v>381</v>
      </c>
    </row>
    <row r="69" ht="22.5" customHeight="1">
      <c r="A69" s="26">
        <v>46062.0</v>
      </c>
      <c r="B69" s="39" t="s">
        <v>383</v>
      </c>
      <c r="C69" s="32" t="str">
        <f t="array" ref="C69">_xlfn.XLOOKUP(B69, DB[samplingPoint], DB[samplingTag])</f>
        <v>SV213.01</v>
      </c>
      <c r="D69" s="33" t="s">
        <v>379</v>
      </c>
      <c r="E69" s="38" t="b">
        <v>1</v>
      </c>
      <c r="F69" s="39" t="str">
        <f t="array" ref="F69">_xlfn.XLOOKUP($B69, DB[samplingPoint], DB[noLocation])</f>
        <v>16-2-010</v>
      </c>
      <c r="G69" s="59" t="str">
        <f t="array" ref="G69">_xlfn.XLOOKUP($B69, DB[samplingPoint], DB[building])</f>
        <v>Building 16</v>
      </c>
      <c r="H69" s="40" t="str">
        <f t="array" ref="H69">_xlfn.XLOOKUP($B69, DB[samplingPoint], DB[location])</f>
        <v>AFTER STORAGE TANK</v>
      </c>
      <c r="I69" s="39" t="str">
        <f t="array" ref="I69">_xlfn.XLOOKUP($B69, DB[samplingPoint], DB[waterType])</f>
        <v>WFI</v>
      </c>
      <c r="J69" s="43">
        <f t="shared" si="12"/>
        <v>46063</v>
      </c>
      <c r="K69" s="26">
        <v>46066.0</v>
      </c>
      <c r="L69" s="32">
        <v>0.0</v>
      </c>
      <c r="M69" s="32">
        <f t="shared" si="2"/>
        <v>0</v>
      </c>
      <c r="N69" s="32" t="s">
        <v>376</v>
      </c>
      <c r="O69" s="32">
        <v>10.0</v>
      </c>
      <c r="P69" s="50" t="str">
        <f t="shared" si="3"/>
        <v>PASSED</v>
      </c>
      <c r="Q69" s="38" t="b">
        <v>0</v>
      </c>
      <c r="R69" s="32" t="s">
        <v>525</v>
      </c>
      <c r="S69" s="39" t="s">
        <v>386</v>
      </c>
      <c r="T69" s="32" t="s">
        <v>381</v>
      </c>
    </row>
    <row r="70" ht="22.5" customHeight="1">
      <c r="A70" s="26">
        <v>46062.0</v>
      </c>
      <c r="B70" s="39" t="s">
        <v>388</v>
      </c>
      <c r="C70" s="32" t="str">
        <f t="array" ref="C70">_xlfn.XLOOKUP(B70, DB[samplingPoint], DB[samplingTag])</f>
        <v>SV217.01</v>
      </c>
      <c r="D70" s="33" t="s">
        <v>379</v>
      </c>
      <c r="E70" s="38" t="b">
        <v>1</v>
      </c>
      <c r="F70" s="39" t="str">
        <f t="array" ref="F70">_xlfn.XLOOKUP($B70, DB[samplingPoint], DB[noLocation])</f>
        <v>16-2-010</v>
      </c>
      <c r="G70" s="59" t="str">
        <f t="array" ref="G70">_xlfn.XLOOKUP($B70, DB[samplingPoint], DB[building])</f>
        <v>Building 16</v>
      </c>
      <c r="H70" s="40" t="str">
        <f t="array" ref="H70">_xlfn.XLOOKUP($B70, DB[samplingPoint], DB[location])</f>
        <v>RETURN LOOP</v>
      </c>
      <c r="I70" s="39" t="str">
        <f t="array" ref="I70">_xlfn.XLOOKUP($B70, DB[samplingPoint], DB[waterType])</f>
        <v>WFI</v>
      </c>
      <c r="J70" s="43">
        <f t="shared" si="12"/>
        <v>46063</v>
      </c>
      <c r="K70" s="26">
        <v>46066.0</v>
      </c>
      <c r="L70" s="32">
        <v>0.0</v>
      </c>
      <c r="M70" s="32">
        <f t="shared" si="2"/>
        <v>0</v>
      </c>
      <c r="N70" s="32" t="s">
        <v>376</v>
      </c>
      <c r="O70" s="32">
        <v>10.0</v>
      </c>
      <c r="P70" s="50" t="str">
        <f t="shared" si="3"/>
        <v>PASSED</v>
      </c>
      <c r="Q70" s="38" t="b">
        <v>0</v>
      </c>
      <c r="R70" s="32" t="s">
        <v>525</v>
      </c>
      <c r="S70" s="39" t="s">
        <v>386</v>
      </c>
      <c r="T70" s="32" t="s">
        <v>381</v>
      </c>
    </row>
    <row r="71" ht="22.5" customHeight="1">
      <c r="A71" s="26">
        <v>46062.0</v>
      </c>
      <c r="B71" s="39" t="s">
        <v>418</v>
      </c>
      <c r="C71" s="32" t="str">
        <f t="array" ref="C71">_xlfn.XLOOKUP(B71, DB[samplingPoint], DB[samplingTag])</f>
        <v>SV216.04</v>
      </c>
      <c r="D71" s="33" t="s">
        <v>379</v>
      </c>
      <c r="E71" s="38" t="b">
        <v>1</v>
      </c>
      <c r="F71" s="39" t="str">
        <f t="array" ref="F71">_xlfn.XLOOKUP($B71, DB[samplingPoint], DB[noLocation])</f>
        <v>16-1-098</v>
      </c>
      <c r="G71" s="59" t="str">
        <f t="array" ref="G71">_xlfn.XLOOKUP($B71, DB[samplingPoint], DB[building])</f>
        <v>Building 16</v>
      </c>
      <c r="H71" s="40" t="str">
        <f t="array" ref="H71">_xlfn.XLOOKUP($B71, DB[samplingPoint], DB[location])</f>
        <v>CIP/SIP</v>
      </c>
      <c r="I71" s="39" t="str">
        <f t="array" ref="I71">_xlfn.XLOOKUP($B71, DB[samplingPoint], DB[waterType])</f>
        <v>WFI</v>
      </c>
      <c r="J71" s="43">
        <f t="shared" si="12"/>
        <v>46063</v>
      </c>
      <c r="K71" s="26">
        <v>46066.0</v>
      </c>
      <c r="L71" s="32">
        <v>0.0</v>
      </c>
      <c r="M71" s="32">
        <f t="shared" si="2"/>
        <v>0</v>
      </c>
      <c r="N71" s="32" t="s">
        <v>376</v>
      </c>
      <c r="O71" s="32">
        <v>10.0</v>
      </c>
      <c r="P71" s="50" t="str">
        <f t="shared" si="3"/>
        <v>PASSED</v>
      </c>
      <c r="Q71" s="38" t="b">
        <v>0</v>
      </c>
      <c r="R71" s="32" t="s">
        <v>525</v>
      </c>
      <c r="S71" s="39" t="s">
        <v>386</v>
      </c>
      <c r="T71" s="32" t="s">
        <v>381</v>
      </c>
    </row>
    <row r="72" ht="22.5" customHeight="1">
      <c r="A72" s="26">
        <v>46063.0</v>
      </c>
      <c r="B72" s="39" t="s">
        <v>391</v>
      </c>
      <c r="C72" s="32" t="str">
        <f t="array" ref="C72">_xlfn.XLOOKUP(B72, DB[samplingPoint], DB[samplingTag])</f>
        <v>SV216.03</v>
      </c>
      <c r="D72" s="33" t="s">
        <v>404</v>
      </c>
      <c r="E72" s="38" t="b">
        <v>1</v>
      </c>
      <c r="F72" s="39" t="str">
        <f t="array" ref="F72">_xlfn.XLOOKUP($B72, DB[samplingPoint], DB[noLocation])</f>
        <v>16-1-096</v>
      </c>
      <c r="G72" s="59" t="str">
        <f t="array" ref="G72">_xlfn.XLOOKUP($B72, DB[samplingPoint], DB[building])</f>
        <v>Building 16</v>
      </c>
      <c r="H72" s="40" t="str">
        <f t="array" ref="H72">_xlfn.XLOOKUP($B72, DB[samplingPoint], DB[location])</f>
        <v>WASHING/TUNNEL-02</v>
      </c>
      <c r="I72" s="39" t="str">
        <f t="array" ref="I72">_xlfn.XLOOKUP($B72, DB[samplingPoint], DB[waterType])</f>
        <v>WFI</v>
      </c>
      <c r="J72" s="43">
        <f t="shared" ref="J72:J74" si="13">$A72+2</f>
        <v>46065</v>
      </c>
      <c r="K72" s="26">
        <v>46069.0</v>
      </c>
      <c r="L72" s="32">
        <v>0.0</v>
      </c>
      <c r="M72" s="32">
        <f t="shared" si="2"/>
        <v>0</v>
      </c>
      <c r="N72" s="32" t="s">
        <v>376</v>
      </c>
      <c r="O72" s="32">
        <v>10.0</v>
      </c>
      <c r="P72" s="50" t="str">
        <f t="shared" si="3"/>
        <v>PASSED</v>
      </c>
      <c r="Q72" s="38" t="b">
        <v>0</v>
      </c>
      <c r="R72" s="32" t="s">
        <v>530</v>
      </c>
      <c r="S72" s="39" t="s">
        <v>386</v>
      </c>
      <c r="T72" s="32" t="s">
        <v>381</v>
      </c>
    </row>
    <row r="73" ht="22.5" customHeight="1">
      <c r="A73" s="26">
        <v>46063.0</v>
      </c>
      <c r="B73" s="39" t="s">
        <v>395</v>
      </c>
      <c r="C73" s="32" t="str">
        <f t="array" ref="C73">_xlfn.XLOOKUP(B73, DB[samplingPoint], DB[samplingTag])</f>
        <v>POU HE216.03</v>
      </c>
      <c r="D73" s="33" t="s">
        <v>404</v>
      </c>
      <c r="E73" s="38" t="b">
        <v>1</v>
      </c>
      <c r="F73" s="39" t="str">
        <f t="array" ref="F73">_xlfn.XLOOKUP($B73, DB[samplingPoint], DB[noLocation])</f>
        <v>16-1-082</v>
      </c>
      <c r="G73" s="59" t="str">
        <f t="array" ref="G73">_xlfn.XLOOKUP($B73, DB[samplingPoint], DB[building])</f>
        <v>Building 16</v>
      </c>
      <c r="H73" s="40" t="str">
        <f t="array" ref="H73">_xlfn.XLOOKUP($B73, DB[samplingPoint], DB[location])</f>
        <v>WASHING</v>
      </c>
      <c r="I73" s="39" t="str">
        <f t="array" ref="I73">_xlfn.XLOOKUP($B73, DB[samplingPoint], DB[waterType])</f>
        <v>WFI</v>
      </c>
      <c r="J73" s="43">
        <f t="shared" si="13"/>
        <v>46065</v>
      </c>
      <c r="K73" s="26">
        <v>46069.0</v>
      </c>
      <c r="L73" s="32">
        <v>0.0</v>
      </c>
      <c r="M73" s="32">
        <f t="shared" si="2"/>
        <v>0</v>
      </c>
      <c r="N73" s="32" t="s">
        <v>376</v>
      </c>
      <c r="O73" s="32">
        <v>10.0</v>
      </c>
      <c r="P73" s="50" t="str">
        <f t="shared" si="3"/>
        <v>PASSED</v>
      </c>
      <c r="Q73" s="38" t="b">
        <v>0</v>
      </c>
      <c r="R73" s="32" t="s">
        <v>530</v>
      </c>
      <c r="S73" s="39" t="s">
        <v>386</v>
      </c>
      <c r="T73" s="32" t="s">
        <v>381</v>
      </c>
    </row>
    <row r="74" ht="22.5" customHeight="1">
      <c r="A74" s="26">
        <v>46063.0</v>
      </c>
      <c r="B74" s="39" t="s">
        <v>397</v>
      </c>
      <c r="C74" s="32" t="str">
        <f t="array" ref="C74">_xlfn.XLOOKUP(B74, DB[samplingPoint], DB[samplingTag])</f>
        <v>SV216.06</v>
      </c>
      <c r="D74" s="33" t="s">
        <v>404</v>
      </c>
      <c r="E74" s="38" t="b">
        <v>1</v>
      </c>
      <c r="F74" s="39" t="str">
        <f t="array" ref="F74">_xlfn.XLOOKUP($B74, DB[samplingPoint], DB[noLocation])</f>
        <v>16-1-082</v>
      </c>
      <c r="G74" s="59" t="str">
        <f t="array" ref="G74">_xlfn.XLOOKUP($B74, DB[samplingPoint], DB[building])</f>
        <v>Building 16</v>
      </c>
      <c r="H74" s="40" t="str">
        <f t="array" ref="H74">_xlfn.XLOOKUP($B74, DB[samplingPoint], DB[location])</f>
        <v>WASHING</v>
      </c>
      <c r="I74" s="39" t="str">
        <f t="array" ref="I74">_xlfn.XLOOKUP($B74, DB[samplingPoint], DB[waterType])</f>
        <v>WFI</v>
      </c>
      <c r="J74" s="43">
        <f t="shared" si="13"/>
        <v>46065</v>
      </c>
      <c r="K74" s="26">
        <v>46069.0</v>
      </c>
      <c r="L74" s="32">
        <v>0.0</v>
      </c>
      <c r="M74" s="32">
        <f t="shared" si="2"/>
        <v>0</v>
      </c>
      <c r="N74" s="32" t="s">
        <v>376</v>
      </c>
      <c r="O74" s="32">
        <v>10.0</v>
      </c>
      <c r="P74" s="50" t="str">
        <f t="shared" si="3"/>
        <v>PASSED</v>
      </c>
      <c r="Q74" s="38" t="b">
        <v>0</v>
      </c>
      <c r="R74" s="32" t="s">
        <v>530</v>
      </c>
      <c r="S74" s="39" t="s">
        <v>386</v>
      </c>
      <c r="T74" s="32" t="s">
        <v>381</v>
      </c>
    </row>
    <row r="75" ht="22.5" customHeight="1">
      <c r="A75" s="26">
        <v>46064.0</v>
      </c>
      <c r="B75" s="39" t="s">
        <v>416</v>
      </c>
      <c r="C75" s="32" t="str">
        <f t="array" ref="C75">_xlfn.XLOOKUP(B75, DB[samplingPoint], DB[samplingTag])</f>
        <v>SV216.02</v>
      </c>
      <c r="D75" s="33" t="s">
        <v>412</v>
      </c>
      <c r="E75" s="38" t="b">
        <v>1</v>
      </c>
      <c r="F75" s="39" t="str">
        <f t="array" ref="F75">_xlfn.XLOOKUP($B75, DB[samplingPoint], DB[noLocation])</f>
        <v>16-1-098</v>
      </c>
      <c r="G75" s="59" t="str">
        <f t="array" ref="G75">_xlfn.XLOOKUP($B75, DB[samplingPoint], DB[building])</f>
        <v>Building 16</v>
      </c>
      <c r="H75" s="40" t="str">
        <f t="array" ref="H75">_xlfn.XLOOKUP($B75, DB[samplingPoint], DB[location])</f>
        <v>CIP/SIP</v>
      </c>
      <c r="I75" s="39" t="str">
        <f t="array" ref="I75">_xlfn.XLOOKUP($B75, DB[samplingPoint], DB[waterType])</f>
        <v>WFI</v>
      </c>
      <c r="J75" s="43">
        <f t="shared" ref="J75:J77" si="14">$A75+1</f>
        <v>46065</v>
      </c>
      <c r="K75" s="26">
        <v>46069.0</v>
      </c>
      <c r="L75" s="32">
        <v>0.0</v>
      </c>
      <c r="M75" s="32">
        <f t="shared" si="2"/>
        <v>0</v>
      </c>
      <c r="N75" s="32" t="s">
        <v>376</v>
      </c>
      <c r="O75" s="32">
        <v>10.0</v>
      </c>
      <c r="P75" s="50" t="str">
        <f t="shared" si="3"/>
        <v>PASSED</v>
      </c>
      <c r="Q75" s="38" t="b">
        <v>0</v>
      </c>
      <c r="R75" s="32" t="s">
        <v>533</v>
      </c>
      <c r="S75" s="39" t="s">
        <v>386</v>
      </c>
      <c r="T75" s="32" t="s">
        <v>381</v>
      </c>
    </row>
    <row r="76" ht="22.5" customHeight="1">
      <c r="A76" s="26">
        <v>46064.0</v>
      </c>
      <c r="B76" s="39" t="s">
        <v>367</v>
      </c>
      <c r="C76" s="32" t="str">
        <f t="array" ref="C76">_xlfn.XLOOKUP(B76, DB[samplingPoint], DB[samplingTag])</f>
        <v>POU HE216.04</v>
      </c>
      <c r="D76" s="33" t="s">
        <v>412</v>
      </c>
      <c r="E76" s="38" t="b">
        <v>1</v>
      </c>
      <c r="F76" s="39" t="str">
        <f t="array" ref="F76">_xlfn.XLOOKUP($B76, DB[samplingPoint], DB[noLocation])</f>
        <v>16-1-114</v>
      </c>
      <c r="G76" s="59" t="str">
        <f t="array" ref="G76">_xlfn.XLOOKUP($B76, DB[samplingPoint], DB[building])</f>
        <v>Building 16</v>
      </c>
      <c r="H76" s="40" t="str">
        <f t="array" ref="H76">_xlfn.XLOOKUP($B76, DB[samplingPoint], DB[location])</f>
        <v>COMPOUNDING-02</v>
      </c>
      <c r="I76" s="39" t="str">
        <f t="array" ref="I76">_xlfn.XLOOKUP($B76, DB[samplingPoint], DB[waterType])</f>
        <v>WFI</v>
      </c>
      <c r="J76" s="43">
        <f t="shared" si="14"/>
        <v>46065</v>
      </c>
      <c r="K76" s="26">
        <v>46069.0</v>
      </c>
      <c r="L76" s="32">
        <v>0.0</v>
      </c>
      <c r="M76" s="32">
        <f t="shared" si="2"/>
        <v>0</v>
      </c>
      <c r="N76" s="32" t="s">
        <v>376</v>
      </c>
      <c r="O76" s="32">
        <v>10.0</v>
      </c>
      <c r="P76" s="50" t="str">
        <f t="shared" si="3"/>
        <v>PASSED</v>
      </c>
      <c r="Q76" s="38" t="b">
        <v>0</v>
      </c>
      <c r="R76" s="32" t="s">
        <v>533</v>
      </c>
      <c r="S76" s="39" t="s">
        <v>386</v>
      </c>
      <c r="T76" s="32" t="s">
        <v>381</v>
      </c>
    </row>
    <row r="77" ht="22.5" customHeight="1">
      <c r="A77" s="26">
        <v>46064.0</v>
      </c>
      <c r="B77" s="39" t="s">
        <v>372</v>
      </c>
      <c r="C77" s="32" t="str">
        <f t="array" ref="C77">_xlfn.XLOOKUP(B77, DB[samplingPoint], DB[samplingTag])</f>
        <v>POU HE216.05</v>
      </c>
      <c r="D77" s="33" t="s">
        <v>412</v>
      </c>
      <c r="E77" s="38" t="b">
        <v>1</v>
      </c>
      <c r="F77" s="39" t="str">
        <f t="array" ref="F77">_xlfn.XLOOKUP($B77, DB[samplingPoint], DB[noLocation])</f>
        <v>16-1-114</v>
      </c>
      <c r="G77" s="59" t="str">
        <f t="array" ref="G77">_xlfn.XLOOKUP($B77, DB[samplingPoint], DB[building])</f>
        <v>Building 16</v>
      </c>
      <c r="H77" s="40" t="str">
        <f t="array" ref="H77">_xlfn.XLOOKUP($B77, DB[samplingPoint], DB[location])</f>
        <v>COMPOUNDING-02</v>
      </c>
      <c r="I77" s="39" t="str">
        <f t="array" ref="I77">_xlfn.XLOOKUP($B77, DB[samplingPoint], DB[waterType])</f>
        <v>WFI</v>
      </c>
      <c r="J77" s="43">
        <f t="shared" si="14"/>
        <v>46065</v>
      </c>
      <c r="K77" s="26">
        <v>46069.0</v>
      </c>
      <c r="L77" s="32">
        <v>0.0</v>
      </c>
      <c r="M77" s="32">
        <f t="shared" si="2"/>
        <v>0</v>
      </c>
      <c r="N77" s="32" t="s">
        <v>376</v>
      </c>
      <c r="O77" s="32">
        <v>10.0</v>
      </c>
      <c r="P77" s="50" t="str">
        <f t="shared" si="3"/>
        <v>PASSED</v>
      </c>
      <c r="Q77" s="38" t="b">
        <v>0</v>
      </c>
      <c r="R77" s="32" t="s">
        <v>533</v>
      </c>
      <c r="S77" s="39" t="s">
        <v>386</v>
      </c>
      <c r="T77" s="32" t="s">
        <v>381</v>
      </c>
    </row>
    <row r="78" ht="22.5" customHeight="1">
      <c r="A78" s="26">
        <v>46065.0</v>
      </c>
      <c r="B78" s="39" t="s">
        <v>403</v>
      </c>
      <c r="C78" s="32" t="str">
        <f t="array" ref="C78">_xlfn.XLOOKUP(B78, DB[samplingPoint], DB[samplingTag])</f>
        <v>POU HE216.01</v>
      </c>
      <c r="D78" s="33" t="s">
        <v>292</v>
      </c>
      <c r="E78" s="38" t="b">
        <v>1</v>
      </c>
      <c r="F78" s="39" t="str">
        <f t="array" ref="F78">_xlfn.XLOOKUP($B78, DB[samplingPoint], DB[noLocation])</f>
        <v>16-1-107</v>
      </c>
      <c r="G78" s="59" t="str">
        <f t="array" ref="G78">_xlfn.XLOOKUP($B78, DB[samplingPoint], DB[building])</f>
        <v>Building 16</v>
      </c>
      <c r="H78" s="40" t="str">
        <f t="array" ref="H78">_xlfn.XLOOKUP($B78, DB[samplingPoint], DB[location])</f>
        <v>COMPOUNDING-01</v>
      </c>
      <c r="I78" s="39" t="str">
        <f t="array" ref="I78">_xlfn.XLOOKUP($B78, DB[samplingPoint], DB[waterType])</f>
        <v>WFI</v>
      </c>
      <c r="J78" s="43">
        <f t="shared" ref="J78:J79" si="15">$A78+2</f>
        <v>46067</v>
      </c>
      <c r="K78" s="26">
        <v>46070.0</v>
      </c>
      <c r="L78" s="32">
        <v>0.0</v>
      </c>
      <c r="M78" s="32">
        <f t="shared" si="2"/>
        <v>0</v>
      </c>
      <c r="N78" s="32" t="s">
        <v>376</v>
      </c>
      <c r="O78" s="32">
        <v>10.0</v>
      </c>
      <c r="P78" s="50" t="str">
        <f t="shared" si="3"/>
        <v>PASSED</v>
      </c>
      <c r="Q78" s="38" t="b">
        <v>0</v>
      </c>
      <c r="R78" s="32" t="s">
        <v>537</v>
      </c>
      <c r="S78" s="39" t="s">
        <v>386</v>
      </c>
      <c r="T78" s="32" t="s">
        <v>381</v>
      </c>
    </row>
    <row r="79" ht="22.5" customHeight="1">
      <c r="A79" s="26">
        <v>46065.0</v>
      </c>
      <c r="B79" s="39" t="s">
        <v>407</v>
      </c>
      <c r="C79" s="32" t="str">
        <f t="array" ref="C79">_xlfn.XLOOKUP(B79, DB[samplingPoint], DB[samplingTag])</f>
        <v>POU HE216.02</v>
      </c>
      <c r="D79" s="33" t="s">
        <v>292</v>
      </c>
      <c r="E79" s="38" t="b">
        <v>1</v>
      </c>
      <c r="F79" s="39" t="str">
        <f t="array" ref="F79">_xlfn.XLOOKUP($B79, DB[samplingPoint], DB[noLocation])</f>
        <v>16-1-107</v>
      </c>
      <c r="G79" s="59" t="str">
        <f t="array" ref="G79">_xlfn.XLOOKUP($B79, DB[samplingPoint], DB[building])</f>
        <v>Building 16</v>
      </c>
      <c r="H79" s="40" t="str">
        <f t="array" ref="H79">_xlfn.XLOOKUP($B79, DB[samplingPoint], DB[location])</f>
        <v>COMPOUNDING-01</v>
      </c>
      <c r="I79" s="39" t="str">
        <f t="array" ref="I79">_xlfn.XLOOKUP($B79, DB[samplingPoint], DB[waterType])</f>
        <v>WFI</v>
      </c>
      <c r="J79" s="43">
        <f t="shared" si="15"/>
        <v>46067</v>
      </c>
      <c r="K79" s="26">
        <v>46070.0</v>
      </c>
      <c r="L79" s="32">
        <v>0.0</v>
      </c>
      <c r="M79" s="32">
        <f t="shared" si="2"/>
        <v>0</v>
      </c>
      <c r="N79" s="32" t="s">
        <v>376</v>
      </c>
      <c r="O79" s="32">
        <v>10.0</v>
      </c>
      <c r="P79" s="50" t="str">
        <f t="shared" si="3"/>
        <v>PASSED</v>
      </c>
      <c r="Q79" s="38" t="b">
        <v>0</v>
      </c>
      <c r="R79" s="32" t="s">
        <v>537</v>
      </c>
      <c r="S79" s="39" t="s">
        <v>386</v>
      </c>
      <c r="T79" s="32" t="s">
        <v>381</v>
      </c>
    </row>
    <row r="80" ht="22.5" customHeight="1">
      <c r="A80" s="26">
        <v>46066.0</v>
      </c>
      <c r="B80" s="39" t="s">
        <v>225</v>
      </c>
      <c r="C80" s="32" t="str">
        <f t="array" ref="C80">_xlfn.XLOOKUP(B80, DB[samplingPoint], DB[samplingTag])</f>
        <v>SV216.05</v>
      </c>
      <c r="D80" s="33" t="s">
        <v>369</v>
      </c>
      <c r="E80" s="38" t="b">
        <v>1</v>
      </c>
      <c r="F80" s="39" t="str">
        <f t="array" ref="F80">_xlfn.XLOOKUP($B80, DB[samplingPoint], DB[noLocation])</f>
        <v>16-1-110</v>
      </c>
      <c r="G80" s="59" t="str">
        <f t="array" ref="G80">_xlfn.XLOOKUP($B80, DB[samplingPoint], DB[building])</f>
        <v>Building 16</v>
      </c>
      <c r="H80" s="40" t="str">
        <f t="array" ref="H80">_xlfn.XLOOKUP($B80, DB[samplingPoint], DB[location])</f>
        <v>DISINFECTANT PREPARATION</v>
      </c>
      <c r="I80" s="39" t="str">
        <f t="array" ref="I80">_xlfn.XLOOKUP($B80, DB[samplingPoint], DB[waterType])</f>
        <v>WFI</v>
      </c>
      <c r="J80" s="43">
        <f t="shared" ref="J80:J81" si="16">$A80+1</f>
        <v>46067</v>
      </c>
      <c r="K80" s="26">
        <v>46070.0</v>
      </c>
      <c r="L80" s="32">
        <v>0.0</v>
      </c>
      <c r="M80" s="32">
        <f t="shared" si="2"/>
        <v>0</v>
      </c>
      <c r="N80" s="32" t="s">
        <v>376</v>
      </c>
      <c r="O80" s="32">
        <v>10.0</v>
      </c>
      <c r="P80" s="50" t="str">
        <f t="shared" si="3"/>
        <v>PASSED</v>
      </c>
      <c r="Q80" s="38" t="b">
        <v>0</v>
      </c>
      <c r="R80" s="32" t="s">
        <v>540</v>
      </c>
      <c r="S80" s="39" t="s">
        <v>386</v>
      </c>
      <c r="T80" s="32" t="s">
        <v>381</v>
      </c>
    </row>
    <row r="81" ht="22.5" customHeight="1">
      <c r="A81" s="26">
        <v>46066.0</v>
      </c>
      <c r="B81" s="39" t="s">
        <v>365</v>
      </c>
      <c r="C81" s="32" t="str">
        <f t="array" ref="C81">_xlfn.XLOOKUP(B81, DB[samplingPoint], DB[samplingTag])</f>
        <v>SV216.10</v>
      </c>
      <c r="D81" s="33" t="s">
        <v>369</v>
      </c>
      <c r="E81" s="38" t="b">
        <v>1</v>
      </c>
      <c r="F81" s="39" t="str">
        <f t="array" ref="F81">_xlfn.XLOOKUP($B81, DB[samplingPoint], DB[noLocation])</f>
        <v>16-1-105</v>
      </c>
      <c r="G81" s="59" t="str">
        <f t="array" ref="G81">_xlfn.XLOOKUP($B81, DB[samplingPoint], DB[building])</f>
        <v>Building 16</v>
      </c>
      <c r="H81" s="40" t="str">
        <f t="array" ref="H81">_xlfn.XLOOKUP($B81, DB[samplingPoint], DB[location])</f>
        <v>WASHING/TUNNEL-01</v>
      </c>
      <c r="I81" s="39" t="str">
        <f t="array" ref="I81">_xlfn.XLOOKUP($B81, DB[samplingPoint], DB[waterType])</f>
        <v>WFI</v>
      </c>
      <c r="J81" s="43">
        <f t="shared" si="16"/>
        <v>46067</v>
      </c>
      <c r="K81" s="26">
        <v>46070.0</v>
      </c>
      <c r="L81" s="32">
        <v>0.0</v>
      </c>
      <c r="M81" s="32">
        <f t="shared" si="2"/>
        <v>0</v>
      </c>
      <c r="N81" s="32" t="s">
        <v>376</v>
      </c>
      <c r="O81" s="32">
        <v>10.0</v>
      </c>
      <c r="P81" s="50" t="str">
        <f t="shared" si="3"/>
        <v>PASSED</v>
      </c>
      <c r="Q81" s="38" t="b">
        <v>0</v>
      </c>
      <c r="R81" s="32" t="s">
        <v>540</v>
      </c>
      <c r="S81" s="39" t="s">
        <v>386</v>
      </c>
      <c r="T81" s="32" t="s">
        <v>381</v>
      </c>
    </row>
    <row r="82" ht="22.5" customHeight="1">
      <c r="A82" s="26">
        <v>46069.0</v>
      </c>
      <c r="B82" s="39" t="s">
        <v>377</v>
      </c>
      <c r="C82" s="32" t="str">
        <f t="array" ref="C82">_xlfn.XLOOKUP(B82, DB[samplingPoint], DB[samplingTag])</f>
        <v>V12-4</v>
      </c>
      <c r="D82" s="33" t="s">
        <v>379</v>
      </c>
      <c r="E82" s="38" t="b">
        <v>1</v>
      </c>
      <c r="F82" s="39" t="str">
        <f t="array" ref="F82">_xlfn.XLOOKUP($B82, DB[samplingPoint], DB[noLocation])</f>
        <v>16-2-010</v>
      </c>
      <c r="G82" s="59" t="str">
        <f t="array" ref="G82">_xlfn.XLOOKUP($B82, DB[samplingPoint], DB[building])</f>
        <v>Building 16</v>
      </c>
      <c r="H82" s="40" t="str">
        <f t="array" ref="H82">_xlfn.XLOOKUP($B82, DB[samplingPoint], DB[location])</f>
        <v>AFTER WFI GENERATOR</v>
      </c>
      <c r="I82" s="39" t="str">
        <f t="array" ref="I82">_xlfn.XLOOKUP($B82, DB[samplingPoint], DB[waterType])</f>
        <v>WFI</v>
      </c>
      <c r="J82" s="43">
        <f t="shared" ref="J82:J86" si="17">$A82+2</f>
        <v>46071</v>
      </c>
      <c r="K82" s="26">
        <v>46074.0</v>
      </c>
      <c r="L82" s="32">
        <v>0.0</v>
      </c>
      <c r="M82" s="32">
        <f t="shared" si="2"/>
        <v>0</v>
      </c>
      <c r="N82" s="32" t="s">
        <v>376</v>
      </c>
      <c r="O82" s="32">
        <v>10.0</v>
      </c>
      <c r="P82" s="50" t="str">
        <f t="shared" si="3"/>
        <v>PASSED</v>
      </c>
      <c r="Q82" s="38" t="b">
        <v>0</v>
      </c>
      <c r="R82" s="32" t="s">
        <v>542</v>
      </c>
      <c r="S82" s="39" t="s">
        <v>386</v>
      </c>
      <c r="T82" s="32" t="s">
        <v>381</v>
      </c>
    </row>
    <row r="83" ht="22.5" customHeight="1">
      <c r="A83" s="26">
        <v>46069.0</v>
      </c>
      <c r="B83" s="39" t="s">
        <v>383</v>
      </c>
      <c r="C83" s="32" t="str">
        <f t="array" ref="C83">_xlfn.XLOOKUP(B83, DB[samplingPoint], DB[samplingTag])</f>
        <v>SV213.01</v>
      </c>
      <c r="D83" s="33" t="s">
        <v>379</v>
      </c>
      <c r="E83" s="38" t="b">
        <v>1</v>
      </c>
      <c r="F83" s="39" t="str">
        <f t="array" ref="F83">_xlfn.XLOOKUP($B83, DB[samplingPoint], DB[noLocation])</f>
        <v>16-2-010</v>
      </c>
      <c r="G83" s="59" t="str">
        <f t="array" ref="G83">_xlfn.XLOOKUP($B83, DB[samplingPoint], DB[building])</f>
        <v>Building 16</v>
      </c>
      <c r="H83" s="40" t="str">
        <f t="array" ref="H83">_xlfn.XLOOKUP($B83, DB[samplingPoint], DB[location])</f>
        <v>AFTER STORAGE TANK</v>
      </c>
      <c r="I83" s="39" t="str">
        <f t="array" ref="I83">_xlfn.XLOOKUP($B83, DB[samplingPoint], DB[waterType])</f>
        <v>WFI</v>
      </c>
      <c r="J83" s="43">
        <f t="shared" si="17"/>
        <v>46071</v>
      </c>
      <c r="K83" s="26">
        <v>46074.0</v>
      </c>
      <c r="L83" s="32">
        <v>0.0</v>
      </c>
      <c r="M83" s="32">
        <f t="shared" si="2"/>
        <v>0</v>
      </c>
      <c r="N83" s="32" t="s">
        <v>376</v>
      </c>
      <c r="O83" s="32">
        <v>10.0</v>
      </c>
      <c r="P83" s="50" t="str">
        <f t="shared" si="3"/>
        <v>PASSED</v>
      </c>
      <c r="Q83" s="38" t="b">
        <v>0</v>
      </c>
      <c r="R83" s="32" t="s">
        <v>542</v>
      </c>
      <c r="S83" s="39" t="s">
        <v>386</v>
      </c>
      <c r="T83" s="32" t="s">
        <v>381</v>
      </c>
    </row>
    <row r="84" ht="22.5" customHeight="1">
      <c r="A84" s="26">
        <v>46069.0</v>
      </c>
      <c r="B84" s="39" t="s">
        <v>388</v>
      </c>
      <c r="C84" s="32" t="str">
        <f t="array" ref="C84">_xlfn.XLOOKUP(B84, DB[samplingPoint], DB[samplingTag])</f>
        <v>SV217.01</v>
      </c>
      <c r="D84" s="33" t="s">
        <v>379</v>
      </c>
      <c r="E84" s="38" t="b">
        <v>1</v>
      </c>
      <c r="F84" s="39" t="str">
        <f t="array" ref="F84">_xlfn.XLOOKUP($B84, DB[samplingPoint], DB[noLocation])</f>
        <v>16-2-010</v>
      </c>
      <c r="G84" s="59" t="str">
        <f t="array" ref="G84">_xlfn.XLOOKUP($B84, DB[samplingPoint], DB[building])</f>
        <v>Building 16</v>
      </c>
      <c r="H84" s="40" t="str">
        <f t="array" ref="H84">_xlfn.XLOOKUP($B84, DB[samplingPoint], DB[location])</f>
        <v>RETURN LOOP</v>
      </c>
      <c r="I84" s="39" t="str">
        <f t="array" ref="I84">_xlfn.XLOOKUP($B84, DB[samplingPoint], DB[waterType])</f>
        <v>WFI</v>
      </c>
      <c r="J84" s="43">
        <f t="shared" si="17"/>
        <v>46071</v>
      </c>
      <c r="K84" s="26">
        <v>46074.0</v>
      </c>
      <c r="L84" s="32">
        <v>0.0</v>
      </c>
      <c r="M84" s="32">
        <f t="shared" si="2"/>
        <v>0</v>
      </c>
      <c r="N84" s="32" t="s">
        <v>376</v>
      </c>
      <c r="O84" s="32">
        <v>10.0</v>
      </c>
      <c r="P84" s="50" t="str">
        <f t="shared" si="3"/>
        <v>PASSED</v>
      </c>
      <c r="Q84" s="38" t="b">
        <v>0</v>
      </c>
      <c r="R84" s="32" t="s">
        <v>542</v>
      </c>
      <c r="S84" s="39" t="s">
        <v>386</v>
      </c>
      <c r="T84" s="32" t="s">
        <v>381</v>
      </c>
    </row>
    <row r="85" ht="22.5" customHeight="1">
      <c r="A85" s="26">
        <v>46069.0</v>
      </c>
      <c r="B85" s="39" t="s">
        <v>416</v>
      </c>
      <c r="C85" s="32" t="str">
        <f t="array" ref="C85">_xlfn.XLOOKUP(B85, DB[samplingPoint], DB[samplingTag])</f>
        <v>SV216.02</v>
      </c>
      <c r="D85" s="33" t="s">
        <v>379</v>
      </c>
      <c r="E85" s="38" t="b">
        <v>1</v>
      </c>
      <c r="F85" s="39" t="str">
        <f t="array" ref="F85">_xlfn.XLOOKUP($B85, DB[samplingPoint], DB[noLocation])</f>
        <v>16-1-098</v>
      </c>
      <c r="G85" s="59" t="str">
        <f t="array" ref="G85">_xlfn.XLOOKUP($B85, DB[samplingPoint], DB[building])</f>
        <v>Building 16</v>
      </c>
      <c r="H85" s="40" t="str">
        <f t="array" ref="H85">_xlfn.XLOOKUP($B85, DB[samplingPoint], DB[location])</f>
        <v>CIP/SIP</v>
      </c>
      <c r="I85" s="39" t="str">
        <f t="array" ref="I85">_xlfn.XLOOKUP($B85, DB[samplingPoint], DB[waterType])</f>
        <v>WFI</v>
      </c>
      <c r="J85" s="43">
        <f t="shared" si="17"/>
        <v>46071</v>
      </c>
      <c r="K85" s="26">
        <v>46074.0</v>
      </c>
      <c r="L85" s="32">
        <v>0.0</v>
      </c>
      <c r="M85" s="32">
        <f t="shared" si="2"/>
        <v>0</v>
      </c>
      <c r="N85" s="32" t="s">
        <v>376</v>
      </c>
      <c r="O85" s="32">
        <v>10.0</v>
      </c>
      <c r="P85" s="50" t="str">
        <f t="shared" si="3"/>
        <v>PASSED</v>
      </c>
      <c r="Q85" s="38" t="b">
        <v>0</v>
      </c>
      <c r="R85" s="32" t="s">
        <v>542</v>
      </c>
      <c r="S85" s="39" t="s">
        <v>386</v>
      </c>
      <c r="T85" s="32" t="s">
        <v>381</v>
      </c>
    </row>
    <row r="86" ht="22.5" customHeight="1">
      <c r="A86" s="26">
        <v>46069.0</v>
      </c>
      <c r="B86" s="39" t="s">
        <v>418</v>
      </c>
      <c r="C86" s="32" t="str">
        <f t="array" ref="C86">_xlfn.XLOOKUP(B86, DB[samplingPoint], DB[samplingTag])</f>
        <v>SV216.04</v>
      </c>
      <c r="D86" s="33" t="s">
        <v>379</v>
      </c>
      <c r="E86" s="38" t="b">
        <v>1</v>
      </c>
      <c r="F86" s="39" t="str">
        <f t="array" ref="F86">_xlfn.XLOOKUP($B86, DB[samplingPoint], DB[noLocation])</f>
        <v>16-1-098</v>
      </c>
      <c r="G86" s="59" t="str">
        <f t="array" ref="G86">_xlfn.XLOOKUP($B86, DB[samplingPoint], DB[building])</f>
        <v>Building 16</v>
      </c>
      <c r="H86" s="40" t="str">
        <f t="array" ref="H86">_xlfn.XLOOKUP($B86, DB[samplingPoint], DB[location])</f>
        <v>CIP/SIP</v>
      </c>
      <c r="I86" s="39" t="str">
        <f t="array" ref="I86">_xlfn.XLOOKUP($B86, DB[samplingPoint], DB[waterType])</f>
        <v>WFI</v>
      </c>
      <c r="J86" s="43">
        <f t="shared" si="17"/>
        <v>46071</v>
      </c>
      <c r="K86" s="26">
        <v>46074.0</v>
      </c>
      <c r="L86" s="32">
        <v>0.0</v>
      </c>
      <c r="M86" s="32">
        <f t="shared" si="2"/>
        <v>0</v>
      </c>
      <c r="N86" s="32" t="s">
        <v>376</v>
      </c>
      <c r="O86" s="32">
        <v>10.0</v>
      </c>
      <c r="P86" s="50" t="str">
        <f t="shared" si="3"/>
        <v>PASSED</v>
      </c>
      <c r="Q86" s="38" t="b">
        <v>0</v>
      </c>
      <c r="R86" s="32" t="s">
        <v>542</v>
      </c>
      <c r="S86" s="39" t="s">
        <v>386</v>
      </c>
      <c r="T86" s="32" t="s">
        <v>381</v>
      </c>
    </row>
    <row r="87" ht="22.5" customHeight="1">
      <c r="A87" s="26">
        <v>46070.0</v>
      </c>
      <c r="B87" s="39" t="s">
        <v>391</v>
      </c>
      <c r="C87" s="32" t="str">
        <f t="array" ref="C87">_xlfn.XLOOKUP(B87, DB[samplingPoint], DB[samplingTag])</f>
        <v>SV216.03</v>
      </c>
      <c r="D87" s="33" t="s">
        <v>404</v>
      </c>
      <c r="E87" s="38" t="b">
        <v>1</v>
      </c>
      <c r="F87" s="39" t="str">
        <f t="array" ref="F87">_xlfn.XLOOKUP($B87, DB[samplingPoint], DB[noLocation])</f>
        <v>16-1-096</v>
      </c>
      <c r="G87" s="59" t="str">
        <f t="array" ref="G87">_xlfn.XLOOKUP($B87, DB[samplingPoint], DB[building])</f>
        <v>Building 16</v>
      </c>
      <c r="H87" s="40" t="str">
        <f t="array" ref="H87">_xlfn.XLOOKUP($B87, DB[samplingPoint], DB[location])</f>
        <v>WASHING/TUNNEL-02</v>
      </c>
      <c r="I87" s="39" t="str">
        <f t="array" ref="I87">_xlfn.XLOOKUP($B87, DB[samplingPoint], DB[waterType])</f>
        <v>WFI</v>
      </c>
      <c r="J87" s="43">
        <f t="shared" ref="J87:J89" si="18">$A87+1</f>
        <v>46071</v>
      </c>
      <c r="K87" s="26">
        <v>46074.0</v>
      </c>
      <c r="L87" s="32">
        <v>0.0</v>
      </c>
      <c r="M87" s="32">
        <f t="shared" si="2"/>
        <v>0</v>
      </c>
      <c r="N87" s="32" t="s">
        <v>376</v>
      </c>
      <c r="O87" s="32">
        <v>10.0</v>
      </c>
      <c r="P87" s="50" t="str">
        <f t="shared" si="3"/>
        <v>PASSED</v>
      </c>
      <c r="Q87" s="38" t="b">
        <v>0</v>
      </c>
      <c r="R87" s="32" t="s">
        <v>550</v>
      </c>
      <c r="S87" s="39" t="s">
        <v>386</v>
      </c>
      <c r="T87" s="32" t="s">
        <v>381</v>
      </c>
    </row>
    <row r="88" ht="22.5" customHeight="1">
      <c r="A88" s="26">
        <v>46070.0</v>
      </c>
      <c r="B88" s="39" t="s">
        <v>395</v>
      </c>
      <c r="C88" s="32" t="str">
        <f t="array" ref="C88">_xlfn.XLOOKUP(B88, DB[samplingPoint], DB[samplingTag])</f>
        <v>POU HE216.03</v>
      </c>
      <c r="D88" s="33" t="s">
        <v>404</v>
      </c>
      <c r="E88" s="38" t="b">
        <v>1</v>
      </c>
      <c r="F88" s="39" t="str">
        <f t="array" ref="F88">_xlfn.XLOOKUP($B88, DB[samplingPoint], DB[noLocation])</f>
        <v>16-1-082</v>
      </c>
      <c r="G88" s="59" t="str">
        <f t="array" ref="G88">_xlfn.XLOOKUP($B88, DB[samplingPoint], DB[building])</f>
        <v>Building 16</v>
      </c>
      <c r="H88" s="40" t="str">
        <f t="array" ref="H88">_xlfn.XLOOKUP($B88, DB[samplingPoint], DB[location])</f>
        <v>WASHING</v>
      </c>
      <c r="I88" s="39" t="str">
        <f t="array" ref="I88">_xlfn.XLOOKUP($B88, DB[samplingPoint], DB[waterType])</f>
        <v>WFI</v>
      </c>
      <c r="J88" s="43">
        <f t="shared" si="18"/>
        <v>46071</v>
      </c>
      <c r="K88" s="26">
        <v>46074.0</v>
      </c>
      <c r="L88" s="32">
        <v>0.0</v>
      </c>
      <c r="M88" s="32">
        <f t="shared" si="2"/>
        <v>0</v>
      </c>
      <c r="N88" s="32" t="s">
        <v>376</v>
      </c>
      <c r="O88" s="32">
        <v>10.0</v>
      </c>
      <c r="P88" s="50" t="str">
        <f t="shared" si="3"/>
        <v>PASSED</v>
      </c>
      <c r="Q88" s="38" t="b">
        <v>0</v>
      </c>
      <c r="R88" s="32" t="s">
        <v>550</v>
      </c>
      <c r="S88" s="39" t="s">
        <v>386</v>
      </c>
      <c r="T88" s="32" t="s">
        <v>381</v>
      </c>
    </row>
    <row r="89" ht="22.5" customHeight="1">
      <c r="A89" s="26">
        <v>46070.0</v>
      </c>
      <c r="B89" s="39" t="s">
        <v>397</v>
      </c>
      <c r="C89" s="32" t="str">
        <f t="array" ref="C89">_xlfn.XLOOKUP(B89, DB[samplingPoint], DB[samplingTag])</f>
        <v>SV216.06</v>
      </c>
      <c r="D89" s="33" t="s">
        <v>404</v>
      </c>
      <c r="E89" s="38" t="b">
        <v>1</v>
      </c>
      <c r="F89" s="39" t="str">
        <f t="array" ref="F89">_xlfn.XLOOKUP($B89, DB[samplingPoint], DB[noLocation])</f>
        <v>16-1-082</v>
      </c>
      <c r="G89" s="59" t="str">
        <f t="array" ref="G89">_xlfn.XLOOKUP($B89, DB[samplingPoint], DB[building])</f>
        <v>Building 16</v>
      </c>
      <c r="H89" s="40" t="str">
        <f t="array" ref="H89">_xlfn.XLOOKUP($B89, DB[samplingPoint], DB[location])</f>
        <v>WASHING</v>
      </c>
      <c r="I89" s="39" t="str">
        <f t="array" ref="I89">_xlfn.XLOOKUP($B89, DB[samplingPoint], DB[waterType])</f>
        <v>WFI</v>
      </c>
      <c r="J89" s="43">
        <f t="shared" si="18"/>
        <v>46071</v>
      </c>
      <c r="K89" s="26">
        <v>46074.0</v>
      </c>
      <c r="L89" s="32">
        <v>0.0</v>
      </c>
      <c r="M89" s="32">
        <f t="shared" si="2"/>
        <v>0</v>
      </c>
      <c r="N89" s="32" t="s">
        <v>376</v>
      </c>
      <c r="O89" s="32">
        <v>10.0</v>
      </c>
      <c r="P89" s="50" t="str">
        <f t="shared" si="3"/>
        <v>PASSED</v>
      </c>
      <c r="Q89" s="38" t="b">
        <v>0</v>
      </c>
      <c r="R89" s="32" t="s">
        <v>550</v>
      </c>
      <c r="S89" s="39" t="s">
        <v>386</v>
      </c>
      <c r="T89" s="32" t="s">
        <v>381</v>
      </c>
    </row>
    <row r="90" ht="22.5" customHeight="1">
      <c r="A90" s="26">
        <v>46071.0</v>
      </c>
      <c r="B90" s="39" t="s">
        <v>367</v>
      </c>
      <c r="C90" s="32" t="str">
        <f t="array" ref="C90">_xlfn.XLOOKUP(B90, DB[samplingPoint], DB[samplingTag])</f>
        <v>POU HE216.04</v>
      </c>
      <c r="D90" s="33" t="s">
        <v>412</v>
      </c>
      <c r="E90" s="38" t="b">
        <v>1</v>
      </c>
      <c r="F90" s="39" t="str">
        <f t="array" ref="F90">_xlfn.XLOOKUP($B90, DB[samplingPoint], DB[noLocation])</f>
        <v>16-1-114</v>
      </c>
      <c r="G90" s="59" t="str">
        <f t="array" ref="G90">_xlfn.XLOOKUP($B90, DB[samplingPoint], DB[building])</f>
        <v>Building 16</v>
      </c>
      <c r="H90" s="40" t="str">
        <f t="array" ref="H90">_xlfn.XLOOKUP($B90, DB[samplingPoint], DB[location])</f>
        <v>COMPOUNDING-02</v>
      </c>
      <c r="I90" s="39" t="str">
        <f t="array" ref="I90">_xlfn.XLOOKUP($B90, DB[samplingPoint], DB[waterType])</f>
        <v>WFI</v>
      </c>
      <c r="J90" s="43">
        <f t="shared" ref="J90:J91" si="19">$A90+2</f>
        <v>46073</v>
      </c>
      <c r="K90" s="26">
        <v>46076.0</v>
      </c>
      <c r="L90" s="32">
        <v>0.0</v>
      </c>
      <c r="M90" s="32">
        <f t="shared" si="2"/>
        <v>0</v>
      </c>
      <c r="N90" s="32" t="s">
        <v>376</v>
      </c>
      <c r="O90" s="32">
        <v>10.0</v>
      </c>
      <c r="P90" s="50" t="str">
        <f t="shared" si="3"/>
        <v>PASSED</v>
      </c>
      <c r="Q90" s="38" t="b">
        <v>0</v>
      </c>
      <c r="R90" s="32" t="s">
        <v>552</v>
      </c>
      <c r="S90" s="39" t="s">
        <v>386</v>
      </c>
      <c r="T90" s="32" t="s">
        <v>381</v>
      </c>
    </row>
    <row r="91" ht="22.5" customHeight="1">
      <c r="A91" s="26">
        <v>46071.0</v>
      </c>
      <c r="B91" s="39" t="s">
        <v>372</v>
      </c>
      <c r="C91" s="32" t="str">
        <f t="array" ref="C91">_xlfn.XLOOKUP(B91, DB[samplingPoint], DB[samplingTag])</f>
        <v>POU HE216.05</v>
      </c>
      <c r="D91" s="33" t="s">
        <v>412</v>
      </c>
      <c r="E91" s="38" t="b">
        <v>1</v>
      </c>
      <c r="F91" s="39" t="str">
        <f t="array" ref="F91">_xlfn.XLOOKUP($B91, DB[samplingPoint], DB[noLocation])</f>
        <v>16-1-114</v>
      </c>
      <c r="G91" s="59" t="str">
        <f t="array" ref="G91">_xlfn.XLOOKUP($B91, DB[samplingPoint], DB[building])</f>
        <v>Building 16</v>
      </c>
      <c r="H91" s="40" t="str">
        <f t="array" ref="H91">_xlfn.XLOOKUP($B91, DB[samplingPoint], DB[location])</f>
        <v>COMPOUNDING-02</v>
      </c>
      <c r="I91" s="39" t="str">
        <f t="array" ref="I91">_xlfn.XLOOKUP($B91, DB[samplingPoint], DB[waterType])</f>
        <v>WFI</v>
      </c>
      <c r="J91" s="43">
        <f t="shared" si="19"/>
        <v>46073</v>
      </c>
      <c r="K91" s="26">
        <v>46076.0</v>
      </c>
      <c r="L91" s="32">
        <v>0.0</v>
      </c>
      <c r="M91" s="32">
        <f t="shared" si="2"/>
        <v>0</v>
      </c>
      <c r="N91" s="32" t="s">
        <v>376</v>
      </c>
      <c r="O91" s="32">
        <v>10.0</v>
      </c>
      <c r="P91" s="50" t="str">
        <f t="shared" si="3"/>
        <v>PASSED</v>
      </c>
      <c r="Q91" s="38" t="b">
        <v>0</v>
      </c>
      <c r="R91" s="32" t="s">
        <v>552</v>
      </c>
      <c r="S91" s="39" t="s">
        <v>386</v>
      </c>
      <c r="T91" s="32" t="s">
        <v>381</v>
      </c>
    </row>
    <row r="92" ht="22.5" customHeight="1">
      <c r="A92" s="26">
        <v>46072.0</v>
      </c>
      <c r="B92" s="39" t="s">
        <v>403</v>
      </c>
      <c r="C92" s="32" t="str">
        <f t="array" ref="C92">_xlfn.XLOOKUP(B92, DB[samplingPoint], DB[samplingTag])</f>
        <v>POU HE216.01</v>
      </c>
      <c r="D92" s="33" t="s">
        <v>292</v>
      </c>
      <c r="E92" s="38" t="b">
        <v>1</v>
      </c>
      <c r="F92" s="39" t="str">
        <f t="array" ref="F92">_xlfn.XLOOKUP($B92, DB[samplingPoint], DB[noLocation])</f>
        <v>16-1-107</v>
      </c>
      <c r="G92" s="59" t="str">
        <f t="array" ref="G92">_xlfn.XLOOKUP($B92, DB[samplingPoint], DB[building])</f>
        <v>Building 16</v>
      </c>
      <c r="H92" s="40" t="str">
        <f t="array" ref="H92">_xlfn.XLOOKUP($B92, DB[samplingPoint], DB[location])</f>
        <v>COMPOUNDING-01</v>
      </c>
      <c r="I92" s="39" t="str">
        <f t="array" ref="I92">_xlfn.XLOOKUP($B92, DB[samplingPoint], DB[waterType])</f>
        <v>WFI</v>
      </c>
      <c r="J92" s="43">
        <f t="shared" ref="J92:J100" si="20">$A92+1</f>
        <v>46073</v>
      </c>
      <c r="K92" s="26">
        <v>46076.0</v>
      </c>
      <c r="L92" s="32">
        <v>0.0</v>
      </c>
      <c r="M92" s="32">
        <f t="shared" si="2"/>
        <v>0</v>
      </c>
      <c r="N92" s="32" t="s">
        <v>376</v>
      </c>
      <c r="O92" s="32">
        <v>10.0</v>
      </c>
      <c r="P92" s="50" t="str">
        <f t="shared" si="3"/>
        <v>PASSED</v>
      </c>
      <c r="Q92" s="38" t="b">
        <v>0</v>
      </c>
      <c r="R92" s="32" t="s">
        <v>554</v>
      </c>
      <c r="S92" s="39" t="s">
        <v>386</v>
      </c>
      <c r="T92" s="32" t="s">
        <v>381</v>
      </c>
    </row>
    <row r="93" ht="22.5" customHeight="1">
      <c r="A93" s="26">
        <v>46072.0</v>
      </c>
      <c r="B93" s="39" t="s">
        <v>407</v>
      </c>
      <c r="C93" s="32" t="str">
        <f t="array" ref="C93">_xlfn.XLOOKUP(B93, DB[samplingPoint], DB[samplingTag])</f>
        <v>POU HE216.02</v>
      </c>
      <c r="D93" s="33" t="s">
        <v>292</v>
      </c>
      <c r="E93" s="38" t="b">
        <v>1</v>
      </c>
      <c r="F93" s="39" t="str">
        <f t="array" ref="F93">_xlfn.XLOOKUP($B93, DB[samplingPoint], DB[noLocation])</f>
        <v>16-1-107</v>
      </c>
      <c r="G93" s="59" t="str">
        <f t="array" ref="G93">_xlfn.XLOOKUP($B93, DB[samplingPoint], DB[building])</f>
        <v>Building 16</v>
      </c>
      <c r="H93" s="40" t="str">
        <f t="array" ref="H93">_xlfn.XLOOKUP($B93, DB[samplingPoint], DB[location])</f>
        <v>COMPOUNDING-01</v>
      </c>
      <c r="I93" s="39" t="str">
        <f t="array" ref="I93">_xlfn.XLOOKUP($B93, DB[samplingPoint], DB[waterType])</f>
        <v>WFI</v>
      </c>
      <c r="J93" s="43">
        <f t="shared" si="20"/>
        <v>46073</v>
      </c>
      <c r="K93" s="26">
        <v>46076.0</v>
      </c>
      <c r="L93" s="32">
        <v>0.0</v>
      </c>
      <c r="M93" s="32">
        <f t="shared" si="2"/>
        <v>0</v>
      </c>
      <c r="N93" s="32" t="s">
        <v>376</v>
      </c>
      <c r="O93" s="32">
        <v>10.0</v>
      </c>
      <c r="P93" s="50" t="str">
        <f t="shared" si="3"/>
        <v>PASSED</v>
      </c>
      <c r="Q93" s="38" t="b">
        <v>0</v>
      </c>
      <c r="R93" s="32" t="s">
        <v>554</v>
      </c>
      <c r="S93" s="39" t="s">
        <v>386</v>
      </c>
      <c r="T93" s="32" t="s">
        <v>381</v>
      </c>
    </row>
    <row r="94" ht="22.5" customHeight="1">
      <c r="A94" s="26">
        <v>46073.0</v>
      </c>
      <c r="B94" s="39" t="s">
        <v>225</v>
      </c>
      <c r="C94" s="32" t="str">
        <f t="array" ref="C94">_xlfn.XLOOKUP(B94, DB[samplingPoint], DB[samplingTag])</f>
        <v>SV216.05</v>
      </c>
      <c r="D94" s="33" t="s">
        <v>369</v>
      </c>
      <c r="E94" s="38" t="b">
        <v>1</v>
      </c>
      <c r="F94" s="39" t="str">
        <f t="array" ref="F94">_xlfn.XLOOKUP($B94, DB[samplingPoint], DB[noLocation])</f>
        <v>16-1-110</v>
      </c>
      <c r="G94" s="59" t="str">
        <f t="array" ref="G94">_xlfn.XLOOKUP($B94, DB[samplingPoint], DB[building])</f>
        <v>Building 16</v>
      </c>
      <c r="H94" s="40" t="str">
        <f t="array" ref="H94">_xlfn.XLOOKUP($B94, DB[samplingPoint], DB[location])</f>
        <v>DISINFECTANT PREPARATION</v>
      </c>
      <c r="I94" s="39" t="str">
        <f t="array" ref="I94">_xlfn.XLOOKUP($B94, DB[samplingPoint], DB[waterType])</f>
        <v>WFI</v>
      </c>
      <c r="J94" s="43">
        <f t="shared" si="20"/>
        <v>46074</v>
      </c>
      <c r="K94" s="26">
        <v>46077.0</v>
      </c>
      <c r="L94" s="32">
        <v>0.0</v>
      </c>
      <c r="M94" s="32">
        <f t="shared" si="2"/>
        <v>0</v>
      </c>
      <c r="N94" s="32" t="s">
        <v>376</v>
      </c>
      <c r="O94" s="32">
        <v>10.0</v>
      </c>
      <c r="P94" s="50" t="str">
        <f t="shared" si="3"/>
        <v>PASSED</v>
      </c>
      <c r="Q94" s="38" t="b">
        <v>0</v>
      </c>
      <c r="R94" s="32" t="s">
        <v>559</v>
      </c>
      <c r="S94" s="39" t="s">
        <v>386</v>
      </c>
      <c r="T94" s="32" t="s">
        <v>381</v>
      </c>
    </row>
    <row r="95" ht="22.5" customHeight="1">
      <c r="A95" s="26">
        <v>46073.0</v>
      </c>
      <c r="B95" s="39" t="s">
        <v>365</v>
      </c>
      <c r="C95" s="32" t="str">
        <f t="array" ref="C95">_xlfn.XLOOKUP(B95, DB[samplingPoint], DB[samplingTag])</f>
        <v>SV216.10</v>
      </c>
      <c r="D95" s="33" t="s">
        <v>369</v>
      </c>
      <c r="E95" s="38" t="b">
        <v>1</v>
      </c>
      <c r="F95" s="39" t="str">
        <f t="array" ref="F95">_xlfn.XLOOKUP($B95, DB[samplingPoint], DB[noLocation])</f>
        <v>16-1-105</v>
      </c>
      <c r="G95" s="59" t="str">
        <f t="array" ref="G95">_xlfn.XLOOKUP($B95, DB[samplingPoint], DB[building])</f>
        <v>Building 16</v>
      </c>
      <c r="H95" s="40" t="str">
        <f t="array" ref="H95">_xlfn.XLOOKUP($B95, DB[samplingPoint], DB[location])</f>
        <v>WASHING/TUNNEL-01</v>
      </c>
      <c r="I95" s="39" t="str">
        <f t="array" ref="I95">_xlfn.XLOOKUP($B95, DB[samplingPoint], DB[waterType])</f>
        <v>WFI</v>
      </c>
      <c r="J95" s="43">
        <f t="shared" si="20"/>
        <v>46074</v>
      </c>
      <c r="K95" s="26">
        <v>46077.0</v>
      </c>
      <c r="L95" s="32">
        <v>0.0</v>
      </c>
      <c r="M95" s="32">
        <f t="shared" si="2"/>
        <v>0</v>
      </c>
      <c r="N95" s="32" t="s">
        <v>376</v>
      </c>
      <c r="O95" s="32">
        <v>10.0</v>
      </c>
      <c r="P95" s="50" t="str">
        <f t="shared" si="3"/>
        <v>PASSED</v>
      </c>
      <c r="Q95" s="38" t="b">
        <v>0</v>
      </c>
      <c r="R95" s="32" t="s">
        <v>559</v>
      </c>
      <c r="S95" s="39" t="s">
        <v>386</v>
      </c>
      <c r="T95" s="32" t="s">
        <v>381</v>
      </c>
    </row>
    <row r="96" ht="22.5" customHeight="1">
      <c r="A96" s="26">
        <v>46076.0</v>
      </c>
      <c r="B96" s="39" t="s">
        <v>377</v>
      </c>
      <c r="C96" s="32" t="str">
        <f t="array" ref="C96">_xlfn.XLOOKUP(B96, DB[samplingPoint], DB[samplingTag])</f>
        <v>V12-4</v>
      </c>
      <c r="D96" s="33" t="s">
        <v>379</v>
      </c>
      <c r="E96" s="38" t="b">
        <v>1</v>
      </c>
      <c r="F96" s="39" t="str">
        <f t="array" ref="F96">_xlfn.XLOOKUP($B96, DB[samplingPoint], DB[noLocation])</f>
        <v>16-2-010</v>
      </c>
      <c r="G96" s="59" t="str">
        <f t="array" ref="G96">_xlfn.XLOOKUP($B96, DB[samplingPoint], DB[building])</f>
        <v>Building 16</v>
      </c>
      <c r="H96" s="40" t="str">
        <f t="array" ref="H96">_xlfn.XLOOKUP($B96, DB[samplingPoint], DB[location])</f>
        <v>AFTER WFI GENERATOR</v>
      </c>
      <c r="I96" s="39" t="str">
        <f t="array" ref="I96">_xlfn.XLOOKUP($B96, DB[samplingPoint], DB[waterType])</f>
        <v>WFI</v>
      </c>
      <c r="J96" s="43">
        <f t="shared" si="20"/>
        <v>46077</v>
      </c>
      <c r="K96" s="26">
        <v>46083.0</v>
      </c>
      <c r="L96" s="32">
        <v>0.0</v>
      </c>
      <c r="M96" s="32">
        <f t="shared" si="2"/>
        <v>0</v>
      </c>
      <c r="N96" s="32" t="s">
        <v>376</v>
      </c>
      <c r="O96" s="32">
        <v>10.0</v>
      </c>
      <c r="P96" s="50" t="str">
        <f t="shared" si="3"/>
        <v>PASSED</v>
      </c>
      <c r="Q96" s="38" t="b">
        <v>0</v>
      </c>
      <c r="R96" s="32" t="s">
        <v>565</v>
      </c>
      <c r="S96" s="39" t="s">
        <v>386</v>
      </c>
      <c r="T96" s="32" t="s">
        <v>381</v>
      </c>
    </row>
    <row r="97" ht="22.5" customHeight="1">
      <c r="A97" s="26">
        <v>46076.0</v>
      </c>
      <c r="B97" s="39" t="s">
        <v>383</v>
      </c>
      <c r="C97" s="32" t="str">
        <f t="array" ref="C97">_xlfn.XLOOKUP(B97, DB[samplingPoint], DB[samplingTag])</f>
        <v>SV213.01</v>
      </c>
      <c r="D97" s="33" t="s">
        <v>379</v>
      </c>
      <c r="E97" s="38" t="b">
        <v>1</v>
      </c>
      <c r="F97" s="39" t="str">
        <f t="array" ref="F97">_xlfn.XLOOKUP($B97, DB[samplingPoint], DB[noLocation])</f>
        <v>16-2-010</v>
      </c>
      <c r="G97" s="59" t="str">
        <f t="array" ref="G97">_xlfn.XLOOKUP($B97, DB[samplingPoint], DB[building])</f>
        <v>Building 16</v>
      </c>
      <c r="H97" s="40" t="str">
        <f t="array" ref="H97">_xlfn.XLOOKUP($B97, DB[samplingPoint], DB[location])</f>
        <v>AFTER STORAGE TANK</v>
      </c>
      <c r="I97" s="39" t="str">
        <f t="array" ref="I97">_xlfn.XLOOKUP($B97, DB[samplingPoint], DB[waterType])</f>
        <v>WFI</v>
      </c>
      <c r="J97" s="43">
        <f t="shared" si="20"/>
        <v>46077</v>
      </c>
      <c r="K97" s="26">
        <v>46083.0</v>
      </c>
      <c r="L97" s="32">
        <v>0.0</v>
      </c>
      <c r="M97" s="32">
        <f t="shared" si="2"/>
        <v>0</v>
      </c>
      <c r="N97" s="32" t="s">
        <v>376</v>
      </c>
      <c r="O97" s="32">
        <v>10.0</v>
      </c>
      <c r="P97" s="50" t="str">
        <f t="shared" si="3"/>
        <v>PASSED</v>
      </c>
      <c r="Q97" s="38" t="b">
        <v>0</v>
      </c>
      <c r="R97" s="32" t="s">
        <v>565</v>
      </c>
      <c r="S97" s="39" t="s">
        <v>386</v>
      </c>
      <c r="T97" s="32" t="s">
        <v>381</v>
      </c>
    </row>
    <row r="98" ht="22.5" customHeight="1">
      <c r="A98" s="26">
        <v>46076.0</v>
      </c>
      <c r="B98" s="39" t="s">
        <v>388</v>
      </c>
      <c r="C98" s="32" t="str">
        <f t="array" ref="C98">_xlfn.XLOOKUP(B98, DB[samplingPoint], DB[samplingTag])</f>
        <v>SV217.01</v>
      </c>
      <c r="D98" s="33" t="s">
        <v>379</v>
      </c>
      <c r="E98" s="38" t="b">
        <v>1</v>
      </c>
      <c r="F98" s="39" t="str">
        <f t="array" ref="F98">_xlfn.XLOOKUP($B98, DB[samplingPoint], DB[noLocation])</f>
        <v>16-2-010</v>
      </c>
      <c r="G98" s="59" t="str">
        <f t="array" ref="G98">_xlfn.XLOOKUP($B98, DB[samplingPoint], DB[building])</f>
        <v>Building 16</v>
      </c>
      <c r="H98" s="40" t="str">
        <f t="array" ref="H98">_xlfn.XLOOKUP($B98, DB[samplingPoint], DB[location])</f>
        <v>RETURN LOOP</v>
      </c>
      <c r="I98" s="39" t="str">
        <f t="array" ref="I98">_xlfn.XLOOKUP($B98, DB[samplingPoint], DB[waterType])</f>
        <v>WFI</v>
      </c>
      <c r="J98" s="43">
        <f t="shared" si="20"/>
        <v>46077</v>
      </c>
      <c r="K98" s="26">
        <v>46083.0</v>
      </c>
      <c r="L98" s="32">
        <v>0.0</v>
      </c>
      <c r="M98" s="32">
        <f t="shared" si="2"/>
        <v>0</v>
      </c>
      <c r="N98" s="32" t="s">
        <v>376</v>
      </c>
      <c r="O98" s="32">
        <v>10.0</v>
      </c>
      <c r="P98" s="50" t="str">
        <f t="shared" si="3"/>
        <v>PASSED</v>
      </c>
      <c r="Q98" s="38" t="b">
        <v>0</v>
      </c>
      <c r="R98" s="32" t="s">
        <v>565</v>
      </c>
      <c r="S98" s="39" t="s">
        <v>386</v>
      </c>
      <c r="T98" s="32" t="s">
        <v>381</v>
      </c>
    </row>
    <row r="99" ht="22.5" customHeight="1">
      <c r="A99" s="26">
        <v>46076.0</v>
      </c>
      <c r="B99" s="39" t="s">
        <v>416</v>
      </c>
      <c r="C99" s="32" t="str">
        <f t="array" ref="C99">_xlfn.XLOOKUP(B99, DB[samplingPoint], DB[samplingTag])</f>
        <v>SV216.02</v>
      </c>
      <c r="D99" s="33" t="s">
        <v>379</v>
      </c>
      <c r="E99" s="38" t="b">
        <v>1</v>
      </c>
      <c r="F99" s="39" t="str">
        <f t="array" ref="F99">_xlfn.XLOOKUP($B99, DB[samplingPoint], DB[noLocation])</f>
        <v>16-1-098</v>
      </c>
      <c r="G99" s="59" t="str">
        <f t="array" ref="G99">_xlfn.XLOOKUP($B99, DB[samplingPoint], DB[building])</f>
        <v>Building 16</v>
      </c>
      <c r="H99" s="40" t="str">
        <f t="array" ref="H99">_xlfn.XLOOKUP($B99, DB[samplingPoint], DB[location])</f>
        <v>CIP/SIP</v>
      </c>
      <c r="I99" s="39" t="str">
        <f t="array" ref="I99">_xlfn.XLOOKUP($B99, DB[samplingPoint], DB[waterType])</f>
        <v>WFI</v>
      </c>
      <c r="J99" s="43">
        <f t="shared" si="20"/>
        <v>46077</v>
      </c>
      <c r="K99" s="26">
        <v>46083.0</v>
      </c>
      <c r="L99" s="32">
        <v>0.0</v>
      </c>
      <c r="M99" s="32">
        <f t="shared" si="2"/>
        <v>0</v>
      </c>
      <c r="N99" s="32" t="s">
        <v>376</v>
      </c>
      <c r="O99" s="32">
        <v>10.0</v>
      </c>
      <c r="P99" s="50" t="str">
        <f t="shared" si="3"/>
        <v>PASSED</v>
      </c>
      <c r="Q99" s="38" t="b">
        <v>0</v>
      </c>
      <c r="R99" s="32" t="s">
        <v>565</v>
      </c>
      <c r="S99" s="39" t="s">
        <v>386</v>
      </c>
      <c r="T99" s="32" t="s">
        <v>381</v>
      </c>
    </row>
    <row r="100" ht="22.5" customHeight="1">
      <c r="A100" s="26">
        <v>46076.0</v>
      </c>
      <c r="B100" s="39" t="s">
        <v>418</v>
      </c>
      <c r="C100" s="32" t="str">
        <f t="array" ref="C100">_xlfn.XLOOKUP(B100, DB[samplingPoint], DB[samplingTag])</f>
        <v>SV216.04</v>
      </c>
      <c r="D100" s="33" t="s">
        <v>379</v>
      </c>
      <c r="E100" s="38" t="b">
        <v>1</v>
      </c>
      <c r="F100" s="39" t="str">
        <f t="array" ref="F100">_xlfn.XLOOKUP($B100, DB[samplingPoint], DB[noLocation])</f>
        <v>16-1-098</v>
      </c>
      <c r="G100" s="59" t="str">
        <f t="array" ref="G100">_xlfn.XLOOKUP($B100, DB[samplingPoint], DB[building])</f>
        <v>Building 16</v>
      </c>
      <c r="H100" s="40" t="str">
        <f t="array" ref="H100">_xlfn.XLOOKUP($B100, DB[samplingPoint], DB[location])</f>
        <v>CIP/SIP</v>
      </c>
      <c r="I100" s="39" t="str">
        <f t="array" ref="I100">_xlfn.XLOOKUP($B100, DB[samplingPoint], DB[waterType])</f>
        <v>WFI</v>
      </c>
      <c r="J100" s="43">
        <f t="shared" si="20"/>
        <v>46077</v>
      </c>
      <c r="K100" s="26">
        <v>46083.0</v>
      </c>
      <c r="L100" s="32">
        <v>0.0</v>
      </c>
      <c r="M100" s="32">
        <f t="shared" si="2"/>
        <v>0</v>
      </c>
      <c r="N100" s="32" t="s">
        <v>376</v>
      </c>
      <c r="O100" s="32">
        <v>10.0</v>
      </c>
      <c r="P100" s="50" t="str">
        <f t="shared" si="3"/>
        <v>PASSED</v>
      </c>
      <c r="Q100" s="38" t="b">
        <v>0</v>
      </c>
      <c r="R100" s="32" t="s">
        <v>565</v>
      </c>
      <c r="S100" s="39" t="s">
        <v>386</v>
      </c>
      <c r="T100" s="32" t="s">
        <v>381</v>
      </c>
    </row>
    <row r="101" ht="22.5" customHeight="1">
      <c r="A101" s="26">
        <v>46077.0</v>
      </c>
      <c r="B101" s="39" t="s">
        <v>391</v>
      </c>
      <c r="C101" s="32" t="str">
        <f t="array" ref="C101">_xlfn.XLOOKUP(B101, DB[samplingPoint], DB[samplingTag])</f>
        <v>SV216.03</v>
      </c>
      <c r="D101" s="33" t="s">
        <v>404</v>
      </c>
      <c r="E101" s="38" t="b">
        <v>1</v>
      </c>
      <c r="F101" s="39" t="str">
        <f t="array" ref="F101">_xlfn.XLOOKUP($B101, DB[samplingPoint], DB[noLocation])</f>
        <v>16-1-096</v>
      </c>
      <c r="G101" s="59" t="str">
        <f t="array" ref="G101">_xlfn.XLOOKUP($B101, DB[samplingPoint], DB[building])</f>
        <v>Building 16</v>
      </c>
      <c r="H101" s="40" t="str">
        <f t="array" ref="H101">_xlfn.XLOOKUP($B101, DB[samplingPoint], DB[location])</f>
        <v>WASHING/TUNNEL-02</v>
      </c>
      <c r="I101" s="39" t="str">
        <f t="array" ref="I101">_xlfn.XLOOKUP($B101, DB[samplingPoint], DB[waterType])</f>
        <v>WFI</v>
      </c>
      <c r="J101" s="43">
        <f t="shared" ref="J101:J103" si="21">$A101+2</f>
        <v>46079</v>
      </c>
      <c r="K101" s="26">
        <v>46084.0</v>
      </c>
      <c r="L101" s="32">
        <v>0.0</v>
      </c>
      <c r="M101" s="32">
        <f t="shared" si="2"/>
        <v>0</v>
      </c>
      <c r="N101" s="32" t="s">
        <v>376</v>
      </c>
      <c r="O101" s="32">
        <v>10.0</v>
      </c>
      <c r="P101" s="50" t="str">
        <f t="shared" si="3"/>
        <v>PASSED</v>
      </c>
      <c r="Q101" s="38" t="b">
        <v>0</v>
      </c>
      <c r="R101" s="32" t="s">
        <v>570</v>
      </c>
      <c r="S101" s="39" t="s">
        <v>386</v>
      </c>
      <c r="T101" s="32" t="s">
        <v>381</v>
      </c>
    </row>
    <row r="102" ht="22.5" customHeight="1">
      <c r="A102" s="26">
        <v>46077.0</v>
      </c>
      <c r="B102" s="39" t="s">
        <v>395</v>
      </c>
      <c r="C102" s="32" t="str">
        <f t="array" ref="C102">_xlfn.XLOOKUP(B102, DB[samplingPoint], DB[samplingTag])</f>
        <v>POU HE216.03</v>
      </c>
      <c r="D102" s="33" t="s">
        <v>404</v>
      </c>
      <c r="E102" s="38" t="b">
        <v>1</v>
      </c>
      <c r="F102" s="39" t="str">
        <f t="array" ref="F102">_xlfn.XLOOKUP($B102, DB[samplingPoint], DB[noLocation])</f>
        <v>16-1-082</v>
      </c>
      <c r="G102" s="59" t="str">
        <f t="array" ref="G102">_xlfn.XLOOKUP($B102, DB[samplingPoint], DB[building])</f>
        <v>Building 16</v>
      </c>
      <c r="H102" s="40" t="str">
        <f t="array" ref="H102">_xlfn.XLOOKUP($B102, DB[samplingPoint], DB[location])</f>
        <v>WASHING</v>
      </c>
      <c r="I102" s="39" t="str">
        <f t="array" ref="I102">_xlfn.XLOOKUP($B102, DB[samplingPoint], DB[waterType])</f>
        <v>WFI</v>
      </c>
      <c r="J102" s="43">
        <f t="shared" si="21"/>
        <v>46079</v>
      </c>
      <c r="K102" s="26">
        <v>46084.0</v>
      </c>
      <c r="L102" s="32">
        <v>0.0</v>
      </c>
      <c r="M102" s="32">
        <f t="shared" si="2"/>
        <v>0</v>
      </c>
      <c r="N102" s="32" t="s">
        <v>376</v>
      </c>
      <c r="O102" s="32">
        <v>10.0</v>
      </c>
      <c r="P102" s="50" t="str">
        <f t="shared" si="3"/>
        <v>PASSED</v>
      </c>
      <c r="Q102" s="38" t="b">
        <v>0</v>
      </c>
      <c r="R102" s="32" t="s">
        <v>570</v>
      </c>
      <c r="S102" s="39" t="s">
        <v>386</v>
      </c>
      <c r="T102" s="32" t="s">
        <v>381</v>
      </c>
    </row>
    <row r="103" ht="22.5" customHeight="1">
      <c r="A103" s="26">
        <v>46077.0</v>
      </c>
      <c r="B103" s="39" t="s">
        <v>397</v>
      </c>
      <c r="C103" s="32" t="str">
        <f t="array" ref="C103">_xlfn.XLOOKUP(B103, DB[samplingPoint], DB[samplingTag])</f>
        <v>SV216.06</v>
      </c>
      <c r="D103" s="33" t="s">
        <v>404</v>
      </c>
      <c r="E103" s="38" t="b">
        <v>1</v>
      </c>
      <c r="F103" s="39" t="str">
        <f t="array" ref="F103">_xlfn.XLOOKUP($B103, DB[samplingPoint], DB[noLocation])</f>
        <v>16-1-082</v>
      </c>
      <c r="G103" s="59" t="str">
        <f t="array" ref="G103">_xlfn.XLOOKUP($B103, DB[samplingPoint], DB[building])</f>
        <v>Building 16</v>
      </c>
      <c r="H103" s="40" t="str">
        <f t="array" ref="H103">_xlfn.XLOOKUP($B103, DB[samplingPoint], DB[location])</f>
        <v>WASHING</v>
      </c>
      <c r="I103" s="39" t="str">
        <f t="array" ref="I103">_xlfn.XLOOKUP($B103, DB[samplingPoint], DB[waterType])</f>
        <v>WFI</v>
      </c>
      <c r="J103" s="43">
        <f t="shared" si="21"/>
        <v>46079</v>
      </c>
      <c r="K103" s="26">
        <v>46084.0</v>
      </c>
      <c r="L103" s="32">
        <v>0.0</v>
      </c>
      <c r="M103" s="32">
        <f t="shared" si="2"/>
        <v>0</v>
      </c>
      <c r="N103" s="32" t="s">
        <v>376</v>
      </c>
      <c r="O103" s="32">
        <v>10.0</v>
      </c>
      <c r="P103" s="50" t="str">
        <f t="shared" si="3"/>
        <v>PASSED</v>
      </c>
      <c r="Q103" s="38" t="b">
        <v>0</v>
      </c>
      <c r="R103" s="32" t="s">
        <v>570</v>
      </c>
      <c r="S103" s="39" t="s">
        <v>386</v>
      </c>
      <c r="T103" s="32" t="s">
        <v>381</v>
      </c>
    </row>
    <row r="104" ht="22.5" customHeight="1">
      <c r="A104" s="26">
        <v>46078.0</v>
      </c>
      <c r="B104" s="39" t="s">
        <v>367</v>
      </c>
      <c r="C104" s="32" t="str">
        <f t="array" ref="C104">_xlfn.XLOOKUP(B104, DB[samplingPoint], DB[samplingTag])</f>
        <v>POU HE216.04</v>
      </c>
      <c r="D104" s="33" t="s">
        <v>412</v>
      </c>
      <c r="E104" s="38" t="b">
        <v>1</v>
      </c>
      <c r="F104" s="39" t="str">
        <f t="array" ref="F104">_xlfn.XLOOKUP($B104, DB[samplingPoint], DB[noLocation])</f>
        <v>16-1-114</v>
      </c>
      <c r="G104" s="59" t="str">
        <f t="array" ref="G104">_xlfn.XLOOKUP($B104, DB[samplingPoint], DB[building])</f>
        <v>Building 16</v>
      </c>
      <c r="H104" s="40" t="str">
        <f t="array" ref="H104">_xlfn.XLOOKUP($B104, DB[samplingPoint], DB[location])</f>
        <v>COMPOUNDING-02</v>
      </c>
      <c r="I104" s="39" t="str">
        <f t="array" ref="I104">_xlfn.XLOOKUP($B104, DB[samplingPoint], DB[waterType])</f>
        <v>WFI</v>
      </c>
      <c r="J104" s="43">
        <f t="shared" ref="J104:J105" si="22">$A104+1</f>
        <v>46079</v>
      </c>
      <c r="K104" s="26">
        <v>46084.0</v>
      </c>
      <c r="L104" s="32">
        <v>0.0</v>
      </c>
      <c r="M104" s="32">
        <f t="shared" si="2"/>
        <v>0</v>
      </c>
      <c r="N104" s="32" t="s">
        <v>376</v>
      </c>
      <c r="O104" s="32">
        <v>10.0</v>
      </c>
      <c r="P104" s="50" t="str">
        <f t="shared" si="3"/>
        <v>PASSED</v>
      </c>
      <c r="Q104" s="38" t="b">
        <v>0</v>
      </c>
      <c r="R104" s="32" t="s">
        <v>571</v>
      </c>
      <c r="S104" s="39" t="s">
        <v>386</v>
      </c>
      <c r="T104" s="32" t="s">
        <v>381</v>
      </c>
    </row>
    <row r="105" ht="22.5" customHeight="1">
      <c r="A105" s="26">
        <v>46078.0</v>
      </c>
      <c r="B105" s="39" t="s">
        <v>372</v>
      </c>
      <c r="C105" s="32" t="str">
        <f t="array" ref="C105">_xlfn.XLOOKUP(B105, DB[samplingPoint], DB[samplingTag])</f>
        <v>POU HE216.05</v>
      </c>
      <c r="D105" s="33" t="s">
        <v>412</v>
      </c>
      <c r="E105" s="38" t="b">
        <v>1</v>
      </c>
      <c r="F105" s="39" t="str">
        <f t="array" ref="F105">_xlfn.XLOOKUP($B105, DB[samplingPoint], DB[noLocation])</f>
        <v>16-1-114</v>
      </c>
      <c r="G105" s="59" t="str">
        <f t="array" ref="G105">_xlfn.XLOOKUP($B105, DB[samplingPoint], DB[building])</f>
        <v>Building 16</v>
      </c>
      <c r="H105" s="40" t="str">
        <f t="array" ref="H105">_xlfn.XLOOKUP($B105, DB[samplingPoint], DB[location])</f>
        <v>COMPOUNDING-02</v>
      </c>
      <c r="I105" s="39" t="str">
        <f t="array" ref="I105">_xlfn.XLOOKUP($B105, DB[samplingPoint], DB[waterType])</f>
        <v>WFI</v>
      </c>
      <c r="J105" s="43">
        <f t="shared" si="22"/>
        <v>46079</v>
      </c>
      <c r="K105" s="26">
        <v>46084.0</v>
      </c>
      <c r="L105" s="32">
        <v>0.0</v>
      </c>
      <c r="M105" s="32">
        <f t="shared" si="2"/>
        <v>0</v>
      </c>
      <c r="N105" s="32" t="s">
        <v>376</v>
      </c>
      <c r="O105" s="32">
        <v>10.0</v>
      </c>
      <c r="P105" s="50" t="str">
        <f t="shared" si="3"/>
        <v>PASSED</v>
      </c>
      <c r="Q105" s="38" t="b">
        <v>0</v>
      </c>
      <c r="R105" s="32" t="s">
        <v>571</v>
      </c>
      <c r="S105" s="39" t="s">
        <v>386</v>
      </c>
      <c r="T105" s="32" t="s">
        <v>381</v>
      </c>
    </row>
    <row r="106" ht="22.5" customHeight="1">
      <c r="A106" s="26">
        <v>46079.0</v>
      </c>
      <c r="B106" s="39" t="s">
        <v>225</v>
      </c>
      <c r="C106" s="32" t="str">
        <f t="array" ref="C106">_xlfn.XLOOKUP(B106, DB[samplingPoint], DB[samplingTag])</f>
        <v>SV216.05</v>
      </c>
      <c r="D106" s="33" t="s">
        <v>292</v>
      </c>
      <c r="E106" s="38" t="b">
        <v>1</v>
      </c>
      <c r="F106" s="39" t="str">
        <f t="array" ref="F106">_xlfn.XLOOKUP($B106, DB[samplingPoint], DB[noLocation])</f>
        <v>16-1-110</v>
      </c>
      <c r="G106" s="59" t="str">
        <f t="array" ref="G106">_xlfn.XLOOKUP($B106, DB[samplingPoint], DB[building])</f>
        <v>Building 16</v>
      </c>
      <c r="H106" s="40" t="str">
        <f t="array" ref="H106">_xlfn.XLOOKUP($B106, DB[samplingPoint], DB[location])</f>
        <v>DISINFECTANT PREPARATION</v>
      </c>
      <c r="I106" s="39" t="str">
        <f t="array" ref="I106">_xlfn.XLOOKUP($B106, DB[samplingPoint], DB[waterType])</f>
        <v>WFI</v>
      </c>
      <c r="J106" s="43">
        <f t="shared" ref="J106:J107" si="23">$A106+2</f>
        <v>46081</v>
      </c>
      <c r="K106" s="26">
        <v>46084.0</v>
      </c>
      <c r="L106" s="32">
        <v>0.0</v>
      </c>
      <c r="M106" s="32">
        <f t="shared" si="2"/>
        <v>0</v>
      </c>
      <c r="N106" s="32" t="s">
        <v>376</v>
      </c>
      <c r="O106" s="32">
        <v>10.0</v>
      </c>
      <c r="P106" s="50" t="str">
        <f t="shared" si="3"/>
        <v>PASSED</v>
      </c>
      <c r="Q106" s="38" t="b">
        <v>0</v>
      </c>
      <c r="R106" s="32" t="s">
        <v>572</v>
      </c>
      <c r="S106" s="39" t="s">
        <v>386</v>
      </c>
      <c r="T106" s="32" t="s">
        <v>381</v>
      </c>
    </row>
    <row r="107" ht="22.5" customHeight="1">
      <c r="A107" s="26">
        <v>46079.0</v>
      </c>
      <c r="B107" s="39" t="s">
        <v>365</v>
      </c>
      <c r="C107" s="32" t="str">
        <f t="array" ref="C107">_xlfn.XLOOKUP(B107, DB[samplingPoint], DB[samplingTag])</f>
        <v>SV216.10</v>
      </c>
      <c r="D107" s="33" t="s">
        <v>292</v>
      </c>
      <c r="E107" s="38" t="b">
        <v>1</v>
      </c>
      <c r="F107" s="39" t="str">
        <f t="array" ref="F107">_xlfn.XLOOKUP($B107, DB[samplingPoint], DB[noLocation])</f>
        <v>16-1-105</v>
      </c>
      <c r="G107" s="59" t="str">
        <f t="array" ref="G107">_xlfn.XLOOKUP($B107, DB[samplingPoint], DB[building])</f>
        <v>Building 16</v>
      </c>
      <c r="H107" s="40" t="str">
        <f t="array" ref="H107">_xlfn.XLOOKUP($B107, DB[samplingPoint], DB[location])</f>
        <v>WASHING/TUNNEL-01</v>
      </c>
      <c r="I107" s="39" t="str">
        <f t="array" ref="I107">_xlfn.XLOOKUP($B107, DB[samplingPoint], DB[waterType])</f>
        <v>WFI</v>
      </c>
      <c r="J107" s="43">
        <f t="shared" si="23"/>
        <v>46081</v>
      </c>
      <c r="K107" s="26">
        <v>46084.0</v>
      </c>
      <c r="L107" s="32">
        <v>0.0</v>
      </c>
      <c r="M107" s="32">
        <f t="shared" si="2"/>
        <v>0</v>
      </c>
      <c r="N107" s="32" t="s">
        <v>376</v>
      </c>
      <c r="O107" s="32">
        <v>10.0</v>
      </c>
      <c r="P107" s="50" t="str">
        <f t="shared" si="3"/>
        <v>PASSED</v>
      </c>
      <c r="Q107" s="38" t="b">
        <v>0</v>
      </c>
      <c r="R107" s="32" t="s">
        <v>572</v>
      </c>
      <c r="S107" s="39" t="s">
        <v>386</v>
      </c>
      <c r="T107" s="32" t="s">
        <v>381</v>
      </c>
    </row>
    <row r="108" ht="22.5" customHeight="1">
      <c r="A108" s="26">
        <v>46080.0</v>
      </c>
      <c r="B108" s="39" t="s">
        <v>403</v>
      </c>
      <c r="C108" s="32" t="str">
        <f t="array" ref="C108">_xlfn.XLOOKUP(B108, DB[samplingPoint], DB[samplingTag])</f>
        <v>POU HE216.01</v>
      </c>
      <c r="D108" s="33" t="s">
        <v>369</v>
      </c>
      <c r="E108" s="38" t="b">
        <v>1</v>
      </c>
      <c r="F108" s="39" t="str">
        <f t="array" ref="F108">_xlfn.XLOOKUP($B108, DB[samplingPoint], DB[noLocation])</f>
        <v>16-1-107</v>
      </c>
      <c r="G108" s="59" t="str">
        <f t="array" ref="G108">_xlfn.XLOOKUP($B108, DB[samplingPoint], DB[building])</f>
        <v>Building 16</v>
      </c>
      <c r="H108" s="40" t="str">
        <f t="array" ref="H108">_xlfn.XLOOKUP($B108, DB[samplingPoint], DB[location])</f>
        <v>COMPOUNDING-01</v>
      </c>
      <c r="I108" s="39" t="str">
        <f t="array" ref="I108">_xlfn.XLOOKUP($B108, DB[samplingPoint], DB[waterType])</f>
        <v>WFI</v>
      </c>
      <c r="J108" s="43">
        <f t="shared" ref="J108:J116" si="24">$A108+1</f>
        <v>46081</v>
      </c>
      <c r="K108" s="26">
        <v>46084.0</v>
      </c>
      <c r="L108" s="32">
        <v>0.0</v>
      </c>
      <c r="M108" s="32">
        <f t="shared" si="2"/>
        <v>0</v>
      </c>
      <c r="N108" s="32" t="s">
        <v>376</v>
      </c>
      <c r="O108" s="32">
        <v>10.0</v>
      </c>
      <c r="P108" s="50" t="str">
        <f t="shared" si="3"/>
        <v>PASSED</v>
      </c>
      <c r="Q108" s="38" t="b">
        <v>0</v>
      </c>
      <c r="R108" s="32" t="s">
        <v>574</v>
      </c>
      <c r="S108" s="39" t="s">
        <v>386</v>
      </c>
      <c r="T108" s="32" t="s">
        <v>381</v>
      </c>
    </row>
    <row r="109" ht="22.5" customHeight="1">
      <c r="A109" s="26">
        <v>46080.0</v>
      </c>
      <c r="B109" s="39" t="s">
        <v>407</v>
      </c>
      <c r="C109" s="32" t="str">
        <f t="array" ref="C109">_xlfn.XLOOKUP(B109, DB[samplingPoint], DB[samplingTag])</f>
        <v>POU HE216.02</v>
      </c>
      <c r="D109" s="33" t="s">
        <v>369</v>
      </c>
      <c r="E109" s="38" t="b">
        <v>1</v>
      </c>
      <c r="F109" s="39" t="str">
        <f t="array" ref="F109">_xlfn.XLOOKUP($B109, DB[samplingPoint], DB[noLocation])</f>
        <v>16-1-107</v>
      </c>
      <c r="G109" s="59" t="str">
        <f t="array" ref="G109">_xlfn.XLOOKUP($B109, DB[samplingPoint], DB[building])</f>
        <v>Building 16</v>
      </c>
      <c r="H109" s="40" t="str">
        <f t="array" ref="H109">_xlfn.XLOOKUP($B109, DB[samplingPoint], DB[location])</f>
        <v>COMPOUNDING-01</v>
      </c>
      <c r="I109" s="39" t="str">
        <f t="array" ref="I109">_xlfn.XLOOKUP($B109, DB[samplingPoint], DB[waterType])</f>
        <v>WFI</v>
      </c>
      <c r="J109" s="43">
        <f t="shared" si="24"/>
        <v>46081</v>
      </c>
      <c r="K109" s="26">
        <v>46084.0</v>
      </c>
      <c r="L109" s="32">
        <v>0.0</v>
      </c>
      <c r="M109" s="32">
        <f t="shared" si="2"/>
        <v>0</v>
      </c>
      <c r="N109" s="32" t="s">
        <v>376</v>
      </c>
      <c r="O109" s="32">
        <v>10.0</v>
      </c>
      <c r="P109" s="50" t="str">
        <f t="shared" si="3"/>
        <v>PASSED</v>
      </c>
      <c r="Q109" s="38" t="b">
        <v>0</v>
      </c>
      <c r="R109" s="32" t="s">
        <v>574</v>
      </c>
      <c r="S109" s="39" t="s">
        <v>386</v>
      </c>
      <c r="T109" s="32" t="s">
        <v>381</v>
      </c>
    </row>
    <row r="110" ht="22.5" customHeight="1">
      <c r="A110" s="26">
        <v>46083.0</v>
      </c>
      <c r="B110" s="39" t="s">
        <v>377</v>
      </c>
      <c r="C110" s="32" t="str">
        <f t="array" ref="C110">_xlfn.XLOOKUP(B110, DB[samplingPoint], DB[samplingTag])</f>
        <v>V12-4</v>
      </c>
      <c r="D110" s="33" t="s">
        <v>379</v>
      </c>
      <c r="E110" s="38" t="b">
        <v>1</v>
      </c>
      <c r="F110" s="39" t="str">
        <f t="array" ref="F110">_xlfn.XLOOKUP($B110, DB[samplingPoint], DB[noLocation])</f>
        <v>16-2-010</v>
      </c>
      <c r="G110" s="59" t="str">
        <f t="array" ref="G110">_xlfn.XLOOKUP($B110, DB[samplingPoint], DB[building])</f>
        <v>Building 16</v>
      </c>
      <c r="H110" s="40" t="str">
        <f t="array" ref="H110">_xlfn.XLOOKUP($B110, DB[samplingPoint], DB[location])</f>
        <v>AFTER WFI GENERATOR</v>
      </c>
      <c r="I110" s="39" t="str">
        <f t="array" ref="I110">_xlfn.XLOOKUP($B110, DB[samplingPoint], DB[waterType])</f>
        <v>WFI</v>
      </c>
      <c r="J110" s="43">
        <f t="shared" si="24"/>
        <v>46084</v>
      </c>
      <c r="K110" s="26">
        <v>46087.0</v>
      </c>
      <c r="L110" s="32">
        <v>0.0</v>
      </c>
      <c r="M110" s="32">
        <f t="shared" si="2"/>
        <v>0</v>
      </c>
      <c r="N110" s="32" t="s">
        <v>376</v>
      </c>
      <c r="O110" s="32">
        <v>10.0</v>
      </c>
      <c r="P110" s="50" t="str">
        <f t="shared" si="3"/>
        <v>PASSED</v>
      </c>
      <c r="Q110" s="38" t="b">
        <v>0</v>
      </c>
      <c r="R110" s="32" t="s">
        <v>576</v>
      </c>
      <c r="S110" s="39" t="s">
        <v>386</v>
      </c>
      <c r="T110" s="32" t="s">
        <v>381</v>
      </c>
    </row>
    <row r="111" ht="22.5" customHeight="1">
      <c r="A111" s="26">
        <v>46083.0</v>
      </c>
      <c r="B111" s="39" t="s">
        <v>383</v>
      </c>
      <c r="C111" s="32" t="str">
        <f t="array" ref="C111">_xlfn.XLOOKUP(B111, DB[samplingPoint], DB[samplingTag])</f>
        <v>SV213.01</v>
      </c>
      <c r="D111" s="33" t="s">
        <v>379</v>
      </c>
      <c r="E111" s="38" t="b">
        <v>1</v>
      </c>
      <c r="F111" s="39" t="str">
        <f t="array" ref="F111">_xlfn.XLOOKUP($B111, DB[samplingPoint], DB[noLocation])</f>
        <v>16-2-010</v>
      </c>
      <c r="G111" s="59" t="str">
        <f t="array" ref="G111">_xlfn.XLOOKUP($B111, DB[samplingPoint], DB[building])</f>
        <v>Building 16</v>
      </c>
      <c r="H111" s="40" t="str">
        <f t="array" ref="H111">_xlfn.XLOOKUP($B111, DB[samplingPoint], DB[location])</f>
        <v>AFTER STORAGE TANK</v>
      </c>
      <c r="I111" s="39" t="str">
        <f t="array" ref="I111">_xlfn.XLOOKUP($B111, DB[samplingPoint], DB[waterType])</f>
        <v>WFI</v>
      </c>
      <c r="J111" s="43">
        <f t="shared" si="24"/>
        <v>46084</v>
      </c>
      <c r="K111" s="26">
        <v>46087.0</v>
      </c>
      <c r="L111" s="32">
        <v>0.0</v>
      </c>
      <c r="M111" s="32">
        <f t="shared" si="2"/>
        <v>0</v>
      </c>
      <c r="N111" s="32" t="s">
        <v>376</v>
      </c>
      <c r="O111" s="32">
        <v>10.0</v>
      </c>
      <c r="P111" s="50" t="str">
        <f t="shared" si="3"/>
        <v>PASSED</v>
      </c>
      <c r="Q111" s="38" t="b">
        <v>0</v>
      </c>
      <c r="R111" s="32" t="s">
        <v>576</v>
      </c>
      <c r="S111" s="39" t="s">
        <v>386</v>
      </c>
      <c r="T111" s="32" t="s">
        <v>381</v>
      </c>
    </row>
    <row r="112" ht="22.5" customHeight="1">
      <c r="A112" s="26">
        <v>46083.0</v>
      </c>
      <c r="B112" s="39" t="s">
        <v>388</v>
      </c>
      <c r="C112" s="32" t="str">
        <f t="array" ref="C112">_xlfn.XLOOKUP(B112, DB[samplingPoint], DB[samplingTag])</f>
        <v>SV217.01</v>
      </c>
      <c r="D112" s="33" t="s">
        <v>379</v>
      </c>
      <c r="E112" s="38" t="b">
        <v>1</v>
      </c>
      <c r="F112" s="39" t="str">
        <f t="array" ref="F112">_xlfn.XLOOKUP($B112, DB[samplingPoint], DB[noLocation])</f>
        <v>16-2-010</v>
      </c>
      <c r="G112" s="59" t="str">
        <f t="array" ref="G112">_xlfn.XLOOKUP($B112, DB[samplingPoint], DB[building])</f>
        <v>Building 16</v>
      </c>
      <c r="H112" s="40" t="str">
        <f t="array" ref="H112">_xlfn.XLOOKUP($B112, DB[samplingPoint], DB[location])</f>
        <v>RETURN LOOP</v>
      </c>
      <c r="I112" s="39" t="str">
        <f t="array" ref="I112">_xlfn.XLOOKUP($B112, DB[samplingPoint], DB[waterType])</f>
        <v>WFI</v>
      </c>
      <c r="J112" s="43">
        <f t="shared" si="24"/>
        <v>46084</v>
      </c>
      <c r="K112" s="26">
        <v>46087.0</v>
      </c>
      <c r="L112" s="32">
        <v>0.0</v>
      </c>
      <c r="M112" s="32">
        <f t="shared" si="2"/>
        <v>0</v>
      </c>
      <c r="N112" s="32" t="s">
        <v>376</v>
      </c>
      <c r="O112" s="32">
        <v>10.0</v>
      </c>
      <c r="P112" s="50" t="str">
        <f t="shared" si="3"/>
        <v>PASSED</v>
      </c>
      <c r="Q112" s="38" t="b">
        <v>0</v>
      </c>
      <c r="R112" s="32" t="s">
        <v>576</v>
      </c>
      <c r="S112" s="39" t="s">
        <v>386</v>
      </c>
      <c r="T112" s="32" t="s">
        <v>381</v>
      </c>
    </row>
    <row r="113" ht="22.5" customHeight="1">
      <c r="A113" s="26">
        <v>46083.0</v>
      </c>
      <c r="B113" s="39" t="s">
        <v>416</v>
      </c>
      <c r="C113" s="32" t="str">
        <f t="array" ref="C113">_xlfn.XLOOKUP(B113, DB[samplingPoint], DB[samplingTag])</f>
        <v>SV216.02</v>
      </c>
      <c r="D113" s="33" t="s">
        <v>379</v>
      </c>
      <c r="E113" s="38" t="b">
        <v>1</v>
      </c>
      <c r="F113" s="39" t="str">
        <f t="array" ref="F113">_xlfn.XLOOKUP($B113, DB[samplingPoint], DB[noLocation])</f>
        <v>16-1-098</v>
      </c>
      <c r="G113" s="59" t="str">
        <f t="array" ref="G113">_xlfn.XLOOKUP($B113, DB[samplingPoint], DB[building])</f>
        <v>Building 16</v>
      </c>
      <c r="H113" s="40" t="str">
        <f t="array" ref="H113">_xlfn.XLOOKUP($B113, DB[samplingPoint], DB[location])</f>
        <v>CIP/SIP</v>
      </c>
      <c r="I113" s="39" t="str">
        <f t="array" ref="I113">_xlfn.XLOOKUP($B113, DB[samplingPoint], DB[waterType])</f>
        <v>WFI</v>
      </c>
      <c r="J113" s="43">
        <f t="shared" si="24"/>
        <v>46084</v>
      </c>
      <c r="K113" s="26">
        <v>46087.0</v>
      </c>
      <c r="L113" s="32">
        <v>0.0</v>
      </c>
      <c r="M113" s="32">
        <f t="shared" si="2"/>
        <v>0</v>
      </c>
      <c r="N113" s="32" t="s">
        <v>376</v>
      </c>
      <c r="O113" s="32">
        <v>10.0</v>
      </c>
      <c r="P113" s="50" t="str">
        <f t="shared" si="3"/>
        <v>PASSED</v>
      </c>
      <c r="Q113" s="38" t="b">
        <v>0</v>
      </c>
      <c r="R113" s="32" t="s">
        <v>576</v>
      </c>
      <c r="S113" s="39" t="s">
        <v>386</v>
      </c>
      <c r="T113" s="32" t="s">
        <v>381</v>
      </c>
    </row>
    <row r="114" ht="22.5" customHeight="1">
      <c r="A114" s="26">
        <v>46083.0</v>
      </c>
      <c r="B114" s="39" t="s">
        <v>418</v>
      </c>
      <c r="C114" s="32" t="str">
        <f t="array" ref="C114">_xlfn.XLOOKUP(B114, DB[samplingPoint], DB[samplingTag])</f>
        <v>SV216.04</v>
      </c>
      <c r="D114" s="33" t="s">
        <v>379</v>
      </c>
      <c r="E114" s="38" t="b">
        <v>1</v>
      </c>
      <c r="F114" s="39" t="str">
        <f t="array" ref="F114">_xlfn.XLOOKUP($B114, DB[samplingPoint], DB[noLocation])</f>
        <v>16-1-098</v>
      </c>
      <c r="G114" s="59" t="str">
        <f t="array" ref="G114">_xlfn.XLOOKUP($B114, DB[samplingPoint], DB[building])</f>
        <v>Building 16</v>
      </c>
      <c r="H114" s="40" t="str">
        <f t="array" ref="H114">_xlfn.XLOOKUP($B114, DB[samplingPoint], DB[location])</f>
        <v>CIP/SIP</v>
      </c>
      <c r="I114" s="39" t="str">
        <f t="array" ref="I114">_xlfn.XLOOKUP($B114, DB[samplingPoint], DB[waterType])</f>
        <v>WFI</v>
      </c>
      <c r="J114" s="43">
        <f t="shared" si="24"/>
        <v>46084</v>
      </c>
      <c r="K114" s="26">
        <v>46087.0</v>
      </c>
      <c r="L114" s="32">
        <v>0.0</v>
      </c>
      <c r="M114" s="32">
        <f t="shared" si="2"/>
        <v>0</v>
      </c>
      <c r="N114" s="32" t="s">
        <v>376</v>
      </c>
      <c r="O114" s="32">
        <v>10.0</v>
      </c>
      <c r="P114" s="50" t="str">
        <f t="shared" si="3"/>
        <v>PASSED</v>
      </c>
      <c r="Q114" s="38" t="b">
        <v>0</v>
      </c>
      <c r="R114" s="32" t="s">
        <v>576</v>
      </c>
      <c r="S114" s="39" t="s">
        <v>386</v>
      </c>
      <c r="T114" s="32" t="s">
        <v>381</v>
      </c>
    </row>
    <row r="115" ht="22.5" customHeight="1">
      <c r="A115" s="26">
        <v>46085.0</v>
      </c>
      <c r="B115" s="39" t="s">
        <v>367</v>
      </c>
      <c r="C115" s="32" t="str">
        <f t="array" ref="C115">_xlfn.XLOOKUP(B115, DB[samplingPoint], DB[samplingTag])</f>
        <v>POU HE216.04</v>
      </c>
      <c r="D115" s="33" t="s">
        <v>404</v>
      </c>
      <c r="E115" s="38" t="b">
        <v>1</v>
      </c>
      <c r="F115" s="39" t="str">
        <f t="array" ref="F115">_xlfn.XLOOKUP($B115, DB[samplingPoint], DB[noLocation])</f>
        <v>16-1-114</v>
      </c>
      <c r="G115" s="59" t="str">
        <f t="array" ref="G115">_xlfn.XLOOKUP($B115, DB[samplingPoint], DB[building])</f>
        <v>Building 16</v>
      </c>
      <c r="H115" s="40" t="str">
        <f t="array" ref="H115">_xlfn.XLOOKUP($B115, DB[samplingPoint], DB[location])</f>
        <v>COMPOUNDING-02</v>
      </c>
      <c r="I115" s="39" t="str">
        <f t="array" ref="I115">_xlfn.XLOOKUP($B115, DB[samplingPoint], DB[waterType])</f>
        <v>WFI</v>
      </c>
      <c r="J115" s="43">
        <f t="shared" si="24"/>
        <v>46086</v>
      </c>
      <c r="K115" s="26">
        <v>46091.0</v>
      </c>
      <c r="L115" s="32">
        <v>0.0</v>
      </c>
      <c r="M115" s="32">
        <f t="shared" si="2"/>
        <v>0</v>
      </c>
      <c r="N115" s="32" t="s">
        <v>376</v>
      </c>
      <c r="O115" s="32">
        <v>10.0</v>
      </c>
      <c r="P115" s="50" t="str">
        <f t="shared" si="3"/>
        <v>PASSED</v>
      </c>
      <c r="Q115" s="38" t="b">
        <v>0</v>
      </c>
      <c r="R115" s="32" t="s">
        <v>577</v>
      </c>
      <c r="S115" s="39" t="s">
        <v>386</v>
      </c>
      <c r="T115" s="32" t="s">
        <v>381</v>
      </c>
    </row>
    <row r="116" ht="22.5" customHeight="1">
      <c r="A116" s="26">
        <v>46085.0</v>
      </c>
      <c r="B116" s="39" t="s">
        <v>372</v>
      </c>
      <c r="C116" s="32" t="str">
        <f t="array" ref="C116">_xlfn.XLOOKUP(B116, DB[samplingPoint], DB[samplingTag])</f>
        <v>POU HE216.05</v>
      </c>
      <c r="D116" s="33" t="s">
        <v>404</v>
      </c>
      <c r="E116" s="38" t="b">
        <v>1</v>
      </c>
      <c r="F116" s="39" t="str">
        <f t="array" ref="F116">_xlfn.XLOOKUP($B116, DB[samplingPoint], DB[noLocation])</f>
        <v>16-1-114</v>
      </c>
      <c r="G116" s="59" t="str">
        <f t="array" ref="G116">_xlfn.XLOOKUP($B116, DB[samplingPoint], DB[building])</f>
        <v>Building 16</v>
      </c>
      <c r="H116" s="40" t="str">
        <f t="array" ref="H116">_xlfn.XLOOKUP($B116, DB[samplingPoint], DB[location])</f>
        <v>COMPOUNDING-02</v>
      </c>
      <c r="I116" s="39" t="str">
        <f t="array" ref="I116">_xlfn.XLOOKUP($B116, DB[samplingPoint], DB[waterType])</f>
        <v>WFI</v>
      </c>
      <c r="J116" s="43">
        <f t="shared" si="24"/>
        <v>46086</v>
      </c>
      <c r="K116" s="26">
        <v>46091.0</v>
      </c>
      <c r="L116" s="32">
        <v>0.0</v>
      </c>
      <c r="M116" s="32">
        <f t="shared" si="2"/>
        <v>0</v>
      </c>
      <c r="N116" s="32" t="s">
        <v>376</v>
      </c>
      <c r="O116" s="32">
        <v>10.0</v>
      </c>
      <c r="P116" s="50" t="str">
        <f t="shared" si="3"/>
        <v>PASSED</v>
      </c>
      <c r="Q116" s="38" t="b">
        <v>0</v>
      </c>
      <c r="R116" s="32" t="s">
        <v>577</v>
      </c>
      <c r="S116" s="39" t="s">
        <v>386</v>
      </c>
      <c r="T116" s="32" t="s">
        <v>381</v>
      </c>
    </row>
    <row r="117" ht="22.5" customHeight="1">
      <c r="A117" s="109">
        <v>46086.0</v>
      </c>
      <c r="B117" s="39" t="s">
        <v>403</v>
      </c>
      <c r="C117" s="32" t="str">
        <f t="array" ref="C117">_xlfn.XLOOKUP(B117, DB[samplingPoint], DB[samplingTag])</f>
        <v>POU HE216.01</v>
      </c>
      <c r="D117" s="33" t="s">
        <v>412</v>
      </c>
      <c r="E117" s="38" t="b">
        <v>1</v>
      </c>
      <c r="F117" s="39" t="str">
        <f t="array" ref="F117">_xlfn.XLOOKUP($B117, DB[samplingPoint], DB[noLocation])</f>
        <v>16-1-107</v>
      </c>
      <c r="G117" s="33" t="s">
        <v>327</v>
      </c>
      <c r="H117" s="40" t="str">
        <f t="array" ref="H117">_xlfn.XLOOKUP($B117, DB[samplingPoint], DB[location])</f>
        <v>COMPOUNDING-01</v>
      </c>
      <c r="I117" s="39" t="str">
        <f t="array" ref="I117">_xlfn.XLOOKUP($B117, DB[samplingPoint], DB[waterType])</f>
        <v>WFI</v>
      </c>
      <c r="J117" s="43">
        <f t="shared" ref="J117:J118" si="25">$A117+2</f>
        <v>46088</v>
      </c>
      <c r="K117" s="26">
        <v>46091.0</v>
      </c>
      <c r="L117" s="32">
        <v>0.0</v>
      </c>
      <c r="M117" s="32">
        <f t="shared" si="2"/>
        <v>0</v>
      </c>
      <c r="N117" s="32" t="s">
        <v>376</v>
      </c>
      <c r="O117" s="32">
        <v>10.0</v>
      </c>
      <c r="P117" s="50" t="str">
        <f t="shared" si="3"/>
        <v>PASSED</v>
      </c>
      <c r="Q117" s="110"/>
      <c r="R117" s="32" t="s">
        <v>578</v>
      </c>
      <c r="S117" s="39" t="s">
        <v>386</v>
      </c>
      <c r="T117" s="32" t="s">
        <v>381</v>
      </c>
    </row>
    <row r="118" ht="22.5" customHeight="1">
      <c r="A118" s="26">
        <v>46086.0</v>
      </c>
      <c r="B118" s="39" t="s">
        <v>407</v>
      </c>
      <c r="C118" s="32" t="str">
        <f t="array" ref="C118">_xlfn.XLOOKUP(B118, DB[samplingPoint], DB[samplingTag])</f>
        <v>POU HE216.02</v>
      </c>
      <c r="D118" s="33" t="s">
        <v>412</v>
      </c>
      <c r="E118" s="38" t="b">
        <v>1</v>
      </c>
      <c r="F118" s="39" t="str">
        <f t="array" ref="F118">_xlfn.XLOOKUP($B118, DB[samplingPoint], DB[noLocation])</f>
        <v>16-1-107</v>
      </c>
      <c r="G118" s="33" t="s">
        <v>327</v>
      </c>
      <c r="H118" s="40" t="str">
        <f t="array" ref="H118">_xlfn.XLOOKUP($B118, DB[samplingPoint], DB[location])</f>
        <v>COMPOUNDING-01</v>
      </c>
      <c r="I118" s="39" t="str">
        <f t="array" ref="I118">_xlfn.XLOOKUP($B118, DB[samplingPoint], DB[waterType])</f>
        <v>WFI</v>
      </c>
      <c r="J118" s="43">
        <f t="shared" si="25"/>
        <v>46088</v>
      </c>
      <c r="K118" s="26">
        <v>46091.0</v>
      </c>
      <c r="L118" s="32">
        <v>0.0</v>
      </c>
      <c r="M118" s="32">
        <f t="shared" si="2"/>
        <v>0</v>
      </c>
      <c r="N118" s="32" t="s">
        <v>376</v>
      </c>
      <c r="O118" s="32">
        <v>10.0</v>
      </c>
      <c r="P118" s="50" t="str">
        <f t="shared" si="3"/>
        <v>PASSED</v>
      </c>
      <c r="Q118" s="38" t="b">
        <v>0</v>
      </c>
      <c r="R118" s="32" t="s">
        <v>578</v>
      </c>
      <c r="S118" s="39" t="s">
        <v>386</v>
      </c>
      <c r="T118" s="32" t="s">
        <v>381</v>
      </c>
    </row>
    <row r="119" ht="22.5" customHeight="1">
      <c r="A119" s="109">
        <v>46087.0</v>
      </c>
      <c r="B119" s="39" t="s">
        <v>391</v>
      </c>
      <c r="C119" s="32" t="str">
        <f t="array" ref="C119">_xlfn.XLOOKUP(B119, DB[samplingPoint], DB[samplingTag])</f>
        <v>SV216.03</v>
      </c>
      <c r="D119" s="33" t="s">
        <v>292</v>
      </c>
      <c r="E119" s="38" t="b">
        <v>1</v>
      </c>
      <c r="F119" s="39" t="str">
        <f t="array" ref="F119">_xlfn.XLOOKUP($B119, DB[samplingPoint], DB[noLocation])</f>
        <v>16-1-096</v>
      </c>
      <c r="G119" s="33" t="s">
        <v>327</v>
      </c>
      <c r="H119" s="40" t="str">
        <f t="array" ref="H119">_xlfn.XLOOKUP($B119, DB[samplingPoint], DB[location])</f>
        <v>WASHING/TUNNEL-02</v>
      </c>
      <c r="I119" s="39" t="str">
        <f t="array" ref="I119">_xlfn.XLOOKUP($B119, DB[samplingPoint], DB[waterType])</f>
        <v>WFI</v>
      </c>
      <c r="J119" s="43">
        <f t="shared" ref="J119:J123" si="26">$A119+1</f>
        <v>46088</v>
      </c>
      <c r="K119" s="26">
        <v>46091.0</v>
      </c>
      <c r="L119" s="32">
        <v>0.0</v>
      </c>
      <c r="M119" s="32">
        <f t="shared" si="2"/>
        <v>0</v>
      </c>
      <c r="N119" s="32" t="s">
        <v>376</v>
      </c>
      <c r="O119" s="32">
        <v>10.0</v>
      </c>
      <c r="P119" s="50" t="str">
        <f t="shared" si="3"/>
        <v>PASSED</v>
      </c>
      <c r="Q119" s="38" t="b">
        <v>0</v>
      </c>
      <c r="R119" s="32" t="s">
        <v>580</v>
      </c>
      <c r="S119" s="39" t="s">
        <v>386</v>
      </c>
      <c r="T119" s="32" t="s">
        <v>381</v>
      </c>
    </row>
    <row r="120" ht="22.5" customHeight="1">
      <c r="A120" s="26">
        <v>46087.0</v>
      </c>
      <c r="B120" s="39" t="s">
        <v>395</v>
      </c>
      <c r="C120" s="32" t="str">
        <f t="array" ref="C120">_xlfn.XLOOKUP(B120, DB[samplingPoint], DB[samplingTag])</f>
        <v>POU HE216.03</v>
      </c>
      <c r="D120" s="33" t="s">
        <v>292</v>
      </c>
      <c r="E120" s="38" t="b">
        <v>1</v>
      </c>
      <c r="F120" s="39" t="str">
        <f t="array" ref="F120">_xlfn.XLOOKUP($B120, DB[samplingPoint], DB[noLocation])</f>
        <v>16-1-082</v>
      </c>
      <c r="G120" s="33" t="s">
        <v>327</v>
      </c>
      <c r="H120" s="40" t="str">
        <f t="array" ref="H120">_xlfn.XLOOKUP($B120, DB[samplingPoint], DB[location])</f>
        <v>WASHING</v>
      </c>
      <c r="I120" s="39" t="str">
        <f t="array" ref="I120">_xlfn.XLOOKUP($B120, DB[samplingPoint], DB[waterType])</f>
        <v>WFI</v>
      </c>
      <c r="J120" s="43">
        <f t="shared" si="26"/>
        <v>46088</v>
      </c>
      <c r="K120" s="26">
        <v>46091.0</v>
      </c>
      <c r="L120" s="32">
        <v>0.0</v>
      </c>
      <c r="M120" s="32">
        <f t="shared" si="2"/>
        <v>0</v>
      </c>
      <c r="N120" s="32" t="s">
        <v>376</v>
      </c>
      <c r="O120" s="32">
        <v>10.0</v>
      </c>
      <c r="P120" s="50" t="str">
        <f t="shared" si="3"/>
        <v>PASSED</v>
      </c>
      <c r="Q120" s="38" t="b">
        <v>0</v>
      </c>
      <c r="R120" s="32" t="s">
        <v>580</v>
      </c>
      <c r="S120" s="39" t="s">
        <v>386</v>
      </c>
      <c r="T120" s="32" t="s">
        <v>381</v>
      </c>
    </row>
    <row r="121" ht="22.5" customHeight="1">
      <c r="A121" s="26">
        <v>46087.0</v>
      </c>
      <c r="B121" s="39" t="s">
        <v>397</v>
      </c>
      <c r="C121" s="32" t="str">
        <f t="array" ref="C121">_xlfn.XLOOKUP(B121, DB[samplingPoint], DB[samplingTag])</f>
        <v>SV216.06</v>
      </c>
      <c r="D121" s="33" t="s">
        <v>292</v>
      </c>
      <c r="E121" s="38" t="b">
        <v>1</v>
      </c>
      <c r="F121" s="39" t="str">
        <f t="array" ref="F121">_xlfn.XLOOKUP($B121, DB[samplingPoint], DB[noLocation])</f>
        <v>16-1-082</v>
      </c>
      <c r="G121" s="33" t="s">
        <v>327</v>
      </c>
      <c r="H121" s="40" t="str">
        <f t="array" ref="H121">_xlfn.XLOOKUP($B121, DB[samplingPoint], DB[location])</f>
        <v>WASHING</v>
      </c>
      <c r="I121" s="39" t="str">
        <f t="array" ref="I121">_xlfn.XLOOKUP($B121, DB[samplingPoint], DB[waterType])</f>
        <v>WFI</v>
      </c>
      <c r="J121" s="43">
        <f t="shared" si="26"/>
        <v>46088</v>
      </c>
      <c r="K121" s="26">
        <v>46091.0</v>
      </c>
      <c r="L121" s="32">
        <v>0.0</v>
      </c>
      <c r="M121" s="32">
        <f t="shared" si="2"/>
        <v>0</v>
      </c>
      <c r="N121" s="32" t="s">
        <v>376</v>
      </c>
      <c r="O121" s="32">
        <v>10.0</v>
      </c>
      <c r="P121" s="50" t="str">
        <f t="shared" si="3"/>
        <v>PASSED</v>
      </c>
      <c r="Q121" s="38" t="b">
        <v>0</v>
      </c>
      <c r="R121" s="32" t="s">
        <v>580</v>
      </c>
      <c r="S121" s="39" t="s">
        <v>386</v>
      </c>
      <c r="T121" s="32" t="s">
        <v>381</v>
      </c>
    </row>
    <row r="122" ht="22.5" customHeight="1">
      <c r="A122" s="26">
        <v>46087.0</v>
      </c>
      <c r="B122" s="39" t="s">
        <v>225</v>
      </c>
      <c r="C122" s="32" t="str">
        <f t="array" ref="C122">_xlfn.XLOOKUP(B122, DB[samplingPoint], DB[samplingTag])</f>
        <v>SV216.05</v>
      </c>
      <c r="D122" s="33" t="s">
        <v>292</v>
      </c>
      <c r="E122" s="38" t="b">
        <v>1</v>
      </c>
      <c r="F122" s="39" t="str">
        <f t="array" ref="F122">_xlfn.XLOOKUP($B122, DB[samplingPoint], DB[noLocation])</f>
        <v>16-1-110</v>
      </c>
      <c r="G122" s="33" t="s">
        <v>327</v>
      </c>
      <c r="H122" s="40" t="str">
        <f t="array" ref="H122">_xlfn.XLOOKUP($B122, DB[samplingPoint], DB[location])</f>
        <v>DISINFECTANT PREPARATION</v>
      </c>
      <c r="I122" s="39" t="str">
        <f t="array" ref="I122">_xlfn.XLOOKUP($B122, DB[samplingPoint], DB[waterType])</f>
        <v>WFI</v>
      </c>
      <c r="J122" s="43">
        <f t="shared" si="26"/>
        <v>46088</v>
      </c>
      <c r="K122" s="26">
        <v>46091.0</v>
      </c>
      <c r="L122" s="32">
        <v>0.0</v>
      </c>
      <c r="M122" s="32">
        <f t="shared" si="2"/>
        <v>0</v>
      </c>
      <c r="N122" s="32" t="s">
        <v>376</v>
      </c>
      <c r="O122" s="32">
        <v>10.0</v>
      </c>
      <c r="P122" s="50" t="str">
        <f t="shared" si="3"/>
        <v>PASSED</v>
      </c>
      <c r="Q122" s="38" t="b">
        <v>0</v>
      </c>
      <c r="R122" s="32" t="s">
        <v>580</v>
      </c>
      <c r="S122" s="39" t="s">
        <v>386</v>
      </c>
      <c r="T122" s="32" t="s">
        <v>381</v>
      </c>
    </row>
    <row r="123" ht="22.5" customHeight="1">
      <c r="A123" s="26">
        <v>46087.0</v>
      </c>
      <c r="B123" s="39" t="s">
        <v>365</v>
      </c>
      <c r="C123" s="32" t="str">
        <f t="array" ref="C123">_xlfn.XLOOKUP(B123, DB[samplingPoint], DB[samplingTag])</f>
        <v>SV216.10</v>
      </c>
      <c r="D123" s="33" t="s">
        <v>292</v>
      </c>
      <c r="E123" s="38" t="b">
        <v>1</v>
      </c>
      <c r="F123" s="39" t="str">
        <f t="array" ref="F123">_xlfn.XLOOKUP($B123, DB[samplingPoint], DB[noLocation])</f>
        <v>16-1-105</v>
      </c>
      <c r="G123" s="33" t="s">
        <v>327</v>
      </c>
      <c r="H123" s="40" t="str">
        <f t="array" ref="H123">_xlfn.XLOOKUP($B123, DB[samplingPoint], DB[location])</f>
        <v>WASHING/TUNNEL-01</v>
      </c>
      <c r="I123" s="39" t="str">
        <f t="array" ref="I123">_xlfn.XLOOKUP($B123, DB[samplingPoint], DB[waterType])</f>
        <v>WFI</v>
      </c>
      <c r="J123" s="43">
        <f t="shared" si="26"/>
        <v>46088</v>
      </c>
      <c r="K123" s="26">
        <v>46091.0</v>
      </c>
      <c r="L123" s="32">
        <v>0.0</v>
      </c>
      <c r="M123" s="32">
        <f t="shared" si="2"/>
        <v>0</v>
      </c>
      <c r="N123" s="32" t="s">
        <v>376</v>
      </c>
      <c r="O123" s="32">
        <v>10.0</v>
      </c>
      <c r="P123" s="50" t="str">
        <f t="shared" si="3"/>
        <v>PASSED</v>
      </c>
      <c r="Q123" s="38" t="b">
        <v>0</v>
      </c>
      <c r="R123" s="32" t="s">
        <v>580</v>
      </c>
      <c r="S123" s="39" t="s">
        <v>386</v>
      </c>
      <c r="T123" s="32" t="s">
        <v>381</v>
      </c>
    </row>
    <row r="124" ht="22.5" customHeight="1">
      <c r="A124" s="26">
        <v>46090.0</v>
      </c>
      <c r="B124" s="48" t="s">
        <v>383</v>
      </c>
      <c r="C124" s="32" t="str">
        <f t="array" ref="C124">_xlfn.XLOOKUP(B124, DB[samplingPoint], DB[samplingTag])</f>
        <v>SV213.01</v>
      </c>
      <c r="D124" s="33" t="s">
        <v>584</v>
      </c>
      <c r="E124" s="38" t="b">
        <v>1</v>
      </c>
      <c r="F124" s="39" t="str">
        <f t="array" ref="F124">_xlfn.XLOOKUP($B124, DB[samplingPoint], DB[noLocation])</f>
        <v>16-2-010</v>
      </c>
      <c r="G124" s="33" t="s">
        <v>327</v>
      </c>
      <c r="H124" s="40" t="str">
        <f t="array" ref="H124">_xlfn.XLOOKUP($B124, DB[samplingPoint], DB[location])</f>
        <v>AFTER STORAGE TANK</v>
      </c>
      <c r="I124" s="39" t="str">
        <f t="array" ref="I124">_xlfn.XLOOKUP($B124, DB[samplingPoint], DB[waterType])</f>
        <v>WFI</v>
      </c>
      <c r="J124" s="43">
        <f t="shared" ref="J124:J139" si="27">$A124+2</f>
        <v>46092</v>
      </c>
      <c r="K124" s="26">
        <v>46095.0</v>
      </c>
      <c r="L124" s="32">
        <v>0.0</v>
      </c>
      <c r="M124" s="32">
        <f t="shared" si="2"/>
        <v>0</v>
      </c>
      <c r="N124" s="55" t="s">
        <v>585</v>
      </c>
      <c r="O124" s="32">
        <v>10.0</v>
      </c>
      <c r="P124" s="50" t="str">
        <f t="shared" si="3"/>
        <v>PASSED</v>
      </c>
      <c r="Q124" s="110"/>
      <c r="R124" s="32" t="s">
        <v>586</v>
      </c>
      <c r="S124" s="39" t="s">
        <v>386</v>
      </c>
      <c r="T124" s="32" t="s">
        <v>381</v>
      </c>
    </row>
    <row r="125" ht="22.5" customHeight="1">
      <c r="A125" s="26">
        <v>46090.0</v>
      </c>
      <c r="B125" s="48" t="s">
        <v>388</v>
      </c>
      <c r="C125" s="32" t="str">
        <f t="array" ref="C125">_xlfn.XLOOKUP(B125, DB[samplingPoint], DB[samplingTag])</f>
        <v>SV217.01</v>
      </c>
      <c r="D125" s="33" t="s">
        <v>584</v>
      </c>
      <c r="E125" s="38" t="b">
        <v>1</v>
      </c>
      <c r="F125" s="39" t="str">
        <f t="array" ref="F125">_xlfn.XLOOKUP($B125, DB[samplingPoint], DB[noLocation])</f>
        <v>16-2-010</v>
      </c>
      <c r="G125" s="33" t="s">
        <v>327</v>
      </c>
      <c r="H125" s="40" t="str">
        <f t="array" ref="H125">_xlfn.XLOOKUP($B125, DB[samplingPoint], DB[location])</f>
        <v>RETURN LOOP</v>
      </c>
      <c r="I125" s="39" t="str">
        <f t="array" ref="I125">_xlfn.XLOOKUP($B125, DB[samplingPoint], DB[waterType])</f>
        <v>WFI</v>
      </c>
      <c r="J125" s="43">
        <f t="shared" si="27"/>
        <v>46092</v>
      </c>
      <c r="K125" s="26">
        <v>46095.0</v>
      </c>
      <c r="L125" s="32">
        <v>0.0</v>
      </c>
      <c r="M125" s="32">
        <f t="shared" si="2"/>
        <v>0</v>
      </c>
      <c r="N125" s="55" t="s">
        <v>585</v>
      </c>
      <c r="O125" s="32">
        <v>10.0</v>
      </c>
      <c r="P125" s="50" t="str">
        <f t="shared" si="3"/>
        <v>PASSED</v>
      </c>
      <c r="Q125" s="110"/>
      <c r="R125" s="32" t="s">
        <v>586</v>
      </c>
      <c r="S125" s="39" t="s">
        <v>386</v>
      </c>
      <c r="T125" s="32" t="s">
        <v>381</v>
      </c>
    </row>
    <row r="126" ht="22.5" customHeight="1">
      <c r="A126" s="26">
        <v>46090.0</v>
      </c>
      <c r="B126" s="95" t="s">
        <v>377</v>
      </c>
      <c r="C126" s="32" t="str">
        <f t="array" ref="C126">_xlfn.XLOOKUP(B126, DB[samplingPoint], DB[samplingTag])</f>
        <v>V12-4</v>
      </c>
      <c r="D126" s="33" t="s">
        <v>584</v>
      </c>
      <c r="E126" s="38" t="b">
        <v>1</v>
      </c>
      <c r="F126" s="39" t="str">
        <f t="array" ref="F126">_xlfn.XLOOKUP($B126, DB[samplingPoint], DB[noLocation])</f>
        <v>16-2-010</v>
      </c>
      <c r="G126" s="33" t="s">
        <v>327</v>
      </c>
      <c r="H126" s="40" t="str">
        <f t="array" ref="H126">_xlfn.XLOOKUP($B126, DB[samplingPoint], DB[location])</f>
        <v>AFTER WFI GENERATOR</v>
      </c>
      <c r="I126" s="39" t="str">
        <f t="array" ref="I126">_xlfn.XLOOKUP($B126, DB[samplingPoint], DB[waterType])</f>
        <v>WFI</v>
      </c>
      <c r="J126" s="43">
        <f t="shared" si="27"/>
        <v>46092</v>
      </c>
      <c r="K126" s="26">
        <v>46095.0</v>
      </c>
      <c r="L126" s="32">
        <v>0.0</v>
      </c>
      <c r="M126" s="32">
        <f t="shared" si="2"/>
        <v>0</v>
      </c>
      <c r="N126" s="55" t="s">
        <v>587</v>
      </c>
      <c r="O126" s="32">
        <v>10.0</v>
      </c>
      <c r="P126" s="50" t="str">
        <f t="shared" si="3"/>
        <v>PASSED</v>
      </c>
      <c r="Q126" s="110"/>
      <c r="R126" s="32" t="s">
        <v>586</v>
      </c>
      <c r="S126" s="39" t="s">
        <v>386</v>
      </c>
      <c r="T126" s="32" t="s">
        <v>381</v>
      </c>
    </row>
    <row r="127" ht="22.5" customHeight="1">
      <c r="A127" s="26">
        <v>46090.0</v>
      </c>
      <c r="B127" s="48" t="s">
        <v>383</v>
      </c>
      <c r="C127" s="32" t="str">
        <f t="array" ref="C127">_xlfn.XLOOKUP(B127, DB[samplingPoint], DB[samplingTag])</f>
        <v>SV213.01</v>
      </c>
      <c r="D127" s="33" t="s">
        <v>584</v>
      </c>
      <c r="E127" s="38" t="b">
        <v>1</v>
      </c>
      <c r="F127" s="39" t="str">
        <f t="array" ref="F127">_xlfn.XLOOKUP($B127, DB[samplingPoint], DB[noLocation])</f>
        <v>16-2-010</v>
      </c>
      <c r="G127" s="33" t="s">
        <v>327</v>
      </c>
      <c r="H127" s="40" t="str">
        <f t="array" ref="H127">_xlfn.XLOOKUP($B127, DB[samplingPoint], DB[location])</f>
        <v>AFTER STORAGE TANK</v>
      </c>
      <c r="I127" s="39" t="str">
        <f t="array" ref="I127">_xlfn.XLOOKUP($B127, DB[samplingPoint], DB[waterType])</f>
        <v>WFI</v>
      </c>
      <c r="J127" s="43">
        <f t="shared" si="27"/>
        <v>46092</v>
      </c>
      <c r="K127" s="26">
        <v>46095.0</v>
      </c>
      <c r="L127" s="32">
        <v>0.0</v>
      </c>
      <c r="M127" s="32">
        <f t="shared" si="2"/>
        <v>0</v>
      </c>
      <c r="N127" s="55" t="s">
        <v>587</v>
      </c>
      <c r="O127" s="32">
        <v>10.0</v>
      </c>
      <c r="P127" s="50" t="str">
        <f t="shared" si="3"/>
        <v>PASSED</v>
      </c>
      <c r="Q127" s="110"/>
      <c r="R127" s="32" t="s">
        <v>586</v>
      </c>
      <c r="S127" s="39" t="s">
        <v>386</v>
      </c>
      <c r="T127" s="32" t="s">
        <v>381</v>
      </c>
    </row>
    <row r="128" ht="22.5" customHeight="1">
      <c r="A128" s="26">
        <v>46090.0</v>
      </c>
      <c r="B128" s="48" t="s">
        <v>388</v>
      </c>
      <c r="C128" s="32" t="str">
        <f t="array" ref="C128">_xlfn.XLOOKUP(B128, DB[samplingPoint], DB[samplingTag])</f>
        <v>SV217.01</v>
      </c>
      <c r="D128" s="33" t="s">
        <v>584</v>
      </c>
      <c r="E128" s="38" t="b">
        <v>1</v>
      </c>
      <c r="F128" s="39" t="str">
        <f t="array" ref="F128">_xlfn.XLOOKUP($B128, DB[samplingPoint], DB[noLocation])</f>
        <v>16-2-010</v>
      </c>
      <c r="G128" s="33" t="s">
        <v>327</v>
      </c>
      <c r="H128" s="40" t="str">
        <f t="array" ref="H128">_xlfn.XLOOKUP($B128, DB[samplingPoint], DB[location])</f>
        <v>RETURN LOOP</v>
      </c>
      <c r="I128" s="39" t="str">
        <f t="array" ref="I128">_xlfn.XLOOKUP($B128, DB[samplingPoint], DB[waterType])</f>
        <v>WFI</v>
      </c>
      <c r="J128" s="43">
        <f t="shared" si="27"/>
        <v>46092</v>
      </c>
      <c r="K128" s="26">
        <v>46095.0</v>
      </c>
      <c r="L128" s="32">
        <v>0.0</v>
      </c>
      <c r="M128" s="32">
        <f t="shared" si="2"/>
        <v>0</v>
      </c>
      <c r="N128" s="55" t="s">
        <v>587</v>
      </c>
      <c r="O128" s="32">
        <v>10.0</v>
      </c>
      <c r="P128" s="50" t="str">
        <f t="shared" si="3"/>
        <v>PASSED</v>
      </c>
      <c r="Q128" s="110"/>
      <c r="R128" s="32" t="s">
        <v>586</v>
      </c>
      <c r="S128" s="39" t="s">
        <v>386</v>
      </c>
      <c r="T128" s="32" t="s">
        <v>381</v>
      </c>
    </row>
    <row r="129" ht="22.5" customHeight="1">
      <c r="A129" s="26">
        <v>46090.0</v>
      </c>
      <c r="B129" s="48" t="s">
        <v>403</v>
      </c>
      <c r="C129" s="32" t="str">
        <f t="array" ref="C129">_xlfn.XLOOKUP(B129, DB[samplingPoint], DB[samplingTag])</f>
        <v>POU HE216.01</v>
      </c>
      <c r="D129" s="33" t="s">
        <v>584</v>
      </c>
      <c r="E129" s="38" t="b">
        <v>1</v>
      </c>
      <c r="F129" s="39" t="str">
        <f t="array" ref="F129">_xlfn.XLOOKUP($B129, DB[samplingPoint], DB[noLocation])</f>
        <v>16-1-107</v>
      </c>
      <c r="G129" s="33" t="s">
        <v>327</v>
      </c>
      <c r="H129" s="40" t="str">
        <f t="array" ref="H129">_xlfn.XLOOKUP($B129, DB[samplingPoint], DB[location])</f>
        <v>COMPOUNDING-01</v>
      </c>
      <c r="I129" s="39" t="str">
        <f t="array" ref="I129">_xlfn.XLOOKUP($B129, DB[samplingPoint], DB[waterType])</f>
        <v>WFI</v>
      </c>
      <c r="J129" s="43">
        <f t="shared" si="27"/>
        <v>46092</v>
      </c>
      <c r="K129" s="26">
        <v>46095.0</v>
      </c>
      <c r="L129" s="32">
        <v>0.0</v>
      </c>
      <c r="M129" s="32">
        <f t="shared" si="2"/>
        <v>0</v>
      </c>
      <c r="N129" s="55" t="s">
        <v>587</v>
      </c>
      <c r="O129" s="32">
        <v>10.0</v>
      </c>
      <c r="P129" s="50" t="str">
        <f t="shared" si="3"/>
        <v>PASSED</v>
      </c>
      <c r="Q129" s="110"/>
      <c r="R129" s="32" t="s">
        <v>586</v>
      </c>
      <c r="S129" s="39" t="s">
        <v>386</v>
      </c>
      <c r="T129" s="32" t="s">
        <v>381</v>
      </c>
    </row>
    <row r="130" ht="22.5" customHeight="1">
      <c r="A130" s="26">
        <v>46090.0</v>
      </c>
      <c r="B130" s="48" t="s">
        <v>407</v>
      </c>
      <c r="C130" s="32" t="str">
        <f t="array" ref="C130">_xlfn.XLOOKUP(B130, DB[samplingPoint], DB[samplingTag])</f>
        <v>POU HE216.02</v>
      </c>
      <c r="D130" s="33" t="s">
        <v>584</v>
      </c>
      <c r="E130" s="38" t="b">
        <v>1</v>
      </c>
      <c r="F130" s="39" t="str">
        <f t="array" ref="F130">_xlfn.XLOOKUP($B130, DB[samplingPoint], DB[noLocation])</f>
        <v>16-1-107</v>
      </c>
      <c r="G130" s="33" t="s">
        <v>327</v>
      </c>
      <c r="H130" s="40" t="str">
        <f t="array" ref="H130">_xlfn.XLOOKUP($B130, DB[samplingPoint], DB[location])</f>
        <v>COMPOUNDING-01</v>
      </c>
      <c r="I130" s="39" t="str">
        <f t="array" ref="I130">_xlfn.XLOOKUP($B130, DB[samplingPoint], DB[waterType])</f>
        <v>WFI</v>
      </c>
      <c r="J130" s="43">
        <f t="shared" si="27"/>
        <v>46092</v>
      </c>
      <c r="K130" s="26">
        <v>46095.0</v>
      </c>
      <c r="L130" s="32">
        <v>0.0</v>
      </c>
      <c r="M130" s="32">
        <f t="shared" si="2"/>
        <v>0</v>
      </c>
      <c r="N130" s="55" t="s">
        <v>587</v>
      </c>
      <c r="O130" s="32">
        <v>10.0</v>
      </c>
      <c r="P130" s="50" t="str">
        <f t="shared" si="3"/>
        <v>PASSED</v>
      </c>
      <c r="Q130" s="110"/>
      <c r="R130" s="32" t="s">
        <v>586</v>
      </c>
      <c r="S130" s="39" t="s">
        <v>386</v>
      </c>
      <c r="T130" s="32" t="s">
        <v>381</v>
      </c>
    </row>
    <row r="131" ht="22.5" customHeight="1">
      <c r="A131" s="26">
        <v>46090.0</v>
      </c>
      <c r="B131" s="48" t="s">
        <v>391</v>
      </c>
      <c r="C131" s="32" t="str">
        <f t="array" ref="C131">_xlfn.XLOOKUP(B131, DB[samplingPoint], DB[samplingTag])</f>
        <v>SV216.03</v>
      </c>
      <c r="D131" s="33" t="s">
        <v>584</v>
      </c>
      <c r="E131" s="38" t="b">
        <v>1</v>
      </c>
      <c r="F131" s="39" t="str">
        <f t="array" ref="F131">_xlfn.XLOOKUP($B131, DB[samplingPoint], DB[noLocation])</f>
        <v>16-1-096</v>
      </c>
      <c r="G131" s="33" t="s">
        <v>327</v>
      </c>
      <c r="H131" s="40" t="str">
        <f t="array" ref="H131">_xlfn.XLOOKUP($B131, DB[samplingPoint], DB[location])</f>
        <v>WASHING/TUNNEL-02</v>
      </c>
      <c r="I131" s="39" t="str">
        <f t="array" ref="I131">_xlfn.XLOOKUP($B131, DB[samplingPoint], DB[waterType])</f>
        <v>WFI</v>
      </c>
      <c r="J131" s="43">
        <f t="shared" si="27"/>
        <v>46092</v>
      </c>
      <c r="K131" s="26">
        <v>46095.0</v>
      </c>
      <c r="L131" s="32">
        <v>0.0</v>
      </c>
      <c r="M131" s="32">
        <f t="shared" si="2"/>
        <v>0</v>
      </c>
      <c r="N131" s="55" t="s">
        <v>587</v>
      </c>
      <c r="O131" s="32">
        <v>10.0</v>
      </c>
      <c r="P131" s="50" t="str">
        <f t="shared" si="3"/>
        <v>PASSED</v>
      </c>
      <c r="Q131" s="110"/>
      <c r="R131" s="32" t="s">
        <v>586</v>
      </c>
      <c r="S131" s="39" t="s">
        <v>386</v>
      </c>
      <c r="T131" s="32" t="s">
        <v>381</v>
      </c>
    </row>
    <row r="132" ht="22.5" customHeight="1">
      <c r="A132" s="26">
        <v>46090.0</v>
      </c>
      <c r="B132" s="48" t="s">
        <v>395</v>
      </c>
      <c r="C132" s="32" t="str">
        <f t="array" ref="C132">_xlfn.XLOOKUP(B132, DB[samplingPoint], DB[samplingTag])</f>
        <v>POU HE216.03</v>
      </c>
      <c r="D132" s="33" t="s">
        <v>584</v>
      </c>
      <c r="E132" s="38" t="b">
        <v>1</v>
      </c>
      <c r="F132" s="39" t="str">
        <f t="array" ref="F132">_xlfn.XLOOKUP($B132, DB[samplingPoint], DB[noLocation])</f>
        <v>16-1-082</v>
      </c>
      <c r="G132" s="33" t="s">
        <v>327</v>
      </c>
      <c r="H132" s="40" t="str">
        <f t="array" ref="H132">_xlfn.XLOOKUP($B132, DB[samplingPoint], DB[location])</f>
        <v>WASHING</v>
      </c>
      <c r="I132" s="39" t="str">
        <f t="array" ref="I132">_xlfn.XLOOKUP($B132, DB[samplingPoint], DB[waterType])</f>
        <v>WFI</v>
      </c>
      <c r="J132" s="43">
        <f t="shared" si="27"/>
        <v>46092</v>
      </c>
      <c r="K132" s="26">
        <v>46095.0</v>
      </c>
      <c r="L132" s="32">
        <v>0.0</v>
      </c>
      <c r="M132" s="32">
        <f t="shared" si="2"/>
        <v>0</v>
      </c>
      <c r="N132" s="55" t="s">
        <v>587</v>
      </c>
      <c r="O132" s="32">
        <v>10.0</v>
      </c>
      <c r="P132" s="50" t="str">
        <f t="shared" si="3"/>
        <v>PASSED</v>
      </c>
      <c r="Q132" s="110"/>
      <c r="R132" s="32" t="s">
        <v>586</v>
      </c>
      <c r="S132" s="39" t="s">
        <v>386</v>
      </c>
      <c r="T132" s="32" t="s">
        <v>381</v>
      </c>
    </row>
    <row r="133" ht="22.5" customHeight="1">
      <c r="A133" s="26">
        <v>46090.0</v>
      </c>
      <c r="B133" s="48" t="s">
        <v>397</v>
      </c>
      <c r="C133" s="32" t="str">
        <f t="array" ref="C133">_xlfn.XLOOKUP(B133, DB[samplingPoint], DB[samplingTag])</f>
        <v>SV216.06</v>
      </c>
      <c r="D133" s="33" t="s">
        <v>584</v>
      </c>
      <c r="E133" s="38" t="b">
        <v>1</v>
      </c>
      <c r="F133" s="39" t="str">
        <f t="array" ref="F133">_xlfn.XLOOKUP($B133, DB[samplingPoint], DB[noLocation])</f>
        <v>16-1-082</v>
      </c>
      <c r="G133" s="33" t="s">
        <v>327</v>
      </c>
      <c r="H133" s="40" t="str">
        <f t="array" ref="H133">_xlfn.XLOOKUP($B133, DB[samplingPoint], DB[location])</f>
        <v>WASHING</v>
      </c>
      <c r="I133" s="39" t="str">
        <f t="array" ref="I133">_xlfn.XLOOKUP($B133, DB[samplingPoint], DB[waterType])</f>
        <v>WFI</v>
      </c>
      <c r="J133" s="43">
        <f t="shared" si="27"/>
        <v>46092</v>
      </c>
      <c r="K133" s="26">
        <v>46095.0</v>
      </c>
      <c r="L133" s="32">
        <v>0.0</v>
      </c>
      <c r="M133" s="32">
        <f t="shared" si="2"/>
        <v>0</v>
      </c>
      <c r="N133" s="55" t="s">
        <v>587</v>
      </c>
      <c r="O133" s="32">
        <v>10.0</v>
      </c>
      <c r="P133" s="50" t="str">
        <f t="shared" si="3"/>
        <v>PASSED</v>
      </c>
      <c r="Q133" s="110"/>
      <c r="R133" s="32" t="s">
        <v>586</v>
      </c>
      <c r="S133" s="39" t="s">
        <v>386</v>
      </c>
      <c r="T133" s="32" t="s">
        <v>381</v>
      </c>
    </row>
    <row r="134" ht="22.5" customHeight="1">
      <c r="A134" s="26">
        <v>46090.0</v>
      </c>
      <c r="B134" s="48" t="s">
        <v>225</v>
      </c>
      <c r="C134" s="32" t="str">
        <f t="array" ref="C134">_xlfn.XLOOKUP(B134, DB[samplingPoint], DB[samplingTag])</f>
        <v>SV216.05</v>
      </c>
      <c r="D134" s="33" t="s">
        <v>584</v>
      </c>
      <c r="E134" s="38" t="b">
        <v>1</v>
      </c>
      <c r="F134" s="39" t="str">
        <f t="array" ref="F134">_xlfn.XLOOKUP($B134, DB[samplingPoint], DB[noLocation])</f>
        <v>16-1-110</v>
      </c>
      <c r="G134" s="33" t="s">
        <v>327</v>
      </c>
      <c r="H134" s="40" t="str">
        <f t="array" ref="H134">_xlfn.XLOOKUP($B134, DB[samplingPoint], DB[location])</f>
        <v>DISINFECTANT PREPARATION</v>
      </c>
      <c r="I134" s="39" t="str">
        <f t="array" ref="I134">_xlfn.XLOOKUP($B134, DB[samplingPoint], DB[waterType])</f>
        <v>WFI</v>
      </c>
      <c r="J134" s="43">
        <f t="shared" si="27"/>
        <v>46092</v>
      </c>
      <c r="K134" s="26">
        <v>46095.0</v>
      </c>
      <c r="L134" s="32">
        <v>0.0</v>
      </c>
      <c r="M134" s="32">
        <f t="shared" si="2"/>
        <v>0</v>
      </c>
      <c r="N134" s="55" t="s">
        <v>587</v>
      </c>
      <c r="O134" s="32">
        <v>10.0</v>
      </c>
      <c r="P134" s="50" t="str">
        <f t="shared" si="3"/>
        <v>PASSED</v>
      </c>
      <c r="Q134" s="110"/>
      <c r="R134" s="32" t="s">
        <v>586</v>
      </c>
      <c r="S134" s="39" t="s">
        <v>386</v>
      </c>
      <c r="T134" s="32" t="s">
        <v>381</v>
      </c>
    </row>
    <row r="135" ht="22.5" customHeight="1">
      <c r="A135" s="26">
        <v>46090.0</v>
      </c>
      <c r="B135" s="48" t="s">
        <v>416</v>
      </c>
      <c r="C135" s="32" t="str">
        <f t="array" ref="C135">_xlfn.XLOOKUP(B135, DB[samplingPoint], DB[samplingTag])</f>
        <v>SV216.02</v>
      </c>
      <c r="D135" s="33" t="s">
        <v>584</v>
      </c>
      <c r="E135" s="38" t="b">
        <v>1</v>
      </c>
      <c r="F135" s="39" t="str">
        <f t="array" ref="F135">_xlfn.XLOOKUP($B135, DB[samplingPoint], DB[noLocation])</f>
        <v>16-1-098</v>
      </c>
      <c r="G135" s="33" t="s">
        <v>327</v>
      </c>
      <c r="H135" s="40" t="str">
        <f t="array" ref="H135">_xlfn.XLOOKUP($B135, DB[samplingPoint], DB[location])</f>
        <v>CIP/SIP</v>
      </c>
      <c r="I135" s="39" t="str">
        <f t="array" ref="I135">_xlfn.XLOOKUP($B135, DB[samplingPoint], DB[waterType])</f>
        <v>WFI</v>
      </c>
      <c r="J135" s="43">
        <f t="shared" si="27"/>
        <v>46092</v>
      </c>
      <c r="K135" s="26">
        <v>46095.0</v>
      </c>
      <c r="L135" s="32">
        <v>0.0</v>
      </c>
      <c r="M135" s="32">
        <f t="shared" si="2"/>
        <v>0</v>
      </c>
      <c r="N135" s="55" t="s">
        <v>587</v>
      </c>
      <c r="O135" s="32">
        <v>10.0</v>
      </c>
      <c r="P135" s="50" t="str">
        <f t="shared" si="3"/>
        <v>PASSED</v>
      </c>
      <c r="Q135" s="110"/>
      <c r="R135" s="32" t="s">
        <v>586</v>
      </c>
      <c r="S135" s="39" t="s">
        <v>386</v>
      </c>
      <c r="T135" s="32" t="s">
        <v>381</v>
      </c>
    </row>
    <row r="136" ht="22.5" customHeight="1">
      <c r="A136" s="26">
        <v>46090.0</v>
      </c>
      <c r="B136" s="48" t="s">
        <v>418</v>
      </c>
      <c r="C136" s="32" t="str">
        <f t="array" ref="C136">_xlfn.XLOOKUP(B136, DB[samplingPoint], DB[samplingTag])</f>
        <v>SV216.04</v>
      </c>
      <c r="D136" s="33" t="s">
        <v>584</v>
      </c>
      <c r="E136" s="38" t="b">
        <v>1</v>
      </c>
      <c r="F136" s="39" t="str">
        <f t="array" ref="F136">_xlfn.XLOOKUP($B136, DB[samplingPoint], DB[noLocation])</f>
        <v>16-1-098</v>
      </c>
      <c r="G136" s="33" t="s">
        <v>327</v>
      </c>
      <c r="H136" s="40" t="str">
        <f t="array" ref="H136">_xlfn.XLOOKUP($B136, DB[samplingPoint], DB[location])</f>
        <v>CIP/SIP</v>
      </c>
      <c r="I136" s="39" t="str">
        <f t="array" ref="I136">_xlfn.XLOOKUP($B136, DB[samplingPoint], DB[waterType])</f>
        <v>WFI</v>
      </c>
      <c r="J136" s="43">
        <f t="shared" si="27"/>
        <v>46092</v>
      </c>
      <c r="K136" s="26">
        <v>46095.0</v>
      </c>
      <c r="L136" s="32">
        <v>0.0</v>
      </c>
      <c r="M136" s="32">
        <f t="shared" si="2"/>
        <v>0</v>
      </c>
      <c r="N136" s="55" t="s">
        <v>587</v>
      </c>
      <c r="O136" s="32">
        <v>10.0</v>
      </c>
      <c r="P136" s="50" t="str">
        <f t="shared" si="3"/>
        <v>PASSED</v>
      </c>
      <c r="Q136" s="110"/>
      <c r="R136" s="32" t="s">
        <v>586</v>
      </c>
      <c r="S136" s="39" t="s">
        <v>386</v>
      </c>
      <c r="T136" s="32" t="s">
        <v>381</v>
      </c>
    </row>
    <row r="137" ht="22.5" customHeight="1">
      <c r="A137" s="26">
        <v>46090.0</v>
      </c>
      <c r="B137" s="48" t="s">
        <v>365</v>
      </c>
      <c r="C137" s="32" t="str">
        <f t="array" ref="C137">_xlfn.XLOOKUP(B137, DB[samplingPoint], DB[samplingTag])</f>
        <v>SV216.10</v>
      </c>
      <c r="D137" s="33" t="s">
        <v>584</v>
      </c>
      <c r="E137" s="38" t="b">
        <v>1</v>
      </c>
      <c r="F137" s="39" t="str">
        <f t="array" ref="F137">_xlfn.XLOOKUP($B137, DB[samplingPoint], DB[noLocation])</f>
        <v>16-1-105</v>
      </c>
      <c r="G137" s="33" t="s">
        <v>327</v>
      </c>
      <c r="H137" s="40" t="str">
        <f t="array" ref="H137">_xlfn.XLOOKUP($B137, DB[samplingPoint], DB[location])</f>
        <v>WASHING/TUNNEL-01</v>
      </c>
      <c r="I137" s="39" t="str">
        <f t="array" ref="I137">_xlfn.XLOOKUP($B137, DB[samplingPoint], DB[waterType])</f>
        <v>WFI</v>
      </c>
      <c r="J137" s="43">
        <f t="shared" si="27"/>
        <v>46092</v>
      </c>
      <c r="K137" s="26">
        <v>46095.0</v>
      </c>
      <c r="L137" s="32">
        <v>0.0</v>
      </c>
      <c r="M137" s="32">
        <f t="shared" si="2"/>
        <v>0</v>
      </c>
      <c r="N137" s="55" t="s">
        <v>587</v>
      </c>
      <c r="O137" s="32">
        <v>10.0</v>
      </c>
      <c r="P137" s="50" t="str">
        <f t="shared" si="3"/>
        <v>PASSED</v>
      </c>
      <c r="Q137" s="110"/>
      <c r="R137" s="32" t="s">
        <v>586</v>
      </c>
      <c r="S137" s="39" t="s">
        <v>386</v>
      </c>
      <c r="T137" s="32" t="s">
        <v>381</v>
      </c>
    </row>
    <row r="138" ht="22.5" customHeight="1">
      <c r="A138" s="26">
        <v>46090.0</v>
      </c>
      <c r="B138" s="48" t="s">
        <v>367</v>
      </c>
      <c r="C138" s="32" t="str">
        <f t="array" ref="C138">_xlfn.XLOOKUP(B138, DB[samplingPoint], DB[samplingTag])</f>
        <v>POU HE216.04</v>
      </c>
      <c r="D138" s="33" t="s">
        <v>584</v>
      </c>
      <c r="E138" s="38" t="b">
        <v>1</v>
      </c>
      <c r="F138" s="39" t="str">
        <f t="array" ref="F138">_xlfn.XLOOKUP($B138, DB[samplingPoint], DB[noLocation])</f>
        <v>16-1-114</v>
      </c>
      <c r="G138" s="33" t="s">
        <v>327</v>
      </c>
      <c r="H138" s="40" t="str">
        <f t="array" ref="H138">_xlfn.XLOOKUP($B138, DB[samplingPoint], DB[location])</f>
        <v>COMPOUNDING-02</v>
      </c>
      <c r="I138" s="39" t="str">
        <f t="array" ref="I138">_xlfn.XLOOKUP($B138, DB[samplingPoint], DB[waterType])</f>
        <v>WFI</v>
      </c>
      <c r="J138" s="43">
        <f t="shared" si="27"/>
        <v>46092</v>
      </c>
      <c r="K138" s="26">
        <v>46095.0</v>
      </c>
      <c r="L138" s="32">
        <v>0.0</v>
      </c>
      <c r="M138" s="32">
        <f t="shared" si="2"/>
        <v>0</v>
      </c>
      <c r="N138" s="55" t="s">
        <v>587</v>
      </c>
      <c r="O138" s="32">
        <v>10.0</v>
      </c>
      <c r="P138" s="50" t="str">
        <f t="shared" si="3"/>
        <v>PASSED</v>
      </c>
      <c r="Q138" s="110"/>
      <c r="R138" s="32" t="s">
        <v>586</v>
      </c>
      <c r="S138" s="39" t="s">
        <v>386</v>
      </c>
      <c r="T138" s="32" t="s">
        <v>381</v>
      </c>
    </row>
    <row r="139" ht="22.5" customHeight="1">
      <c r="A139" s="26">
        <v>46090.0</v>
      </c>
      <c r="B139" s="48" t="s">
        <v>372</v>
      </c>
      <c r="C139" s="32" t="str">
        <f t="array" ref="C139">_xlfn.XLOOKUP(B139, DB[samplingPoint], DB[samplingTag])</f>
        <v>POU HE216.05</v>
      </c>
      <c r="D139" s="33" t="s">
        <v>584</v>
      </c>
      <c r="E139" s="38" t="b">
        <v>1</v>
      </c>
      <c r="F139" s="39" t="str">
        <f t="array" ref="F139">_xlfn.XLOOKUP($B139, DB[samplingPoint], DB[noLocation])</f>
        <v>16-1-114</v>
      </c>
      <c r="G139" s="33" t="s">
        <v>327</v>
      </c>
      <c r="H139" s="40" t="str">
        <f t="array" ref="H139">_xlfn.XLOOKUP($B139, DB[samplingPoint], DB[location])</f>
        <v>COMPOUNDING-02</v>
      </c>
      <c r="I139" s="39" t="str">
        <f t="array" ref="I139">_xlfn.XLOOKUP($B139, DB[samplingPoint], DB[waterType])</f>
        <v>WFI</v>
      </c>
      <c r="J139" s="43">
        <f t="shared" si="27"/>
        <v>46092</v>
      </c>
      <c r="K139" s="26">
        <v>46095.0</v>
      </c>
      <c r="L139" s="32">
        <v>0.0</v>
      </c>
      <c r="M139" s="32">
        <f t="shared" si="2"/>
        <v>0</v>
      </c>
      <c r="N139" s="55" t="s">
        <v>587</v>
      </c>
      <c r="O139" s="32">
        <v>10.0</v>
      </c>
      <c r="P139" s="50" t="str">
        <f t="shared" si="3"/>
        <v>PASSED</v>
      </c>
      <c r="Q139" s="110"/>
      <c r="R139" s="32" t="s">
        <v>586</v>
      </c>
      <c r="S139" s="39" t="s">
        <v>386</v>
      </c>
      <c r="T139" s="32" t="s">
        <v>381</v>
      </c>
    </row>
    <row r="140" ht="22.5" customHeight="1">
      <c r="A140" s="26">
        <v>46091.0</v>
      </c>
      <c r="B140" s="48" t="s">
        <v>388</v>
      </c>
      <c r="C140" s="32" t="str">
        <f t="array" ref="C140">_xlfn.XLOOKUP(B140, DB[samplingPoint], DB[samplingTag])</f>
        <v>SV217.01</v>
      </c>
      <c r="D140" s="33" t="s">
        <v>584</v>
      </c>
      <c r="E140" s="38" t="b">
        <v>1</v>
      </c>
      <c r="F140" s="39" t="str">
        <f t="array" ref="F140">_xlfn.XLOOKUP($B140, DB[samplingPoint], DB[noLocation])</f>
        <v>16-2-010</v>
      </c>
      <c r="G140" s="33" t="s">
        <v>327</v>
      </c>
      <c r="H140" s="40" t="str">
        <f t="array" ref="H140">_xlfn.XLOOKUP($B140, DB[samplingPoint], DB[location])</f>
        <v>RETURN LOOP</v>
      </c>
      <c r="I140" s="39" t="str">
        <f t="array" ref="I140">_xlfn.XLOOKUP($B140, DB[samplingPoint], DB[waterType])</f>
        <v>WFI</v>
      </c>
      <c r="J140" s="43">
        <f t="shared" ref="J140:J145" si="28">$A140+1</f>
        <v>46092</v>
      </c>
      <c r="K140" s="26">
        <v>46095.0</v>
      </c>
      <c r="L140" s="32">
        <v>0.0</v>
      </c>
      <c r="M140" s="32">
        <f t="shared" si="2"/>
        <v>0</v>
      </c>
      <c r="N140" s="55"/>
      <c r="O140" s="32">
        <v>10.0</v>
      </c>
      <c r="P140" s="50" t="str">
        <f t="shared" si="3"/>
        <v>PASSED</v>
      </c>
      <c r="Q140" s="110"/>
      <c r="R140" s="32" t="s">
        <v>589</v>
      </c>
      <c r="S140" s="39" t="s">
        <v>386</v>
      </c>
      <c r="T140" s="32" t="s">
        <v>381</v>
      </c>
    </row>
    <row r="141" ht="22.5" customHeight="1">
      <c r="A141" s="26">
        <v>46097.0</v>
      </c>
      <c r="B141" s="48" t="s">
        <v>377</v>
      </c>
      <c r="C141" s="32" t="str">
        <f t="array" ref="C141">_xlfn.XLOOKUP(B141, DB[samplingPoint], DB[samplingTag])</f>
        <v>V12-4</v>
      </c>
      <c r="D141" s="33" t="s">
        <v>412</v>
      </c>
      <c r="E141" s="38" t="b">
        <v>1</v>
      </c>
      <c r="F141" s="39" t="str">
        <f t="array" ref="F141">_xlfn.XLOOKUP($B141, DB[samplingPoint], DB[noLocation])</f>
        <v>16-2-010</v>
      </c>
      <c r="G141" s="33" t="s">
        <v>327</v>
      </c>
      <c r="H141" s="40" t="str">
        <f t="array" ref="H141">_xlfn.XLOOKUP($B141, DB[samplingPoint], DB[location])</f>
        <v>AFTER WFI GENERATOR</v>
      </c>
      <c r="I141" s="39" t="str">
        <f t="array" ref="I141">_xlfn.XLOOKUP($B141, DB[samplingPoint], DB[waterType])</f>
        <v>WFI</v>
      </c>
      <c r="J141" s="43">
        <f t="shared" si="28"/>
        <v>46098</v>
      </c>
      <c r="K141" s="26">
        <v>46102.0</v>
      </c>
      <c r="L141" s="32">
        <v>0.0</v>
      </c>
      <c r="M141" s="32">
        <f t="shared" si="2"/>
        <v>0</v>
      </c>
      <c r="N141" s="55"/>
      <c r="O141" s="32">
        <v>10.0</v>
      </c>
      <c r="P141" s="50" t="str">
        <f t="shared" si="3"/>
        <v>PASSED</v>
      </c>
      <c r="Q141" s="38" t="b">
        <v>0</v>
      </c>
      <c r="R141" s="35" t="s">
        <v>590</v>
      </c>
      <c r="S141" s="39" t="s">
        <v>386</v>
      </c>
      <c r="T141" s="32" t="s">
        <v>381</v>
      </c>
    </row>
    <row r="142" ht="22.5" customHeight="1">
      <c r="A142" s="26">
        <v>46097.0</v>
      </c>
      <c r="B142" s="48" t="s">
        <v>383</v>
      </c>
      <c r="C142" s="32" t="str">
        <f t="array" ref="C142">_xlfn.XLOOKUP(B142, DB[samplingPoint], DB[samplingTag])</f>
        <v>SV213.01</v>
      </c>
      <c r="D142" s="33" t="s">
        <v>412</v>
      </c>
      <c r="E142" s="38" t="b">
        <v>1</v>
      </c>
      <c r="F142" s="39" t="str">
        <f t="array" ref="F142">_xlfn.XLOOKUP($B142, DB[samplingPoint], DB[noLocation])</f>
        <v>16-2-010</v>
      </c>
      <c r="G142" s="33" t="s">
        <v>327</v>
      </c>
      <c r="H142" s="40" t="str">
        <f t="array" ref="H142">_xlfn.XLOOKUP($B142, DB[samplingPoint], DB[location])</f>
        <v>AFTER STORAGE TANK</v>
      </c>
      <c r="I142" s="39" t="str">
        <f t="array" ref="I142">_xlfn.XLOOKUP($B142, DB[samplingPoint], DB[waterType])</f>
        <v>WFI</v>
      </c>
      <c r="J142" s="43">
        <f t="shared" si="28"/>
        <v>46098</v>
      </c>
      <c r="K142" s="26">
        <v>46102.0</v>
      </c>
      <c r="L142" s="32">
        <v>0.0</v>
      </c>
      <c r="M142" s="32">
        <f t="shared" si="2"/>
        <v>0</v>
      </c>
      <c r="N142" s="55"/>
      <c r="O142" s="32">
        <v>10.0</v>
      </c>
      <c r="P142" s="50" t="str">
        <f t="shared" si="3"/>
        <v>PASSED</v>
      </c>
      <c r="Q142" s="38" t="b">
        <v>0</v>
      </c>
      <c r="R142" s="35" t="s">
        <v>590</v>
      </c>
      <c r="S142" s="39" t="s">
        <v>386</v>
      </c>
      <c r="T142" s="32" t="s">
        <v>381</v>
      </c>
    </row>
    <row r="143" ht="22.5" customHeight="1">
      <c r="A143" s="26">
        <v>46097.0</v>
      </c>
      <c r="B143" s="48" t="s">
        <v>388</v>
      </c>
      <c r="C143" s="32" t="str">
        <f t="array" ref="C143">_xlfn.XLOOKUP(B143, DB[samplingPoint], DB[samplingTag])</f>
        <v>SV217.01</v>
      </c>
      <c r="D143" s="33" t="s">
        <v>412</v>
      </c>
      <c r="E143" s="38" t="b">
        <v>1</v>
      </c>
      <c r="F143" s="39" t="str">
        <f t="array" ref="F143">_xlfn.XLOOKUP($B143, DB[samplingPoint], DB[noLocation])</f>
        <v>16-2-010</v>
      </c>
      <c r="G143" s="33" t="s">
        <v>327</v>
      </c>
      <c r="H143" s="40" t="str">
        <f t="array" ref="H143">_xlfn.XLOOKUP($B143, DB[samplingPoint], DB[location])</f>
        <v>RETURN LOOP</v>
      </c>
      <c r="I143" s="39" t="str">
        <f t="array" ref="I143">_xlfn.XLOOKUP($B143, DB[samplingPoint], DB[waterType])</f>
        <v>WFI</v>
      </c>
      <c r="J143" s="43">
        <f t="shared" si="28"/>
        <v>46098</v>
      </c>
      <c r="K143" s="26">
        <v>46102.0</v>
      </c>
      <c r="L143" s="32">
        <v>0.0</v>
      </c>
      <c r="M143" s="32">
        <f t="shared" si="2"/>
        <v>0</v>
      </c>
      <c r="N143" s="55"/>
      <c r="O143" s="32">
        <v>10.0</v>
      </c>
      <c r="P143" s="50" t="str">
        <f t="shared" si="3"/>
        <v>PASSED</v>
      </c>
      <c r="Q143" s="38" t="b">
        <v>0</v>
      </c>
      <c r="R143" s="35" t="s">
        <v>590</v>
      </c>
      <c r="S143" s="39" t="s">
        <v>386</v>
      </c>
      <c r="T143" s="32" t="s">
        <v>381</v>
      </c>
    </row>
    <row r="144" ht="22.5" customHeight="1">
      <c r="A144" s="26">
        <v>46097.0</v>
      </c>
      <c r="B144" s="48" t="s">
        <v>416</v>
      </c>
      <c r="C144" s="32" t="str">
        <f t="array" ref="C144">_xlfn.XLOOKUP(B144, DB[samplingPoint], DB[samplingTag])</f>
        <v>SV216.02</v>
      </c>
      <c r="D144" s="33" t="s">
        <v>412</v>
      </c>
      <c r="E144" s="38" t="b">
        <v>1</v>
      </c>
      <c r="F144" s="39" t="str">
        <f t="array" ref="F144">_xlfn.XLOOKUP($B144, DB[samplingPoint], DB[noLocation])</f>
        <v>16-1-098</v>
      </c>
      <c r="G144" s="33" t="s">
        <v>327</v>
      </c>
      <c r="H144" s="40" t="str">
        <f t="array" ref="H144">_xlfn.XLOOKUP($B144, DB[samplingPoint], DB[location])</f>
        <v>CIP/SIP</v>
      </c>
      <c r="I144" s="39" t="str">
        <f t="array" ref="I144">_xlfn.XLOOKUP($B144, DB[samplingPoint], DB[waterType])</f>
        <v>WFI</v>
      </c>
      <c r="J144" s="43">
        <f t="shared" si="28"/>
        <v>46098</v>
      </c>
      <c r="K144" s="26">
        <v>46102.0</v>
      </c>
      <c r="L144" s="32">
        <v>0.0</v>
      </c>
      <c r="M144" s="32">
        <f t="shared" si="2"/>
        <v>0</v>
      </c>
      <c r="N144" s="55"/>
      <c r="O144" s="32">
        <v>10.0</v>
      </c>
      <c r="P144" s="50" t="str">
        <f t="shared" si="3"/>
        <v>PASSED</v>
      </c>
      <c r="Q144" s="38" t="b">
        <v>0</v>
      </c>
      <c r="R144" s="35" t="s">
        <v>590</v>
      </c>
      <c r="S144" s="39" t="s">
        <v>386</v>
      </c>
      <c r="T144" s="32" t="s">
        <v>381</v>
      </c>
    </row>
    <row r="145" ht="22.5" customHeight="1">
      <c r="A145" s="26">
        <v>46097.0</v>
      </c>
      <c r="B145" s="48" t="s">
        <v>418</v>
      </c>
      <c r="C145" s="32" t="str">
        <f t="array" ref="C145">_xlfn.XLOOKUP(B145, DB[samplingPoint], DB[samplingTag])</f>
        <v>SV216.04</v>
      </c>
      <c r="D145" s="33" t="s">
        <v>412</v>
      </c>
      <c r="E145" s="38" t="b">
        <v>1</v>
      </c>
      <c r="F145" s="39" t="str">
        <f t="array" ref="F145">_xlfn.XLOOKUP($B145, DB[samplingPoint], DB[noLocation])</f>
        <v>16-1-098</v>
      </c>
      <c r="G145" s="33" t="s">
        <v>327</v>
      </c>
      <c r="H145" s="40" t="str">
        <f t="array" ref="H145">_xlfn.XLOOKUP($B145, DB[samplingPoint], DB[location])</f>
        <v>CIP/SIP</v>
      </c>
      <c r="I145" s="39" t="str">
        <f t="array" ref="I145">_xlfn.XLOOKUP($B145, DB[samplingPoint], DB[waterType])</f>
        <v>WFI</v>
      </c>
      <c r="J145" s="43">
        <f t="shared" si="28"/>
        <v>46098</v>
      </c>
      <c r="K145" s="26">
        <v>46102.0</v>
      </c>
      <c r="L145" s="32">
        <v>0.0</v>
      </c>
      <c r="M145" s="32">
        <f t="shared" si="2"/>
        <v>0</v>
      </c>
      <c r="N145" s="55"/>
      <c r="O145" s="32">
        <v>10.0</v>
      </c>
      <c r="P145" s="50" t="str">
        <f t="shared" si="3"/>
        <v>PASSED</v>
      </c>
      <c r="Q145" s="38" t="b">
        <v>0</v>
      </c>
      <c r="R145" s="35" t="s">
        <v>590</v>
      </c>
      <c r="S145" s="39" t="s">
        <v>386</v>
      </c>
      <c r="T145" s="32" t="s">
        <v>381</v>
      </c>
    </row>
    <row r="146" ht="22.5" customHeight="1">
      <c r="A146" s="112">
        <v>46098.0</v>
      </c>
      <c r="B146" s="48" t="s">
        <v>391</v>
      </c>
      <c r="C146" s="32" t="str">
        <f t="array" ref="C146">_xlfn.XLOOKUP(B146, DB[samplingPoint], DB[samplingTag])</f>
        <v>SV216.03</v>
      </c>
      <c r="D146" s="33" t="s">
        <v>412</v>
      </c>
      <c r="E146" s="38" t="b">
        <v>1</v>
      </c>
      <c r="F146" s="39" t="str">
        <f t="array" ref="F146">_xlfn.XLOOKUP($B146, DB[samplingPoint], DB[noLocation])</f>
        <v>16-1-096</v>
      </c>
      <c r="G146" s="33" t="s">
        <v>327</v>
      </c>
      <c r="H146" s="40" t="str">
        <f t="array" ref="H146">_xlfn.XLOOKUP($B146, DB[samplingPoint], DB[location])</f>
        <v>WASHING/TUNNEL-02</v>
      </c>
      <c r="I146" s="39" t="str">
        <f t="array" ref="I146">_xlfn.XLOOKUP($B146, DB[samplingPoint], DB[waterType])</f>
        <v>WFI</v>
      </c>
      <c r="J146" s="43">
        <f t="shared" ref="J146:J148" si="29">$A146+2</f>
        <v>46100</v>
      </c>
      <c r="K146" s="26">
        <v>46105.0</v>
      </c>
      <c r="L146" s="32">
        <v>0.0</v>
      </c>
      <c r="M146" s="32">
        <f t="shared" si="2"/>
        <v>0</v>
      </c>
      <c r="N146" s="55"/>
      <c r="O146" s="32">
        <v>10.0</v>
      </c>
      <c r="P146" s="50" t="str">
        <f t="shared" si="3"/>
        <v>PASSED</v>
      </c>
      <c r="Q146" s="38" t="b">
        <v>0</v>
      </c>
      <c r="R146" s="32" t="s">
        <v>591</v>
      </c>
      <c r="S146" s="39" t="s">
        <v>386</v>
      </c>
      <c r="T146" s="32" t="s">
        <v>381</v>
      </c>
    </row>
    <row r="147" ht="22.5" customHeight="1">
      <c r="A147" s="112">
        <v>46098.0</v>
      </c>
      <c r="B147" s="48" t="s">
        <v>395</v>
      </c>
      <c r="C147" s="32" t="str">
        <f t="array" ref="C147">_xlfn.XLOOKUP(B147, DB[samplingPoint], DB[samplingTag])</f>
        <v>POU HE216.03</v>
      </c>
      <c r="D147" s="33" t="s">
        <v>412</v>
      </c>
      <c r="E147" s="38" t="b">
        <v>1</v>
      </c>
      <c r="F147" s="39" t="str">
        <f t="array" ref="F147">_xlfn.XLOOKUP($B147, DB[samplingPoint], DB[noLocation])</f>
        <v>16-1-082</v>
      </c>
      <c r="G147" s="33" t="s">
        <v>327</v>
      </c>
      <c r="H147" s="40" t="str">
        <f t="array" ref="H147">_xlfn.XLOOKUP($B147, DB[samplingPoint], DB[location])</f>
        <v>WASHING</v>
      </c>
      <c r="I147" s="39" t="str">
        <f t="array" ref="I147">_xlfn.XLOOKUP($B147, DB[samplingPoint], DB[waterType])</f>
        <v>WFI</v>
      </c>
      <c r="J147" s="43">
        <f t="shared" si="29"/>
        <v>46100</v>
      </c>
      <c r="K147" s="26">
        <v>46105.0</v>
      </c>
      <c r="L147" s="32">
        <v>0.0</v>
      </c>
      <c r="M147" s="32">
        <f t="shared" si="2"/>
        <v>0</v>
      </c>
      <c r="N147" s="55"/>
      <c r="O147" s="32">
        <v>10.0</v>
      </c>
      <c r="P147" s="50" t="str">
        <f t="shared" si="3"/>
        <v>PASSED</v>
      </c>
      <c r="Q147" s="38" t="b">
        <v>0</v>
      </c>
      <c r="R147" s="32" t="s">
        <v>591</v>
      </c>
      <c r="S147" s="39" t="s">
        <v>386</v>
      </c>
      <c r="T147" s="32" t="s">
        <v>381</v>
      </c>
    </row>
    <row r="148" ht="22.5" customHeight="1">
      <c r="A148" s="112">
        <v>46098.0</v>
      </c>
      <c r="B148" s="48" t="s">
        <v>397</v>
      </c>
      <c r="C148" s="32" t="str">
        <f t="array" ref="C148">_xlfn.XLOOKUP(B148, DB[samplingPoint], DB[samplingTag])</f>
        <v>SV216.06</v>
      </c>
      <c r="D148" s="33" t="s">
        <v>412</v>
      </c>
      <c r="E148" s="38" t="b">
        <v>1</v>
      </c>
      <c r="F148" s="39" t="str">
        <f t="array" ref="F148">_xlfn.XLOOKUP($B148, DB[samplingPoint], DB[noLocation])</f>
        <v>16-1-082</v>
      </c>
      <c r="G148" s="33" t="s">
        <v>327</v>
      </c>
      <c r="H148" s="40" t="str">
        <f t="array" ref="H148">_xlfn.XLOOKUP($B148, DB[samplingPoint], DB[location])</f>
        <v>WASHING</v>
      </c>
      <c r="I148" s="39" t="str">
        <f t="array" ref="I148">_xlfn.XLOOKUP($B148, DB[samplingPoint], DB[waterType])</f>
        <v>WFI</v>
      </c>
      <c r="J148" s="43">
        <f t="shared" si="29"/>
        <v>46100</v>
      </c>
      <c r="K148" s="26">
        <v>46105.0</v>
      </c>
      <c r="L148" s="32">
        <v>0.0</v>
      </c>
      <c r="M148" s="32">
        <f t="shared" si="2"/>
        <v>0</v>
      </c>
      <c r="N148" s="55"/>
      <c r="O148" s="32">
        <v>10.0</v>
      </c>
      <c r="P148" s="50" t="str">
        <f t="shared" si="3"/>
        <v>PASSED</v>
      </c>
      <c r="Q148" s="38" t="b">
        <v>0</v>
      </c>
      <c r="R148" s="32" t="s">
        <v>591</v>
      </c>
      <c r="S148" s="39" t="s">
        <v>386</v>
      </c>
      <c r="T148" s="32" t="s">
        <v>381</v>
      </c>
    </row>
    <row r="149" ht="22.5" customHeight="1">
      <c r="A149" s="112">
        <v>46099.0</v>
      </c>
      <c r="B149" s="48" t="s">
        <v>225</v>
      </c>
      <c r="C149" s="32" t="str">
        <f t="array" ref="C149">_xlfn.XLOOKUP(B149, DB[samplingPoint], DB[samplingTag])</f>
        <v>SV216.05</v>
      </c>
      <c r="D149" s="33" t="s">
        <v>412</v>
      </c>
      <c r="E149" s="38" t="b">
        <v>1</v>
      </c>
      <c r="F149" s="39" t="str">
        <f t="array" ref="F149">_xlfn.XLOOKUP($B149, DB[samplingPoint], DB[noLocation])</f>
        <v>16-1-110</v>
      </c>
      <c r="G149" s="33" t="s">
        <v>327</v>
      </c>
      <c r="H149" s="40" t="str">
        <f t="array" ref="H149">_xlfn.XLOOKUP($B149, DB[samplingPoint], DB[location])</f>
        <v>DISINFECTANT PREPARATION</v>
      </c>
      <c r="I149" s="39" t="str">
        <f t="array" ref="I149">_xlfn.XLOOKUP($B149, DB[samplingPoint], DB[waterType])</f>
        <v>WFI</v>
      </c>
      <c r="J149" s="43">
        <f t="shared" ref="J149:J150" si="30">$A149+1</f>
        <v>46100</v>
      </c>
      <c r="K149" s="26">
        <v>46105.0</v>
      </c>
      <c r="L149" s="32">
        <v>0.0</v>
      </c>
      <c r="M149" s="32">
        <f t="shared" si="2"/>
        <v>0</v>
      </c>
      <c r="N149" s="55"/>
      <c r="O149" s="32">
        <v>10.0</v>
      </c>
      <c r="P149" s="50" t="str">
        <f t="shared" si="3"/>
        <v>PASSED</v>
      </c>
      <c r="Q149" s="38" t="b">
        <v>0</v>
      </c>
      <c r="R149" s="32" t="s">
        <v>593</v>
      </c>
      <c r="S149" s="39" t="s">
        <v>386</v>
      </c>
      <c r="T149" s="32" t="s">
        <v>381</v>
      </c>
    </row>
    <row r="150" ht="22.5" customHeight="1">
      <c r="A150" s="112">
        <v>46099.0</v>
      </c>
      <c r="B150" s="48" t="s">
        <v>365</v>
      </c>
      <c r="C150" s="32" t="str">
        <f t="array" ref="C150">_xlfn.XLOOKUP(B150, DB[samplingPoint], DB[samplingTag])</f>
        <v>SV216.10</v>
      </c>
      <c r="D150" s="33" t="s">
        <v>412</v>
      </c>
      <c r="E150" s="38" t="b">
        <v>1</v>
      </c>
      <c r="F150" s="39" t="str">
        <f t="array" ref="F150">_xlfn.XLOOKUP($B150, DB[samplingPoint], DB[noLocation])</f>
        <v>16-1-105</v>
      </c>
      <c r="G150" s="33" t="s">
        <v>327</v>
      </c>
      <c r="H150" s="40" t="str">
        <f t="array" ref="H150">_xlfn.XLOOKUP($B150, DB[samplingPoint], DB[location])</f>
        <v>WASHING/TUNNEL-01</v>
      </c>
      <c r="I150" s="39" t="str">
        <f t="array" ref="I150">_xlfn.XLOOKUP($B150, DB[samplingPoint], DB[waterType])</f>
        <v>WFI</v>
      </c>
      <c r="J150" s="43">
        <f t="shared" si="30"/>
        <v>46100</v>
      </c>
      <c r="K150" s="26">
        <v>46105.0</v>
      </c>
      <c r="L150" s="32">
        <v>0.0</v>
      </c>
      <c r="M150" s="32">
        <f t="shared" si="2"/>
        <v>0</v>
      </c>
      <c r="N150" s="55"/>
      <c r="O150" s="32">
        <v>10.0</v>
      </c>
      <c r="P150" s="50" t="str">
        <f t="shared" si="3"/>
        <v>PASSED</v>
      </c>
      <c r="Q150" s="38" t="b">
        <v>0</v>
      </c>
      <c r="R150" s="32" t="s">
        <v>593</v>
      </c>
      <c r="S150" s="39" t="s">
        <v>386</v>
      </c>
      <c r="T150" s="32" t="s">
        <v>381</v>
      </c>
    </row>
    <row r="151" ht="22.5" customHeight="1">
      <c r="A151" s="112">
        <v>46100.0</v>
      </c>
      <c r="B151" s="48" t="s">
        <v>403</v>
      </c>
      <c r="C151" s="32" t="str">
        <f t="array" ref="C151">_xlfn.XLOOKUP(B151, DB[samplingPoint], DB[samplingTag])</f>
        <v>POU HE216.01</v>
      </c>
      <c r="D151" s="33" t="s">
        <v>412</v>
      </c>
      <c r="E151" s="38" t="b">
        <v>1</v>
      </c>
      <c r="F151" s="39" t="str">
        <f t="array" ref="F151">_xlfn.XLOOKUP($B151, DB[samplingPoint], DB[noLocation])</f>
        <v>16-1-107</v>
      </c>
      <c r="G151" s="33" t="s">
        <v>327</v>
      </c>
      <c r="H151" s="40" t="str">
        <f t="array" ref="H151">_xlfn.XLOOKUP($B151, DB[samplingPoint], DB[location])</f>
        <v>COMPOUNDING-01</v>
      </c>
      <c r="I151" s="39" t="str">
        <f t="array" ref="I151">_xlfn.XLOOKUP($B151, DB[samplingPoint], DB[waterType])</f>
        <v>WFI</v>
      </c>
      <c r="J151" s="43">
        <f t="shared" ref="J151:J152" si="31">$A151+2</f>
        <v>46102</v>
      </c>
      <c r="K151" s="26">
        <v>46105.0</v>
      </c>
      <c r="L151" s="32">
        <v>0.0</v>
      </c>
      <c r="M151" s="32">
        <f t="shared" si="2"/>
        <v>0</v>
      </c>
      <c r="N151" s="55"/>
      <c r="O151" s="32">
        <v>10.0</v>
      </c>
      <c r="P151" s="50" t="str">
        <f t="shared" si="3"/>
        <v>PASSED</v>
      </c>
      <c r="Q151" s="38" t="b">
        <v>0</v>
      </c>
      <c r="R151" s="32" t="s">
        <v>594</v>
      </c>
      <c r="S151" s="39" t="s">
        <v>386</v>
      </c>
      <c r="T151" s="32" t="s">
        <v>381</v>
      </c>
    </row>
    <row r="152" ht="22.5" customHeight="1">
      <c r="A152" s="112">
        <v>46100.0</v>
      </c>
      <c r="B152" s="48" t="s">
        <v>407</v>
      </c>
      <c r="C152" s="32" t="str">
        <f t="array" ref="C152">_xlfn.XLOOKUP(B152, DB[samplingPoint], DB[samplingTag])</f>
        <v>POU HE216.02</v>
      </c>
      <c r="D152" s="33" t="s">
        <v>412</v>
      </c>
      <c r="E152" s="38" t="b">
        <v>1</v>
      </c>
      <c r="F152" s="39" t="str">
        <f t="array" ref="F152">_xlfn.XLOOKUP($B152, DB[samplingPoint], DB[noLocation])</f>
        <v>16-1-107</v>
      </c>
      <c r="G152" s="33" t="s">
        <v>327</v>
      </c>
      <c r="H152" s="40" t="str">
        <f t="array" ref="H152">_xlfn.XLOOKUP($B152, DB[samplingPoint], DB[location])</f>
        <v>COMPOUNDING-01</v>
      </c>
      <c r="I152" s="39" t="str">
        <f t="array" ref="I152">_xlfn.XLOOKUP($B152, DB[samplingPoint], DB[waterType])</f>
        <v>WFI</v>
      </c>
      <c r="J152" s="43">
        <f t="shared" si="31"/>
        <v>46102</v>
      </c>
      <c r="K152" s="26">
        <v>46105.0</v>
      </c>
      <c r="L152" s="32">
        <v>0.0</v>
      </c>
      <c r="M152" s="32">
        <f t="shared" si="2"/>
        <v>0</v>
      </c>
      <c r="N152" s="55"/>
      <c r="O152" s="32">
        <v>10.0</v>
      </c>
      <c r="P152" s="50" t="str">
        <f t="shared" si="3"/>
        <v>PASSED</v>
      </c>
      <c r="Q152" s="38" t="b">
        <v>0</v>
      </c>
      <c r="R152" s="32" t="s">
        <v>594</v>
      </c>
      <c r="S152" s="39" t="s">
        <v>386</v>
      </c>
      <c r="T152" s="32" t="s">
        <v>381</v>
      </c>
    </row>
    <row r="153" ht="22.5" customHeight="1">
      <c r="A153" s="112">
        <v>46101.0</v>
      </c>
      <c r="B153" s="48" t="s">
        <v>367</v>
      </c>
      <c r="C153" s="32" t="str">
        <f t="array" ref="C153">_xlfn.XLOOKUP(B153, DB[samplingPoint], DB[samplingTag])</f>
        <v>POU HE216.04</v>
      </c>
      <c r="D153" s="33" t="s">
        <v>412</v>
      </c>
      <c r="E153" s="38" t="b">
        <v>1</v>
      </c>
      <c r="F153" s="39" t="str">
        <f t="array" ref="F153">_xlfn.XLOOKUP($B153, DB[samplingPoint], DB[noLocation])</f>
        <v>16-1-114</v>
      </c>
      <c r="G153" s="33" t="s">
        <v>327</v>
      </c>
      <c r="H153" s="40" t="str">
        <f t="array" ref="H153">_xlfn.XLOOKUP($B153, DB[samplingPoint], DB[location])</f>
        <v>COMPOUNDING-02</v>
      </c>
      <c r="I153" s="39" t="str">
        <f t="array" ref="I153">_xlfn.XLOOKUP($B153, DB[samplingPoint], DB[waterType])</f>
        <v>WFI</v>
      </c>
      <c r="J153" s="43">
        <f t="shared" ref="J153:J159" si="32">$A153+1</f>
        <v>46102</v>
      </c>
      <c r="K153" s="26">
        <v>46105.0</v>
      </c>
      <c r="L153" s="32">
        <v>0.0</v>
      </c>
      <c r="M153" s="32">
        <f t="shared" si="2"/>
        <v>0</v>
      </c>
      <c r="N153" s="55"/>
      <c r="O153" s="32">
        <v>10.0</v>
      </c>
      <c r="P153" s="50" t="str">
        <f t="shared" si="3"/>
        <v>PASSED</v>
      </c>
      <c r="Q153" s="38" t="b">
        <v>0</v>
      </c>
      <c r="R153" s="32" t="s">
        <v>595</v>
      </c>
      <c r="S153" s="39" t="s">
        <v>386</v>
      </c>
      <c r="T153" s="32" t="s">
        <v>381</v>
      </c>
    </row>
    <row r="154" ht="22.5" customHeight="1">
      <c r="A154" s="26">
        <v>46101.0</v>
      </c>
      <c r="B154" s="48" t="s">
        <v>372</v>
      </c>
      <c r="C154" s="32" t="str">
        <f t="array" ref="C154">_xlfn.XLOOKUP(B154, DB[samplingPoint], DB[samplingTag])</f>
        <v>POU HE216.05</v>
      </c>
      <c r="D154" s="33" t="s">
        <v>412</v>
      </c>
      <c r="E154" s="38" t="b">
        <v>1</v>
      </c>
      <c r="F154" s="39" t="str">
        <f t="array" ref="F154">_xlfn.XLOOKUP($B154, DB[samplingPoint], DB[noLocation])</f>
        <v>16-1-114</v>
      </c>
      <c r="G154" s="33" t="s">
        <v>327</v>
      </c>
      <c r="H154" s="40" t="str">
        <f t="array" ref="H154">_xlfn.XLOOKUP($B154, DB[samplingPoint], DB[location])</f>
        <v>COMPOUNDING-02</v>
      </c>
      <c r="I154" s="39" t="str">
        <f t="array" ref="I154">_xlfn.XLOOKUP($B154, DB[samplingPoint], DB[waterType])</f>
        <v>WFI</v>
      </c>
      <c r="J154" s="43">
        <f t="shared" si="32"/>
        <v>46102</v>
      </c>
      <c r="K154" s="26">
        <v>46105.0</v>
      </c>
      <c r="L154" s="32">
        <v>0.0</v>
      </c>
      <c r="M154" s="32">
        <f t="shared" si="2"/>
        <v>0</v>
      </c>
      <c r="N154" s="55"/>
      <c r="O154" s="32">
        <v>10.0</v>
      </c>
      <c r="P154" s="50" t="str">
        <f t="shared" si="3"/>
        <v>PASSED</v>
      </c>
      <c r="Q154" s="38" t="b">
        <v>0</v>
      </c>
      <c r="R154" s="32" t="s">
        <v>595</v>
      </c>
      <c r="S154" s="39" t="s">
        <v>386</v>
      </c>
      <c r="T154" s="32" t="s">
        <v>381</v>
      </c>
    </row>
    <row r="155" ht="22.5" customHeight="1">
      <c r="A155" s="26">
        <v>46104.0</v>
      </c>
      <c r="B155" s="48" t="s">
        <v>377</v>
      </c>
      <c r="C155" s="32" t="str">
        <f t="array" ref="C155">_xlfn.XLOOKUP(B155, DB[samplingPoint], DB[samplingTag])</f>
        <v>V12-4</v>
      </c>
      <c r="D155" s="33" t="s">
        <v>292</v>
      </c>
      <c r="E155" s="38" t="b">
        <v>1</v>
      </c>
      <c r="F155" s="39" t="str">
        <f t="array" ref="F155">_xlfn.XLOOKUP($B155, DB[samplingPoint], DB[noLocation])</f>
        <v>16-2-010</v>
      </c>
      <c r="G155" s="33" t="s">
        <v>327</v>
      </c>
      <c r="H155" s="40" t="str">
        <f t="array" ref="H155">_xlfn.XLOOKUP($B155, DB[samplingPoint], DB[location])</f>
        <v>AFTER WFI GENERATOR</v>
      </c>
      <c r="I155" s="39" t="str">
        <f t="array" ref="I155">_xlfn.XLOOKUP($B155, DB[samplingPoint], DB[waterType])</f>
        <v>WFI</v>
      </c>
      <c r="J155" s="43">
        <f t="shared" si="32"/>
        <v>46105</v>
      </c>
      <c r="K155" s="26">
        <v>46108.0</v>
      </c>
      <c r="L155" s="32">
        <v>0.0</v>
      </c>
      <c r="M155" s="32">
        <f t="shared" si="2"/>
        <v>0</v>
      </c>
      <c r="N155" s="55"/>
      <c r="O155" s="32">
        <v>10.0</v>
      </c>
      <c r="P155" s="50" t="str">
        <f t="shared" si="3"/>
        <v>PASSED</v>
      </c>
      <c r="Q155" s="38" t="b">
        <v>0</v>
      </c>
      <c r="R155" s="32" t="s">
        <v>596</v>
      </c>
      <c r="S155" s="39" t="s">
        <v>386</v>
      </c>
      <c r="T155" s="32" t="s">
        <v>381</v>
      </c>
    </row>
    <row r="156" ht="22.5" customHeight="1">
      <c r="A156" s="26">
        <v>46104.0</v>
      </c>
      <c r="B156" s="48" t="s">
        <v>383</v>
      </c>
      <c r="C156" s="32" t="str">
        <f t="array" ref="C156">_xlfn.XLOOKUP(B156, DB[samplingPoint], DB[samplingTag])</f>
        <v>SV213.01</v>
      </c>
      <c r="D156" s="33" t="s">
        <v>292</v>
      </c>
      <c r="E156" s="38" t="b">
        <v>1</v>
      </c>
      <c r="F156" s="39" t="str">
        <f t="array" ref="F156">_xlfn.XLOOKUP($B156, DB[samplingPoint], DB[noLocation])</f>
        <v>16-2-010</v>
      </c>
      <c r="G156" s="33" t="s">
        <v>327</v>
      </c>
      <c r="H156" s="40" t="str">
        <f t="array" ref="H156">_xlfn.XLOOKUP($B156, DB[samplingPoint], DB[location])</f>
        <v>AFTER STORAGE TANK</v>
      </c>
      <c r="I156" s="39" t="str">
        <f t="array" ref="I156">_xlfn.XLOOKUP($B156, DB[samplingPoint], DB[waterType])</f>
        <v>WFI</v>
      </c>
      <c r="J156" s="43">
        <f t="shared" si="32"/>
        <v>46105</v>
      </c>
      <c r="K156" s="26">
        <v>46108.0</v>
      </c>
      <c r="L156" s="32">
        <v>0.0</v>
      </c>
      <c r="M156" s="32">
        <f t="shared" si="2"/>
        <v>0</v>
      </c>
      <c r="N156" s="55"/>
      <c r="O156" s="32">
        <v>10.0</v>
      </c>
      <c r="P156" s="50" t="str">
        <f t="shared" si="3"/>
        <v>PASSED</v>
      </c>
      <c r="Q156" s="38" t="b">
        <v>0</v>
      </c>
      <c r="R156" s="32" t="s">
        <v>596</v>
      </c>
      <c r="S156" s="39" t="s">
        <v>386</v>
      </c>
      <c r="T156" s="32" t="s">
        <v>381</v>
      </c>
    </row>
    <row r="157" ht="22.5" customHeight="1">
      <c r="A157" s="26">
        <v>46104.0</v>
      </c>
      <c r="B157" s="48" t="s">
        <v>388</v>
      </c>
      <c r="C157" s="32" t="str">
        <f t="array" ref="C157">_xlfn.XLOOKUP(B157, DB[samplingPoint], DB[samplingTag])</f>
        <v>SV217.01</v>
      </c>
      <c r="D157" s="33" t="s">
        <v>292</v>
      </c>
      <c r="E157" s="38" t="b">
        <v>1</v>
      </c>
      <c r="F157" s="39" t="str">
        <f t="array" ref="F157">_xlfn.XLOOKUP($B157, DB[samplingPoint], DB[noLocation])</f>
        <v>16-2-010</v>
      </c>
      <c r="G157" s="33" t="s">
        <v>327</v>
      </c>
      <c r="H157" s="40" t="str">
        <f t="array" ref="H157">_xlfn.XLOOKUP($B157, DB[samplingPoint], DB[location])</f>
        <v>RETURN LOOP</v>
      </c>
      <c r="I157" s="39" t="str">
        <f t="array" ref="I157">_xlfn.XLOOKUP($B157, DB[samplingPoint], DB[waterType])</f>
        <v>WFI</v>
      </c>
      <c r="J157" s="43">
        <f t="shared" si="32"/>
        <v>46105</v>
      </c>
      <c r="K157" s="26">
        <v>46108.0</v>
      </c>
      <c r="L157" s="32">
        <v>0.0</v>
      </c>
      <c r="M157" s="32">
        <f t="shared" si="2"/>
        <v>0</v>
      </c>
      <c r="N157" s="55"/>
      <c r="O157" s="32">
        <v>10.0</v>
      </c>
      <c r="P157" s="50" t="str">
        <f t="shared" si="3"/>
        <v>PASSED</v>
      </c>
      <c r="Q157" s="38" t="b">
        <v>0</v>
      </c>
      <c r="R157" s="32" t="s">
        <v>596</v>
      </c>
      <c r="S157" s="39" t="s">
        <v>386</v>
      </c>
      <c r="T157" s="32" t="s">
        <v>381</v>
      </c>
    </row>
    <row r="158" ht="22.5" customHeight="1">
      <c r="A158" s="26">
        <v>46104.0</v>
      </c>
      <c r="B158" s="48" t="s">
        <v>416</v>
      </c>
      <c r="C158" s="32" t="str">
        <f t="array" ref="C158">_xlfn.XLOOKUP(B158, DB[samplingPoint], DB[samplingTag])</f>
        <v>SV216.02</v>
      </c>
      <c r="D158" s="33" t="s">
        <v>292</v>
      </c>
      <c r="E158" s="38" t="b">
        <v>1</v>
      </c>
      <c r="F158" s="39" t="str">
        <f t="array" ref="F158">_xlfn.XLOOKUP($B158, DB[samplingPoint], DB[noLocation])</f>
        <v>16-1-098</v>
      </c>
      <c r="G158" s="33" t="s">
        <v>327</v>
      </c>
      <c r="H158" s="40" t="str">
        <f t="array" ref="H158">_xlfn.XLOOKUP($B158, DB[samplingPoint], DB[location])</f>
        <v>CIP/SIP</v>
      </c>
      <c r="I158" s="39" t="str">
        <f t="array" ref="I158">_xlfn.XLOOKUP($B158, DB[samplingPoint], DB[waterType])</f>
        <v>WFI</v>
      </c>
      <c r="J158" s="43">
        <f t="shared" si="32"/>
        <v>46105</v>
      </c>
      <c r="K158" s="26">
        <v>46108.0</v>
      </c>
      <c r="L158" s="32">
        <v>0.0</v>
      </c>
      <c r="M158" s="32">
        <f t="shared" si="2"/>
        <v>0</v>
      </c>
      <c r="N158" s="55"/>
      <c r="O158" s="32">
        <v>10.0</v>
      </c>
      <c r="P158" s="50" t="str">
        <f t="shared" si="3"/>
        <v>PASSED</v>
      </c>
      <c r="Q158" s="38" t="b">
        <v>1</v>
      </c>
      <c r="R158" s="32" t="s">
        <v>596</v>
      </c>
      <c r="S158" s="39" t="s">
        <v>386</v>
      </c>
      <c r="T158" s="32" t="s">
        <v>381</v>
      </c>
    </row>
    <row r="159" ht="22.5" customHeight="1">
      <c r="A159" s="26">
        <v>46104.0</v>
      </c>
      <c r="B159" s="48" t="s">
        <v>418</v>
      </c>
      <c r="C159" s="32" t="str">
        <f t="array" ref="C159">_xlfn.XLOOKUP(B159, DB[samplingPoint], DB[samplingTag])</f>
        <v>SV216.04</v>
      </c>
      <c r="D159" s="33" t="s">
        <v>292</v>
      </c>
      <c r="E159" s="38" t="b">
        <v>1</v>
      </c>
      <c r="F159" s="39" t="str">
        <f t="array" ref="F159">_xlfn.XLOOKUP($B159, DB[samplingPoint], DB[noLocation])</f>
        <v>16-1-098</v>
      </c>
      <c r="G159" s="33" t="s">
        <v>327</v>
      </c>
      <c r="H159" s="40" t="str">
        <f t="array" ref="H159">_xlfn.XLOOKUP($B159, DB[samplingPoint], DB[location])</f>
        <v>CIP/SIP</v>
      </c>
      <c r="I159" s="39" t="str">
        <f t="array" ref="I159">_xlfn.XLOOKUP($B159, DB[samplingPoint], DB[waterType])</f>
        <v>WFI</v>
      </c>
      <c r="J159" s="43">
        <f t="shared" si="32"/>
        <v>46105</v>
      </c>
      <c r="K159" s="26">
        <v>46108.0</v>
      </c>
      <c r="L159" s="32">
        <v>0.0</v>
      </c>
      <c r="M159" s="32">
        <f t="shared" si="2"/>
        <v>0</v>
      </c>
      <c r="N159" s="55"/>
      <c r="O159" s="32">
        <v>10.0</v>
      </c>
      <c r="P159" s="50" t="str">
        <f t="shared" si="3"/>
        <v>PASSED</v>
      </c>
      <c r="Q159" s="38" t="b">
        <v>0</v>
      </c>
      <c r="R159" s="32" t="s">
        <v>596</v>
      </c>
      <c r="S159" s="39" t="s">
        <v>386</v>
      </c>
      <c r="T159" s="32" t="s">
        <v>381</v>
      </c>
    </row>
    <row r="160" ht="22.5" customHeight="1">
      <c r="A160" s="112">
        <v>46105.0</v>
      </c>
      <c r="B160" s="48" t="s">
        <v>391</v>
      </c>
      <c r="C160" s="32" t="str">
        <f t="array" ref="C160">_xlfn.XLOOKUP(B160, DB[samplingPoint], DB[samplingTag])</f>
        <v>SV216.03</v>
      </c>
      <c r="D160" s="33" t="s">
        <v>292</v>
      </c>
      <c r="E160" s="38" t="b">
        <v>1</v>
      </c>
      <c r="F160" s="39" t="str">
        <f t="array" ref="F160">_xlfn.XLOOKUP($B160, DB[samplingPoint], DB[noLocation])</f>
        <v>16-1-096</v>
      </c>
      <c r="G160" s="33" t="s">
        <v>327</v>
      </c>
      <c r="H160" s="40" t="str">
        <f t="array" ref="H160">_xlfn.XLOOKUP($B160, DB[samplingPoint], DB[location])</f>
        <v>WASHING/TUNNEL-02</v>
      </c>
      <c r="I160" s="39" t="str">
        <f t="array" ref="I160">_xlfn.XLOOKUP($B160, DB[samplingPoint], DB[waterType])</f>
        <v>WFI</v>
      </c>
      <c r="J160" s="43">
        <f t="shared" ref="J160:J162" si="33">$A160+2</f>
        <v>46107</v>
      </c>
      <c r="K160" s="26">
        <v>46110.0</v>
      </c>
      <c r="L160" s="32">
        <v>0.0</v>
      </c>
      <c r="M160" s="32">
        <f t="shared" si="2"/>
        <v>0</v>
      </c>
      <c r="N160" s="55"/>
      <c r="O160" s="32">
        <v>10.0</v>
      </c>
      <c r="P160" s="50" t="str">
        <f t="shared" si="3"/>
        <v>PASSED</v>
      </c>
      <c r="Q160" s="38" t="b">
        <v>0</v>
      </c>
      <c r="R160" s="32" t="s">
        <v>599</v>
      </c>
      <c r="S160" s="39" t="s">
        <v>386</v>
      </c>
      <c r="T160" s="32" t="s">
        <v>381</v>
      </c>
    </row>
    <row r="161" ht="22.5" customHeight="1">
      <c r="A161" s="26">
        <v>46105.0</v>
      </c>
      <c r="B161" s="48" t="s">
        <v>395</v>
      </c>
      <c r="C161" s="32" t="str">
        <f t="array" ref="C161">_xlfn.XLOOKUP(B161, DB[samplingPoint], DB[samplingTag])</f>
        <v>POU HE216.03</v>
      </c>
      <c r="D161" s="33" t="s">
        <v>292</v>
      </c>
      <c r="E161" s="38" t="b">
        <v>1</v>
      </c>
      <c r="F161" s="39" t="str">
        <f t="array" ref="F161">_xlfn.XLOOKUP($B161, DB[samplingPoint], DB[noLocation])</f>
        <v>16-1-082</v>
      </c>
      <c r="G161" s="33" t="s">
        <v>327</v>
      </c>
      <c r="H161" s="40" t="str">
        <f t="array" ref="H161">_xlfn.XLOOKUP($B161, DB[samplingPoint], DB[location])</f>
        <v>WASHING</v>
      </c>
      <c r="I161" s="39" t="str">
        <f t="array" ref="I161">_xlfn.XLOOKUP($B161, DB[samplingPoint], DB[waterType])</f>
        <v>WFI</v>
      </c>
      <c r="J161" s="43">
        <f t="shared" si="33"/>
        <v>46107</v>
      </c>
      <c r="K161" s="26">
        <v>46110.0</v>
      </c>
      <c r="L161" s="32">
        <v>0.0</v>
      </c>
      <c r="M161" s="32">
        <f t="shared" si="2"/>
        <v>0</v>
      </c>
      <c r="N161" s="55"/>
      <c r="O161" s="32">
        <v>10.0</v>
      </c>
      <c r="P161" s="50" t="str">
        <f t="shared" si="3"/>
        <v>PASSED</v>
      </c>
      <c r="Q161" s="38" t="b">
        <v>0</v>
      </c>
      <c r="R161" s="32" t="s">
        <v>599</v>
      </c>
      <c r="S161" s="39" t="s">
        <v>386</v>
      </c>
      <c r="T161" s="32" t="s">
        <v>381</v>
      </c>
    </row>
    <row r="162" ht="22.5" customHeight="1">
      <c r="A162" s="26">
        <v>46105.0</v>
      </c>
      <c r="B162" s="48" t="s">
        <v>397</v>
      </c>
      <c r="C162" s="32" t="str">
        <f t="array" ref="C162">_xlfn.XLOOKUP(B162, DB[samplingPoint], DB[samplingTag])</f>
        <v>SV216.06</v>
      </c>
      <c r="D162" s="33" t="s">
        <v>292</v>
      </c>
      <c r="E162" s="38" t="b">
        <v>1</v>
      </c>
      <c r="F162" s="39" t="str">
        <f t="array" ref="F162">_xlfn.XLOOKUP($B162, DB[samplingPoint], DB[noLocation])</f>
        <v>16-1-082</v>
      </c>
      <c r="G162" s="33" t="s">
        <v>327</v>
      </c>
      <c r="H162" s="40" t="str">
        <f t="array" ref="H162">_xlfn.XLOOKUP($B162, DB[samplingPoint], DB[location])</f>
        <v>WASHING</v>
      </c>
      <c r="I162" s="39" t="str">
        <f t="array" ref="I162">_xlfn.XLOOKUP($B162, DB[samplingPoint], DB[waterType])</f>
        <v>WFI</v>
      </c>
      <c r="J162" s="43">
        <f t="shared" si="33"/>
        <v>46107</v>
      </c>
      <c r="K162" s="26">
        <v>46110.0</v>
      </c>
      <c r="L162" s="32">
        <v>0.0</v>
      </c>
      <c r="M162" s="32">
        <f t="shared" si="2"/>
        <v>0</v>
      </c>
      <c r="N162" s="55"/>
      <c r="O162" s="32">
        <v>10.0</v>
      </c>
      <c r="P162" s="50" t="str">
        <f t="shared" si="3"/>
        <v>PASSED</v>
      </c>
      <c r="Q162" s="38" t="b">
        <v>0</v>
      </c>
      <c r="R162" s="32" t="s">
        <v>599</v>
      </c>
      <c r="S162" s="39" t="s">
        <v>386</v>
      </c>
      <c r="T162" s="32" t="s">
        <v>381</v>
      </c>
    </row>
    <row r="163" ht="22.5" customHeight="1">
      <c r="A163" s="112">
        <v>46106.0</v>
      </c>
      <c r="B163" s="48" t="s">
        <v>367</v>
      </c>
      <c r="C163" s="32" t="str">
        <f t="array" ref="C163">_xlfn.XLOOKUP(B163, DB[samplingPoint], DB[samplingTag])</f>
        <v>POU HE216.04</v>
      </c>
      <c r="D163" s="33" t="s">
        <v>292</v>
      </c>
      <c r="E163" s="38" t="b">
        <v>1</v>
      </c>
      <c r="F163" s="39" t="str">
        <f t="array" ref="F163">_xlfn.XLOOKUP($B163, DB[samplingPoint], DB[noLocation])</f>
        <v>16-1-114</v>
      </c>
      <c r="G163" s="33" t="s">
        <v>327</v>
      </c>
      <c r="H163" s="40" t="str">
        <f t="array" ref="H163">_xlfn.XLOOKUP($B163, DB[samplingPoint], DB[location])</f>
        <v>COMPOUNDING-02</v>
      </c>
      <c r="I163" s="39" t="str">
        <f t="array" ref="I163">_xlfn.XLOOKUP($B163, DB[samplingPoint], DB[waterType])</f>
        <v>WFI</v>
      </c>
      <c r="J163" s="43">
        <f t="shared" ref="J163:J164" si="34">$A163+1</f>
        <v>46107</v>
      </c>
      <c r="K163" s="26">
        <v>46110.0</v>
      </c>
      <c r="L163" s="32">
        <v>0.0</v>
      </c>
      <c r="M163" s="32">
        <f t="shared" si="2"/>
        <v>0</v>
      </c>
      <c r="N163" s="55"/>
      <c r="O163" s="32">
        <v>10.0</v>
      </c>
      <c r="P163" s="50" t="str">
        <f t="shared" si="3"/>
        <v>PASSED</v>
      </c>
      <c r="Q163" s="38" t="b">
        <v>0</v>
      </c>
      <c r="R163" s="32" t="s">
        <v>600</v>
      </c>
      <c r="S163" s="39" t="s">
        <v>386</v>
      </c>
      <c r="T163" s="32" t="s">
        <v>381</v>
      </c>
    </row>
    <row r="164" ht="22.5" customHeight="1">
      <c r="A164" s="26">
        <v>46106.0</v>
      </c>
      <c r="B164" s="48" t="s">
        <v>372</v>
      </c>
      <c r="C164" s="32" t="str">
        <f t="array" ref="C164">_xlfn.XLOOKUP(B164, DB[samplingPoint], DB[samplingTag])</f>
        <v>POU HE216.05</v>
      </c>
      <c r="D164" s="33" t="s">
        <v>292</v>
      </c>
      <c r="E164" s="38" t="b">
        <v>1</v>
      </c>
      <c r="F164" s="39" t="str">
        <f t="array" ref="F164">_xlfn.XLOOKUP($B164, DB[samplingPoint], DB[noLocation])</f>
        <v>16-1-114</v>
      </c>
      <c r="G164" s="33" t="s">
        <v>327</v>
      </c>
      <c r="H164" s="40" t="str">
        <f t="array" ref="H164">_xlfn.XLOOKUP($B164, DB[samplingPoint], DB[location])</f>
        <v>COMPOUNDING-02</v>
      </c>
      <c r="I164" s="39" t="str">
        <f t="array" ref="I164">_xlfn.XLOOKUP($B164, DB[samplingPoint], DB[waterType])</f>
        <v>WFI</v>
      </c>
      <c r="J164" s="43">
        <f t="shared" si="34"/>
        <v>46107</v>
      </c>
      <c r="K164" s="26">
        <v>46110.0</v>
      </c>
      <c r="L164" s="32">
        <v>0.0</v>
      </c>
      <c r="M164" s="32">
        <f t="shared" si="2"/>
        <v>0</v>
      </c>
      <c r="N164" s="55"/>
      <c r="O164" s="32">
        <v>10.0</v>
      </c>
      <c r="P164" s="50" t="str">
        <f t="shared" si="3"/>
        <v>PASSED</v>
      </c>
      <c r="Q164" s="38" t="b">
        <v>0</v>
      </c>
      <c r="R164" s="32" t="s">
        <v>600</v>
      </c>
      <c r="S164" s="39" t="s">
        <v>386</v>
      </c>
      <c r="T164" s="32" t="s">
        <v>381</v>
      </c>
    </row>
    <row r="165" ht="22.5" customHeight="1">
      <c r="A165" s="112">
        <v>46107.0</v>
      </c>
      <c r="B165" s="48" t="s">
        <v>403</v>
      </c>
      <c r="C165" s="32" t="str">
        <f t="array" ref="C165">_xlfn.XLOOKUP(B165, DB[samplingPoint], DB[samplingTag])</f>
        <v>POU HE216.01</v>
      </c>
      <c r="D165" s="33" t="s">
        <v>292</v>
      </c>
      <c r="E165" s="38" t="b">
        <v>1</v>
      </c>
      <c r="F165" s="39" t="str">
        <f t="array" ref="F165">_xlfn.XLOOKUP($B165, DB[samplingPoint], DB[noLocation])</f>
        <v>16-1-107</v>
      </c>
      <c r="G165" s="33" t="s">
        <v>327</v>
      </c>
      <c r="H165" s="40" t="str">
        <f t="array" ref="H165">_xlfn.XLOOKUP($B165, DB[samplingPoint], DB[location])</f>
        <v>COMPOUNDING-01</v>
      </c>
      <c r="I165" s="39" t="str">
        <f t="array" ref="I165">_xlfn.XLOOKUP($B165, DB[samplingPoint], DB[waterType])</f>
        <v>WFI</v>
      </c>
      <c r="J165" s="43">
        <f t="shared" ref="J165:J166" si="35">$A165+2</f>
        <v>46109</v>
      </c>
      <c r="K165" s="26">
        <v>46112.0</v>
      </c>
      <c r="L165" s="32">
        <v>0.0</v>
      </c>
      <c r="M165" s="32">
        <f t="shared" si="2"/>
        <v>0</v>
      </c>
      <c r="N165" s="55"/>
      <c r="O165" s="32">
        <v>10.0</v>
      </c>
      <c r="P165" s="50" t="str">
        <f t="shared" si="3"/>
        <v>PASSED</v>
      </c>
      <c r="Q165" s="38" t="b">
        <v>0</v>
      </c>
      <c r="R165" s="32" t="s">
        <v>601</v>
      </c>
      <c r="S165" s="39" t="s">
        <v>386</v>
      </c>
      <c r="T165" s="32" t="s">
        <v>381</v>
      </c>
    </row>
    <row r="166" ht="22.5" customHeight="1">
      <c r="A166" s="26">
        <v>46107.0</v>
      </c>
      <c r="B166" s="48" t="s">
        <v>407</v>
      </c>
      <c r="C166" s="32" t="str">
        <f t="array" ref="C166">_xlfn.XLOOKUP(B166, DB[samplingPoint], DB[samplingTag])</f>
        <v>POU HE216.02</v>
      </c>
      <c r="D166" s="33" t="s">
        <v>292</v>
      </c>
      <c r="E166" s="38" t="b">
        <v>1</v>
      </c>
      <c r="F166" s="39" t="str">
        <f t="array" ref="F166">_xlfn.XLOOKUP($B166, DB[samplingPoint], DB[noLocation])</f>
        <v>16-1-107</v>
      </c>
      <c r="G166" s="33" t="s">
        <v>327</v>
      </c>
      <c r="H166" s="40" t="str">
        <f t="array" ref="H166">_xlfn.XLOOKUP($B166, DB[samplingPoint], DB[location])</f>
        <v>COMPOUNDING-01</v>
      </c>
      <c r="I166" s="39" t="str">
        <f t="array" ref="I166">_xlfn.XLOOKUP($B166, DB[samplingPoint], DB[waterType])</f>
        <v>WFI</v>
      </c>
      <c r="J166" s="43">
        <f t="shared" si="35"/>
        <v>46109</v>
      </c>
      <c r="K166" s="26">
        <v>46112.0</v>
      </c>
      <c r="L166" s="32">
        <v>0.0</v>
      </c>
      <c r="M166" s="32">
        <f t="shared" si="2"/>
        <v>0</v>
      </c>
      <c r="N166" s="55"/>
      <c r="O166" s="32">
        <v>10.0</v>
      </c>
      <c r="P166" s="50" t="str">
        <f t="shared" si="3"/>
        <v>PASSED</v>
      </c>
      <c r="Q166" s="38" t="b">
        <v>0</v>
      </c>
      <c r="R166" s="32" t="s">
        <v>601</v>
      </c>
      <c r="S166" s="39" t="s">
        <v>386</v>
      </c>
      <c r="T166" s="32" t="s">
        <v>381</v>
      </c>
    </row>
    <row r="167" ht="22.5" customHeight="1">
      <c r="A167" s="26">
        <v>46108.0</v>
      </c>
      <c r="B167" s="48" t="s">
        <v>225</v>
      </c>
      <c r="C167" s="32" t="str">
        <f t="array" ref="C167">_xlfn.XLOOKUP(B167, DB[samplingPoint], DB[samplingTag])</f>
        <v>SV216.05</v>
      </c>
      <c r="D167" s="33" t="s">
        <v>292</v>
      </c>
      <c r="E167" s="38" t="b">
        <v>1</v>
      </c>
      <c r="F167" s="39" t="str">
        <f t="array" ref="F167">_xlfn.XLOOKUP($B167, DB[samplingPoint], DB[noLocation])</f>
        <v>16-1-110</v>
      </c>
      <c r="G167" s="33" t="s">
        <v>327</v>
      </c>
      <c r="H167" s="40" t="str">
        <f t="array" ref="H167">_xlfn.XLOOKUP($B167, DB[samplingPoint], DB[location])</f>
        <v>DISINFECTANT PREPARATION</v>
      </c>
      <c r="I167" s="39" t="str">
        <f t="array" ref="I167">_xlfn.XLOOKUP($B167, DB[samplingPoint], DB[waterType])</f>
        <v>WFI</v>
      </c>
      <c r="J167" s="43">
        <f t="shared" ref="J167:J174" si="36">$A167+1</f>
        <v>46109</v>
      </c>
      <c r="K167" s="26">
        <v>46112.0</v>
      </c>
      <c r="L167" s="32">
        <v>0.0</v>
      </c>
      <c r="M167" s="32">
        <f t="shared" si="2"/>
        <v>0</v>
      </c>
      <c r="N167" s="55"/>
      <c r="O167" s="32">
        <v>10.0</v>
      </c>
      <c r="P167" s="50" t="str">
        <f t="shared" si="3"/>
        <v>PASSED</v>
      </c>
      <c r="Q167" s="38" t="b">
        <v>0</v>
      </c>
      <c r="R167" s="32" t="s">
        <v>602</v>
      </c>
      <c r="S167" s="39" t="s">
        <v>386</v>
      </c>
      <c r="T167" s="32" t="s">
        <v>381</v>
      </c>
    </row>
    <row r="168" ht="22.5" customHeight="1">
      <c r="A168" s="26">
        <v>46108.0</v>
      </c>
      <c r="B168" s="48" t="s">
        <v>365</v>
      </c>
      <c r="C168" s="32" t="str">
        <f t="array" ref="C168">_xlfn.XLOOKUP(B168, DB[samplingPoint], DB[samplingTag])</f>
        <v>SV216.10</v>
      </c>
      <c r="D168" s="33" t="s">
        <v>292</v>
      </c>
      <c r="E168" s="38" t="b">
        <v>1</v>
      </c>
      <c r="F168" s="39" t="str">
        <f t="array" ref="F168">_xlfn.XLOOKUP($B168, DB[samplingPoint], DB[noLocation])</f>
        <v>16-1-105</v>
      </c>
      <c r="G168" s="33" t="s">
        <v>327</v>
      </c>
      <c r="H168" s="40" t="str">
        <f t="array" ref="H168">_xlfn.XLOOKUP($B168, DB[samplingPoint], DB[location])</f>
        <v>WASHING/TUNNEL-01</v>
      </c>
      <c r="I168" s="39" t="str">
        <f t="array" ref="I168">_xlfn.XLOOKUP($B168, DB[samplingPoint], DB[waterType])</f>
        <v>WFI</v>
      </c>
      <c r="J168" s="43">
        <f t="shared" si="36"/>
        <v>46109</v>
      </c>
      <c r="K168" s="26">
        <v>46112.0</v>
      </c>
      <c r="L168" s="32">
        <v>0.0</v>
      </c>
      <c r="M168" s="32">
        <f t="shared" si="2"/>
        <v>0</v>
      </c>
      <c r="N168" s="55"/>
      <c r="O168" s="32">
        <v>10.0</v>
      </c>
      <c r="P168" s="50" t="str">
        <f t="shared" si="3"/>
        <v>PASSED</v>
      </c>
      <c r="Q168" s="38" t="b">
        <v>0</v>
      </c>
      <c r="R168" s="32" t="s">
        <v>602</v>
      </c>
      <c r="S168" s="39" t="s">
        <v>386</v>
      </c>
      <c r="T168" s="32" t="s">
        <v>381</v>
      </c>
    </row>
    <row r="169" ht="22.5" customHeight="1">
      <c r="A169" s="26">
        <v>46111.0</v>
      </c>
      <c r="B169" s="48" t="s">
        <v>367</v>
      </c>
      <c r="C169" s="32" t="str">
        <f t="array" ref="C169">_xlfn.XLOOKUP(B169, DB[samplingPoint], DB[samplingTag])</f>
        <v>POU HE216.04</v>
      </c>
      <c r="D169" s="33" t="s">
        <v>379</v>
      </c>
      <c r="E169" s="38" t="b">
        <v>1</v>
      </c>
      <c r="F169" s="39" t="str">
        <f t="array" ref="F169">_xlfn.XLOOKUP($B169, DB[samplingPoint], DB[noLocation])</f>
        <v>16-1-114</v>
      </c>
      <c r="G169" s="33" t="s">
        <v>327</v>
      </c>
      <c r="H169" s="40" t="str">
        <f t="array" ref="H169">_xlfn.XLOOKUP($B169, DB[samplingPoint], DB[location])</f>
        <v>COMPOUNDING-02</v>
      </c>
      <c r="I169" s="39" t="str">
        <f t="array" ref="I169">_xlfn.XLOOKUP($B169, DB[samplingPoint], DB[waterType])</f>
        <v>WFI</v>
      </c>
      <c r="J169" s="43">
        <f t="shared" si="36"/>
        <v>46112</v>
      </c>
      <c r="K169" s="26">
        <v>46115.0</v>
      </c>
      <c r="L169" s="32">
        <v>0.0</v>
      </c>
      <c r="M169" s="32">
        <f t="shared" si="2"/>
        <v>0</v>
      </c>
      <c r="N169" s="55"/>
      <c r="O169" s="32">
        <v>10.0</v>
      </c>
      <c r="P169" s="50" t="str">
        <f t="shared" si="3"/>
        <v>PASSED</v>
      </c>
      <c r="Q169" s="38" t="b">
        <v>0</v>
      </c>
      <c r="R169" s="32" t="s">
        <v>603</v>
      </c>
      <c r="S169" s="39" t="s">
        <v>386</v>
      </c>
      <c r="T169" s="32" t="s">
        <v>381</v>
      </c>
    </row>
    <row r="170" ht="22.5" customHeight="1">
      <c r="A170" s="26">
        <v>46111.0</v>
      </c>
      <c r="B170" s="48" t="s">
        <v>372</v>
      </c>
      <c r="C170" s="32" t="str">
        <f t="array" ref="C170">_xlfn.XLOOKUP(B170, DB[samplingPoint], DB[samplingTag])</f>
        <v>POU HE216.05</v>
      </c>
      <c r="D170" s="33" t="s">
        <v>379</v>
      </c>
      <c r="E170" s="38" t="b">
        <v>1</v>
      </c>
      <c r="F170" s="39" t="str">
        <f t="array" ref="F170">_xlfn.XLOOKUP($B170, DB[samplingPoint], DB[noLocation])</f>
        <v>16-1-114</v>
      </c>
      <c r="G170" s="33" t="s">
        <v>327</v>
      </c>
      <c r="H170" s="40" t="str">
        <f t="array" ref="H170">_xlfn.XLOOKUP($B170, DB[samplingPoint], DB[location])</f>
        <v>COMPOUNDING-02</v>
      </c>
      <c r="I170" s="39" t="str">
        <f t="array" ref="I170">_xlfn.XLOOKUP($B170, DB[samplingPoint], DB[waterType])</f>
        <v>WFI</v>
      </c>
      <c r="J170" s="43">
        <f t="shared" si="36"/>
        <v>46112</v>
      </c>
      <c r="K170" s="26">
        <v>46115.0</v>
      </c>
      <c r="L170" s="32">
        <v>0.0</v>
      </c>
      <c r="M170" s="32">
        <f t="shared" si="2"/>
        <v>0</v>
      </c>
      <c r="N170" s="55"/>
      <c r="O170" s="32">
        <v>10.0</v>
      </c>
      <c r="P170" s="50" t="str">
        <f t="shared" si="3"/>
        <v>PASSED</v>
      </c>
      <c r="Q170" s="38" t="b">
        <v>0</v>
      </c>
      <c r="R170" s="32" t="s">
        <v>603</v>
      </c>
      <c r="S170" s="39" t="s">
        <v>386</v>
      </c>
      <c r="T170" s="32" t="s">
        <v>381</v>
      </c>
    </row>
    <row r="171" ht="22.5" customHeight="1">
      <c r="A171" s="26">
        <v>46111.0</v>
      </c>
      <c r="B171" s="48" t="s">
        <v>377</v>
      </c>
      <c r="C171" s="32" t="str">
        <f t="array" ref="C171">_xlfn.XLOOKUP(B171, DB[samplingPoint], DB[samplingTag])</f>
        <v>V12-4</v>
      </c>
      <c r="D171" s="33" t="s">
        <v>379</v>
      </c>
      <c r="E171" s="38" t="b">
        <v>1</v>
      </c>
      <c r="F171" s="39" t="str">
        <f t="array" ref="F171">_xlfn.XLOOKUP($B171, DB[samplingPoint], DB[noLocation])</f>
        <v>16-2-010</v>
      </c>
      <c r="G171" s="33" t="s">
        <v>327</v>
      </c>
      <c r="H171" s="40" t="str">
        <f t="array" ref="H171">_xlfn.XLOOKUP($B171, DB[samplingPoint], DB[location])</f>
        <v>AFTER WFI GENERATOR</v>
      </c>
      <c r="I171" s="39" t="str">
        <f t="array" ref="I171">_xlfn.XLOOKUP($B171, DB[samplingPoint], DB[waterType])</f>
        <v>WFI</v>
      </c>
      <c r="J171" s="43">
        <f t="shared" si="36"/>
        <v>46112</v>
      </c>
      <c r="K171" s="26">
        <v>46115.0</v>
      </c>
      <c r="L171" s="32">
        <v>0.0</v>
      </c>
      <c r="M171" s="32">
        <f t="shared" si="2"/>
        <v>0</v>
      </c>
      <c r="N171" s="55"/>
      <c r="O171" s="32">
        <v>10.0</v>
      </c>
      <c r="P171" s="50" t="str">
        <f t="shared" si="3"/>
        <v>PASSED</v>
      </c>
      <c r="Q171" s="38" t="b">
        <v>0</v>
      </c>
      <c r="R171" s="32" t="s">
        <v>603</v>
      </c>
      <c r="S171" s="39" t="s">
        <v>386</v>
      </c>
      <c r="T171" s="32" t="s">
        <v>381</v>
      </c>
    </row>
    <row r="172" ht="22.5" customHeight="1">
      <c r="A172" s="26">
        <v>46111.0</v>
      </c>
      <c r="B172" s="48" t="s">
        <v>383</v>
      </c>
      <c r="C172" s="32" t="str">
        <f t="array" ref="C172">_xlfn.XLOOKUP(B172, DB[samplingPoint], DB[samplingTag])</f>
        <v>SV213.01</v>
      </c>
      <c r="D172" s="33" t="s">
        <v>379</v>
      </c>
      <c r="E172" s="38" t="b">
        <v>1</v>
      </c>
      <c r="F172" s="39" t="str">
        <f t="array" ref="F172">_xlfn.XLOOKUP($B172, DB[samplingPoint], DB[noLocation])</f>
        <v>16-2-010</v>
      </c>
      <c r="G172" s="33" t="s">
        <v>327</v>
      </c>
      <c r="H172" s="40" t="str">
        <f t="array" ref="H172">_xlfn.XLOOKUP($B172, DB[samplingPoint], DB[location])</f>
        <v>AFTER STORAGE TANK</v>
      </c>
      <c r="I172" s="39" t="str">
        <f t="array" ref="I172">_xlfn.XLOOKUP($B172, DB[samplingPoint], DB[waterType])</f>
        <v>WFI</v>
      </c>
      <c r="J172" s="43">
        <f t="shared" si="36"/>
        <v>46112</v>
      </c>
      <c r="K172" s="26">
        <v>46115.0</v>
      </c>
      <c r="L172" s="32">
        <v>0.0</v>
      </c>
      <c r="M172" s="32">
        <f t="shared" si="2"/>
        <v>0</v>
      </c>
      <c r="N172" s="55"/>
      <c r="O172" s="32">
        <v>10.0</v>
      </c>
      <c r="P172" s="50" t="str">
        <f t="shared" si="3"/>
        <v>PASSED</v>
      </c>
      <c r="Q172" s="38" t="b">
        <v>0</v>
      </c>
      <c r="R172" s="32" t="s">
        <v>603</v>
      </c>
      <c r="S172" s="39" t="s">
        <v>386</v>
      </c>
      <c r="T172" s="32" t="s">
        <v>381</v>
      </c>
    </row>
    <row r="173" ht="22.5" customHeight="1">
      <c r="A173" s="26">
        <v>46111.0</v>
      </c>
      <c r="B173" s="48" t="s">
        <v>388</v>
      </c>
      <c r="C173" s="32" t="str">
        <f t="array" ref="C173">_xlfn.XLOOKUP(B173, DB[samplingPoint], DB[samplingTag])</f>
        <v>SV217.01</v>
      </c>
      <c r="D173" s="33" t="s">
        <v>379</v>
      </c>
      <c r="E173" s="38" t="b">
        <v>1</v>
      </c>
      <c r="F173" s="39" t="str">
        <f t="array" ref="F173">_xlfn.XLOOKUP($B173, DB[samplingPoint], DB[noLocation])</f>
        <v>16-2-010</v>
      </c>
      <c r="G173" s="33" t="s">
        <v>327</v>
      </c>
      <c r="H173" s="40" t="str">
        <f t="array" ref="H173">_xlfn.XLOOKUP($B173, DB[samplingPoint], DB[location])</f>
        <v>RETURN LOOP</v>
      </c>
      <c r="I173" s="39" t="str">
        <f t="array" ref="I173">_xlfn.XLOOKUP($B173, DB[samplingPoint], DB[waterType])</f>
        <v>WFI</v>
      </c>
      <c r="J173" s="43">
        <f t="shared" si="36"/>
        <v>46112</v>
      </c>
      <c r="K173" s="26">
        <v>46115.0</v>
      </c>
      <c r="L173" s="32">
        <v>0.0</v>
      </c>
      <c r="M173" s="32">
        <f t="shared" si="2"/>
        <v>0</v>
      </c>
      <c r="N173" s="55"/>
      <c r="O173" s="32">
        <v>10.0</v>
      </c>
      <c r="P173" s="50" t="str">
        <f t="shared" si="3"/>
        <v>PASSED</v>
      </c>
      <c r="Q173" s="38" t="b">
        <v>0</v>
      </c>
      <c r="R173" s="32" t="s">
        <v>603</v>
      </c>
      <c r="S173" s="39" t="s">
        <v>386</v>
      </c>
      <c r="T173" s="32" t="s">
        <v>381</v>
      </c>
    </row>
    <row r="174" ht="22.5" customHeight="1">
      <c r="A174" s="26">
        <v>46111.0</v>
      </c>
      <c r="B174" s="48" t="s">
        <v>391</v>
      </c>
      <c r="C174" s="32" t="str">
        <f t="array" ref="C174">_xlfn.XLOOKUP(B174, DB[samplingPoint], DB[samplingTag])</f>
        <v>SV216.03</v>
      </c>
      <c r="D174" s="33" t="s">
        <v>379</v>
      </c>
      <c r="E174" s="38" t="b">
        <v>1</v>
      </c>
      <c r="F174" s="39" t="str">
        <f t="array" ref="F174">_xlfn.XLOOKUP($B174, DB[samplingPoint], DB[noLocation])</f>
        <v>16-1-096</v>
      </c>
      <c r="G174" s="33" t="s">
        <v>327</v>
      </c>
      <c r="H174" s="40" t="str">
        <f t="array" ref="H174">_xlfn.XLOOKUP($B174, DB[samplingPoint], DB[location])</f>
        <v>WASHING/TUNNEL-02</v>
      </c>
      <c r="I174" s="39" t="str">
        <f t="array" ref="I174">_xlfn.XLOOKUP($B174, DB[samplingPoint], DB[waterType])</f>
        <v>WFI</v>
      </c>
      <c r="J174" s="43">
        <f t="shared" si="36"/>
        <v>46112</v>
      </c>
      <c r="K174" s="26">
        <v>46115.0</v>
      </c>
      <c r="L174" s="32">
        <v>0.0</v>
      </c>
      <c r="M174" s="32">
        <f t="shared" si="2"/>
        <v>0</v>
      </c>
      <c r="N174" s="55"/>
      <c r="O174" s="32">
        <v>10.0</v>
      </c>
      <c r="P174" s="50" t="str">
        <f t="shared" si="3"/>
        <v>PASSED</v>
      </c>
      <c r="Q174" s="38" t="b">
        <v>0</v>
      </c>
      <c r="R174" s="32" t="s">
        <v>603</v>
      </c>
      <c r="S174" s="39" t="s">
        <v>386</v>
      </c>
      <c r="T174" s="32" t="s">
        <v>381</v>
      </c>
    </row>
    <row r="175" ht="22.5" customHeight="1">
      <c r="A175" s="26">
        <v>46112.0</v>
      </c>
      <c r="B175" s="48" t="s">
        <v>395</v>
      </c>
      <c r="C175" s="32" t="str">
        <f t="array" ref="C175">_xlfn.XLOOKUP(B175, DB[samplingPoint], DB[samplingTag])</f>
        <v>POU HE216.03</v>
      </c>
      <c r="D175" s="33" t="s">
        <v>404</v>
      </c>
      <c r="E175" s="38" t="b">
        <v>1</v>
      </c>
      <c r="F175" s="39" t="str">
        <f t="array" ref="F175">_xlfn.XLOOKUP($B175, DB[samplingPoint], DB[noLocation])</f>
        <v>16-1-082</v>
      </c>
      <c r="G175" s="33" t="s">
        <v>327</v>
      </c>
      <c r="H175" s="40" t="str">
        <f t="array" ref="H175">_xlfn.XLOOKUP($B175, DB[samplingPoint], DB[location])</f>
        <v>WASHING</v>
      </c>
      <c r="I175" s="39" t="str">
        <f t="array" ref="I175">_xlfn.XLOOKUP($B175, DB[samplingPoint], DB[waterType])</f>
        <v>WFI</v>
      </c>
      <c r="J175" s="43">
        <f t="shared" ref="J175:J178" si="37">$A175+2</f>
        <v>46114</v>
      </c>
      <c r="K175" s="26">
        <v>46120.0</v>
      </c>
      <c r="L175" s="32">
        <v>0.0</v>
      </c>
      <c r="M175" s="32">
        <f t="shared" si="2"/>
        <v>0</v>
      </c>
      <c r="N175" s="55"/>
      <c r="O175" s="32">
        <v>10.0</v>
      </c>
      <c r="P175" s="50" t="str">
        <f t="shared" si="3"/>
        <v>PASSED</v>
      </c>
      <c r="Q175" s="38" t="b">
        <v>0</v>
      </c>
      <c r="R175" s="32" t="s">
        <v>605</v>
      </c>
      <c r="S175" s="39" t="s">
        <v>386</v>
      </c>
      <c r="T175" s="32" t="s">
        <v>381</v>
      </c>
    </row>
    <row r="176" ht="22.5" customHeight="1">
      <c r="A176" s="26">
        <v>46112.0</v>
      </c>
      <c r="B176" s="48" t="s">
        <v>397</v>
      </c>
      <c r="C176" s="32" t="str">
        <f t="array" ref="C176">_xlfn.XLOOKUP(B176, DB[samplingPoint], DB[samplingTag])</f>
        <v>SV216.06</v>
      </c>
      <c r="D176" s="33" t="s">
        <v>404</v>
      </c>
      <c r="E176" s="38" t="b">
        <v>1</v>
      </c>
      <c r="F176" s="39" t="str">
        <f t="array" ref="F176">_xlfn.XLOOKUP($B176, DB[samplingPoint], DB[noLocation])</f>
        <v>16-1-082</v>
      </c>
      <c r="G176" s="33" t="s">
        <v>327</v>
      </c>
      <c r="H176" s="40" t="str">
        <f t="array" ref="H176">_xlfn.XLOOKUP($B176, DB[samplingPoint], DB[location])</f>
        <v>WASHING</v>
      </c>
      <c r="I176" s="39" t="str">
        <f t="array" ref="I176">_xlfn.XLOOKUP($B176, DB[samplingPoint], DB[waterType])</f>
        <v>WFI</v>
      </c>
      <c r="J176" s="43">
        <f t="shared" si="37"/>
        <v>46114</v>
      </c>
      <c r="K176" s="26">
        <v>46120.0</v>
      </c>
      <c r="L176" s="32">
        <v>0.0</v>
      </c>
      <c r="M176" s="32">
        <f t="shared" si="2"/>
        <v>0</v>
      </c>
      <c r="N176" s="55"/>
      <c r="O176" s="32">
        <v>10.0</v>
      </c>
      <c r="P176" s="50" t="str">
        <f t="shared" si="3"/>
        <v>PASSED</v>
      </c>
      <c r="Q176" s="38" t="b">
        <v>0</v>
      </c>
      <c r="R176" s="32" t="s">
        <v>605</v>
      </c>
      <c r="S176" s="39" t="s">
        <v>386</v>
      </c>
      <c r="T176" s="32" t="s">
        <v>381</v>
      </c>
    </row>
    <row r="177" ht="22.5" customHeight="1">
      <c r="A177" s="26">
        <v>46113.0</v>
      </c>
      <c r="B177" s="48" t="s">
        <v>416</v>
      </c>
      <c r="C177" s="32" t="str">
        <f t="array" ref="C177">_xlfn.XLOOKUP(B177, DB[samplingPoint], DB[samplingTag])</f>
        <v>SV216.02</v>
      </c>
      <c r="D177" s="33" t="s">
        <v>412</v>
      </c>
      <c r="E177" s="38" t="b">
        <v>1</v>
      </c>
      <c r="F177" s="39" t="str">
        <f t="array" ref="F177">_xlfn.XLOOKUP($B177, DB[samplingPoint], DB[noLocation])</f>
        <v>16-1-098</v>
      </c>
      <c r="G177" s="33" t="s">
        <v>327</v>
      </c>
      <c r="H177" s="40" t="str">
        <f t="array" ref="H177">_xlfn.XLOOKUP($B177, DB[samplingPoint], DB[location])</f>
        <v>CIP/SIP</v>
      </c>
      <c r="I177" s="39" t="str">
        <f t="array" ref="I177">_xlfn.XLOOKUP($B177, DB[samplingPoint], DB[waterType])</f>
        <v>WFI</v>
      </c>
      <c r="J177" s="43">
        <f t="shared" si="37"/>
        <v>46115</v>
      </c>
      <c r="K177" s="26">
        <v>46120.0</v>
      </c>
      <c r="L177" s="32">
        <v>0.0</v>
      </c>
      <c r="M177" s="32">
        <f t="shared" si="2"/>
        <v>0</v>
      </c>
      <c r="N177" s="55"/>
      <c r="O177" s="32">
        <v>10.0</v>
      </c>
      <c r="P177" s="50" t="str">
        <f t="shared" si="3"/>
        <v>PASSED</v>
      </c>
      <c r="Q177" s="38" t="b">
        <v>0</v>
      </c>
      <c r="R177" s="32" t="s">
        <v>606</v>
      </c>
      <c r="S177" s="39" t="s">
        <v>386</v>
      </c>
      <c r="T177" s="32" t="s">
        <v>381</v>
      </c>
    </row>
    <row r="178" ht="22.5" customHeight="1">
      <c r="A178" s="26">
        <v>46113.0</v>
      </c>
      <c r="B178" s="48" t="s">
        <v>418</v>
      </c>
      <c r="C178" s="32" t="str">
        <f t="array" ref="C178">_xlfn.XLOOKUP(B178, DB[samplingPoint], DB[samplingTag])</f>
        <v>SV216.04</v>
      </c>
      <c r="D178" s="33" t="s">
        <v>412</v>
      </c>
      <c r="E178" s="38" t="b">
        <v>1</v>
      </c>
      <c r="F178" s="39" t="str">
        <f t="array" ref="F178">_xlfn.XLOOKUP($B178, DB[samplingPoint], DB[noLocation])</f>
        <v>16-1-098</v>
      </c>
      <c r="G178" s="33" t="s">
        <v>327</v>
      </c>
      <c r="H178" s="40" t="str">
        <f t="array" ref="H178">_xlfn.XLOOKUP($B178, DB[samplingPoint], DB[location])</f>
        <v>CIP/SIP</v>
      </c>
      <c r="I178" s="39" t="str">
        <f t="array" ref="I178">_xlfn.XLOOKUP($B178, DB[samplingPoint], DB[waterType])</f>
        <v>WFI</v>
      </c>
      <c r="J178" s="43">
        <f t="shared" si="37"/>
        <v>46115</v>
      </c>
      <c r="K178" s="26">
        <v>46120.0</v>
      </c>
      <c r="L178" s="32">
        <v>0.0</v>
      </c>
      <c r="M178" s="32">
        <f t="shared" si="2"/>
        <v>0</v>
      </c>
      <c r="N178" s="55"/>
      <c r="O178" s="32">
        <v>10.0</v>
      </c>
      <c r="P178" s="50" t="str">
        <f t="shared" si="3"/>
        <v>PASSED</v>
      </c>
      <c r="Q178" s="38" t="b">
        <v>0</v>
      </c>
      <c r="R178" s="32" t="s">
        <v>606</v>
      </c>
      <c r="S178" s="39" t="s">
        <v>386</v>
      </c>
      <c r="T178" s="32" t="s">
        <v>381</v>
      </c>
    </row>
    <row r="179" ht="22.5" customHeight="1">
      <c r="A179" s="26">
        <v>46114.0</v>
      </c>
      <c r="B179" s="48" t="s">
        <v>225</v>
      </c>
      <c r="C179" s="32" t="str">
        <f t="array" ref="C179">_xlfn.XLOOKUP(B179, DB[samplingPoint], DB[samplingTag])</f>
        <v>SV216.05</v>
      </c>
      <c r="D179" s="33" t="s">
        <v>292</v>
      </c>
      <c r="E179" s="38" t="b">
        <v>1</v>
      </c>
      <c r="F179" s="39" t="str">
        <f t="array" ref="F179">_xlfn.XLOOKUP($B179, DB[samplingPoint], DB[noLocation])</f>
        <v>16-1-110</v>
      </c>
      <c r="G179" s="33" t="s">
        <v>327</v>
      </c>
      <c r="H179" s="40" t="str">
        <f t="array" ref="H179">_xlfn.XLOOKUP($B179, DB[samplingPoint], DB[location])</f>
        <v>DISINFECTANT PREPARATION</v>
      </c>
      <c r="I179" s="39" t="str">
        <f t="array" ref="I179">_xlfn.XLOOKUP($B179, DB[samplingPoint], DB[waterType])</f>
        <v>WFI</v>
      </c>
      <c r="J179" s="43">
        <f t="shared" ref="J179:J182" si="38">$A179+1</f>
        <v>46115</v>
      </c>
      <c r="K179" s="26">
        <v>46120.0</v>
      </c>
      <c r="L179" s="32">
        <v>0.0</v>
      </c>
      <c r="M179" s="32">
        <f t="shared" si="2"/>
        <v>0</v>
      </c>
      <c r="N179" s="55"/>
      <c r="O179" s="32">
        <v>10.0</v>
      </c>
      <c r="P179" s="50" t="str">
        <f t="shared" si="3"/>
        <v>PASSED</v>
      </c>
      <c r="Q179" s="38" t="b">
        <v>0</v>
      </c>
      <c r="R179" s="32" t="s">
        <v>607</v>
      </c>
      <c r="S179" s="39" t="s">
        <v>386</v>
      </c>
      <c r="T179" s="32" t="s">
        <v>381</v>
      </c>
    </row>
    <row r="180" ht="22.5" customHeight="1">
      <c r="A180" s="26">
        <v>46114.0</v>
      </c>
      <c r="B180" s="48" t="s">
        <v>365</v>
      </c>
      <c r="C180" s="32" t="str">
        <f t="array" ref="C180">_xlfn.XLOOKUP(B180, DB[samplingPoint], DB[samplingTag])</f>
        <v>SV216.10</v>
      </c>
      <c r="D180" s="33" t="s">
        <v>292</v>
      </c>
      <c r="E180" s="38" t="b">
        <v>1</v>
      </c>
      <c r="F180" s="39" t="str">
        <f t="array" ref="F180">_xlfn.XLOOKUP($B180, DB[samplingPoint], DB[noLocation])</f>
        <v>16-1-105</v>
      </c>
      <c r="G180" s="33" t="s">
        <v>327</v>
      </c>
      <c r="H180" s="40" t="str">
        <f t="array" ref="H180">_xlfn.XLOOKUP($B180, DB[samplingPoint], DB[location])</f>
        <v>WASHING/TUNNEL-01</v>
      </c>
      <c r="I180" s="39" t="str">
        <f t="array" ref="I180">_xlfn.XLOOKUP($B180, DB[samplingPoint], DB[waterType])</f>
        <v>WFI</v>
      </c>
      <c r="J180" s="43">
        <f t="shared" si="38"/>
        <v>46115</v>
      </c>
      <c r="K180" s="26">
        <v>46120.0</v>
      </c>
      <c r="L180" s="32">
        <v>0.0</v>
      </c>
      <c r="M180" s="32">
        <f t="shared" si="2"/>
        <v>0</v>
      </c>
      <c r="N180" s="55"/>
      <c r="O180" s="32">
        <v>10.0</v>
      </c>
      <c r="P180" s="50" t="str">
        <f t="shared" si="3"/>
        <v>PASSED</v>
      </c>
      <c r="Q180" s="38" t="b">
        <v>0</v>
      </c>
      <c r="R180" s="32" t="s">
        <v>607</v>
      </c>
      <c r="S180" s="39" t="s">
        <v>386</v>
      </c>
      <c r="T180" s="32" t="s">
        <v>381</v>
      </c>
    </row>
    <row r="181" ht="22.5" customHeight="1">
      <c r="A181" s="26">
        <v>46115.0</v>
      </c>
      <c r="B181" s="48" t="s">
        <v>403</v>
      </c>
      <c r="C181" s="32" t="str">
        <f t="array" ref="C181">_xlfn.XLOOKUP(B181, DB[samplingPoint], DB[samplingTag])</f>
        <v>POU HE216.01</v>
      </c>
      <c r="D181" s="33" t="s">
        <v>369</v>
      </c>
      <c r="E181" s="38" t="b">
        <v>1</v>
      </c>
      <c r="F181" s="39" t="str">
        <f t="array" ref="F181">_xlfn.XLOOKUP($B181, DB[samplingPoint], DB[noLocation])</f>
        <v>16-1-107</v>
      </c>
      <c r="G181" s="33" t="s">
        <v>327</v>
      </c>
      <c r="H181" s="40" t="str">
        <f t="array" ref="H181">_xlfn.XLOOKUP($B181, DB[samplingPoint], DB[location])</f>
        <v>COMPOUNDING-01</v>
      </c>
      <c r="I181" s="39" t="str">
        <f t="array" ref="I181">_xlfn.XLOOKUP($B181, DB[samplingPoint], DB[waterType])</f>
        <v>WFI</v>
      </c>
      <c r="J181" s="43">
        <f t="shared" si="38"/>
        <v>46116</v>
      </c>
      <c r="K181" s="26">
        <v>46120.0</v>
      </c>
      <c r="L181" s="32">
        <v>0.0</v>
      </c>
      <c r="M181" s="32">
        <f t="shared" si="2"/>
        <v>0</v>
      </c>
      <c r="N181" s="55"/>
      <c r="O181" s="32">
        <v>10.0</v>
      </c>
      <c r="P181" s="50" t="str">
        <f t="shared" si="3"/>
        <v>PASSED</v>
      </c>
      <c r="Q181" s="38" t="b">
        <v>0</v>
      </c>
      <c r="R181" s="32" t="s">
        <v>608</v>
      </c>
      <c r="S181" s="39" t="s">
        <v>386</v>
      </c>
      <c r="T181" s="32" t="s">
        <v>381</v>
      </c>
    </row>
    <row r="182" ht="22.5" customHeight="1">
      <c r="A182" s="26">
        <v>46115.0</v>
      </c>
      <c r="B182" s="48" t="s">
        <v>407</v>
      </c>
      <c r="C182" s="32" t="str">
        <f t="array" ref="C182">_xlfn.XLOOKUP(B182, DB[samplingPoint], DB[samplingTag])</f>
        <v>POU HE216.02</v>
      </c>
      <c r="D182" s="33" t="s">
        <v>369</v>
      </c>
      <c r="E182" s="38" t="b">
        <v>1</v>
      </c>
      <c r="F182" s="39" t="str">
        <f t="array" ref="F182">_xlfn.XLOOKUP($B182, DB[samplingPoint], DB[noLocation])</f>
        <v>16-1-107</v>
      </c>
      <c r="G182" s="33" t="s">
        <v>327</v>
      </c>
      <c r="H182" s="40" t="str">
        <f t="array" ref="H182">_xlfn.XLOOKUP($B182, DB[samplingPoint], DB[location])</f>
        <v>COMPOUNDING-01</v>
      </c>
      <c r="I182" s="39" t="str">
        <f t="array" ref="I182">_xlfn.XLOOKUP($B182, DB[samplingPoint], DB[waterType])</f>
        <v>WFI</v>
      </c>
      <c r="J182" s="43">
        <f t="shared" si="38"/>
        <v>46116</v>
      </c>
      <c r="K182" s="26">
        <v>46120.0</v>
      </c>
      <c r="L182" s="32">
        <v>0.0</v>
      </c>
      <c r="M182" s="32">
        <f t="shared" si="2"/>
        <v>0</v>
      </c>
      <c r="N182" s="55"/>
      <c r="O182" s="32">
        <v>10.0</v>
      </c>
      <c r="P182" s="50" t="str">
        <f t="shared" si="3"/>
        <v>PASSED</v>
      </c>
      <c r="Q182" s="38" t="b">
        <v>0</v>
      </c>
      <c r="R182" s="32" t="s">
        <v>608</v>
      </c>
      <c r="S182" s="39" t="s">
        <v>386</v>
      </c>
      <c r="T182" s="32" t="s">
        <v>381</v>
      </c>
    </row>
    <row r="183" ht="22.5" customHeight="1">
      <c r="A183" s="112">
        <v>46119.0</v>
      </c>
      <c r="B183" s="114" t="s">
        <v>377</v>
      </c>
      <c r="C183" s="32" t="str">
        <f t="array" ref="C183">_xlfn.XLOOKUP(B183, DB[samplingPoint], DB[samplingTag])</f>
        <v>V12-4</v>
      </c>
      <c r="D183" s="33" t="s">
        <v>379</v>
      </c>
      <c r="E183" s="38" t="b">
        <v>1</v>
      </c>
      <c r="F183" s="39" t="str">
        <f t="array" ref="F183">_xlfn.XLOOKUP($B183, DB[samplingPoint], DB[noLocation])</f>
        <v>16-2-010</v>
      </c>
      <c r="G183" s="33" t="s">
        <v>327</v>
      </c>
      <c r="H183" s="40" t="str">
        <f t="array" ref="H183">_xlfn.XLOOKUP($B183, DB[samplingPoint], DB[location])</f>
        <v>AFTER WFI GENERATOR</v>
      </c>
      <c r="I183" s="39" t="str">
        <f t="array" ref="I183">_xlfn.XLOOKUP($B183, DB[samplingPoint], DB[waterType])</f>
        <v>WFI</v>
      </c>
      <c r="J183" s="43">
        <f t="shared" ref="J183:J189" si="39">$A183+2</f>
        <v>46121</v>
      </c>
      <c r="K183" s="26">
        <v>46127.0</v>
      </c>
      <c r="L183" s="32">
        <v>0.0</v>
      </c>
      <c r="M183" s="32">
        <f t="shared" si="2"/>
        <v>0</v>
      </c>
      <c r="N183" s="55"/>
      <c r="O183" s="32">
        <v>10.0</v>
      </c>
      <c r="P183" s="50" t="str">
        <f t="shared" si="3"/>
        <v>PASSED</v>
      </c>
      <c r="Q183" s="38" t="b">
        <v>0</v>
      </c>
      <c r="R183" s="32" t="s">
        <v>609</v>
      </c>
      <c r="S183" s="39" t="s">
        <v>386</v>
      </c>
      <c r="T183" s="32" t="s">
        <v>381</v>
      </c>
    </row>
    <row r="184" ht="22.5" customHeight="1">
      <c r="A184" s="26">
        <v>46119.0</v>
      </c>
      <c r="B184" s="48" t="s">
        <v>383</v>
      </c>
      <c r="C184" s="32" t="str">
        <f t="array" ref="C184">_xlfn.XLOOKUP(B184, DB[samplingPoint], DB[samplingTag])</f>
        <v>SV213.01</v>
      </c>
      <c r="D184" s="33" t="s">
        <v>379</v>
      </c>
      <c r="E184" s="38" t="b">
        <v>1</v>
      </c>
      <c r="F184" s="39" t="str">
        <f t="array" ref="F184">_xlfn.XLOOKUP($B184, DB[samplingPoint], DB[noLocation])</f>
        <v>16-2-010</v>
      </c>
      <c r="G184" s="33" t="s">
        <v>327</v>
      </c>
      <c r="H184" s="40" t="str">
        <f t="array" ref="H184">_xlfn.XLOOKUP($B184, DB[samplingPoint], DB[location])</f>
        <v>AFTER STORAGE TANK</v>
      </c>
      <c r="I184" s="39" t="str">
        <f t="array" ref="I184">_xlfn.XLOOKUP($B184, DB[samplingPoint], DB[waterType])</f>
        <v>WFI</v>
      </c>
      <c r="J184" s="43">
        <f t="shared" si="39"/>
        <v>46121</v>
      </c>
      <c r="K184" s="26">
        <v>46127.0</v>
      </c>
      <c r="L184" s="32">
        <v>0.0</v>
      </c>
      <c r="M184" s="32">
        <f t="shared" si="2"/>
        <v>0</v>
      </c>
      <c r="N184" s="55"/>
      <c r="O184" s="32">
        <v>10.0</v>
      </c>
      <c r="P184" s="50" t="str">
        <f t="shared" si="3"/>
        <v>PASSED</v>
      </c>
      <c r="Q184" s="38" t="b">
        <v>0</v>
      </c>
      <c r="R184" s="32" t="s">
        <v>609</v>
      </c>
      <c r="S184" s="39" t="s">
        <v>386</v>
      </c>
      <c r="T184" s="32" t="s">
        <v>381</v>
      </c>
    </row>
    <row r="185" ht="22.5" customHeight="1">
      <c r="A185" s="26">
        <v>46119.0</v>
      </c>
      <c r="B185" s="48" t="s">
        <v>388</v>
      </c>
      <c r="C185" s="32" t="str">
        <f t="array" ref="C185">_xlfn.XLOOKUP(B185, DB[samplingPoint], DB[samplingTag])</f>
        <v>SV217.01</v>
      </c>
      <c r="D185" s="33" t="s">
        <v>379</v>
      </c>
      <c r="E185" s="38" t="b">
        <v>1</v>
      </c>
      <c r="F185" s="39" t="str">
        <f t="array" ref="F185">_xlfn.XLOOKUP($B185, DB[samplingPoint], DB[noLocation])</f>
        <v>16-2-010</v>
      </c>
      <c r="G185" s="33" t="s">
        <v>327</v>
      </c>
      <c r="H185" s="40" t="str">
        <f t="array" ref="H185">_xlfn.XLOOKUP($B185, DB[samplingPoint], DB[location])</f>
        <v>RETURN LOOP</v>
      </c>
      <c r="I185" s="39" t="str">
        <f t="array" ref="I185">_xlfn.XLOOKUP($B185, DB[samplingPoint], DB[waterType])</f>
        <v>WFI</v>
      </c>
      <c r="J185" s="43">
        <f t="shared" si="39"/>
        <v>46121</v>
      </c>
      <c r="K185" s="26">
        <v>46127.0</v>
      </c>
      <c r="L185" s="32">
        <v>0.0</v>
      </c>
      <c r="M185" s="32">
        <f t="shared" si="2"/>
        <v>0</v>
      </c>
      <c r="N185" s="55"/>
      <c r="O185" s="32">
        <v>10.0</v>
      </c>
      <c r="P185" s="50" t="str">
        <f t="shared" si="3"/>
        <v>PASSED</v>
      </c>
      <c r="Q185" s="38" t="b">
        <v>0</v>
      </c>
      <c r="R185" s="32" t="s">
        <v>609</v>
      </c>
      <c r="S185" s="39" t="s">
        <v>386</v>
      </c>
      <c r="T185" s="32" t="s">
        <v>381</v>
      </c>
    </row>
    <row r="186" ht="22.5" customHeight="1">
      <c r="A186" s="26">
        <v>46119.0</v>
      </c>
      <c r="B186" s="48" t="s">
        <v>391</v>
      </c>
      <c r="C186" s="32" t="str">
        <f t="array" ref="C186">_xlfn.XLOOKUP(B186, DB[samplingPoint], DB[samplingTag])</f>
        <v>SV216.03</v>
      </c>
      <c r="D186" s="33" t="s">
        <v>379</v>
      </c>
      <c r="E186" s="38" t="b">
        <v>1</v>
      </c>
      <c r="F186" s="39" t="str">
        <f t="array" ref="F186">_xlfn.XLOOKUP($B186, DB[samplingPoint], DB[noLocation])</f>
        <v>16-1-096</v>
      </c>
      <c r="G186" s="33" t="s">
        <v>327</v>
      </c>
      <c r="H186" s="40" t="str">
        <f t="array" ref="H186">_xlfn.XLOOKUP($B186, DB[samplingPoint], DB[location])</f>
        <v>WASHING/TUNNEL-02</v>
      </c>
      <c r="I186" s="39" t="str">
        <f t="array" ref="I186">_xlfn.XLOOKUP($B186, DB[samplingPoint], DB[waterType])</f>
        <v>WFI</v>
      </c>
      <c r="J186" s="43">
        <f t="shared" si="39"/>
        <v>46121</v>
      </c>
      <c r="K186" s="26">
        <v>46127.0</v>
      </c>
      <c r="L186" s="32">
        <v>0.0</v>
      </c>
      <c r="M186" s="32">
        <f t="shared" si="2"/>
        <v>0</v>
      </c>
      <c r="N186" s="55"/>
      <c r="O186" s="32">
        <v>10.0</v>
      </c>
      <c r="P186" s="50" t="str">
        <f t="shared" si="3"/>
        <v>PASSED</v>
      </c>
      <c r="Q186" s="38" t="b">
        <v>0</v>
      </c>
      <c r="R186" s="32" t="s">
        <v>609</v>
      </c>
      <c r="S186" s="39" t="s">
        <v>386</v>
      </c>
      <c r="T186" s="32" t="s">
        <v>381</v>
      </c>
    </row>
    <row r="187" ht="22.5" customHeight="1">
      <c r="A187" s="26">
        <v>46119.0</v>
      </c>
      <c r="B187" s="48" t="s">
        <v>395</v>
      </c>
      <c r="C187" s="32" t="str">
        <f t="array" ref="C187">_xlfn.XLOOKUP(B187, DB[samplingPoint], DB[samplingTag])</f>
        <v>POU HE216.03</v>
      </c>
      <c r="D187" s="33" t="s">
        <v>379</v>
      </c>
      <c r="E187" s="38" t="b">
        <v>1</v>
      </c>
      <c r="F187" s="39" t="str">
        <f t="array" ref="F187">_xlfn.XLOOKUP($B187, DB[samplingPoint], DB[noLocation])</f>
        <v>16-1-082</v>
      </c>
      <c r="G187" s="33" t="s">
        <v>327</v>
      </c>
      <c r="H187" s="40" t="str">
        <f t="array" ref="H187">_xlfn.XLOOKUP($B187, DB[samplingPoint], DB[location])</f>
        <v>WASHING</v>
      </c>
      <c r="I187" s="39" t="str">
        <f t="array" ref="I187">_xlfn.XLOOKUP($B187, DB[samplingPoint], DB[waterType])</f>
        <v>WFI</v>
      </c>
      <c r="J187" s="43">
        <f t="shared" si="39"/>
        <v>46121</v>
      </c>
      <c r="K187" s="26">
        <v>46127.0</v>
      </c>
      <c r="L187" s="32">
        <v>0.0</v>
      </c>
      <c r="M187" s="32">
        <f t="shared" si="2"/>
        <v>0</v>
      </c>
      <c r="N187" s="55"/>
      <c r="O187" s="32">
        <v>10.0</v>
      </c>
      <c r="P187" s="50" t="str">
        <f t="shared" si="3"/>
        <v>PASSED</v>
      </c>
      <c r="Q187" s="38" t="b">
        <v>0</v>
      </c>
      <c r="R187" s="32" t="s">
        <v>609</v>
      </c>
      <c r="S187" s="39" t="s">
        <v>386</v>
      </c>
      <c r="T187" s="32" t="s">
        <v>381</v>
      </c>
    </row>
    <row r="188" ht="22.5" customHeight="1">
      <c r="A188" s="26">
        <v>46119.0</v>
      </c>
      <c r="B188" s="48" t="s">
        <v>397</v>
      </c>
      <c r="C188" s="32" t="str">
        <f t="array" ref="C188">_xlfn.XLOOKUP(B188, DB[samplingPoint], DB[samplingTag])</f>
        <v>SV216.06</v>
      </c>
      <c r="D188" s="33" t="s">
        <v>379</v>
      </c>
      <c r="E188" s="38" t="b">
        <v>1</v>
      </c>
      <c r="F188" s="39" t="str">
        <f t="array" ref="F188">_xlfn.XLOOKUP($B188, DB[samplingPoint], DB[noLocation])</f>
        <v>16-1-082</v>
      </c>
      <c r="G188" s="33" t="s">
        <v>327</v>
      </c>
      <c r="H188" s="40" t="str">
        <f t="array" ref="H188">_xlfn.XLOOKUP($B188, DB[samplingPoint], DB[location])</f>
        <v>WASHING</v>
      </c>
      <c r="I188" s="39" t="str">
        <f t="array" ref="I188">_xlfn.XLOOKUP($B188, DB[samplingPoint], DB[waterType])</f>
        <v>WFI</v>
      </c>
      <c r="J188" s="43">
        <f t="shared" si="39"/>
        <v>46121</v>
      </c>
      <c r="K188" s="26">
        <v>46127.0</v>
      </c>
      <c r="L188" s="32">
        <v>0.0</v>
      </c>
      <c r="M188" s="32">
        <f t="shared" si="2"/>
        <v>0</v>
      </c>
      <c r="N188" s="55"/>
      <c r="O188" s="32">
        <v>10.0</v>
      </c>
      <c r="P188" s="50" t="str">
        <f t="shared" si="3"/>
        <v>PASSED</v>
      </c>
      <c r="Q188" s="38" t="b">
        <v>0</v>
      </c>
      <c r="R188" s="32" t="s">
        <v>609</v>
      </c>
      <c r="S188" s="39" t="s">
        <v>386</v>
      </c>
      <c r="T188" s="32" t="s">
        <v>381</v>
      </c>
    </row>
    <row r="189" ht="22.5" customHeight="1">
      <c r="A189" s="26">
        <v>46119.0</v>
      </c>
      <c r="B189" s="48" t="s">
        <v>416</v>
      </c>
      <c r="C189" s="32" t="str">
        <f t="array" ref="C189">_xlfn.XLOOKUP(B189, DB[samplingPoint], DB[samplingTag])</f>
        <v>SV216.02</v>
      </c>
      <c r="D189" s="33" t="s">
        <v>379</v>
      </c>
      <c r="E189" s="38" t="b">
        <v>1</v>
      </c>
      <c r="F189" s="39" t="str">
        <f t="array" ref="F189">_xlfn.XLOOKUP($B189, DB[samplingPoint], DB[noLocation])</f>
        <v>16-1-098</v>
      </c>
      <c r="G189" s="33" t="s">
        <v>327</v>
      </c>
      <c r="H189" s="40" t="str">
        <f t="array" ref="H189">_xlfn.XLOOKUP($B189, DB[samplingPoint], DB[location])</f>
        <v>CIP/SIP</v>
      </c>
      <c r="I189" s="39" t="str">
        <f t="array" ref="I189">_xlfn.XLOOKUP($B189, DB[samplingPoint], DB[waterType])</f>
        <v>WFI</v>
      </c>
      <c r="J189" s="43">
        <f t="shared" si="39"/>
        <v>46121</v>
      </c>
      <c r="K189" s="26">
        <v>46127.0</v>
      </c>
      <c r="L189" s="32">
        <v>0.0</v>
      </c>
      <c r="M189" s="32">
        <f t="shared" si="2"/>
        <v>0</v>
      </c>
      <c r="N189" s="55"/>
      <c r="O189" s="32">
        <v>10.0</v>
      </c>
      <c r="P189" s="50" t="str">
        <f t="shared" si="3"/>
        <v>PASSED</v>
      </c>
      <c r="Q189" s="38" t="b">
        <v>0</v>
      </c>
      <c r="R189" s="32" t="s">
        <v>609</v>
      </c>
      <c r="S189" s="39" t="s">
        <v>386</v>
      </c>
      <c r="T189" s="32" t="s">
        <v>381</v>
      </c>
    </row>
    <row r="190" ht="22.5" customHeight="1">
      <c r="A190" s="112">
        <v>46120.0</v>
      </c>
      <c r="B190" s="48" t="s">
        <v>225</v>
      </c>
      <c r="C190" s="32" t="str">
        <f t="array" ref="C190">_xlfn.XLOOKUP(B190, DB[samplingPoint], DB[samplingTag])</f>
        <v>SV216.05</v>
      </c>
      <c r="D190" s="33" t="s">
        <v>404</v>
      </c>
      <c r="E190" s="38" t="b">
        <v>1</v>
      </c>
      <c r="F190" s="39" t="str">
        <f t="array" ref="F190">_xlfn.XLOOKUP($B190, DB[samplingPoint], DB[noLocation])</f>
        <v>16-1-110</v>
      </c>
      <c r="G190" s="33" t="s">
        <v>327</v>
      </c>
      <c r="H190" s="40" t="str">
        <f t="array" ref="H190">_xlfn.XLOOKUP($B190, DB[samplingPoint], DB[location])</f>
        <v>DISINFECTANT PREPARATION</v>
      </c>
      <c r="I190" s="39" t="str">
        <f t="array" ref="I190">_xlfn.XLOOKUP($B190, DB[samplingPoint], DB[waterType])</f>
        <v>WFI</v>
      </c>
      <c r="J190" s="43">
        <f t="shared" ref="J190:J191" si="40">$A190+1</f>
        <v>46121</v>
      </c>
      <c r="K190" s="26">
        <v>46127.0</v>
      </c>
      <c r="L190" s="32">
        <v>0.0</v>
      </c>
      <c r="M190" s="32">
        <f t="shared" si="2"/>
        <v>0</v>
      </c>
      <c r="N190" s="55"/>
      <c r="O190" s="32">
        <v>10.0</v>
      </c>
      <c r="P190" s="50" t="str">
        <f t="shared" si="3"/>
        <v>PASSED</v>
      </c>
      <c r="Q190" s="38" t="b">
        <v>0</v>
      </c>
      <c r="R190" s="32" t="s">
        <v>641</v>
      </c>
      <c r="S190" s="39" t="s">
        <v>386</v>
      </c>
      <c r="T190" s="32" t="s">
        <v>381</v>
      </c>
    </row>
    <row r="191" ht="22.5" customHeight="1">
      <c r="A191" s="26">
        <v>46120.0</v>
      </c>
      <c r="B191" s="48" t="s">
        <v>365</v>
      </c>
      <c r="C191" s="32" t="str">
        <f t="array" ref="C191">_xlfn.XLOOKUP(B191, DB[samplingPoint], DB[samplingTag])</f>
        <v>SV216.10</v>
      </c>
      <c r="D191" s="33" t="s">
        <v>404</v>
      </c>
      <c r="E191" s="38" t="b">
        <v>1</v>
      </c>
      <c r="F191" s="39" t="str">
        <f t="array" ref="F191">_xlfn.XLOOKUP($B191, DB[samplingPoint], DB[noLocation])</f>
        <v>16-1-105</v>
      </c>
      <c r="G191" s="33" t="s">
        <v>327</v>
      </c>
      <c r="H191" s="40" t="str">
        <f t="array" ref="H191">_xlfn.XLOOKUP($B191, DB[samplingPoint], DB[location])</f>
        <v>WASHING/TUNNEL-01</v>
      </c>
      <c r="I191" s="39" t="str">
        <f t="array" ref="I191">_xlfn.XLOOKUP($B191, DB[samplingPoint], DB[waterType])</f>
        <v>WFI</v>
      </c>
      <c r="J191" s="43">
        <f t="shared" si="40"/>
        <v>46121</v>
      </c>
      <c r="K191" s="26">
        <v>46127.0</v>
      </c>
      <c r="L191" s="32">
        <v>0.0</v>
      </c>
      <c r="M191" s="32">
        <f t="shared" si="2"/>
        <v>0</v>
      </c>
      <c r="N191" s="55"/>
      <c r="O191" s="32">
        <v>10.0</v>
      </c>
      <c r="P191" s="50" t="str">
        <f t="shared" si="3"/>
        <v>PASSED</v>
      </c>
      <c r="Q191" s="38" t="b">
        <v>0</v>
      </c>
      <c r="R191" s="32" t="s">
        <v>641</v>
      </c>
      <c r="S191" s="39" t="s">
        <v>386</v>
      </c>
      <c r="T191" s="32" t="s">
        <v>381</v>
      </c>
    </row>
    <row r="192" ht="22.5" customHeight="1">
      <c r="A192" s="26">
        <v>46121.0</v>
      </c>
      <c r="B192" s="48" t="s">
        <v>403</v>
      </c>
      <c r="C192" s="32" t="str">
        <f t="array" ref="C192">_xlfn.XLOOKUP(B192, DB[samplingPoint], DB[samplingTag])</f>
        <v>POU HE216.01</v>
      </c>
      <c r="D192" s="33" t="s">
        <v>412</v>
      </c>
      <c r="E192" s="38" t="b">
        <v>1</v>
      </c>
      <c r="F192" s="39" t="str">
        <f t="array" ref="F192">_xlfn.XLOOKUP($B192, DB[samplingPoint], DB[noLocation])</f>
        <v>16-1-107</v>
      </c>
      <c r="G192" s="33" t="s">
        <v>327</v>
      </c>
      <c r="H192" s="40" t="str">
        <f t="array" ref="H192">_xlfn.XLOOKUP($B192, DB[samplingPoint], DB[location])</f>
        <v>COMPOUNDING-01</v>
      </c>
      <c r="I192" s="39" t="str">
        <f t="array" ref="I192">_xlfn.XLOOKUP($B192, DB[samplingPoint], DB[waterType])</f>
        <v>WFI</v>
      </c>
      <c r="J192" s="43">
        <f t="shared" ref="J192:J193" si="41">$A192+2</f>
        <v>46123</v>
      </c>
      <c r="K192" s="26">
        <v>46127.0</v>
      </c>
      <c r="L192" s="32">
        <v>0.0</v>
      </c>
      <c r="M192" s="32">
        <f t="shared" si="2"/>
        <v>0</v>
      </c>
      <c r="N192" s="55"/>
      <c r="O192" s="32">
        <v>10.0</v>
      </c>
      <c r="P192" s="50" t="str">
        <f t="shared" si="3"/>
        <v>PASSED</v>
      </c>
      <c r="Q192" s="38" t="b">
        <v>0</v>
      </c>
      <c r="R192" s="32" t="s">
        <v>654</v>
      </c>
      <c r="S192" s="39" t="s">
        <v>386</v>
      </c>
      <c r="T192" s="32" t="s">
        <v>381</v>
      </c>
    </row>
    <row r="193" ht="22.5" customHeight="1">
      <c r="A193" s="26">
        <v>46121.0</v>
      </c>
      <c r="B193" s="48" t="s">
        <v>407</v>
      </c>
      <c r="C193" s="32" t="str">
        <f t="array" ref="C193">_xlfn.XLOOKUP(B193, DB[samplingPoint], DB[samplingTag])</f>
        <v>POU HE216.02</v>
      </c>
      <c r="D193" s="33" t="s">
        <v>412</v>
      </c>
      <c r="E193" s="38" t="b">
        <v>1</v>
      </c>
      <c r="F193" s="39" t="str">
        <f t="array" ref="F193">_xlfn.XLOOKUP($B193, DB[samplingPoint], DB[noLocation])</f>
        <v>16-1-107</v>
      </c>
      <c r="G193" s="33" t="s">
        <v>327</v>
      </c>
      <c r="H193" s="40" t="str">
        <f t="array" ref="H193">_xlfn.XLOOKUP($B193, DB[samplingPoint], DB[location])</f>
        <v>COMPOUNDING-01</v>
      </c>
      <c r="I193" s="39" t="str">
        <f t="array" ref="I193">_xlfn.XLOOKUP($B193, DB[samplingPoint], DB[waterType])</f>
        <v>WFI</v>
      </c>
      <c r="J193" s="43">
        <f t="shared" si="41"/>
        <v>46123</v>
      </c>
      <c r="K193" s="26">
        <v>46127.0</v>
      </c>
      <c r="L193" s="32">
        <v>0.0</v>
      </c>
      <c r="M193" s="32">
        <f t="shared" si="2"/>
        <v>0</v>
      </c>
      <c r="N193" s="55"/>
      <c r="O193" s="32">
        <v>10.0</v>
      </c>
      <c r="P193" s="50" t="str">
        <f t="shared" si="3"/>
        <v>PASSED</v>
      </c>
      <c r="Q193" s="38" t="b">
        <v>0</v>
      </c>
      <c r="R193" s="32" t="s">
        <v>654</v>
      </c>
      <c r="S193" s="39" t="s">
        <v>386</v>
      </c>
      <c r="T193" s="32" t="s">
        <v>381</v>
      </c>
    </row>
    <row r="194" ht="22.5" customHeight="1">
      <c r="A194" s="26">
        <v>46122.0</v>
      </c>
      <c r="B194" s="48" t="s">
        <v>418</v>
      </c>
      <c r="C194" s="32" t="str">
        <f t="array" ref="C194">_xlfn.XLOOKUP(B194, DB[samplingPoint], DB[samplingTag])</f>
        <v>SV216.04</v>
      </c>
      <c r="D194" s="33" t="s">
        <v>292</v>
      </c>
      <c r="E194" s="38" t="b">
        <v>1</v>
      </c>
      <c r="F194" s="39" t="str">
        <f t="array" ref="F194">_xlfn.XLOOKUP($B194, DB[samplingPoint], DB[noLocation])</f>
        <v>16-1-098</v>
      </c>
      <c r="G194" s="33" t="s">
        <v>327</v>
      </c>
      <c r="H194" s="40" t="str">
        <f t="array" ref="H194">_xlfn.XLOOKUP($B194, DB[samplingPoint], DB[location])</f>
        <v>CIP/SIP</v>
      </c>
      <c r="I194" s="39" t="str">
        <f t="array" ref="I194">_xlfn.XLOOKUP($B194, DB[samplingPoint], DB[waterType])</f>
        <v>WFI</v>
      </c>
      <c r="J194" s="43">
        <f t="shared" ref="J194:J196" si="42">$A194+1</f>
        <v>46123</v>
      </c>
      <c r="K194" s="26">
        <v>46127.0</v>
      </c>
      <c r="L194" s="32">
        <v>0.0</v>
      </c>
      <c r="M194" s="32">
        <f t="shared" si="2"/>
        <v>0</v>
      </c>
      <c r="N194" s="55"/>
      <c r="O194" s="32">
        <v>10.0</v>
      </c>
      <c r="P194" s="50" t="str">
        <f t="shared" si="3"/>
        <v>PASSED</v>
      </c>
      <c r="Q194" s="38" t="b">
        <v>0</v>
      </c>
      <c r="R194" s="32" t="s">
        <v>672</v>
      </c>
      <c r="S194" s="39" t="s">
        <v>386</v>
      </c>
      <c r="T194" s="32" t="s">
        <v>381</v>
      </c>
    </row>
    <row r="195" ht="22.5" customHeight="1">
      <c r="A195" s="26">
        <v>46122.0</v>
      </c>
      <c r="B195" s="48" t="s">
        <v>367</v>
      </c>
      <c r="C195" s="32" t="str">
        <f t="array" ref="C195">_xlfn.XLOOKUP(B195, DB[samplingPoint], DB[samplingTag])</f>
        <v>POU HE216.04</v>
      </c>
      <c r="D195" s="33" t="s">
        <v>292</v>
      </c>
      <c r="E195" s="38" t="b">
        <v>1</v>
      </c>
      <c r="F195" s="39" t="str">
        <f t="array" ref="F195">_xlfn.XLOOKUP($B195, DB[samplingPoint], DB[noLocation])</f>
        <v>16-1-114</v>
      </c>
      <c r="G195" s="33" t="s">
        <v>327</v>
      </c>
      <c r="H195" s="40" t="str">
        <f t="array" ref="H195">_xlfn.XLOOKUP($B195, DB[samplingPoint], DB[location])</f>
        <v>COMPOUNDING-02</v>
      </c>
      <c r="I195" s="39" t="str">
        <f t="array" ref="I195">_xlfn.XLOOKUP($B195, DB[samplingPoint], DB[waterType])</f>
        <v>WFI</v>
      </c>
      <c r="J195" s="43">
        <f t="shared" si="42"/>
        <v>46123</v>
      </c>
      <c r="K195" s="26">
        <v>46127.0</v>
      </c>
      <c r="L195" s="32">
        <v>0.0</v>
      </c>
      <c r="M195" s="32">
        <f t="shared" si="2"/>
        <v>0</v>
      </c>
      <c r="N195" s="55"/>
      <c r="O195" s="32">
        <v>10.0</v>
      </c>
      <c r="P195" s="50" t="str">
        <f t="shared" si="3"/>
        <v>PASSED</v>
      </c>
      <c r="Q195" s="38" t="b">
        <v>0</v>
      </c>
      <c r="R195" s="32" t="s">
        <v>672</v>
      </c>
      <c r="S195" s="39" t="s">
        <v>386</v>
      </c>
      <c r="T195" s="32" t="s">
        <v>381</v>
      </c>
    </row>
    <row r="196" ht="22.5" customHeight="1">
      <c r="A196" s="26">
        <v>46122.0</v>
      </c>
      <c r="B196" s="48" t="s">
        <v>372</v>
      </c>
      <c r="C196" s="32" t="str">
        <f t="array" ref="C196">_xlfn.XLOOKUP(B196, DB[samplingPoint], DB[samplingTag])</f>
        <v>POU HE216.05</v>
      </c>
      <c r="D196" s="33" t="s">
        <v>292</v>
      </c>
      <c r="E196" s="38" t="b">
        <v>1</v>
      </c>
      <c r="F196" s="39" t="str">
        <f t="array" ref="F196">_xlfn.XLOOKUP($B196, DB[samplingPoint], DB[noLocation])</f>
        <v>16-1-114</v>
      </c>
      <c r="G196" s="33" t="s">
        <v>327</v>
      </c>
      <c r="H196" s="40" t="str">
        <f t="array" ref="H196">_xlfn.XLOOKUP($B196, DB[samplingPoint], DB[location])</f>
        <v>COMPOUNDING-02</v>
      </c>
      <c r="I196" s="39" t="str">
        <f t="array" ref="I196">_xlfn.XLOOKUP($B196, DB[samplingPoint], DB[waterType])</f>
        <v>WFI</v>
      </c>
      <c r="J196" s="43">
        <f t="shared" si="42"/>
        <v>46123</v>
      </c>
      <c r="K196" s="26">
        <v>46127.0</v>
      </c>
      <c r="L196" s="53">
        <v>1.0</v>
      </c>
      <c r="M196" s="32">
        <f t="shared" si="2"/>
        <v>1</v>
      </c>
      <c r="N196" s="55"/>
      <c r="O196" s="32">
        <v>10.0</v>
      </c>
      <c r="P196" s="50" t="str">
        <f t="shared" si="3"/>
        <v>PASSED</v>
      </c>
      <c r="Q196" s="38" t="b">
        <v>0</v>
      </c>
      <c r="R196" s="32" t="s">
        <v>672</v>
      </c>
      <c r="S196" s="39" t="s">
        <v>386</v>
      </c>
      <c r="T196" s="32" t="s">
        <v>381</v>
      </c>
    </row>
    <row r="197" ht="22.5" customHeight="1">
      <c r="A197" s="112">
        <v>46132.0</v>
      </c>
      <c r="B197" s="48" t="s">
        <v>377</v>
      </c>
      <c r="C197" s="32" t="str">
        <f t="array" ref="C197">_xlfn.XLOOKUP(B197, DB[samplingPoint], DB[samplingTag])</f>
        <v>V12-4</v>
      </c>
      <c r="D197" s="33" t="s">
        <v>379</v>
      </c>
      <c r="E197" s="38" t="b">
        <v>1</v>
      </c>
      <c r="F197" s="39" t="str">
        <f t="array" ref="F197">_xlfn.XLOOKUP($B197, DB[samplingPoint], DB[noLocation])</f>
        <v>16-2-010</v>
      </c>
      <c r="G197" s="33" t="s">
        <v>327</v>
      </c>
      <c r="H197" s="40" t="str">
        <f t="array" ref="H197">_xlfn.XLOOKUP($B197, DB[samplingPoint], DB[location])</f>
        <v>AFTER WFI GENERATOR</v>
      </c>
      <c r="I197" s="39" t="str">
        <f t="array" ref="I197">_xlfn.XLOOKUP($B197, DB[samplingPoint], DB[waterType])</f>
        <v>WFI</v>
      </c>
      <c r="J197" s="43">
        <f t="shared" ref="J197:J201" si="43">$A197+2</f>
        <v>46134</v>
      </c>
      <c r="K197" s="26">
        <v>46137.0</v>
      </c>
      <c r="L197" s="53">
        <v>0.0</v>
      </c>
      <c r="M197" s="32">
        <f t="shared" si="2"/>
        <v>0</v>
      </c>
      <c r="N197" s="55"/>
      <c r="O197" s="32">
        <v>10.0</v>
      </c>
      <c r="P197" s="50" t="str">
        <f t="shared" si="3"/>
        <v>PASSED</v>
      </c>
      <c r="Q197" s="38" t="b">
        <v>0</v>
      </c>
      <c r="R197" s="32" t="s">
        <v>698</v>
      </c>
      <c r="S197" s="39" t="s">
        <v>386</v>
      </c>
      <c r="T197" s="32" t="s">
        <v>381</v>
      </c>
    </row>
    <row r="198" ht="22.5" customHeight="1">
      <c r="A198" s="26">
        <v>46132.0</v>
      </c>
      <c r="B198" s="48" t="s">
        <v>383</v>
      </c>
      <c r="C198" s="32" t="str">
        <f t="array" ref="C198">_xlfn.XLOOKUP(B198, DB[samplingPoint], DB[samplingTag])</f>
        <v>SV213.01</v>
      </c>
      <c r="D198" s="33" t="s">
        <v>379</v>
      </c>
      <c r="E198" s="38" t="b">
        <v>1</v>
      </c>
      <c r="F198" s="39" t="str">
        <f t="array" ref="F198">_xlfn.XLOOKUP($B198, DB[samplingPoint], DB[noLocation])</f>
        <v>16-2-010</v>
      </c>
      <c r="G198" s="33" t="s">
        <v>327</v>
      </c>
      <c r="H198" s="40" t="str">
        <f t="array" ref="H198">_xlfn.XLOOKUP($B198, DB[samplingPoint], DB[location])</f>
        <v>AFTER STORAGE TANK</v>
      </c>
      <c r="I198" s="39" t="str">
        <f t="array" ref="I198">_xlfn.XLOOKUP($B198, DB[samplingPoint], DB[waterType])</f>
        <v>WFI</v>
      </c>
      <c r="J198" s="43">
        <f t="shared" si="43"/>
        <v>46134</v>
      </c>
      <c r="K198" s="26">
        <v>46137.0</v>
      </c>
      <c r="L198" s="53">
        <v>0.0</v>
      </c>
      <c r="M198" s="32">
        <f t="shared" si="2"/>
        <v>0</v>
      </c>
      <c r="N198" s="55"/>
      <c r="O198" s="32">
        <v>10.0</v>
      </c>
      <c r="P198" s="50" t="str">
        <f t="shared" si="3"/>
        <v>PASSED</v>
      </c>
      <c r="Q198" s="38" t="b">
        <v>0</v>
      </c>
      <c r="R198" s="32" t="s">
        <v>698</v>
      </c>
      <c r="S198" s="39" t="s">
        <v>386</v>
      </c>
      <c r="T198" s="32" t="s">
        <v>381</v>
      </c>
    </row>
    <row r="199" ht="22.5" customHeight="1">
      <c r="A199" s="26">
        <v>46132.0</v>
      </c>
      <c r="B199" s="48" t="s">
        <v>388</v>
      </c>
      <c r="C199" s="32" t="str">
        <f t="array" ref="C199">_xlfn.XLOOKUP(B199, DB[samplingPoint], DB[samplingTag])</f>
        <v>SV217.01</v>
      </c>
      <c r="D199" s="33" t="s">
        <v>379</v>
      </c>
      <c r="E199" s="38" t="b">
        <v>1</v>
      </c>
      <c r="F199" s="39" t="str">
        <f t="array" ref="F199">_xlfn.XLOOKUP($B199, DB[samplingPoint], DB[noLocation])</f>
        <v>16-2-010</v>
      </c>
      <c r="G199" s="33" t="s">
        <v>327</v>
      </c>
      <c r="H199" s="40" t="str">
        <f t="array" ref="H199">_xlfn.XLOOKUP($B199, DB[samplingPoint], DB[location])</f>
        <v>RETURN LOOP</v>
      </c>
      <c r="I199" s="39" t="str">
        <f t="array" ref="I199">_xlfn.XLOOKUP($B199, DB[samplingPoint], DB[waterType])</f>
        <v>WFI</v>
      </c>
      <c r="J199" s="43">
        <f t="shared" si="43"/>
        <v>46134</v>
      </c>
      <c r="K199" s="26">
        <v>46137.0</v>
      </c>
      <c r="L199" s="53">
        <v>0.0</v>
      </c>
      <c r="M199" s="32">
        <f t="shared" si="2"/>
        <v>0</v>
      </c>
      <c r="N199" s="55"/>
      <c r="O199" s="32">
        <v>10.0</v>
      </c>
      <c r="P199" s="50" t="str">
        <f t="shared" si="3"/>
        <v>PASSED</v>
      </c>
      <c r="Q199" s="38" t="b">
        <v>0</v>
      </c>
      <c r="R199" s="32" t="s">
        <v>698</v>
      </c>
      <c r="S199" s="39" t="s">
        <v>386</v>
      </c>
      <c r="T199" s="32" t="s">
        <v>381</v>
      </c>
    </row>
    <row r="200" ht="22.5" customHeight="1">
      <c r="A200" s="26">
        <v>46132.0</v>
      </c>
      <c r="B200" s="48" t="s">
        <v>416</v>
      </c>
      <c r="C200" s="32" t="str">
        <f t="array" ref="C200">_xlfn.XLOOKUP(B200, DB[samplingPoint], DB[samplingTag])</f>
        <v>SV216.02</v>
      </c>
      <c r="D200" s="33" t="s">
        <v>379</v>
      </c>
      <c r="E200" s="38" t="b">
        <v>1</v>
      </c>
      <c r="F200" s="39" t="str">
        <f t="array" ref="F200">_xlfn.XLOOKUP($B200, DB[samplingPoint], DB[noLocation])</f>
        <v>16-1-098</v>
      </c>
      <c r="G200" s="33" t="s">
        <v>327</v>
      </c>
      <c r="H200" s="40" t="str">
        <f t="array" ref="H200">_xlfn.XLOOKUP($B200, DB[samplingPoint], DB[location])</f>
        <v>CIP/SIP</v>
      </c>
      <c r="I200" s="39" t="str">
        <f t="array" ref="I200">_xlfn.XLOOKUP($B200, DB[samplingPoint], DB[waterType])</f>
        <v>WFI</v>
      </c>
      <c r="J200" s="43">
        <f t="shared" si="43"/>
        <v>46134</v>
      </c>
      <c r="K200" s="26">
        <v>46137.0</v>
      </c>
      <c r="L200" s="53">
        <v>0.0</v>
      </c>
      <c r="M200" s="32">
        <f t="shared" si="2"/>
        <v>0</v>
      </c>
      <c r="N200" s="55"/>
      <c r="O200" s="32">
        <v>10.0</v>
      </c>
      <c r="P200" s="50" t="str">
        <f t="shared" si="3"/>
        <v>PASSED</v>
      </c>
      <c r="Q200" s="38" t="b">
        <v>0</v>
      </c>
      <c r="R200" s="32" t="s">
        <v>698</v>
      </c>
      <c r="S200" s="39" t="s">
        <v>386</v>
      </c>
      <c r="T200" s="32" t="s">
        <v>381</v>
      </c>
    </row>
    <row r="201" ht="22.5" customHeight="1">
      <c r="A201" s="26">
        <v>46132.0</v>
      </c>
      <c r="B201" s="48" t="s">
        <v>418</v>
      </c>
      <c r="C201" s="32" t="str">
        <f t="array" ref="C201">_xlfn.XLOOKUP(B201, DB[samplingPoint], DB[samplingTag])</f>
        <v>SV216.04</v>
      </c>
      <c r="D201" s="33" t="s">
        <v>379</v>
      </c>
      <c r="E201" s="38" t="b">
        <v>1</v>
      </c>
      <c r="F201" s="39" t="str">
        <f t="array" ref="F201">_xlfn.XLOOKUP($B201, DB[samplingPoint], DB[noLocation])</f>
        <v>16-1-098</v>
      </c>
      <c r="G201" s="33" t="s">
        <v>327</v>
      </c>
      <c r="H201" s="40" t="str">
        <f t="array" ref="H201">_xlfn.XLOOKUP($B201, DB[samplingPoint], DB[location])</f>
        <v>CIP/SIP</v>
      </c>
      <c r="I201" s="39" t="str">
        <f t="array" ref="I201">_xlfn.XLOOKUP($B201, DB[samplingPoint], DB[waterType])</f>
        <v>WFI</v>
      </c>
      <c r="J201" s="43">
        <f t="shared" si="43"/>
        <v>46134</v>
      </c>
      <c r="K201" s="26">
        <v>46137.0</v>
      </c>
      <c r="L201" s="53">
        <v>0.0</v>
      </c>
      <c r="M201" s="32">
        <f t="shared" si="2"/>
        <v>0</v>
      </c>
      <c r="N201" s="55"/>
      <c r="O201" s="32">
        <v>10.0</v>
      </c>
      <c r="P201" s="50" t="str">
        <f t="shared" si="3"/>
        <v>PASSED</v>
      </c>
      <c r="Q201" s="38" t="b">
        <v>0</v>
      </c>
      <c r="R201" s="32" t="s">
        <v>698</v>
      </c>
      <c r="S201" s="39" t="s">
        <v>386</v>
      </c>
      <c r="T201" s="32" t="s">
        <v>381</v>
      </c>
    </row>
    <row r="202" ht="22.5" customHeight="1">
      <c r="A202" s="112">
        <v>46133.0</v>
      </c>
      <c r="B202" s="48" t="s">
        <v>391</v>
      </c>
      <c r="C202" s="32" t="str">
        <f t="array" ref="C202">_xlfn.XLOOKUP(B202, DB[samplingPoint], DB[samplingTag])</f>
        <v>SV216.03</v>
      </c>
      <c r="D202" s="33" t="s">
        <v>404</v>
      </c>
      <c r="E202" s="38" t="b">
        <v>1</v>
      </c>
      <c r="F202" s="39" t="str">
        <f t="array" ref="F202">_xlfn.XLOOKUP($B202, DB[samplingPoint], DB[noLocation])</f>
        <v>16-1-096</v>
      </c>
      <c r="G202" s="33" t="s">
        <v>327</v>
      </c>
      <c r="H202" s="40" t="str">
        <f t="array" ref="H202">_xlfn.XLOOKUP($B202, DB[samplingPoint], DB[location])</f>
        <v>WASHING/TUNNEL-02</v>
      </c>
      <c r="I202" s="39" t="str">
        <f t="array" ref="I202">_xlfn.XLOOKUP($B202, DB[samplingPoint], DB[waterType])</f>
        <v>WFI</v>
      </c>
      <c r="J202" s="43">
        <f t="shared" ref="J202:J204" si="44">$A202+1</f>
        <v>46134</v>
      </c>
      <c r="K202" s="26">
        <v>46137.0</v>
      </c>
      <c r="L202" s="53">
        <v>0.0</v>
      </c>
      <c r="M202" s="32">
        <f t="shared" si="2"/>
        <v>0</v>
      </c>
      <c r="N202" s="55"/>
      <c r="O202" s="32">
        <v>10.0</v>
      </c>
      <c r="P202" s="50" t="str">
        <f t="shared" si="3"/>
        <v>PASSED</v>
      </c>
      <c r="Q202" s="38" t="b">
        <v>0</v>
      </c>
      <c r="R202" s="32" t="s">
        <v>741</v>
      </c>
      <c r="S202" s="39" t="s">
        <v>386</v>
      </c>
      <c r="T202" s="32" t="s">
        <v>381</v>
      </c>
    </row>
    <row r="203" ht="22.5" customHeight="1">
      <c r="A203" s="26">
        <v>46133.0</v>
      </c>
      <c r="B203" s="48" t="s">
        <v>395</v>
      </c>
      <c r="C203" s="32" t="str">
        <f t="array" ref="C203">_xlfn.XLOOKUP(B203, DB[samplingPoint], DB[samplingTag])</f>
        <v>POU HE216.03</v>
      </c>
      <c r="D203" s="33" t="s">
        <v>404</v>
      </c>
      <c r="E203" s="38" t="b">
        <v>1</v>
      </c>
      <c r="F203" s="39" t="str">
        <f t="array" ref="F203">_xlfn.XLOOKUP($B203, DB[samplingPoint], DB[noLocation])</f>
        <v>16-1-082</v>
      </c>
      <c r="G203" s="33" t="s">
        <v>327</v>
      </c>
      <c r="H203" s="40" t="str">
        <f t="array" ref="H203">_xlfn.XLOOKUP($B203, DB[samplingPoint], DB[location])</f>
        <v>WASHING</v>
      </c>
      <c r="I203" s="39" t="str">
        <f t="array" ref="I203">_xlfn.XLOOKUP($B203, DB[samplingPoint], DB[waterType])</f>
        <v>WFI</v>
      </c>
      <c r="J203" s="43">
        <f t="shared" si="44"/>
        <v>46134</v>
      </c>
      <c r="K203" s="26">
        <v>46137.0</v>
      </c>
      <c r="L203" s="53">
        <v>0.0</v>
      </c>
      <c r="M203" s="32">
        <f t="shared" si="2"/>
        <v>0</v>
      </c>
      <c r="N203" s="55"/>
      <c r="O203" s="32">
        <v>10.0</v>
      </c>
      <c r="P203" s="50" t="str">
        <f t="shared" si="3"/>
        <v>PASSED</v>
      </c>
      <c r="Q203" s="38" t="b">
        <v>0</v>
      </c>
      <c r="R203" s="32" t="s">
        <v>741</v>
      </c>
      <c r="S203" s="39" t="s">
        <v>386</v>
      </c>
      <c r="T203" s="32" t="s">
        <v>381</v>
      </c>
    </row>
    <row r="204" ht="22.5" customHeight="1">
      <c r="A204" s="26">
        <v>46133.0</v>
      </c>
      <c r="B204" s="48" t="s">
        <v>397</v>
      </c>
      <c r="C204" s="32" t="str">
        <f t="array" ref="C204">_xlfn.XLOOKUP(B204, DB[samplingPoint], DB[samplingTag])</f>
        <v>SV216.06</v>
      </c>
      <c r="D204" s="33" t="s">
        <v>404</v>
      </c>
      <c r="E204" s="38" t="b">
        <v>1</v>
      </c>
      <c r="F204" s="39" t="str">
        <f t="array" ref="F204">_xlfn.XLOOKUP($B204, DB[samplingPoint], DB[noLocation])</f>
        <v>16-1-082</v>
      </c>
      <c r="G204" s="33" t="s">
        <v>327</v>
      </c>
      <c r="H204" s="40" t="str">
        <f t="array" ref="H204">_xlfn.XLOOKUP($B204, DB[samplingPoint], DB[location])</f>
        <v>WASHING</v>
      </c>
      <c r="I204" s="39" t="str">
        <f t="array" ref="I204">_xlfn.XLOOKUP($B204, DB[samplingPoint], DB[waterType])</f>
        <v>WFI</v>
      </c>
      <c r="J204" s="43">
        <f t="shared" si="44"/>
        <v>46134</v>
      </c>
      <c r="K204" s="26">
        <v>46137.0</v>
      </c>
      <c r="L204" s="53">
        <v>0.0</v>
      </c>
      <c r="M204" s="32">
        <f t="shared" si="2"/>
        <v>0</v>
      </c>
      <c r="N204" s="55"/>
      <c r="O204" s="32">
        <v>10.0</v>
      </c>
      <c r="P204" s="50" t="str">
        <f t="shared" si="3"/>
        <v>PASSED</v>
      </c>
      <c r="Q204" s="38" t="b">
        <v>0</v>
      </c>
      <c r="R204" s="32" t="s">
        <v>741</v>
      </c>
      <c r="S204" s="39" t="s">
        <v>386</v>
      </c>
      <c r="T204" s="32" t="s">
        <v>381</v>
      </c>
    </row>
    <row r="205" ht="22.5" customHeight="1">
      <c r="A205" s="112">
        <v>46134.0</v>
      </c>
      <c r="B205" s="48" t="s">
        <v>225</v>
      </c>
      <c r="C205" s="32" t="str">
        <f t="array" ref="C205">_xlfn.XLOOKUP(B205, DB[samplingPoint], DB[samplingTag])</f>
        <v>SV216.05</v>
      </c>
      <c r="D205" s="33" t="s">
        <v>412</v>
      </c>
      <c r="E205" s="38" t="b">
        <v>1</v>
      </c>
      <c r="F205" s="39" t="str">
        <f t="array" ref="F205">_xlfn.XLOOKUP($B205, DB[samplingPoint], DB[noLocation])</f>
        <v>16-1-110</v>
      </c>
      <c r="G205" s="33" t="s">
        <v>327</v>
      </c>
      <c r="H205" s="40" t="str">
        <f t="array" ref="H205">_xlfn.XLOOKUP($B205, DB[samplingPoint], DB[location])</f>
        <v>DISINFECTANT PREPARATION</v>
      </c>
      <c r="I205" s="39" t="str">
        <f t="array" ref="I205">_xlfn.XLOOKUP($B205, DB[samplingPoint], DB[waterType])</f>
        <v>WFI</v>
      </c>
      <c r="J205" s="43">
        <f t="shared" ref="J205:J206" si="45">$A205+2</f>
        <v>46136</v>
      </c>
      <c r="K205" s="26">
        <v>46139.0</v>
      </c>
      <c r="L205" s="53">
        <v>0.0</v>
      </c>
      <c r="M205" s="32">
        <f t="shared" si="2"/>
        <v>0</v>
      </c>
      <c r="N205" s="55"/>
      <c r="O205" s="32">
        <v>10.0</v>
      </c>
      <c r="P205" s="50" t="str">
        <f t="shared" si="3"/>
        <v>PASSED</v>
      </c>
      <c r="Q205" s="38" t="b">
        <v>0</v>
      </c>
      <c r="R205" s="32" t="s">
        <v>765</v>
      </c>
      <c r="S205" s="39" t="s">
        <v>386</v>
      </c>
      <c r="T205" s="32" t="s">
        <v>381</v>
      </c>
    </row>
    <row r="206" ht="22.5" customHeight="1">
      <c r="A206" s="26">
        <v>46134.0</v>
      </c>
      <c r="B206" s="48" t="s">
        <v>365</v>
      </c>
      <c r="C206" s="32" t="str">
        <f t="array" ref="C206">_xlfn.XLOOKUP(B206, DB[samplingPoint], DB[samplingTag])</f>
        <v>SV216.10</v>
      </c>
      <c r="D206" s="33" t="s">
        <v>412</v>
      </c>
      <c r="E206" s="38" t="b">
        <v>1</v>
      </c>
      <c r="F206" s="39" t="str">
        <f t="array" ref="F206">_xlfn.XLOOKUP($B206, DB[samplingPoint], DB[noLocation])</f>
        <v>16-1-105</v>
      </c>
      <c r="G206" s="33" t="s">
        <v>327</v>
      </c>
      <c r="H206" s="40" t="str">
        <f t="array" ref="H206">_xlfn.XLOOKUP($B206, DB[samplingPoint], DB[location])</f>
        <v>WASHING/TUNNEL-01</v>
      </c>
      <c r="I206" s="39" t="str">
        <f t="array" ref="I206">_xlfn.XLOOKUP($B206, DB[samplingPoint], DB[waterType])</f>
        <v>WFI</v>
      </c>
      <c r="J206" s="43">
        <f t="shared" si="45"/>
        <v>46136</v>
      </c>
      <c r="K206" s="26">
        <v>46139.0</v>
      </c>
      <c r="L206" s="53">
        <v>0.0</v>
      </c>
      <c r="M206" s="32">
        <f t="shared" si="2"/>
        <v>0</v>
      </c>
      <c r="N206" s="55"/>
      <c r="O206" s="32">
        <v>10.0</v>
      </c>
      <c r="P206" s="50" t="str">
        <f t="shared" si="3"/>
        <v>PASSED</v>
      </c>
      <c r="Q206" s="38" t="b">
        <v>0</v>
      </c>
      <c r="R206" s="32" t="s">
        <v>765</v>
      </c>
      <c r="S206" s="39" t="s">
        <v>386</v>
      </c>
      <c r="T206" s="32" t="s">
        <v>381</v>
      </c>
    </row>
    <row r="207" ht="22.5" customHeight="1">
      <c r="A207" s="112">
        <v>46135.0</v>
      </c>
      <c r="B207" s="48" t="s">
        <v>403</v>
      </c>
      <c r="C207" s="32" t="str">
        <f t="array" ref="C207">_xlfn.XLOOKUP(B207, DB[samplingPoint], DB[samplingTag])</f>
        <v>POU HE216.01</v>
      </c>
      <c r="D207" s="33" t="s">
        <v>292</v>
      </c>
      <c r="E207" s="38" t="b">
        <v>1</v>
      </c>
      <c r="F207" s="39" t="str">
        <f t="array" ref="F207">_xlfn.XLOOKUP($B207, DB[samplingPoint], DB[noLocation])</f>
        <v>16-1-107</v>
      </c>
      <c r="G207" s="33" t="s">
        <v>327</v>
      </c>
      <c r="H207" s="40" t="str">
        <f t="array" ref="H207">_xlfn.XLOOKUP($B207, DB[samplingPoint], DB[location])</f>
        <v>COMPOUNDING-01</v>
      </c>
      <c r="I207" s="39" t="str">
        <f t="array" ref="I207">_xlfn.XLOOKUP($B207, DB[samplingPoint], DB[waterType])</f>
        <v>WFI</v>
      </c>
      <c r="J207" s="43">
        <f t="shared" ref="J207:J210" si="46">$A207+1</f>
        <v>46136</v>
      </c>
      <c r="K207" s="26">
        <v>46139.0</v>
      </c>
      <c r="L207" s="53">
        <v>0.0</v>
      </c>
      <c r="M207" s="32">
        <f t="shared" si="2"/>
        <v>0</v>
      </c>
      <c r="N207" s="55"/>
      <c r="O207" s="32">
        <v>10.0</v>
      </c>
      <c r="P207" s="50" t="str">
        <f t="shared" si="3"/>
        <v>PASSED</v>
      </c>
      <c r="Q207" s="38" t="b">
        <v>0</v>
      </c>
      <c r="R207" s="32" t="s">
        <v>785</v>
      </c>
      <c r="S207" s="39" t="s">
        <v>386</v>
      </c>
      <c r="T207" s="32" t="s">
        <v>381</v>
      </c>
    </row>
    <row r="208" ht="22.5" customHeight="1">
      <c r="A208" s="26">
        <v>46135.0</v>
      </c>
      <c r="B208" s="48" t="s">
        <v>407</v>
      </c>
      <c r="C208" s="32" t="str">
        <f t="array" ref="C208">_xlfn.XLOOKUP(B208, DB[samplingPoint], DB[samplingTag])</f>
        <v>POU HE216.02</v>
      </c>
      <c r="D208" s="33" t="s">
        <v>292</v>
      </c>
      <c r="E208" s="38" t="b">
        <v>1</v>
      </c>
      <c r="F208" s="39" t="str">
        <f t="array" ref="F208">_xlfn.XLOOKUP($B208, DB[samplingPoint], DB[noLocation])</f>
        <v>16-1-107</v>
      </c>
      <c r="G208" s="33" t="s">
        <v>327</v>
      </c>
      <c r="H208" s="40" t="str">
        <f t="array" ref="H208">_xlfn.XLOOKUP($B208, DB[samplingPoint], DB[location])</f>
        <v>COMPOUNDING-01</v>
      </c>
      <c r="I208" s="39" t="str">
        <f t="array" ref="I208">_xlfn.XLOOKUP($B208, DB[samplingPoint], DB[waterType])</f>
        <v>WFI</v>
      </c>
      <c r="J208" s="43">
        <f t="shared" si="46"/>
        <v>46136</v>
      </c>
      <c r="K208" s="26">
        <v>46139.0</v>
      </c>
      <c r="L208" s="53">
        <v>1.0</v>
      </c>
      <c r="M208" s="32">
        <f t="shared" si="2"/>
        <v>1</v>
      </c>
      <c r="N208" s="55"/>
      <c r="O208" s="32">
        <v>10.0</v>
      </c>
      <c r="P208" s="50" t="str">
        <f t="shared" si="3"/>
        <v>PASSED</v>
      </c>
      <c r="Q208" s="38" t="b">
        <v>0</v>
      </c>
      <c r="R208" s="32" t="s">
        <v>785</v>
      </c>
      <c r="S208" s="39" t="s">
        <v>386</v>
      </c>
      <c r="T208" s="32" t="s">
        <v>381</v>
      </c>
    </row>
    <row r="209" ht="22.5" customHeight="1">
      <c r="A209" s="26">
        <v>46136.0</v>
      </c>
      <c r="B209" s="48" t="s">
        <v>367</v>
      </c>
      <c r="C209" s="32" t="str">
        <f t="array" ref="C209">_xlfn.XLOOKUP(B209, DB[samplingPoint], DB[samplingTag])</f>
        <v>POU HE216.04</v>
      </c>
      <c r="D209" s="33" t="s">
        <v>369</v>
      </c>
      <c r="E209" s="38" t="b">
        <v>1</v>
      </c>
      <c r="F209" s="39" t="str">
        <f t="array" ref="F209">_xlfn.XLOOKUP($B209, DB[samplingPoint], DB[noLocation])</f>
        <v>16-1-114</v>
      </c>
      <c r="G209" s="33" t="s">
        <v>327</v>
      </c>
      <c r="H209" s="40" t="str">
        <f t="array" ref="H209">_xlfn.XLOOKUP($B209, DB[samplingPoint], DB[location])</f>
        <v>COMPOUNDING-02</v>
      </c>
      <c r="I209" s="39" t="str">
        <f t="array" ref="I209">_xlfn.XLOOKUP($B209, DB[samplingPoint], DB[waterType])</f>
        <v>WFI</v>
      </c>
      <c r="J209" s="43">
        <f t="shared" si="46"/>
        <v>46137</v>
      </c>
      <c r="K209" s="26">
        <v>46141.0</v>
      </c>
      <c r="L209" s="53">
        <v>0.0</v>
      </c>
      <c r="M209" s="32">
        <f t="shared" si="2"/>
        <v>0</v>
      </c>
      <c r="N209" s="55"/>
      <c r="O209" s="32">
        <v>10.0</v>
      </c>
      <c r="P209" s="50" t="str">
        <f t="shared" si="3"/>
        <v>PASSED</v>
      </c>
      <c r="Q209" s="38" t="b">
        <v>0</v>
      </c>
      <c r="R209" s="32" t="s">
        <v>108</v>
      </c>
      <c r="S209" s="39" t="s">
        <v>386</v>
      </c>
      <c r="T209" s="32" t="s">
        <v>304</v>
      </c>
    </row>
    <row r="210" ht="22.5" customHeight="1">
      <c r="A210" s="26">
        <v>46136.0</v>
      </c>
      <c r="B210" s="48" t="s">
        <v>372</v>
      </c>
      <c r="C210" s="32" t="str">
        <f t="array" ref="C210">_xlfn.XLOOKUP(B210, DB[samplingPoint], DB[samplingTag])</f>
        <v>POU HE216.05</v>
      </c>
      <c r="D210" s="33" t="s">
        <v>369</v>
      </c>
      <c r="E210" s="38" t="b">
        <v>1</v>
      </c>
      <c r="F210" s="39" t="str">
        <f t="array" ref="F210">_xlfn.XLOOKUP($B210, DB[samplingPoint], DB[noLocation])</f>
        <v>16-1-114</v>
      </c>
      <c r="G210" s="33" t="s">
        <v>327</v>
      </c>
      <c r="H210" s="40" t="str">
        <f t="array" ref="H210">_xlfn.XLOOKUP($B210, DB[samplingPoint], DB[location])</f>
        <v>COMPOUNDING-02</v>
      </c>
      <c r="I210" s="39" t="str">
        <f t="array" ref="I210">_xlfn.XLOOKUP($B210, DB[samplingPoint], DB[waterType])</f>
        <v>WFI</v>
      </c>
      <c r="J210" s="43">
        <f t="shared" si="46"/>
        <v>46137</v>
      </c>
      <c r="K210" s="26">
        <v>46141.0</v>
      </c>
      <c r="L210" s="53">
        <v>0.0</v>
      </c>
      <c r="M210" s="32">
        <f t="shared" si="2"/>
        <v>0</v>
      </c>
      <c r="N210" s="55"/>
      <c r="O210" s="32">
        <v>10.0</v>
      </c>
      <c r="P210" s="50" t="str">
        <f t="shared" si="3"/>
        <v>PASSED</v>
      </c>
      <c r="Q210" s="38" t="b">
        <v>0</v>
      </c>
      <c r="R210" s="32" t="s">
        <v>108</v>
      </c>
      <c r="S210" s="39" t="s">
        <v>386</v>
      </c>
      <c r="T210" s="32" t="s">
        <v>304</v>
      </c>
    </row>
    <row r="211" ht="22.5" customHeight="1">
      <c r="A211" s="112">
        <v>46139.0</v>
      </c>
      <c r="B211" s="48" t="s">
        <v>377</v>
      </c>
      <c r="C211" s="32" t="str">
        <f t="array" ref="C211">_xlfn.XLOOKUP(B211, DB[samplingPoint], DB[samplingTag])</f>
        <v>V12-4</v>
      </c>
      <c r="D211" s="33" t="s">
        <v>379</v>
      </c>
      <c r="E211" s="38" t="b">
        <v>1</v>
      </c>
      <c r="F211" s="39" t="str">
        <f t="array" ref="F211">_xlfn.XLOOKUP($B211, DB[samplingPoint], DB[noLocation])</f>
        <v>16-2-010</v>
      </c>
      <c r="G211" s="33" t="s">
        <v>327</v>
      </c>
      <c r="H211" s="40" t="str">
        <f t="array" ref="H211">_xlfn.XLOOKUP($B211, DB[samplingPoint], DB[location])</f>
        <v>AFTER WFI GENERATOR</v>
      </c>
      <c r="I211" s="39" t="str">
        <f t="array" ref="I211">_xlfn.XLOOKUP($B211, DB[samplingPoint], DB[waterType])</f>
        <v>WFI</v>
      </c>
      <c r="J211" s="43">
        <f t="shared" ref="J211:J217" si="47">$A211+2</f>
        <v>46141</v>
      </c>
      <c r="K211" s="26">
        <v>46148.0</v>
      </c>
      <c r="L211" s="53">
        <v>0.0</v>
      </c>
      <c r="M211" s="32">
        <f t="shared" si="2"/>
        <v>0</v>
      </c>
      <c r="N211" s="55"/>
      <c r="O211" s="32">
        <v>10.0</v>
      </c>
      <c r="P211" s="50" t="str">
        <f t="shared" si="3"/>
        <v>PASSED</v>
      </c>
      <c r="Q211" s="38" t="b">
        <v>0</v>
      </c>
      <c r="R211" s="32" t="s">
        <v>115</v>
      </c>
      <c r="S211" s="39" t="s">
        <v>386</v>
      </c>
      <c r="T211" s="32" t="s">
        <v>304</v>
      </c>
    </row>
    <row r="212" ht="22.5" customHeight="1">
      <c r="A212" s="26">
        <v>46139.0</v>
      </c>
      <c r="B212" s="48" t="s">
        <v>383</v>
      </c>
      <c r="C212" s="32" t="str">
        <f t="array" ref="C212">_xlfn.XLOOKUP(B212, DB[samplingPoint], DB[samplingTag])</f>
        <v>SV213.01</v>
      </c>
      <c r="D212" s="33" t="s">
        <v>379</v>
      </c>
      <c r="E212" s="38" t="b">
        <v>1</v>
      </c>
      <c r="F212" s="39" t="str">
        <f t="array" ref="F212">_xlfn.XLOOKUP($B212, DB[samplingPoint], DB[noLocation])</f>
        <v>16-2-010</v>
      </c>
      <c r="G212" s="33" t="s">
        <v>327</v>
      </c>
      <c r="H212" s="40" t="str">
        <f t="array" ref="H212">_xlfn.XLOOKUP($B212, DB[samplingPoint], DB[location])</f>
        <v>AFTER STORAGE TANK</v>
      </c>
      <c r="I212" s="39" t="str">
        <f t="array" ref="I212">_xlfn.XLOOKUP($B212, DB[samplingPoint], DB[waterType])</f>
        <v>WFI</v>
      </c>
      <c r="J212" s="43">
        <f t="shared" si="47"/>
        <v>46141</v>
      </c>
      <c r="K212" s="26">
        <v>46148.0</v>
      </c>
      <c r="L212" s="53">
        <v>0.0</v>
      </c>
      <c r="M212" s="32">
        <f t="shared" si="2"/>
        <v>0</v>
      </c>
      <c r="N212" s="55"/>
      <c r="O212" s="32">
        <v>10.0</v>
      </c>
      <c r="P212" s="50" t="str">
        <f t="shared" si="3"/>
        <v>PASSED</v>
      </c>
      <c r="Q212" s="38" t="b">
        <v>0</v>
      </c>
      <c r="R212" s="32" t="s">
        <v>115</v>
      </c>
      <c r="S212" s="39" t="s">
        <v>386</v>
      </c>
      <c r="T212" s="32" t="s">
        <v>304</v>
      </c>
    </row>
    <row r="213" ht="22.5" customHeight="1">
      <c r="A213" s="26">
        <v>46139.0</v>
      </c>
      <c r="B213" s="48" t="s">
        <v>388</v>
      </c>
      <c r="C213" s="32" t="str">
        <f t="array" ref="C213">_xlfn.XLOOKUP(B213, DB[samplingPoint], DB[samplingTag])</f>
        <v>SV217.01</v>
      </c>
      <c r="D213" s="33" t="s">
        <v>379</v>
      </c>
      <c r="E213" s="38" t="b">
        <v>1</v>
      </c>
      <c r="F213" s="39" t="str">
        <f t="array" ref="F213">_xlfn.XLOOKUP($B213, DB[samplingPoint], DB[noLocation])</f>
        <v>16-2-010</v>
      </c>
      <c r="G213" s="33" t="s">
        <v>327</v>
      </c>
      <c r="H213" s="40" t="str">
        <f t="array" ref="H213">_xlfn.XLOOKUP($B213, DB[samplingPoint], DB[location])</f>
        <v>RETURN LOOP</v>
      </c>
      <c r="I213" s="39" t="str">
        <f t="array" ref="I213">_xlfn.XLOOKUP($B213, DB[samplingPoint], DB[waterType])</f>
        <v>WFI</v>
      </c>
      <c r="J213" s="43">
        <f t="shared" si="47"/>
        <v>46141</v>
      </c>
      <c r="K213" s="26">
        <v>46148.0</v>
      </c>
      <c r="L213" s="53">
        <v>0.0</v>
      </c>
      <c r="M213" s="32">
        <f t="shared" si="2"/>
        <v>0</v>
      </c>
      <c r="N213" s="55"/>
      <c r="O213" s="32">
        <v>10.0</v>
      </c>
      <c r="P213" s="50" t="str">
        <f t="shared" si="3"/>
        <v>PASSED</v>
      </c>
      <c r="Q213" s="38" t="b">
        <v>0</v>
      </c>
      <c r="R213" s="32" t="s">
        <v>115</v>
      </c>
      <c r="S213" s="39" t="s">
        <v>386</v>
      </c>
      <c r="T213" s="32" t="s">
        <v>304</v>
      </c>
    </row>
    <row r="214" ht="22.5" customHeight="1">
      <c r="A214" s="26">
        <v>46139.0</v>
      </c>
      <c r="B214" s="48" t="s">
        <v>391</v>
      </c>
      <c r="C214" s="32" t="str">
        <f t="array" ref="C214">_xlfn.XLOOKUP(B214, DB[samplingPoint], DB[samplingTag])</f>
        <v>SV216.03</v>
      </c>
      <c r="D214" s="33" t="s">
        <v>404</v>
      </c>
      <c r="E214" s="38" t="b">
        <v>1</v>
      </c>
      <c r="F214" s="39" t="str">
        <f t="array" ref="F214">_xlfn.XLOOKUP($B214, DB[samplingPoint], DB[noLocation])</f>
        <v>16-1-096</v>
      </c>
      <c r="G214" s="33" t="s">
        <v>327</v>
      </c>
      <c r="H214" s="40" t="str">
        <f t="array" ref="H214">_xlfn.XLOOKUP($B214, DB[samplingPoint], DB[location])</f>
        <v>WASHING/TUNNEL-02</v>
      </c>
      <c r="I214" s="39" t="str">
        <f t="array" ref="I214">_xlfn.XLOOKUP($B214, DB[samplingPoint], DB[waterType])</f>
        <v>WFI</v>
      </c>
      <c r="J214" s="43">
        <f t="shared" si="47"/>
        <v>46141</v>
      </c>
      <c r="K214" s="26">
        <v>46148.0</v>
      </c>
      <c r="L214" s="53">
        <v>0.0</v>
      </c>
      <c r="M214" s="32">
        <f t="shared" si="2"/>
        <v>0</v>
      </c>
      <c r="N214" s="55"/>
      <c r="O214" s="32">
        <v>10.0</v>
      </c>
      <c r="P214" s="50" t="str">
        <f t="shared" si="3"/>
        <v>PASSED</v>
      </c>
      <c r="Q214" s="38" t="b">
        <v>0</v>
      </c>
      <c r="R214" s="32" t="s">
        <v>115</v>
      </c>
      <c r="S214" s="39" t="s">
        <v>386</v>
      </c>
      <c r="T214" s="32" t="s">
        <v>304</v>
      </c>
    </row>
    <row r="215" ht="22.5" customHeight="1">
      <c r="A215" s="26">
        <v>46139.0</v>
      </c>
      <c r="B215" s="48" t="s">
        <v>395</v>
      </c>
      <c r="C215" s="32" t="str">
        <f t="array" ref="C215">_xlfn.XLOOKUP(B215, DB[samplingPoint], DB[samplingTag])</f>
        <v>POU HE216.03</v>
      </c>
      <c r="D215" s="33" t="s">
        <v>404</v>
      </c>
      <c r="E215" s="38" t="b">
        <v>1</v>
      </c>
      <c r="F215" s="39" t="str">
        <f t="array" ref="F215">_xlfn.XLOOKUP($B215, DB[samplingPoint], DB[noLocation])</f>
        <v>16-1-082</v>
      </c>
      <c r="G215" s="33" t="s">
        <v>327</v>
      </c>
      <c r="H215" s="40" t="str">
        <f t="array" ref="H215">_xlfn.XLOOKUP($B215, DB[samplingPoint], DB[location])</f>
        <v>WASHING</v>
      </c>
      <c r="I215" s="39" t="str">
        <f t="array" ref="I215">_xlfn.XLOOKUP($B215, DB[samplingPoint], DB[waterType])</f>
        <v>WFI</v>
      </c>
      <c r="J215" s="43">
        <f t="shared" si="47"/>
        <v>46141</v>
      </c>
      <c r="K215" s="26">
        <v>46148.0</v>
      </c>
      <c r="L215" s="53">
        <v>0.0</v>
      </c>
      <c r="M215" s="32">
        <f t="shared" si="2"/>
        <v>0</v>
      </c>
      <c r="N215" s="55"/>
      <c r="O215" s="32">
        <v>10.0</v>
      </c>
      <c r="P215" s="50" t="str">
        <f t="shared" si="3"/>
        <v>PASSED</v>
      </c>
      <c r="Q215" s="38" t="b">
        <v>0</v>
      </c>
      <c r="R215" s="32" t="s">
        <v>115</v>
      </c>
      <c r="S215" s="39" t="s">
        <v>386</v>
      </c>
      <c r="T215" s="32" t="s">
        <v>304</v>
      </c>
    </row>
    <row r="216" ht="22.5" customHeight="1">
      <c r="A216" s="26">
        <v>46139.0</v>
      </c>
      <c r="B216" s="48" t="s">
        <v>397</v>
      </c>
      <c r="C216" s="32" t="str">
        <f t="array" ref="C216">_xlfn.XLOOKUP(B216, DB[samplingPoint], DB[samplingTag])</f>
        <v>SV216.06</v>
      </c>
      <c r="D216" s="33" t="s">
        <v>404</v>
      </c>
      <c r="E216" s="38" t="b">
        <v>1</v>
      </c>
      <c r="F216" s="39" t="str">
        <f t="array" ref="F216">_xlfn.XLOOKUP($B216, DB[samplingPoint], DB[noLocation])</f>
        <v>16-1-082</v>
      </c>
      <c r="G216" s="33" t="s">
        <v>327</v>
      </c>
      <c r="H216" s="40" t="str">
        <f t="array" ref="H216">_xlfn.XLOOKUP($B216, DB[samplingPoint], DB[location])</f>
        <v>WASHING</v>
      </c>
      <c r="I216" s="39" t="str">
        <f t="array" ref="I216">_xlfn.XLOOKUP($B216, DB[samplingPoint], DB[waterType])</f>
        <v>WFI</v>
      </c>
      <c r="J216" s="43">
        <f t="shared" si="47"/>
        <v>46141</v>
      </c>
      <c r="K216" s="26">
        <v>46148.0</v>
      </c>
      <c r="L216" s="53">
        <v>0.0</v>
      </c>
      <c r="M216" s="32">
        <f t="shared" si="2"/>
        <v>0</v>
      </c>
      <c r="N216" s="55"/>
      <c r="O216" s="32">
        <v>10.0</v>
      </c>
      <c r="P216" s="50" t="str">
        <f t="shared" si="3"/>
        <v>PASSED</v>
      </c>
      <c r="Q216" s="38" t="b">
        <v>0</v>
      </c>
      <c r="R216" s="32" t="s">
        <v>115</v>
      </c>
      <c r="S216" s="39" t="s">
        <v>386</v>
      </c>
      <c r="T216" s="32" t="s">
        <v>304</v>
      </c>
    </row>
    <row r="217" ht="22.5" customHeight="1">
      <c r="A217" s="26">
        <v>46139.0</v>
      </c>
      <c r="B217" s="48" t="s">
        <v>416</v>
      </c>
      <c r="C217" s="32" t="str">
        <f t="array" ref="C217">_xlfn.XLOOKUP(B217, DB[samplingPoint], DB[samplingTag])</f>
        <v>SV216.02</v>
      </c>
      <c r="D217" s="33" t="s">
        <v>404</v>
      </c>
      <c r="E217" s="38" t="b">
        <v>1</v>
      </c>
      <c r="F217" s="39" t="str">
        <f t="array" ref="F217">_xlfn.XLOOKUP($B217, DB[samplingPoint], DB[noLocation])</f>
        <v>16-1-098</v>
      </c>
      <c r="G217" s="33" t="s">
        <v>327</v>
      </c>
      <c r="H217" s="40" t="str">
        <f t="array" ref="H217">_xlfn.XLOOKUP($B217, DB[samplingPoint], DB[location])</f>
        <v>CIP/SIP</v>
      </c>
      <c r="I217" s="39" t="str">
        <f t="array" ref="I217">_xlfn.XLOOKUP($B217, DB[samplingPoint], DB[waterType])</f>
        <v>WFI</v>
      </c>
      <c r="J217" s="43">
        <f t="shared" si="47"/>
        <v>46141</v>
      </c>
      <c r="K217" s="26">
        <v>46148.0</v>
      </c>
      <c r="L217" s="53">
        <v>0.0</v>
      </c>
      <c r="M217" s="32">
        <f t="shared" si="2"/>
        <v>0</v>
      </c>
      <c r="N217" s="55"/>
      <c r="O217" s="32">
        <v>10.0</v>
      </c>
      <c r="P217" s="50" t="str">
        <f t="shared" si="3"/>
        <v>PASSED</v>
      </c>
      <c r="Q217" s="38" t="b">
        <v>0</v>
      </c>
      <c r="R217" s="32" t="s">
        <v>115</v>
      </c>
      <c r="S217" s="39" t="s">
        <v>386</v>
      </c>
      <c r="T217" s="32" t="s">
        <v>304</v>
      </c>
    </row>
    <row r="218" ht="22.5" customHeight="1">
      <c r="A218" s="26">
        <v>46140.0</v>
      </c>
      <c r="B218" s="48" t="s">
        <v>225</v>
      </c>
      <c r="C218" s="32" t="str">
        <f t="array" ref="C218">_xlfn.XLOOKUP(B218, DB[samplingPoint], DB[samplingTag])</f>
        <v>SV216.05</v>
      </c>
      <c r="D218" s="33" t="s">
        <v>412</v>
      </c>
      <c r="E218" s="38" t="b">
        <v>1</v>
      </c>
      <c r="F218" s="39" t="str">
        <f t="array" ref="F218">_xlfn.XLOOKUP($B218, DB[samplingPoint], DB[noLocation])</f>
        <v>16-1-110</v>
      </c>
      <c r="G218" s="33" t="s">
        <v>327</v>
      </c>
      <c r="H218" s="40" t="str">
        <f t="array" ref="H218">_xlfn.XLOOKUP($B218, DB[samplingPoint], DB[location])</f>
        <v>DISINFECTANT PREPARATION</v>
      </c>
      <c r="I218" s="39" t="str">
        <f t="array" ref="I218">_xlfn.XLOOKUP($B218, DB[samplingPoint], DB[waterType])</f>
        <v>WFI</v>
      </c>
      <c r="J218" s="43">
        <f t="shared" ref="J218:J219" si="48">$A218+1</f>
        <v>46141</v>
      </c>
      <c r="K218" s="26">
        <v>46148.0</v>
      </c>
      <c r="L218" s="53">
        <v>0.0</v>
      </c>
      <c r="M218" s="32">
        <f t="shared" si="2"/>
        <v>0</v>
      </c>
      <c r="N218" s="55"/>
      <c r="O218" s="32">
        <v>10.0</v>
      </c>
      <c r="P218" s="50" t="str">
        <f t="shared" si="3"/>
        <v>PASSED</v>
      </c>
      <c r="Q218" s="38" t="b">
        <v>0</v>
      </c>
      <c r="R218" s="32" t="s">
        <v>908</v>
      </c>
      <c r="S218" s="39" t="s">
        <v>386</v>
      </c>
      <c r="T218" s="32" t="s">
        <v>381</v>
      </c>
    </row>
    <row r="219" ht="22.5" customHeight="1">
      <c r="A219" s="26">
        <v>46140.0</v>
      </c>
      <c r="B219" s="48" t="s">
        <v>365</v>
      </c>
      <c r="C219" s="32" t="str">
        <f t="array" ref="C219">_xlfn.XLOOKUP(B219, DB[samplingPoint], DB[samplingTag])</f>
        <v>SV216.10</v>
      </c>
      <c r="D219" s="33" t="s">
        <v>412</v>
      </c>
      <c r="E219" s="38" t="b">
        <v>1</v>
      </c>
      <c r="F219" s="39" t="str">
        <f t="array" ref="F219">_xlfn.XLOOKUP($B219, DB[samplingPoint], DB[noLocation])</f>
        <v>16-1-105</v>
      </c>
      <c r="G219" s="33" t="s">
        <v>327</v>
      </c>
      <c r="H219" s="40" t="str">
        <f t="array" ref="H219">_xlfn.XLOOKUP($B219, DB[samplingPoint], DB[location])</f>
        <v>WASHING/TUNNEL-01</v>
      </c>
      <c r="I219" s="39" t="str">
        <f t="array" ref="I219">_xlfn.XLOOKUP($B219, DB[samplingPoint], DB[waterType])</f>
        <v>WFI</v>
      </c>
      <c r="J219" s="43">
        <f t="shared" si="48"/>
        <v>46141</v>
      </c>
      <c r="K219" s="26">
        <v>46148.0</v>
      </c>
      <c r="L219" s="53">
        <v>0.0</v>
      </c>
      <c r="M219" s="32">
        <f t="shared" si="2"/>
        <v>0</v>
      </c>
      <c r="N219" s="55"/>
      <c r="O219" s="32">
        <v>10.0</v>
      </c>
      <c r="P219" s="50" t="str">
        <f t="shared" si="3"/>
        <v>PASSED</v>
      </c>
      <c r="Q219" s="38" t="b">
        <v>0</v>
      </c>
      <c r="R219" s="32" t="s">
        <v>908</v>
      </c>
      <c r="S219" s="39" t="s">
        <v>386</v>
      </c>
      <c r="T219" s="32" t="s">
        <v>381</v>
      </c>
    </row>
    <row r="220" ht="22.5" customHeight="1">
      <c r="A220" s="26">
        <v>46141.0</v>
      </c>
      <c r="B220" s="48" t="s">
        <v>403</v>
      </c>
      <c r="C220" s="32" t="str">
        <f t="array" ref="C220">_xlfn.XLOOKUP(B220, DB[samplingPoint], DB[samplingTag])</f>
        <v>POU HE216.01</v>
      </c>
      <c r="D220" s="33" t="s">
        <v>292</v>
      </c>
      <c r="E220" s="38" t="b">
        <v>1</v>
      </c>
      <c r="F220" s="39" t="str">
        <f t="array" ref="F220">_xlfn.XLOOKUP($B220, DB[samplingPoint], DB[noLocation])</f>
        <v>16-1-107</v>
      </c>
      <c r="G220" s="33" t="s">
        <v>327</v>
      </c>
      <c r="H220" s="40" t="str">
        <f t="array" ref="H220">_xlfn.XLOOKUP($B220, DB[samplingPoint], DB[location])</f>
        <v>COMPOUNDING-01</v>
      </c>
      <c r="I220" s="39" t="str">
        <f t="array" ref="I220">_xlfn.XLOOKUP($B220, DB[samplingPoint], DB[waterType])</f>
        <v>WFI</v>
      </c>
      <c r="J220" s="43">
        <f t="shared" ref="J220:J221" si="49">$A220+2</f>
        <v>46143</v>
      </c>
      <c r="K220" s="26">
        <v>46148.0</v>
      </c>
      <c r="L220" s="53">
        <v>0.0</v>
      </c>
      <c r="M220" s="32">
        <f t="shared" si="2"/>
        <v>0</v>
      </c>
      <c r="N220" s="55"/>
      <c r="O220" s="32">
        <v>10.0</v>
      </c>
      <c r="P220" s="50" t="str">
        <f t="shared" si="3"/>
        <v>PASSED</v>
      </c>
      <c r="Q220" s="38" t="b">
        <v>0</v>
      </c>
      <c r="R220" s="32" t="s">
        <v>917</v>
      </c>
      <c r="S220" s="39" t="s">
        <v>386</v>
      </c>
      <c r="T220" s="32" t="s">
        <v>381</v>
      </c>
    </row>
    <row r="221" ht="22.5" customHeight="1">
      <c r="A221" s="26">
        <v>46141.0</v>
      </c>
      <c r="B221" s="48" t="s">
        <v>407</v>
      </c>
      <c r="C221" s="32" t="str">
        <f t="array" ref="C221">_xlfn.XLOOKUP(B221, DB[samplingPoint], DB[samplingTag])</f>
        <v>POU HE216.02</v>
      </c>
      <c r="D221" s="33" t="s">
        <v>292</v>
      </c>
      <c r="E221" s="38" t="b">
        <v>1</v>
      </c>
      <c r="F221" s="39" t="str">
        <f t="array" ref="F221">_xlfn.XLOOKUP($B221, DB[samplingPoint], DB[noLocation])</f>
        <v>16-1-107</v>
      </c>
      <c r="G221" s="33" t="s">
        <v>327</v>
      </c>
      <c r="H221" s="40" t="str">
        <f t="array" ref="H221">_xlfn.XLOOKUP($B221, DB[samplingPoint], DB[location])</f>
        <v>COMPOUNDING-01</v>
      </c>
      <c r="I221" s="39" t="str">
        <f t="array" ref="I221">_xlfn.XLOOKUP($B221, DB[samplingPoint], DB[waterType])</f>
        <v>WFI</v>
      </c>
      <c r="J221" s="43">
        <f t="shared" si="49"/>
        <v>46143</v>
      </c>
      <c r="K221" s="26">
        <v>46148.0</v>
      </c>
      <c r="L221" s="53">
        <v>0.0</v>
      </c>
      <c r="M221" s="32">
        <f t="shared" si="2"/>
        <v>0</v>
      </c>
      <c r="N221" s="55"/>
      <c r="O221" s="32">
        <v>10.0</v>
      </c>
      <c r="P221" s="50" t="str">
        <f t="shared" si="3"/>
        <v>PASSED</v>
      </c>
      <c r="Q221" s="38" t="b">
        <v>0</v>
      </c>
      <c r="R221" s="32" t="s">
        <v>917</v>
      </c>
      <c r="S221" s="39" t="s">
        <v>386</v>
      </c>
      <c r="T221" s="32" t="s">
        <v>381</v>
      </c>
    </row>
    <row r="222" ht="22.5" customHeight="1">
      <c r="A222" s="26">
        <v>46142.0</v>
      </c>
      <c r="B222" s="48" t="s">
        <v>418</v>
      </c>
      <c r="C222" s="32" t="str">
        <f t="array" ref="C222">_xlfn.XLOOKUP(B222, DB[samplingPoint], DB[samplingTag])</f>
        <v>SV216.04</v>
      </c>
      <c r="D222" s="33" t="s">
        <v>369</v>
      </c>
      <c r="E222" s="38" t="b">
        <v>1</v>
      </c>
      <c r="F222" s="39" t="str">
        <f t="array" ref="F222">_xlfn.XLOOKUP($B222, DB[samplingPoint], DB[noLocation])</f>
        <v>16-1-098</v>
      </c>
      <c r="G222" s="33" t="s">
        <v>327</v>
      </c>
      <c r="H222" s="40" t="str">
        <f t="array" ref="H222">_xlfn.XLOOKUP($B222, DB[samplingPoint], DB[location])</f>
        <v>CIP/SIP</v>
      </c>
      <c r="I222" s="39" t="str">
        <f t="array" ref="I222">_xlfn.XLOOKUP($B222, DB[samplingPoint], DB[waterType])</f>
        <v>WFI</v>
      </c>
      <c r="J222" s="43">
        <f t="shared" ref="J222:J224" si="50">$A222+1</f>
        <v>46143</v>
      </c>
      <c r="K222" s="26">
        <v>46148.0</v>
      </c>
      <c r="L222" s="53">
        <v>0.0</v>
      </c>
      <c r="M222" s="32">
        <f t="shared" si="2"/>
        <v>0</v>
      </c>
      <c r="N222" s="55"/>
      <c r="O222" s="32">
        <v>10.0</v>
      </c>
      <c r="P222" s="50" t="str">
        <f t="shared" si="3"/>
        <v>PASSED</v>
      </c>
      <c r="Q222" s="38" t="b">
        <v>0</v>
      </c>
      <c r="R222" s="32" t="s">
        <v>939</v>
      </c>
      <c r="S222" s="39" t="s">
        <v>386</v>
      </c>
      <c r="T222" s="32" t="s">
        <v>381</v>
      </c>
    </row>
    <row r="223" ht="22.5" customHeight="1">
      <c r="A223" s="26">
        <v>46142.0</v>
      </c>
      <c r="B223" s="48" t="s">
        <v>367</v>
      </c>
      <c r="C223" s="32" t="str">
        <f t="array" ref="C223">_xlfn.XLOOKUP(B223, DB[samplingPoint], DB[samplingTag])</f>
        <v>POU HE216.04</v>
      </c>
      <c r="D223" s="33" t="s">
        <v>369</v>
      </c>
      <c r="E223" s="38" t="b">
        <v>1</v>
      </c>
      <c r="F223" s="39" t="str">
        <f t="array" ref="F223">_xlfn.XLOOKUP($B223, DB[samplingPoint], DB[noLocation])</f>
        <v>16-1-114</v>
      </c>
      <c r="G223" s="33" t="s">
        <v>327</v>
      </c>
      <c r="H223" s="40" t="str">
        <f t="array" ref="H223">_xlfn.XLOOKUP($B223, DB[samplingPoint], DB[location])</f>
        <v>COMPOUNDING-02</v>
      </c>
      <c r="I223" s="39" t="str">
        <f t="array" ref="I223">_xlfn.XLOOKUP($B223, DB[samplingPoint], DB[waterType])</f>
        <v>WFI</v>
      </c>
      <c r="J223" s="43">
        <f t="shared" si="50"/>
        <v>46143</v>
      </c>
      <c r="K223" s="26">
        <v>46148.0</v>
      </c>
      <c r="L223" s="53">
        <v>0.0</v>
      </c>
      <c r="M223" s="32">
        <f t="shared" si="2"/>
        <v>0</v>
      </c>
      <c r="N223" s="55"/>
      <c r="O223" s="32">
        <v>10.0</v>
      </c>
      <c r="P223" s="50" t="str">
        <f t="shared" si="3"/>
        <v>PASSED</v>
      </c>
      <c r="Q223" s="38" t="b">
        <v>0</v>
      </c>
      <c r="R223" s="32" t="s">
        <v>939</v>
      </c>
      <c r="S223" s="39" t="s">
        <v>386</v>
      </c>
      <c r="T223" s="32" t="s">
        <v>381</v>
      </c>
    </row>
    <row r="224" ht="22.5" customHeight="1">
      <c r="A224" s="26">
        <v>46142.0</v>
      </c>
      <c r="B224" s="48" t="s">
        <v>372</v>
      </c>
      <c r="C224" s="32" t="str">
        <f t="array" ref="C224">_xlfn.XLOOKUP(B224, DB[samplingPoint], DB[samplingTag])</f>
        <v>POU HE216.05</v>
      </c>
      <c r="D224" s="33" t="s">
        <v>369</v>
      </c>
      <c r="E224" s="38" t="b">
        <v>1</v>
      </c>
      <c r="F224" s="39" t="str">
        <f t="array" ref="F224">_xlfn.XLOOKUP($B224, DB[samplingPoint], DB[noLocation])</f>
        <v>16-1-114</v>
      </c>
      <c r="G224" s="33" t="s">
        <v>327</v>
      </c>
      <c r="H224" s="40" t="str">
        <f t="array" ref="H224">_xlfn.XLOOKUP($B224, DB[samplingPoint], DB[location])</f>
        <v>COMPOUNDING-02</v>
      </c>
      <c r="I224" s="39" t="str">
        <f t="array" ref="I224">_xlfn.XLOOKUP($B224, DB[samplingPoint], DB[waterType])</f>
        <v>WFI</v>
      </c>
      <c r="J224" s="43">
        <f t="shared" si="50"/>
        <v>46143</v>
      </c>
      <c r="K224" s="26">
        <v>46148.0</v>
      </c>
      <c r="L224" s="53">
        <v>0.0</v>
      </c>
      <c r="M224" s="32">
        <f t="shared" si="2"/>
        <v>0</v>
      </c>
      <c r="N224" s="55"/>
      <c r="O224" s="32">
        <v>10.0</v>
      </c>
      <c r="P224" s="50" t="str">
        <f t="shared" si="3"/>
        <v>PASSED</v>
      </c>
      <c r="Q224" s="38" t="b">
        <v>0</v>
      </c>
      <c r="R224" s="32" t="s">
        <v>939</v>
      </c>
      <c r="S224" s="39" t="s">
        <v>386</v>
      </c>
      <c r="T224" s="32" t="s">
        <v>381</v>
      </c>
    </row>
    <row r="225" ht="22.5" customHeight="1">
      <c r="A225" s="112">
        <v>46147.0</v>
      </c>
      <c r="B225" s="95" t="s">
        <v>377</v>
      </c>
      <c r="C225" s="32" t="str">
        <f t="array" ref="C225">_xlfn.XLOOKUP(B225, DB[samplingPoint], DB[samplingTag])</f>
        <v>V12-4</v>
      </c>
      <c r="D225" s="33" t="s">
        <v>379</v>
      </c>
      <c r="E225" s="38" t="b">
        <v>1</v>
      </c>
      <c r="F225" s="39" t="str">
        <f t="array" ref="F225">_xlfn.XLOOKUP($B225, DB[samplingPoint], DB[noLocation])</f>
        <v>16-2-010</v>
      </c>
      <c r="G225" s="33" t="s">
        <v>327</v>
      </c>
      <c r="H225" s="40" t="str">
        <f t="array" ref="H225">_xlfn.XLOOKUP($B225, DB[samplingPoint], DB[location])</f>
        <v>AFTER WFI GENERATOR</v>
      </c>
      <c r="I225" s="39" t="str">
        <f t="array" ref="I225">_xlfn.XLOOKUP($B225, DB[samplingPoint], DB[waterType])</f>
        <v>WFI</v>
      </c>
      <c r="J225" s="43">
        <f t="shared" ref="J225:J229" si="51">$A225+2</f>
        <v>46149</v>
      </c>
      <c r="K225" s="26">
        <v>46154.0</v>
      </c>
      <c r="L225" s="53">
        <v>0.0</v>
      </c>
      <c r="M225" s="32">
        <f t="shared" si="2"/>
        <v>0</v>
      </c>
      <c r="N225" s="55"/>
      <c r="O225" s="32">
        <v>10.0</v>
      </c>
      <c r="P225" s="50" t="str">
        <f t="shared" si="3"/>
        <v>PASSED</v>
      </c>
      <c r="Q225" s="38" t="b">
        <v>0</v>
      </c>
      <c r="R225" s="32" t="s">
        <v>956</v>
      </c>
      <c r="S225" s="39" t="s">
        <v>386</v>
      </c>
      <c r="T225" s="32" t="s">
        <v>381</v>
      </c>
    </row>
    <row r="226" ht="22.5" customHeight="1">
      <c r="A226" s="26">
        <v>46147.0</v>
      </c>
      <c r="B226" s="48" t="s">
        <v>383</v>
      </c>
      <c r="C226" s="32" t="str">
        <f t="array" ref="C226">_xlfn.XLOOKUP(B226, DB[samplingPoint], DB[samplingTag])</f>
        <v>SV213.01</v>
      </c>
      <c r="D226" s="33" t="s">
        <v>379</v>
      </c>
      <c r="E226" s="38" t="b">
        <v>1</v>
      </c>
      <c r="F226" s="39" t="str">
        <f t="array" ref="F226">_xlfn.XLOOKUP($B226, DB[samplingPoint], DB[noLocation])</f>
        <v>16-2-010</v>
      </c>
      <c r="G226" s="33" t="s">
        <v>327</v>
      </c>
      <c r="H226" s="40" t="str">
        <f t="array" ref="H226">_xlfn.XLOOKUP($B226, DB[samplingPoint], DB[location])</f>
        <v>AFTER STORAGE TANK</v>
      </c>
      <c r="I226" s="39" t="str">
        <f t="array" ref="I226">_xlfn.XLOOKUP($B226, DB[samplingPoint], DB[waterType])</f>
        <v>WFI</v>
      </c>
      <c r="J226" s="43">
        <f t="shared" si="51"/>
        <v>46149</v>
      </c>
      <c r="K226" s="26">
        <v>46154.0</v>
      </c>
      <c r="L226" s="53">
        <v>0.0</v>
      </c>
      <c r="M226" s="32">
        <f t="shared" si="2"/>
        <v>0</v>
      </c>
      <c r="N226" s="55"/>
      <c r="O226" s="32">
        <v>10.0</v>
      </c>
      <c r="P226" s="50" t="str">
        <f t="shared" si="3"/>
        <v>PASSED</v>
      </c>
      <c r="Q226" s="38" t="b">
        <v>0</v>
      </c>
      <c r="R226" s="32" t="s">
        <v>956</v>
      </c>
      <c r="S226" s="39" t="s">
        <v>386</v>
      </c>
      <c r="T226" s="32" t="s">
        <v>381</v>
      </c>
    </row>
    <row r="227" ht="22.5" customHeight="1">
      <c r="A227" s="26">
        <v>46147.0</v>
      </c>
      <c r="B227" s="48" t="s">
        <v>388</v>
      </c>
      <c r="C227" s="32" t="str">
        <f t="array" ref="C227">_xlfn.XLOOKUP(B227, DB[samplingPoint], DB[samplingTag])</f>
        <v>SV217.01</v>
      </c>
      <c r="D227" s="33" t="s">
        <v>379</v>
      </c>
      <c r="E227" s="38" t="b">
        <v>1</v>
      </c>
      <c r="F227" s="39" t="str">
        <f t="array" ref="F227">_xlfn.XLOOKUP($B227, DB[samplingPoint], DB[noLocation])</f>
        <v>16-2-010</v>
      </c>
      <c r="G227" s="33" t="s">
        <v>327</v>
      </c>
      <c r="H227" s="40" t="str">
        <f t="array" ref="H227">_xlfn.XLOOKUP($B227, DB[samplingPoint], DB[location])</f>
        <v>RETURN LOOP</v>
      </c>
      <c r="I227" s="39" t="str">
        <f t="array" ref="I227">_xlfn.XLOOKUP($B227, DB[samplingPoint], DB[waterType])</f>
        <v>WFI</v>
      </c>
      <c r="J227" s="43">
        <f t="shared" si="51"/>
        <v>46149</v>
      </c>
      <c r="K227" s="26">
        <v>46154.0</v>
      </c>
      <c r="L227" s="53">
        <v>0.0</v>
      </c>
      <c r="M227" s="32">
        <f t="shared" si="2"/>
        <v>0</v>
      </c>
      <c r="N227" s="55"/>
      <c r="O227" s="32">
        <v>10.0</v>
      </c>
      <c r="P227" s="50" t="str">
        <f t="shared" si="3"/>
        <v>PASSED</v>
      </c>
      <c r="Q227" s="38" t="b">
        <v>0</v>
      </c>
      <c r="R227" s="32" t="s">
        <v>956</v>
      </c>
      <c r="S227" s="39" t="s">
        <v>386</v>
      </c>
      <c r="T227" s="32" t="s">
        <v>381</v>
      </c>
    </row>
    <row r="228" ht="22.5" customHeight="1">
      <c r="A228" s="26">
        <v>46147.0</v>
      </c>
      <c r="B228" s="48" t="s">
        <v>416</v>
      </c>
      <c r="C228" s="32" t="str">
        <f t="array" ref="C228">_xlfn.XLOOKUP(B228, DB[samplingPoint], DB[samplingTag])</f>
        <v>SV216.02</v>
      </c>
      <c r="D228" s="33" t="s">
        <v>379</v>
      </c>
      <c r="E228" s="38" t="b">
        <v>1</v>
      </c>
      <c r="F228" s="39" t="str">
        <f t="array" ref="F228">_xlfn.XLOOKUP($B228, DB[samplingPoint], DB[noLocation])</f>
        <v>16-1-098</v>
      </c>
      <c r="G228" s="33" t="s">
        <v>327</v>
      </c>
      <c r="H228" s="40" t="str">
        <f t="array" ref="H228">_xlfn.XLOOKUP($B228, DB[samplingPoint], DB[location])</f>
        <v>CIP/SIP</v>
      </c>
      <c r="I228" s="39" t="str">
        <f t="array" ref="I228">_xlfn.XLOOKUP($B228, DB[samplingPoint], DB[waterType])</f>
        <v>WFI</v>
      </c>
      <c r="J228" s="43">
        <f t="shared" si="51"/>
        <v>46149</v>
      </c>
      <c r="K228" s="26">
        <v>46154.0</v>
      </c>
      <c r="L228" s="53">
        <v>0.0</v>
      </c>
      <c r="M228" s="32">
        <f t="shared" si="2"/>
        <v>0</v>
      </c>
      <c r="N228" s="55"/>
      <c r="O228" s="32">
        <v>10.0</v>
      </c>
      <c r="P228" s="50" t="str">
        <f t="shared" si="3"/>
        <v>PASSED</v>
      </c>
      <c r="Q228" s="38" t="b">
        <v>0</v>
      </c>
      <c r="R228" s="32" t="s">
        <v>956</v>
      </c>
      <c r="S228" s="39" t="s">
        <v>386</v>
      </c>
      <c r="T228" s="32" t="s">
        <v>381</v>
      </c>
    </row>
    <row r="229" ht="22.5" customHeight="1">
      <c r="A229" s="26">
        <v>46147.0</v>
      </c>
      <c r="B229" s="48" t="s">
        <v>418</v>
      </c>
      <c r="C229" s="32" t="str">
        <f t="array" ref="C229">_xlfn.XLOOKUP(B229, DB[samplingPoint], DB[samplingTag])</f>
        <v>SV216.04</v>
      </c>
      <c r="D229" s="33" t="s">
        <v>379</v>
      </c>
      <c r="E229" s="38" t="b">
        <v>1</v>
      </c>
      <c r="F229" s="39" t="str">
        <f t="array" ref="F229">_xlfn.XLOOKUP($B229, DB[samplingPoint], DB[noLocation])</f>
        <v>16-1-098</v>
      </c>
      <c r="G229" s="33" t="s">
        <v>327</v>
      </c>
      <c r="H229" s="40" t="str">
        <f t="array" ref="H229">_xlfn.XLOOKUP($B229, DB[samplingPoint], DB[location])</f>
        <v>CIP/SIP</v>
      </c>
      <c r="I229" s="39" t="str">
        <f t="array" ref="I229">_xlfn.XLOOKUP($B229, DB[samplingPoint], DB[waterType])</f>
        <v>WFI</v>
      </c>
      <c r="J229" s="43">
        <f t="shared" si="51"/>
        <v>46149</v>
      </c>
      <c r="K229" s="26">
        <v>46154.0</v>
      </c>
      <c r="L229" s="53">
        <v>0.0</v>
      </c>
      <c r="M229" s="32">
        <f t="shared" si="2"/>
        <v>0</v>
      </c>
      <c r="N229" s="55"/>
      <c r="O229" s="32">
        <v>10.0</v>
      </c>
      <c r="P229" s="50" t="str">
        <f t="shared" si="3"/>
        <v>PASSED</v>
      </c>
      <c r="Q229" s="38" t="b">
        <v>0</v>
      </c>
      <c r="R229" s="32" t="s">
        <v>956</v>
      </c>
      <c r="S229" s="39" t="s">
        <v>386</v>
      </c>
      <c r="T229" s="32" t="s">
        <v>381</v>
      </c>
    </row>
    <row r="230" ht="22.5" customHeight="1">
      <c r="A230" s="26">
        <v>46148.0</v>
      </c>
      <c r="B230" s="48" t="s">
        <v>403</v>
      </c>
      <c r="C230" s="32" t="str">
        <f t="array" ref="C230">_xlfn.XLOOKUP(B230, DB[samplingPoint], DB[samplingTag])</f>
        <v>POU HE216.01</v>
      </c>
      <c r="D230" s="33" t="s">
        <v>404</v>
      </c>
      <c r="E230" s="38" t="b">
        <v>1</v>
      </c>
      <c r="F230" s="39" t="str">
        <f t="array" ref="F230">_xlfn.XLOOKUP($B230, DB[samplingPoint], DB[noLocation])</f>
        <v>16-1-107</v>
      </c>
      <c r="G230" s="33" t="s">
        <v>327</v>
      </c>
      <c r="H230" s="40" t="str">
        <f t="array" ref="H230">_xlfn.XLOOKUP($B230, DB[samplingPoint], DB[location])</f>
        <v>COMPOUNDING-01</v>
      </c>
      <c r="I230" s="39" t="str">
        <f t="array" ref="I230">_xlfn.XLOOKUP($B230, DB[samplingPoint], DB[waterType])</f>
        <v>WFI</v>
      </c>
      <c r="J230" s="43">
        <f t="shared" ref="J230:J231" si="52">$A230+1</f>
        <v>46149</v>
      </c>
      <c r="K230" s="26">
        <v>46154.0</v>
      </c>
      <c r="L230" s="53">
        <v>0.0</v>
      </c>
      <c r="M230" s="32">
        <f t="shared" si="2"/>
        <v>0</v>
      </c>
      <c r="N230" s="55"/>
      <c r="O230" s="32">
        <v>10.0</v>
      </c>
      <c r="P230" s="50" t="str">
        <f t="shared" si="3"/>
        <v>PASSED</v>
      </c>
      <c r="Q230" s="38" t="b">
        <v>0</v>
      </c>
      <c r="R230" s="32" t="s">
        <v>960</v>
      </c>
      <c r="S230" s="39" t="s">
        <v>386</v>
      </c>
      <c r="T230" s="32" t="s">
        <v>381</v>
      </c>
    </row>
    <row r="231" ht="22.5" customHeight="1">
      <c r="A231" s="26">
        <v>46148.0</v>
      </c>
      <c r="B231" s="48" t="s">
        <v>407</v>
      </c>
      <c r="C231" s="32" t="str">
        <f t="array" ref="C231">_xlfn.XLOOKUP(B231, DB[samplingPoint], DB[samplingTag])</f>
        <v>POU HE216.02</v>
      </c>
      <c r="D231" s="33" t="s">
        <v>404</v>
      </c>
      <c r="E231" s="38" t="b">
        <v>1</v>
      </c>
      <c r="F231" s="39" t="str">
        <f t="array" ref="F231">_xlfn.XLOOKUP($B231, DB[samplingPoint], DB[noLocation])</f>
        <v>16-1-107</v>
      </c>
      <c r="G231" s="33" t="s">
        <v>327</v>
      </c>
      <c r="H231" s="40" t="str">
        <f t="array" ref="H231">_xlfn.XLOOKUP($B231, DB[samplingPoint], DB[location])</f>
        <v>COMPOUNDING-01</v>
      </c>
      <c r="I231" s="39" t="str">
        <f t="array" ref="I231">_xlfn.XLOOKUP($B231, DB[samplingPoint], DB[waterType])</f>
        <v>WFI</v>
      </c>
      <c r="J231" s="43">
        <f t="shared" si="52"/>
        <v>46149</v>
      </c>
      <c r="K231" s="26">
        <v>46154.0</v>
      </c>
      <c r="L231" s="53">
        <v>0.0</v>
      </c>
      <c r="M231" s="32">
        <f t="shared" si="2"/>
        <v>0</v>
      </c>
      <c r="N231" s="55"/>
      <c r="O231" s="32">
        <v>10.0</v>
      </c>
      <c r="P231" s="50" t="str">
        <f t="shared" si="3"/>
        <v>PASSED</v>
      </c>
      <c r="Q231" s="38" t="b">
        <v>0</v>
      </c>
      <c r="R231" s="32" t="s">
        <v>960</v>
      </c>
      <c r="S231" s="39" t="s">
        <v>386</v>
      </c>
      <c r="T231" s="32" t="s">
        <v>381</v>
      </c>
    </row>
    <row r="232" ht="22.5" customHeight="1">
      <c r="A232" s="26">
        <v>46149.0</v>
      </c>
      <c r="B232" s="48" t="s">
        <v>225</v>
      </c>
      <c r="C232" s="32" t="str">
        <f t="array" ref="C232">_xlfn.XLOOKUP(B232, DB[samplingPoint], DB[samplingTag])</f>
        <v>SV216.05</v>
      </c>
      <c r="D232" s="33" t="s">
        <v>412</v>
      </c>
      <c r="E232" s="38" t="b">
        <v>1</v>
      </c>
      <c r="F232" s="39" t="str">
        <f t="array" ref="F232">_xlfn.XLOOKUP($B232, DB[samplingPoint], DB[noLocation])</f>
        <v>16-1-110</v>
      </c>
      <c r="G232" s="33" t="s">
        <v>327</v>
      </c>
      <c r="H232" s="40" t="str">
        <f t="array" ref="H232">_xlfn.XLOOKUP($B232, DB[samplingPoint], DB[location])</f>
        <v>DISINFECTANT PREPARATION</v>
      </c>
      <c r="I232" s="39" t="str">
        <f t="array" ref="I232">_xlfn.XLOOKUP($B232, DB[samplingPoint], DB[waterType])</f>
        <v>WFI</v>
      </c>
      <c r="J232" s="43">
        <f t="shared" ref="J232:J235" si="53">$A232+2</f>
        <v>46151</v>
      </c>
      <c r="K232" s="26">
        <v>46154.0</v>
      </c>
      <c r="L232" s="53">
        <v>0.0</v>
      </c>
      <c r="M232" s="32">
        <f t="shared" si="2"/>
        <v>0</v>
      </c>
      <c r="N232" s="55"/>
      <c r="O232" s="32">
        <v>10.0</v>
      </c>
      <c r="P232" s="50" t="str">
        <f t="shared" si="3"/>
        <v>PASSED</v>
      </c>
      <c r="Q232" s="38" t="b">
        <v>0</v>
      </c>
      <c r="R232" s="32" t="s">
        <v>961</v>
      </c>
      <c r="S232" s="39" t="s">
        <v>386</v>
      </c>
      <c r="T232" s="32" t="s">
        <v>381</v>
      </c>
    </row>
    <row r="233" ht="22.5" customHeight="1">
      <c r="A233" s="26">
        <v>46149.0</v>
      </c>
      <c r="B233" s="48" t="s">
        <v>365</v>
      </c>
      <c r="C233" s="32" t="str">
        <f t="array" ref="C233">_xlfn.XLOOKUP(B233, DB[samplingPoint], DB[samplingTag])</f>
        <v>SV216.10</v>
      </c>
      <c r="D233" s="33" t="s">
        <v>412</v>
      </c>
      <c r="E233" s="38" t="b">
        <v>1</v>
      </c>
      <c r="F233" s="39" t="str">
        <f t="array" ref="F233">_xlfn.XLOOKUP($B233, DB[samplingPoint], DB[noLocation])</f>
        <v>16-1-105</v>
      </c>
      <c r="G233" s="33" t="s">
        <v>327</v>
      </c>
      <c r="H233" s="40" t="str">
        <f t="array" ref="H233">_xlfn.XLOOKUP($B233, DB[samplingPoint], DB[location])</f>
        <v>WASHING/TUNNEL-01</v>
      </c>
      <c r="I233" s="39" t="str">
        <f t="array" ref="I233">_xlfn.XLOOKUP($B233, DB[samplingPoint], DB[waterType])</f>
        <v>WFI</v>
      </c>
      <c r="J233" s="43">
        <f t="shared" si="53"/>
        <v>46151</v>
      </c>
      <c r="K233" s="26">
        <v>46154.0</v>
      </c>
      <c r="L233" s="53">
        <v>0.0</v>
      </c>
      <c r="M233" s="32">
        <f t="shared" si="2"/>
        <v>0</v>
      </c>
      <c r="N233" s="55"/>
      <c r="O233" s="32">
        <v>10.0</v>
      </c>
      <c r="P233" s="50" t="str">
        <f t="shared" si="3"/>
        <v>PASSED</v>
      </c>
      <c r="Q233" s="38" t="b">
        <v>0</v>
      </c>
      <c r="R233" s="32" t="s">
        <v>961</v>
      </c>
      <c r="S233" s="39" t="s">
        <v>386</v>
      </c>
      <c r="T233" s="32" t="s">
        <v>381</v>
      </c>
    </row>
    <row r="234" ht="22.5" customHeight="1">
      <c r="A234" s="26">
        <v>46149.0</v>
      </c>
      <c r="B234" s="48" t="s">
        <v>367</v>
      </c>
      <c r="C234" s="32" t="str">
        <f t="array" ref="C234">_xlfn.XLOOKUP(B234, DB[samplingPoint], DB[samplingTag])</f>
        <v>POU HE216.04</v>
      </c>
      <c r="D234" s="33" t="s">
        <v>412</v>
      </c>
      <c r="E234" s="38" t="b">
        <v>1</v>
      </c>
      <c r="F234" s="39" t="str">
        <f t="array" ref="F234">_xlfn.XLOOKUP($B234, DB[samplingPoint], DB[noLocation])</f>
        <v>16-1-114</v>
      </c>
      <c r="G234" s="33" t="s">
        <v>327</v>
      </c>
      <c r="H234" s="40" t="str">
        <f t="array" ref="H234">_xlfn.XLOOKUP($B234, DB[samplingPoint], DB[location])</f>
        <v>COMPOUNDING-02</v>
      </c>
      <c r="I234" s="39" t="str">
        <f t="array" ref="I234">_xlfn.XLOOKUP($B234, DB[samplingPoint], DB[waterType])</f>
        <v>WFI</v>
      </c>
      <c r="J234" s="43">
        <f t="shared" si="53"/>
        <v>46151</v>
      </c>
      <c r="K234" s="26">
        <v>46154.0</v>
      </c>
      <c r="L234" s="194">
        <v>59.0</v>
      </c>
      <c r="M234" s="32">
        <f t="shared" si="2"/>
        <v>59</v>
      </c>
      <c r="N234" s="55"/>
      <c r="O234" s="32">
        <v>10.0</v>
      </c>
      <c r="P234" s="50" t="str">
        <f t="shared" si="3"/>
        <v>NOT-PASSED</v>
      </c>
      <c r="Q234" s="38" t="b">
        <v>0</v>
      </c>
      <c r="R234" s="32" t="s">
        <v>961</v>
      </c>
      <c r="S234" s="39" t="s">
        <v>386</v>
      </c>
      <c r="T234" s="32" t="s">
        <v>381</v>
      </c>
    </row>
    <row r="235" ht="22.5" customHeight="1">
      <c r="A235" s="26">
        <v>46149.0</v>
      </c>
      <c r="B235" s="48" t="s">
        <v>372</v>
      </c>
      <c r="C235" s="32" t="str">
        <f t="array" ref="C235">_xlfn.XLOOKUP(B235, DB[samplingPoint], DB[samplingTag])</f>
        <v>POU HE216.05</v>
      </c>
      <c r="D235" s="33" t="s">
        <v>412</v>
      </c>
      <c r="E235" s="38" t="b">
        <v>1</v>
      </c>
      <c r="F235" s="39" t="str">
        <f t="array" ref="F235">_xlfn.XLOOKUP($B235, DB[samplingPoint], DB[noLocation])</f>
        <v>16-1-114</v>
      </c>
      <c r="G235" s="33" t="s">
        <v>327</v>
      </c>
      <c r="H235" s="40" t="str">
        <f t="array" ref="H235">_xlfn.XLOOKUP($B235, DB[samplingPoint], DB[location])</f>
        <v>COMPOUNDING-02</v>
      </c>
      <c r="I235" s="39" t="str">
        <f t="array" ref="I235">_xlfn.XLOOKUP($B235, DB[samplingPoint], DB[waterType])</f>
        <v>WFI</v>
      </c>
      <c r="J235" s="43">
        <f t="shared" si="53"/>
        <v>46151</v>
      </c>
      <c r="K235" s="26">
        <v>46154.0</v>
      </c>
      <c r="L235" s="53">
        <v>2.0</v>
      </c>
      <c r="M235" s="32">
        <f t="shared" si="2"/>
        <v>2</v>
      </c>
      <c r="N235" s="55"/>
      <c r="O235" s="32">
        <v>10.0</v>
      </c>
      <c r="P235" s="50" t="str">
        <f t="shared" si="3"/>
        <v>PASSED</v>
      </c>
      <c r="Q235" s="38" t="b">
        <v>0</v>
      </c>
      <c r="R235" s="32" t="s">
        <v>961</v>
      </c>
      <c r="S235" s="39" t="s">
        <v>386</v>
      </c>
      <c r="T235" s="32" t="s">
        <v>381</v>
      </c>
    </row>
    <row r="236" ht="22.5" customHeight="1">
      <c r="A236" s="26">
        <v>46150.0</v>
      </c>
      <c r="B236" s="48" t="s">
        <v>391</v>
      </c>
      <c r="C236" s="32" t="str">
        <f t="array" ref="C236">_xlfn.XLOOKUP(B236, DB[samplingPoint], DB[samplingTag])</f>
        <v>SV216.03</v>
      </c>
      <c r="D236" s="33" t="s">
        <v>292</v>
      </c>
      <c r="E236" s="38" t="b">
        <v>1</v>
      </c>
      <c r="F236" s="39" t="str">
        <f t="array" ref="F236">_xlfn.XLOOKUP($B236, DB[samplingPoint], DB[noLocation])</f>
        <v>16-1-096</v>
      </c>
      <c r="G236" s="33" t="s">
        <v>327</v>
      </c>
      <c r="H236" s="40" t="str">
        <f t="array" ref="H236">_xlfn.XLOOKUP($B236, DB[samplingPoint], DB[location])</f>
        <v>WASHING/TUNNEL-02</v>
      </c>
      <c r="I236" s="39" t="str">
        <f t="array" ref="I236">_xlfn.XLOOKUP($B236, DB[samplingPoint], DB[waterType])</f>
        <v>WFI</v>
      </c>
      <c r="J236" s="43">
        <f t="shared" ref="J236:J238" si="54">$A236+1</f>
        <v>46151</v>
      </c>
      <c r="K236" s="26">
        <v>46154.0</v>
      </c>
      <c r="L236" s="53">
        <v>0.0</v>
      </c>
      <c r="M236" s="32">
        <f t="shared" si="2"/>
        <v>0</v>
      </c>
      <c r="N236" s="55"/>
      <c r="O236" s="32">
        <v>10.0</v>
      </c>
      <c r="P236" s="50" t="str">
        <f t="shared" si="3"/>
        <v>PASSED</v>
      </c>
      <c r="Q236" s="38" t="b">
        <v>0</v>
      </c>
      <c r="R236" s="32" t="s">
        <v>963</v>
      </c>
      <c r="S236" s="39" t="s">
        <v>386</v>
      </c>
      <c r="T236" s="32" t="s">
        <v>381</v>
      </c>
    </row>
    <row r="237" ht="22.5" customHeight="1">
      <c r="A237" s="26">
        <v>46150.0</v>
      </c>
      <c r="B237" s="48" t="s">
        <v>395</v>
      </c>
      <c r="C237" s="32" t="str">
        <f t="array" ref="C237">_xlfn.XLOOKUP(B237, DB[samplingPoint], DB[samplingTag])</f>
        <v>POU HE216.03</v>
      </c>
      <c r="D237" s="33" t="s">
        <v>292</v>
      </c>
      <c r="E237" s="38" t="b">
        <v>1</v>
      </c>
      <c r="F237" s="39" t="str">
        <f t="array" ref="F237">_xlfn.XLOOKUP($B237, DB[samplingPoint], DB[noLocation])</f>
        <v>16-1-082</v>
      </c>
      <c r="G237" s="33" t="s">
        <v>327</v>
      </c>
      <c r="H237" s="40" t="str">
        <f t="array" ref="H237">_xlfn.XLOOKUP($B237, DB[samplingPoint], DB[location])</f>
        <v>WASHING</v>
      </c>
      <c r="I237" s="39" t="str">
        <f t="array" ref="I237">_xlfn.XLOOKUP($B237, DB[samplingPoint], DB[waterType])</f>
        <v>WFI</v>
      </c>
      <c r="J237" s="43">
        <f t="shared" si="54"/>
        <v>46151</v>
      </c>
      <c r="K237" s="26">
        <v>46154.0</v>
      </c>
      <c r="L237" s="53">
        <v>0.0</v>
      </c>
      <c r="M237" s="32">
        <f t="shared" si="2"/>
        <v>0</v>
      </c>
      <c r="N237" s="55"/>
      <c r="O237" s="32">
        <v>10.0</v>
      </c>
      <c r="P237" s="50" t="str">
        <f t="shared" si="3"/>
        <v>PASSED</v>
      </c>
      <c r="Q237" s="38" t="b">
        <v>0</v>
      </c>
      <c r="R237" s="32" t="s">
        <v>963</v>
      </c>
      <c r="S237" s="39" t="s">
        <v>386</v>
      </c>
      <c r="T237" s="32" t="s">
        <v>381</v>
      </c>
    </row>
    <row r="238" ht="22.5" customHeight="1">
      <c r="A238" s="26">
        <v>46150.0</v>
      </c>
      <c r="B238" s="48" t="s">
        <v>397</v>
      </c>
      <c r="C238" s="32" t="str">
        <f t="array" ref="C238">_xlfn.XLOOKUP(B238, DB[samplingPoint], DB[samplingTag])</f>
        <v>SV216.06</v>
      </c>
      <c r="D238" s="33" t="s">
        <v>292</v>
      </c>
      <c r="E238" s="38" t="b">
        <v>1</v>
      </c>
      <c r="F238" s="39" t="str">
        <f t="array" ref="F238">_xlfn.XLOOKUP($B238, DB[samplingPoint], DB[noLocation])</f>
        <v>16-1-082</v>
      </c>
      <c r="G238" s="33" t="s">
        <v>327</v>
      </c>
      <c r="H238" s="40" t="str">
        <f t="array" ref="H238">_xlfn.XLOOKUP($B238, DB[samplingPoint], DB[location])</f>
        <v>WASHING</v>
      </c>
      <c r="I238" s="39" t="str">
        <f t="array" ref="I238">_xlfn.XLOOKUP($B238, DB[samplingPoint], DB[waterType])</f>
        <v>WFI</v>
      </c>
      <c r="J238" s="43">
        <f t="shared" si="54"/>
        <v>46151</v>
      </c>
      <c r="K238" s="26">
        <v>46154.0</v>
      </c>
      <c r="L238" s="53">
        <v>0.0</v>
      </c>
      <c r="M238" s="32">
        <f t="shared" si="2"/>
        <v>0</v>
      </c>
      <c r="N238" s="55"/>
      <c r="O238" s="32">
        <v>10.0</v>
      </c>
      <c r="P238" s="50" t="str">
        <f t="shared" si="3"/>
        <v>PASSED</v>
      </c>
      <c r="Q238" s="38" t="b">
        <v>0</v>
      </c>
      <c r="R238" s="32" t="s">
        <v>963</v>
      </c>
      <c r="S238" s="39" t="s">
        <v>386</v>
      </c>
      <c r="T238" s="32" t="s">
        <v>381</v>
      </c>
    </row>
    <row r="239" ht="22.5" customHeight="1">
      <c r="A239" s="26">
        <v>46153.0</v>
      </c>
      <c r="B239" s="95" t="s">
        <v>377</v>
      </c>
      <c r="C239" s="32" t="str">
        <f t="array" ref="C239">_xlfn.XLOOKUP(B239, DB[samplingPoint], DB[samplingTag])</f>
        <v>V12-4</v>
      </c>
      <c r="D239" s="33" t="s">
        <v>379</v>
      </c>
      <c r="E239" s="38" t="b">
        <v>1</v>
      </c>
      <c r="F239" s="39" t="str">
        <f t="array" ref="F239">_xlfn.XLOOKUP($B239, DB[samplingPoint], DB[noLocation])</f>
        <v>16-2-010</v>
      </c>
      <c r="G239" s="33" t="s">
        <v>327</v>
      </c>
      <c r="H239" s="40" t="str">
        <f t="array" ref="H239">_xlfn.XLOOKUP($B239, DB[samplingPoint], DB[location])</f>
        <v>AFTER WFI GENERATOR</v>
      </c>
      <c r="I239" s="39" t="str">
        <f t="array" ref="I239">_xlfn.XLOOKUP($B239, DB[samplingPoint], DB[waterType])</f>
        <v>WFI</v>
      </c>
      <c r="J239" s="43">
        <f t="shared" ref="J239:J243" si="55">$A239+2</f>
        <v>46155</v>
      </c>
      <c r="K239" s="26">
        <v>46158.0</v>
      </c>
      <c r="L239" s="53">
        <v>0.0</v>
      </c>
      <c r="M239" s="32">
        <f t="shared" si="2"/>
        <v>0</v>
      </c>
      <c r="N239" s="55"/>
      <c r="O239" s="32">
        <v>10.0</v>
      </c>
      <c r="P239" s="50" t="str">
        <f t="shared" si="3"/>
        <v>PASSED</v>
      </c>
      <c r="Q239" s="38" t="b">
        <v>0</v>
      </c>
      <c r="R239" s="32" t="s">
        <v>965</v>
      </c>
      <c r="S239" s="39" t="s">
        <v>386</v>
      </c>
      <c r="T239" s="32" t="s">
        <v>381</v>
      </c>
    </row>
    <row r="240" ht="22.5" customHeight="1">
      <c r="A240" s="26">
        <v>46153.0</v>
      </c>
      <c r="B240" s="48" t="s">
        <v>383</v>
      </c>
      <c r="C240" s="32" t="str">
        <f t="array" ref="C240">_xlfn.XLOOKUP(B240, DB[samplingPoint], DB[samplingTag])</f>
        <v>SV213.01</v>
      </c>
      <c r="D240" s="33" t="s">
        <v>379</v>
      </c>
      <c r="E240" s="38" t="b">
        <v>1</v>
      </c>
      <c r="F240" s="39" t="str">
        <f t="array" ref="F240">_xlfn.XLOOKUP($B240, DB[samplingPoint], DB[noLocation])</f>
        <v>16-2-010</v>
      </c>
      <c r="G240" s="33" t="s">
        <v>327</v>
      </c>
      <c r="H240" s="40" t="str">
        <f t="array" ref="H240">_xlfn.XLOOKUP($B240, DB[samplingPoint], DB[location])</f>
        <v>AFTER STORAGE TANK</v>
      </c>
      <c r="I240" s="39" t="str">
        <f t="array" ref="I240">_xlfn.XLOOKUP($B240, DB[samplingPoint], DB[waterType])</f>
        <v>WFI</v>
      </c>
      <c r="J240" s="43">
        <f t="shared" si="55"/>
        <v>46155</v>
      </c>
      <c r="K240" s="26">
        <v>46158.0</v>
      </c>
      <c r="L240" s="53">
        <v>0.0</v>
      </c>
      <c r="M240" s="32">
        <f t="shared" si="2"/>
        <v>0</v>
      </c>
      <c r="N240" s="55"/>
      <c r="O240" s="32">
        <v>10.0</v>
      </c>
      <c r="P240" s="50" t="str">
        <f t="shared" si="3"/>
        <v>PASSED</v>
      </c>
      <c r="Q240" s="38" t="b">
        <v>0</v>
      </c>
      <c r="R240" s="32" t="s">
        <v>965</v>
      </c>
      <c r="S240" s="39" t="s">
        <v>386</v>
      </c>
      <c r="T240" s="32" t="s">
        <v>381</v>
      </c>
    </row>
    <row r="241" ht="22.5" customHeight="1">
      <c r="A241" s="26">
        <v>46153.0</v>
      </c>
      <c r="B241" s="48" t="s">
        <v>388</v>
      </c>
      <c r="C241" s="32" t="str">
        <f t="array" ref="C241">_xlfn.XLOOKUP(B241, DB[samplingPoint], DB[samplingTag])</f>
        <v>SV217.01</v>
      </c>
      <c r="D241" s="33" t="s">
        <v>379</v>
      </c>
      <c r="E241" s="38" t="b">
        <v>1</v>
      </c>
      <c r="F241" s="39" t="str">
        <f t="array" ref="F241">_xlfn.XLOOKUP($B241, DB[samplingPoint], DB[noLocation])</f>
        <v>16-2-010</v>
      </c>
      <c r="G241" s="33" t="s">
        <v>327</v>
      </c>
      <c r="H241" s="40" t="str">
        <f t="array" ref="H241">_xlfn.XLOOKUP($B241, DB[samplingPoint], DB[location])</f>
        <v>RETURN LOOP</v>
      </c>
      <c r="I241" s="39" t="str">
        <f t="array" ref="I241">_xlfn.XLOOKUP($B241, DB[samplingPoint], DB[waterType])</f>
        <v>WFI</v>
      </c>
      <c r="J241" s="43">
        <f t="shared" si="55"/>
        <v>46155</v>
      </c>
      <c r="K241" s="26">
        <v>46158.0</v>
      </c>
      <c r="L241" s="53">
        <v>0.0</v>
      </c>
      <c r="M241" s="32">
        <f t="shared" si="2"/>
        <v>0</v>
      </c>
      <c r="N241" s="55"/>
      <c r="O241" s="32">
        <v>10.0</v>
      </c>
      <c r="P241" s="50" t="str">
        <f t="shared" si="3"/>
        <v>PASSED</v>
      </c>
      <c r="Q241" s="38" t="b">
        <v>0</v>
      </c>
      <c r="R241" s="32" t="s">
        <v>965</v>
      </c>
      <c r="S241" s="39" t="s">
        <v>386</v>
      </c>
      <c r="T241" s="32" t="s">
        <v>381</v>
      </c>
    </row>
    <row r="242" ht="22.5" customHeight="1">
      <c r="A242" s="26">
        <v>46153.0</v>
      </c>
      <c r="B242" s="48" t="s">
        <v>416</v>
      </c>
      <c r="C242" s="32" t="str">
        <f t="array" ref="C242">_xlfn.XLOOKUP(B242, DB[samplingPoint], DB[samplingTag])</f>
        <v>SV216.02</v>
      </c>
      <c r="D242" s="33" t="s">
        <v>379</v>
      </c>
      <c r="E242" s="38" t="b">
        <v>1</v>
      </c>
      <c r="F242" s="39" t="str">
        <f t="array" ref="F242">_xlfn.XLOOKUP($B242, DB[samplingPoint], DB[noLocation])</f>
        <v>16-1-098</v>
      </c>
      <c r="G242" s="33" t="s">
        <v>327</v>
      </c>
      <c r="H242" s="40" t="str">
        <f t="array" ref="H242">_xlfn.XLOOKUP($B242, DB[samplingPoint], DB[location])</f>
        <v>CIP/SIP</v>
      </c>
      <c r="I242" s="39" t="str">
        <f t="array" ref="I242">_xlfn.XLOOKUP($B242, DB[samplingPoint], DB[waterType])</f>
        <v>WFI</v>
      </c>
      <c r="J242" s="43">
        <f t="shared" si="55"/>
        <v>46155</v>
      </c>
      <c r="K242" s="26">
        <v>46158.0</v>
      </c>
      <c r="L242" s="53">
        <v>0.0</v>
      </c>
      <c r="M242" s="32">
        <f t="shared" si="2"/>
        <v>0</v>
      </c>
      <c r="N242" s="55"/>
      <c r="O242" s="32">
        <v>10.0</v>
      </c>
      <c r="P242" s="50" t="str">
        <f t="shared" si="3"/>
        <v>PASSED</v>
      </c>
      <c r="Q242" s="38" t="b">
        <v>0</v>
      </c>
      <c r="R242" s="32" t="s">
        <v>965</v>
      </c>
      <c r="S242" s="39" t="s">
        <v>386</v>
      </c>
      <c r="T242" s="32" t="s">
        <v>381</v>
      </c>
    </row>
    <row r="243" ht="22.5" customHeight="1">
      <c r="A243" s="26">
        <v>46153.0</v>
      </c>
      <c r="B243" s="48" t="s">
        <v>418</v>
      </c>
      <c r="C243" s="32" t="str">
        <f t="array" ref="C243">_xlfn.XLOOKUP(B243, DB[samplingPoint], DB[samplingTag])</f>
        <v>SV216.04</v>
      </c>
      <c r="D243" s="33" t="s">
        <v>379</v>
      </c>
      <c r="E243" s="38" t="b">
        <v>1</v>
      </c>
      <c r="F243" s="39" t="str">
        <f t="array" ref="F243">_xlfn.XLOOKUP($B243, DB[samplingPoint], DB[noLocation])</f>
        <v>16-1-098</v>
      </c>
      <c r="G243" s="33" t="s">
        <v>327</v>
      </c>
      <c r="H243" s="40" t="str">
        <f t="array" ref="H243">_xlfn.XLOOKUP($B243, DB[samplingPoint], DB[location])</f>
        <v>CIP/SIP</v>
      </c>
      <c r="I243" s="39" t="str">
        <f t="array" ref="I243">_xlfn.XLOOKUP($B243, DB[samplingPoint], DB[waterType])</f>
        <v>WFI</v>
      </c>
      <c r="J243" s="43">
        <f t="shared" si="55"/>
        <v>46155</v>
      </c>
      <c r="K243" s="26">
        <v>46158.0</v>
      </c>
      <c r="L243" s="53">
        <v>0.0</v>
      </c>
      <c r="M243" s="32">
        <f t="shared" si="2"/>
        <v>0</v>
      </c>
      <c r="N243" s="55"/>
      <c r="O243" s="32">
        <v>10.0</v>
      </c>
      <c r="P243" s="50" t="str">
        <f t="shared" si="3"/>
        <v>PASSED</v>
      </c>
      <c r="Q243" s="38" t="b">
        <v>0</v>
      </c>
      <c r="R243" s="32" t="s">
        <v>965</v>
      </c>
      <c r="S243" s="39" t="s">
        <v>386</v>
      </c>
      <c r="T243" s="32" t="s">
        <v>381</v>
      </c>
    </row>
    <row r="244" ht="22.5" customHeight="1">
      <c r="A244" s="26">
        <v>46154.0</v>
      </c>
      <c r="B244" s="48" t="s">
        <v>403</v>
      </c>
      <c r="C244" s="32" t="str">
        <f t="array" ref="C244">_xlfn.XLOOKUP(B244, DB[samplingPoint], DB[samplingTag])</f>
        <v>POU HE216.01</v>
      </c>
      <c r="D244" s="33" t="s">
        <v>404</v>
      </c>
      <c r="E244" s="38" t="b">
        <v>1</v>
      </c>
      <c r="F244" s="39" t="str">
        <f t="array" ref="F244">_xlfn.XLOOKUP($B244, DB[samplingPoint], DB[noLocation])</f>
        <v>16-1-107</v>
      </c>
      <c r="G244" s="33" t="s">
        <v>327</v>
      </c>
      <c r="H244" s="40" t="str">
        <f t="array" ref="H244">_xlfn.XLOOKUP($B244, DB[samplingPoint], DB[location])</f>
        <v>COMPOUNDING-01</v>
      </c>
      <c r="I244" s="39" t="str">
        <f t="array" ref="I244">_xlfn.XLOOKUP($B244, DB[samplingPoint], DB[waterType])</f>
        <v>WFI</v>
      </c>
      <c r="J244" s="43">
        <f t="shared" ref="J244:J245" si="56">$A244+1</f>
        <v>46155</v>
      </c>
      <c r="K244" s="26">
        <v>46158.0</v>
      </c>
      <c r="L244" s="53">
        <v>0.0</v>
      </c>
      <c r="M244" s="32">
        <f t="shared" si="2"/>
        <v>0</v>
      </c>
      <c r="N244" s="55"/>
      <c r="O244" s="32">
        <v>10.0</v>
      </c>
      <c r="P244" s="50" t="str">
        <f t="shared" si="3"/>
        <v>PASSED</v>
      </c>
      <c r="Q244" s="38" t="b">
        <v>0</v>
      </c>
      <c r="R244" s="32" t="s">
        <v>968</v>
      </c>
      <c r="S244" s="39" t="s">
        <v>386</v>
      </c>
      <c r="T244" s="32" t="s">
        <v>381</v>
      </c>
    </row>
    <row r="245" ht="22.5" customHeight="1">
      <c r="A245" s="26">
        <v>46154.0</v>
      </c>
      <c r="B245" s="48" t="s">
        <v>407</v>
      </c>
      <c r="C245" s="32" t="str">
        <f t="array" ref="C245">_xlfn.XLOOKUP(B245, DB[samplingPoint], DB[samplingTag])</f>
        <v>POU HE216.02</v>
      </c>
      <c r="D245" s="33" t="s">
        <v>404</v>
      </c>
      <c r="E245" s="38" t="b">
        <v>1</v>
      </c>
      <c r="F245" s="39" t="str">
        <f t="array" ref="F245">_xlfn.XLOOKUP($B245, DB[samplingPoint], DB[noLocation])</f>
        <v>16-1-107</v>
      </c>
      <c r="G245" s="33" t="s">
        <v>327</v>
      </c>
      <c r="H245" s="40" t="str">
        <f t="array" ref="H245">_xlfn.XLOOKUP($B245, DB[samplingPoint], DB[location])</f>
        <v>COMPOUNDING-01</v>
      </c>
      <c r="I245" s="39" t="str">
        <f t="array" ref="I245">_xlfn.XLOOKUP($B245, DB[samplingPoint], DB[waterType])</f>
        <v>WFI</v>
      </c>
      <c r="J245" s="43">
        <f t="shared" si="56"/>
        <v>46155</v>
      </c>
      <c r="K245" s="26">
        <v>46158.0</v>
      </c>
      <c r="L245" s="53">
        <v>0.0</v>
      </c>
      <c r="M245" s="32">
        <f t="shared" si="2"/>
        <v>0</v>
      </c>
      <c r="N245" s="55"/>
      <c r="O245" s="32">
        <v>10.0</v>
      </c>
      <c r="P245" s="50" t="str">
        <f t="shared" si="3"/>
        <v>PASSED</v>
      </c>
      <c r="Q245" s="38" t="b">
        <v>0</v>
      </c>
      <c r="R245" s="32" t="s">
        <v>968</v>
      </c>
      <c r="S245" s="39" t="s">
        <v>386</v>
      </c>
      <c r="T245" s="32" t="s">
        <v>381</v>
      </c>
    </row>
    <row r="246" ht="22.5" customHeight="1">
      <c r="A246" s="26">
        <v>46156.0</v>
      </c>
      <c r="B246" s="48" t="s">
        <v>225</v>
      </c>
      <c r="C246" s="32" t="str">
        <f t="array" ref="C246">_xlfn.XLOOKUP(B246, DB[samplingPoint], DB[samplingTag])</f>
        <v>SV216.05</v>
      </c>
      <c r="D246" s="33" t="s">
        <v>412</v>
      </c>
      <c r="E246" s="38" t="b">
        <v>1</v>
      </c>
      <c r="F246" s="39" t="str">
        <f t="array" ref="F246">_xlfn.XLOOKUP($B246, DB[samplingPoint], DB[noLocation])</f>
        <v>16-1-110</v>
      </c>
      <c r="G246" s="33" t="s">
        <v>327</v>
      </c>
      <c r="H246" s="40" t="str">
        <f t="array" ref="H246">_xlfn.XLOOKUP($B246, DB[samplingPoint], DB[location])</f>
        <v>DISINFECTANT PREPARATION</v>
      </c>
      <c r="I246" s="39" t="str">
        <f t="array" ref="I246">_xlfn.XLOOKUP($B246, DB[samplingPoint], DB[waterType])</f>
        <v>WFI</v>
      </c>
      <c r="J246" s="43">
        <f t="shared" ref="J246:J247" si="57">$A246+2</f>
        <v>46158</v>
      </c>
      <c r="K246" s="26">
        <v>46161.0</v>
      </c>
      <c r="L246" s="53">
        <v>0.0</v>
      </c>
      <c r="M246" s="32">
        <f t="shared" si="2"/>
        <v>0</v>
      </c>
      <c r="N246" s="55"/>
      <c r="O246" s="32">
        <v>10.0</v>
      </c>
      <c r="P246" s="50" t="str">
        <f t="shared" si="3"/>
        <v>PASSED</v>
      </c>
      <c r="Q246" s="38" t="b">
        <v>0</v>
      </c>
      <c r="R246" s="32" t="s">
        <v>969</v>
      </c>
      <c r="S246" s="39" t="s">
        <v>386</v>
      </c>
      <c r="T246" s="32" t="s">
        <v>381</v>
      </c>
    </row>
    <row r="247" ht="22.5" customHeight="1">
      <c r="A247" s="26">
        <v>46156.0</v>
      </c>
      <c r="B247" s="48" t="s">
        <v>365</v>
      </c>
      <c r="C247" s="32" t="str">
        <f t="array" ref="C247">_xlfn.XLOOKUP(B247, DB[samplingPoint], DB[samplingTag])</f>
        <v>SV216.10</v>
      </c>
      <c r="D247" s="33" t="s">
        <v>412</v>
      </c>
      <c r="E247" s="38" t="b">
        <v>1</v>
      </c>
      <c r="F247" s="39" t="str">
        <f t="array" ref="F247">_xlfn.XLOOKUP($B247, DB[samplingPoint], DB[noLocation])</f>
        <v>16-1-105</v>
      </c>
      <c r="G247" s="33" t="s">
        <v>327</v>
      </c>
      <c r="H247" s="40" t="str">
        <f t="array" ref="H247">_xlfn.XLOOKUP($B247, DB[samplingPoint], DB[location])</f>
        <v>WASHING/TUNNEL-01</v>
      </c>
      <c r="I247" s="39" t="str">
        <f t="array" ref="I247">_xlfn.XLOOKUP($B247, DB[samplingPoint], DB[waterType])</f>
        <v>WFI</v>
      </c>
      <c r="J247" s="43">
        <f t="shared" si="57"/>
        <v>46158</v>
      </c>
      <c r="K247" s="26">
        <v>46161.0</v>
      </c>
      <c r="L247" s="53">
        <v>0.0</v>
      </c>
      <c r="M247" s="32">
        <f t="shared" si="2"/>
        <v>0</v>
      </c>
      <c r="N247" s="55"/>
      <c r="O247" s="32">
        <v>10.0</v>
      </c>
      <c r="P247" s="50" t="str">
        <f t="shared" si="3"/>
        <v>PASSED</v>
      </c>
      <c r="Q247" s="38" t="b">
        <v>0</v>
      </c>
      <c r="R247" s="32" t="s">
        <v>969</v>
      </c>
      <c r="S247" s="39" t="s">
        <v>386</v>
      </c>
      <c r="T247" s="32" t="s">
        <v>381</v>
      </c>
    </row>
    <row r="248" ht="22.5" customHeight="1">
      <c r="A248" s="26">
        <v>46157.0</v>
      </c>
      <c r="B248" s="48" t="s">
        <v>391</v>
      </c>
      <c r="C248" s="32" t="str">
        <f t="array" ref="C248">_xlfn.XLOOKUP(B248, DB[samplingPoint], DB[samplingTag])</f>
        <v>SV216.03</v>
      </c>
      <c r="D248" s="33" t="s">
        <v>292</v>
      </c>
      <c r="E248" s="38" t="b">
        <v>1</v>
      </c>
      <c r="F248" s="39" t="str">
        <f t="array" ref="F248">_xlfn.XLOOKUP($B248, DB[samplingPoint], DB[noLocation])</f>
        <v>16-1-096</v>
      </c>
      <c r="G248" s="33" t="s">
        <v>327</v>
      </c>
      <c r="H248" s="40" t="str">
        <f t="array" ref="H248">_xlfn.XLOOKUP($B248, DB[samplingPoint], DB[location])</f>
        <v>WASHING/TUNNEL-02</v>
      </c>
      <c r="I248" s="39" t="str">
        <f t="array" ref="I248">_xlfn.XLOOKUP($B248, DB[samplingPoint], DB[waterType])</f>
        <v>WFI</v>
      </c>
      <c r="J248" s="43">
        <f t="shared" ref="J248:J257" si="58">$A248+1</f>
        <v>46158</v>
      </c>
      <c r="K248" s="26">
        <v>46161.0</v>
      </c>
      <c r="L248" s="53">
        <v>0.0</v>
      </c>
      <c r="M248" s="32">
        <f t="shared" si="2"/>
        <v>0</v>
      </c>
      <c r="N248" s="55"/>
      <c r="O248" s="32">
        <v>10.0</v>
      </c>
      <c r="P248" s="50" t="str">
        <f t="shared" si="3"/>
        <v>PASSED</v>
      </c>
      <c r="Q248" s="38" t="b">
        <v>0</v>
      </c>
      <c r="R248" s="32" t="s">
        <v>971</v>
      </c>
      <c r="S248" s="39" t="s">
        <v>386</v>
      </c>
      <c r="T248" s="32" t="s">
        <v>381</v>
      </c>
    </row>
    <row r="249" ht="22.5" customHeight="1">
      <c r="A249" s="26">
        <v>46157.0</v>
      </c>
      <c r="B249" s="48" t="s">
        <v>395</v>
      </c>
      <c r="C249" s="32" t="str">
        <f t="array" ref="C249">_xlfn.XLOOKUP(B249, DB[samplingPoint], DB[samplingTag])</f>
        <v>POU HE216.03</v>
      </c>
      <c r="D249" s="33" t="s">
        <v>292</v>
      </c>
      <c r="E249" s="38" t="b">
        <v>1</v>
      </c>
      <c r="F249" s="39" t="str">
        <f t="array" ref="F249">_xlfn.XLOOKUP($B249, DB[samplingPoint], DB[noLocation])</f>
        <v>16-1-082</v>
      </c>
      <c r="G249" s="33" t="s">
        <v>327</v>
      </c>
      <c r="H249" s="40" t="str">
        <f t="array" ref="H249">_xlfn.XLOOKUP($B249, DB[samplingPoint], DB[location])</f>
        <v>WASHING</v>
      </c>
      <c r="I249" s="39" t="str">
        <f t="array" ref="I249">_xlfn.XLOOKUP($B249, DB[samplingPoint], DB[waterType])</f>
        <v>WFI</v>
      </c>
      <c r="J249" s="43">
        <f t="shared" si="58"/>
        <v>46158</v>
      </c>
      <c r="K249" s="26">
        <v>46161.0</v>
      </c>
      <c r="L249" s="53">
        <v>0.0</v>
      </c>
      <c r="M249" s="32">
        <f t="shared" si="2"/>
        <v>0</v>
      </c>
      <c r="N249" s="55"/>
      <c r="O249" s="32">
        <v>10.0</v>
      </c>
      <c r="P249" s="50" t="str">
        <f t="shared" si="3"/>
        <v>PASSED</v>
      </c>
      <c r="Q249" s="38" t="b">
        <v>0</v>
      </c>
      <c r="R249" s="32" t="s">
        <v>971</v>
      </c>
      <c r="S249" s="39" t="s">
        <v>386</v>
      </c>
      <c r="T249" s="32" t="s">
        <v>381</v>
      </c>
    </row>
    <row r="250" ht="22.5" customHeight="1">
      <c r="A250" s="26">
        <v>46157.0</v>
      </c>
      <c r="B250" s="48" t="s">
        <v>397</v>
      </c>
      <c r="C250" s="32" t="str">
        <f t="array" ref="C250">_xlfn.XLOOKUP(B250, DB[samplingPoint], DB[samplingTag])</f>
        <v>SV216.06</v>
      </c>
      <c r="D250" s="33" t="s">
        <v>292</v>
      </c>
      <c r="E250" s="38" t="b">
        <v>1</v>
      </c>
      <c r="F250" s="39" t="str">
        <f t="array" ref="F250">_xlfn.XLOOKUP($B250, DB[samplingPoint], DB[noLocation])</f>
        <v>16-1-082</v>
      </c>
      <c r="G250" s="33" t="s">
        <v>327</v>
      </c>
      <c r="H250" s="40" t="str">
        <f t="array" ref="H250">_xlfn.XLOOKUP($B250, DB[samplingPoint], DB[location])</f>
        <v>WASHING</v>
      </c>
      <c r="I250" s="39" t="str">
        <f t="array" ref="I250">_xlfn.XLOOKUP($B250, DB[samplingPoint], DB[waterType])</f>
        <v>WFI</v>
      </c>
      <c r="J250" s="43">
        <f t="shared" si="58"/>
        <v>46158</v>
      </c>
      <c r="K250" s="26">
        <v>46161.0</v>
      </c>
      <c r="L250" s="53">
        <v>0.0</v>
      </c>
      <c r="M250" s="32">
        <f t="shared" si="2"/>
        <v>0</v>
      </c>
      <c r="N250" s="55"/>
      <c r="O250" s="32">
        <v>10.0</v>
      </c>
      <c r="P250" s="50" t="str">
        <f t="shared" si="3"/>
        <v>PASSED</v>
      </c>
      <c r="Q250" s="38" t="b">
        <v>0</v>
      </c>
      <c r="R250" s="32" t="s">
        <v>971</v>
      </c>
      <c r="S250" s="39" t="s">
        <v>386</v>
      </c>
      <c r="T250" s="32" t="s">
        <v>381</v>
      </c>
    </row>
    <row r="251" ht="22.5" customHeight="1">
      <c r="A251" s="26">
        <v>46157.0</v>
      </c>
      <c r="B251" s="48" t="s">
        <v>367</v>
      </c>
      <c r="C251" s="32" t="str">
        <f t="array" ref="C251">_xlfn.XLOOKUP(B251, DB[samplingPoint], DB[samplingTag])</f>
        <v>POU HE216.04</v>
      </c>
      <c r="D251" s="33" t="s">
        <v>292</v>
      </c>
      <c r="E251" s="38" t="b">
        <v>1</v>
      </c>
      <c r="F251" s="39" t="str">
        <f t="array" ref="F251">_xlfn.XLOOKUP($B251, DB[samplingPoint], DB[noLocation])</f>
        <v>16-1-114</v>
      </c>
      <c r="G251" s="33" t="s">
        <v>327</v>
      </c>
      <c r="H251" s="40" t="str">
        <f t="array" ref="H251">_xlfn.XLOOKUP($B251, DB[samplingPoint], DB[location])</f>
        <v>COMPOUNDING-02</v>
      </c>
      <c r="I251" s="39" t="str">
        <f t="array" ref="I251">_xlfn.XLOOKUP($B251, DB[samplingPoint], DB[waterType])</f>
        <v>WFI</v>
      </c>
      <c r="J251" s="43">
        <f t="shared" si="58"/>
        <v>46158</v>
      </c>
      <c r="K251" s="26">
        <v>46161.0</v>
      </c>
      <c r="L251" s="53">
        <v>0.0</v>
      </c>
      <c r="M251" s="32">
        <f t="shared" si="2"/>
        <v>0</v>
      </c>
      <c r="N251" s="55"/>
      <c r="O251" s="32">
        <v>10.0</v>
      </c>
      <c r="P251" s="50" t="str">
        <f t="shared" si="3"/>
        <v>PASSED</v>
      </c>
      <c r="Q251" s="38" t="b">
        <v>0</v>
      </c>
      <c r="R251" s="32" t="s">
        <v>971</v>
      </c>
      <c r="S251" s="39" t="s">
        <v>386</v>
      </c>
      <c r="T251" s="32" t="s">
        <v>381</v>
      </c>
    </row>
    <row r="252" ht="22.5" customHeight="1">
      <c r="A252" s="26">
        <v>46157.0</v>
      </c>
      <c r="B252" s="48" t="s">
        <v>372</v>
      </c>
      <c r="C252" s="32" t="str">
        <f t="array" ref="C252">_xlfn.XLOOKUP(B252, DB[samplingPoint], DB[samplingTag])</f>
        <v>POU HE216.05</v>
      </c>
      <c r="D252" s="33" t="s">
        <v>292</v>
      </c>
      <c r="E252" s="38" t="b">
        <v>1</v>
      </c>
      <c r="F252" s="39" t="str">
        <f t="array" ref="F252">_xlfn.XLOOKUP($B252, DB[samplingPoint], DB[noLocation])</f>
        <v>16-1-114</v>
      </c>
      <c r="G252" s="33" t="s">
        <v>327</v>
      </c>
      <c r="H252" s="40" t="str">
        <f t="array" ref="H252">_xlfn.XLOOKUP($B252, DB[samplingPoint], DB[location])</f>
        <v>COMPOUNDING-02</v>
      </c>
      <c r="I252" s="39" t="str">
        <f t="array" ref="I252">_xlfn.XLOOKUP($B252, DB[samplingPoint], DB[waterType])</f>
        <v>WFI</v>
      </c>
      <c r="J252" s="43">
        <f t="shared" si="58"/>
        <v>46158</v>
      </c>
      <c r="K252" s="26">
        <v>46161.0</v>
      </c>
      <c r="L252" s="53">
        <v>0.0</v>
      </c>
      <c r="M252" s="32">
        <f t="shared" si="2"/>
        <v>0</v>
      </c>
      <c r="N252" s="55"/>
      <c r="O252" s="32">
        <v>10.0</v>
      </c>
      <c r="P252" s="50" t="str">
        <f t="shared" si="3"/>
        <v>PASSED</v>
      </c>
      <c r="Q252" s="38" t="b">
        <v>0</v>
      </c>
      <c r="R252" s="32" t="s">
        <v>971</v>
      </c>
      <c r="S252" s="39" t="s">
        <v>386</v>
      </c>
      <c r="T252" s="32" t="s">
        <v>381</v>
      </c>
    </row>
    <row r="253" ht="22.5" customHeight="1">
      <c r="A253" s="26">
        <v>46160.0</v>
      </c>
      <c r="B253" s="63" t="s">
        <v>377</v>
      </c>
      <c r="C253" s="32" t="str">
        <f t="array" ref="C253">_xlfn.XLOOKUP(B253, DB[samplingPoint], DB[samplingTag])</f>
        <v>V12-4</v>
      </c>
      <c r="D253" s="33" t="s">
        <v>379</v>
      </c>
      <c r="E253" s="38" t="b">
        <v>1</v>
      </c>
      <c r="F253" s="39" t="str">
        <f t="array" ref="F253">_xlfn.XLOOKUP($B253, DB[samplingPoint], DB[noLocation])</f>
        <v>16-2-010</v>
      </c>
      <c r="G253" s="33" t="s">
        <v>327</v>
      </c>
      <c r="H253" s="40" t="str">
        <f t="array" ref="H253">_xlfn.XLOOKUP($B253, DB[samplingPoint], DB[location])</f>
        <v>AFTER WFI GENERATOR</v>
      </c>
      <c r="I253" s="39" t="str">
        <f t="array" ref="I253">_xlfn.XLOOKUP($B253, DB[samplingPoint], DB[waterType])</f>
        <v>WFI</v>
      </c>
      <c r="J253" s="43">
        <f t="shared" si="58"/>
        <v>46161</v>
      </c>
      <c r="K253" s="26">
        <v>46165.0</v>
      </c>
      <c r="L253" s="53">
        <v>0.0</v>
      </c>
      <c r="M253" s="32">
        <f t="shared" si="2"/>
        <v>0</v>
      </c>
      <c r="N253" s="55"/>
      <c r="O253" s="32"/>
      <c r="P253" s="50" t="str">
        <f t="shared" si="3"/>
        <v>PASSED</v>
      </c>
      <c r="Q253" s="38" t="b">
        <v>0</v>
      </c>
      <c r="R253" s="32" t="s">
        <v>972</v>
      </c>
      <c r="S253" s="39" t="s">
        <v>386</v>
      </c>
      <c r="T253" s="32" t="s">
        <v>381</v>
      </c>
    </row>
    <row r="254" ht="22.5" customHeight="1">
      <c r="A254" s="26">
        <v>46160.0</v>
      </c>
      <c r="B254" s="48" t="s">
        <v>383</v>
      </c>
      <c r="C254" s="32" t="str">
        <f t="array" ref="C254">_xlfn.XLOOKUP(B254, DB[samplingPoint], DB[samplingTag])</f>
        <v>SV213.01</v>
      </c>
      <c r="D254" s="33" t="s">
        <v>379</v>
      </c>
      <c r="E254" s="38" t="b">
        <v>1</v>
      </c>
      <c r="F254" s="39" t="str">
        <f t="array" ref="F254">_xlfn.XLOOKUP($B254, DB[samplingPoint], DB[noLocation])</f>
        <v>16-2-010</v>
      </c>
      <c r="G254" s="33" t="s">
        <v>327</v>
      </c>
      <c r="H254" s="40" t="str">
        <f t="array" ref="H254">_xlfn.XLOOKUP($B254, DB[samplingPoint], DB[location])</f>
        <v>AFTER STORAGE TANK</v>
      </c>
      <c r="I254" s="39" t="str">
        <f t="array" ref="I254">_xlfn.XLOOKUP($B254, DB[samplingPoint], DB[waterType])</f>
        <v>WFI</v>
      </c>
      <c r="J254" s="43">
        <f t="shared" si="58"/>
        <v>46161</v>
      </c>
      <c r="K254" s="26">
        <v>46165.0</v>
      </c>
      <c r="L254" s="53">
        <v>0.0</v>
      </c>
      <c r="M254" s="32">
        <f t="shared" si="2"/>
        <v>0</v>
      </c>
      <c r="N254" s="55"/>
      <c r="O254" s="32"/>
      <c r="P254" s="50" t="str">
        <f t="shared" si="3"/>
        <v>PASSED</v>
      </c>
      <c r="Q254" s="38" t="b">
        <v>0</v>
      </c>
      <c r="R254" s="32" t="s">
        <v>972</v>
      </c>
      <c r="S254" s="39" t="s">
        <v>386</v>
      </c>
      <c r="T254" s="32" t="s">
        <v>381</v>
      </c>
    </row>
    <row r="255" ht="22.5" customHeight="1">
      <c r="A255" s="26">
        <v>46160.0</v>
      </c>
      <c r="B255" s="48" t="s">
        <v>388</v>
      </c>
      <c r="C255" s="32" t="str">
        <f t="array" ref="C255">_xlfn.XLOOKUP(B255, DB[samplingPoint], DB[samplingTag])</f>
        <v>SV217.01</v>
      </c>
      <c r="D255" s="33" t="s">
        <v>379</v>
      </c>
      <c r="E255" s="38" t="b">
        <v>1</v>
      </c>
      <c r="F255" s="39" t="str">
        <f t="array" ref="F255">_xlfn.XLOOKUP($B255, DB[samplingPoint], DB[noLocation])</f>
        <v>16-2-010</v>
      </c>
      <c r="G255" s="33" t="s">
        <v>327</v>
      </c>
      <c r="H255" s="40" t="str">
        <f t="array" ref="H255">_xlfn.XLOOKUP($B255, DB[samplingPoint], DB[location])</f>
        <v>RETURN LOOP</v>
      </c>
      <c r="I255" s="39" t="str">
        <f t="array" ref="I255">_xlfn.XLOOKUP($B255, DB[samplingPoint], DB[waterType])</f>
        <v>WFI</v>
      </c>
      <c r="J255" s="43">
        <f t="shared" si="58"/>
        <v>46161</v>
      </c>
      <c r="K255" s="26">
        <v>46165.0</v>
      </c>
      <c r="L255" s="53">
        <v>0.0</v>
      </c>
      <c r="M255" s="32">
        <f t="shared" si="2"/>
        <v>0</v>
      </c>
      <c r="N255" s="55"/>
      <c r="O255" s="32"/>
      <c r="P255" s="50" t="str">
        <f t="shared" si="3"/>
        <v>PASSED</v>
      </c>
      <c r="Q255" s="38" t="b">
        <v>0</v>
      </c>
      <c r="R255" s="32" t="s">
        <v>972</v>
      </c>
      <c r="S255" s="39" t="s">
        <v>386</v>
      </c>
      <c r="T255" s="32" t="s">
        <v>381</v>
      </c>
    </row>
    <row r="256" ht="22.5" customHeight="1">
      <c r="A256" s="51">
        <v>46160.0</v>
      </c>
      <c r="B256" s="48" t="s">
        <v>416</v>
      </c>
      <c r="C256" s="32" t="str">
        <f t="array" ref="C256">_xlfn.XLOOKUP(B256, DB[samplingPoint], DB[samplingTag])</f>
        <v>SV216.02</v>
      </c>
      <c r="D256" s="54" t="s">
        <v>379</v>
      </c>
      <c r="E256" s="38" t="b">
        <v>1</v>
      </c>
      <c r="F256" s="39" t="str">
        <f t="array" ref="F256">_xlfn.XLOOKUP($B256, DB[samplingPoint], DB[noLocation])</f>
        <v>16-1-098</v>
      </c>
      <c r="G256" s="33" t="s">
        <v>327</v>
      </c>
      <c r="H256" s="40" t="str">
        <f t="array" ref="H256">_xlfn.XLOOKUP($B256, DB[samplingPoint], DB[location])</f>
        <v>CIP/SIP</v>
      </c>
      <c r="I256" s="39" t="str">
        <f t="array" ref="I256">_xlfn.XLOOKUP($B256, DB[samplingPoint], DB[waterType])</f>
        <v>WFI</v>
      </c>
      <c r="J256" s="43">
        <f t="shared" si="58"/>
        <v>46161</v>
      </c>
      <c r="K256" s="26">
        <v>46165.0</v>
      </c>
      <c r="L256" s="53">
        <v>0.0</v>
      </c>
      <c r="M256" s="32">
        <f t="shared" si="2"/>
        <v>0</v>
      </c>
      <c r="N256" s="55"/>
      <c r="O256" s="32"/>
      <c r="P256" s="50" t="str">
        <f t="shared" si="3"/>
        <v>PASSED</v>
      </c>
      <c r="Q256" s="38" t="b">
        <v>0</v>
      </c>
      <c r="R256" s="32" t="s">
        <v>972</v>
      </c>
      <c r="S256" s="39" t="s">
        <v>386</v>
      </c>
      <c r="T256" s="32" t="s">
        <v>381</v>
      </c>
    </row>
    <row r="257" ht="22.5" customHeight="1">
      <c r="A257" s="51">
        <v>46160.0</v>
      </c>
      <c r="B257" s="48" t="s">
        <v>418</v>
      </c>
      <c r="C257" s="32" t="str">
        <f t="array" ref="C257">_xlfn.XLOOKUP(B257, DB[samplingPoint], DB[samplingTag])</f>
        <v>SV216.04</v>
      </c>
      <c r="D257" s="54" t="s">
        <v>379</v>
      </c>
      <c r="E257" s="38" t="b">
        <v>1</v>
      </c>
      <c r="F257" s="39" t="str">
        <f t="array" ref="F257">_xlfn.XLOOKUP($B257, DB[samplingPoint], DB[noLocation])</f>
        <v>16-1-098</v>
      </c>
      <c r="G257" s="33" t="s">
        <v>327</v>
      </c>
      <c r="H257" s="40" t="str">
        <f t="array" ref="H257">_xlfn.XLOOKUP($B257, DB[samplingPoint], DB[location])</f>
        <v>CIP/SIP</v>
      </c>
      <c r="I257" s="39" t="str">
        <f t="array" ref="I257">_xlfn.XLOOKUP($B257, DB[samplingPoint], DB[waterType])</f>
        <v>WFI</v>
      </c>
      <c r="J257" s="43">
        <f t="shared" si="58"/>
        <v>46161</v>
      </c>
      <c r="K257" s="26">
        <v>46165.0</v>
      </c>
      <c r="L257" s="53">
        <v>0.0</v>
      </c>
      <c r="M257" s="32">
        <f t="shared" si="2"/>
        <v>0</v>
      </c>
      <c r="N257" s="55"/>
      <c r="O257" s="32"/>
      <c r="P257" s="50" t="str">
        <f t="shared" si="3"/>
        <v>PASSED</v>
      </c>
      <c r="Q257" s="38" t="b">
        <v>0</v>
      </c>
      <c r="R257" s="32" t="s">
        <v>972</v>
      </c>
      <c r="S257" s="39" t="s">
        <v>386</v>
      </c>
      <c r="T257" s="32" t="s">
        <v>381</v>
      </c>
    </row>
    <row r="258" ht="22.5" customHeight="1">
      <c r="A258" s="26">
        <v>46161.0</v>
      </c>
      <c r="B258" s="48" t="s">
        <v>391</v>
      </c>
      <c r="C258" s="32" t="str">
        <f t="array" ref="C258">_xlfn.XLOOKUP(B258, DB[samplingPoint], DB[samplingTag])</f>
        <v>SV216.03</v>
      </c>
      <c r="D258" s="33" t="s">
        <v>404</v>
      </c>
      <c r="E258" s="38" t="b">
        <v>1</v>
      </c>
      <c r="F258" s="39" t="str">
        <f t="array" ref="F258">_xlfn.XLOOKUP($B258, DB[samplingPoint], DB[noLocation])</f>
        <v>16-1-096</v>
      </c>
      <c r="G258" s="33" t="s">
        <v>327</v>
      </c>
      <c r="H258" s="40" t="str">
        <f t="array" ref="H258">_xlfn.XLOOKUP($B258, DB[samplingPoint], DB[location])</f>
        <v>WASHING/TUNNEL-02</v>
      </c>
      <c r="I258" s="39" t="str">
        <f t="array" ref="I258">_xlfn.XLOOKUP($B258, DB[samplingPoint], DB[waterType])</f>
        <v>WFI</v>
      </c>
      <c r="J258" s="43">
        <f t="shared" ref="J258:J264" si="59">$A258+2</f>
        <v>46163</v>
      </c>
      <c r="K258" s="26">
        <v>46167.0</v>
      </c>
      <c r="L258" s="53">
        <v>0.0</v>
      </c>
      <c r="M258" s="32">
        <f t="shared" si="2"/>
        <v>0</v>
      </c>
      <c r="N258" s="55"/>
      <c r="O258" s="32"/>
      <c r="P258" s="50" t="str">
        <f t="shared" si="3"/>
        <v>PASSED</v>
      </c>
      <c r="Q258" s="38" t="b">
        <v>0</v>
      </c>
      <c r="R258" s="32" t="s">
        <v>975</v>
      </c>
      <c r="S258" s="39" t="s">
        <v>386</v>
      </c>
      <c r="T258" s="32" t="s">
        <v>381</v>
      </c>
    </row>
    <row r="259" ht="22.5" customHeight="1">
      <c r="A259" s="26">
        <v>46161.0</v>
      </c>
      <c r="B259" s="48" t="s">
        <v>395</v>
      </c>
      <c r="C259" s="32" t="str">
        <f t="array" ref="C259">_xlfn.XLOOKUP(B259, DB[samplingPoint], DB[samplingTag])</f>
        <v>POU HE216.03</v>
      </c>
      <c r="D259" s="33" t="s">
        <v>404</v>
      </c>
      <c r="E259" s="38" t="b">
        <v>1</v>
      </c>
      <c r="F259" s="39" t="str">
        <f t="array" ref="F259">_xlfn.XLOOKUP($B259, DB[samplingPoint], DB[noLocation])</f>
        <v>16-1-082</v>
      </c>
      <c r="G259" s="33" t="s">
        <v>327</v>
      </c>
      <c r="H259" s="40" t="str">
        <f t="array" ref="H259">_xlfn.XLOOKUP($B259, DB[samplingPoint], DB[location])</f>
        <v>WASHING</v>
      </c>
      <c r="I259" s="39" t="str">
        <f t="array" ref="I259">_xlfn.XLOOKUP($B259, DB[samplingPoint], DB[waterType])</f>
        <v>WFI</v>
      </c>
      <c r="J259" s="43">
        <f t="shared" si="59"/>
        <v>46163</v>
      </c>
      <c r="K259" s="26">
        <v>46167.0</v>
      </c>
      <c r="L259" s="53">
        <v>0.0</v>
      </c>
      <c r="M259" s="32">
        <f t="shared" si="2"/>
        <v>0</v>
      </c>
      <c r="N259" s="55"/>
      <c r="O259" s="32"/>
      <c r="P259" s="50" t="str">
        <f t="shared" si="3"/>
        <v>PASSED</v>
      </c>
      <c r="Q259" s="38" t="b">
        <v>0</v>
      </c>
      <c r="R259" s="32" t="s">
        <v>975</v>
      </c>
      <c r="S259" s="39" t="s">
        <v>386</v>
      </c>
      <c r="T259" s="32" t="s">
        <v>381</v>
      </c>
    </row>
    <row r="260" ht="22.5" customHeight="1">
      <c r="A260" s="26">
        <v>46161.0</v>
      </c>
      <c r="B260" s="48" t="s">
        <v>397</v>
      </c>
      <c r="C260" s="32" t="str">
        <f t="array" ref="C260">_xlfn.XLOOKUP(B260, DB[samplingPoint], DB[samplingTag])</f>
        <v>SV216.06</v>
      </c>
      <c r="D260" s="33" t="s">
        <v>412</v>
      </c>
      <c r="E260" s="38" t="b">
        <v>1</v>
      </c>
      <c r="F260" s="39" t="str">
        <f t="array" ref="F260">_xlfn.XLOOKUP($B260, DB[samplingPoint], DB[noLocation])</f>
        <v>16-1-082</v>
      </c>
      <c r="G260" s="33" t="s">
        <v>327</v>
      </c>
      <c r="H260" s="40" t="str">
        <f t="array" ref="H260">_xlfn.XLOOKUP($B260, DB[samplingPoint], DB[location])</f>
        <v>WASHING</v>
      </c>
      <c r="I260" s="39" t="str">
        <f t="array" ref="I260">_xlfn.XLOOKUP($B260, DB[samplingPoint], DB[waterType])</f>
        <v>WFI</v>
      </c>
      <c r="J260" s="43">
        <f t="shared" si="59"/>
        <v>46163</v>
      </c>
      <c r="K260" s="26">
        <v>46167.0</v>
      </c>
      <c r="L260" s="53">
        <v>0.0</v>
      </c>
      <c r="M260" s="32">
        <f t="shared" si="2"/>
        <v>0</v>
      </c>
      <c r="N260" s="55"/>
      <c r="O260" s="32"/>
      <c r="P260" s="50" t="str">
        <f t="shared" si="3"/>
        <v>PASSED</v>
      </c>
      <c r="Q260" s="38" t="b">
        <v>0</v>
      </c>
      <c r="R260" s="32" t="s">
        <v>975</v>
      </c>
      <c r="S260" s="39" t="s">
        <v>386</v>
      </c>
      <c r="T260" s="32" t="s">
        <v>381</v>
      </c>
    </row>
    <row r="261" ht="22.5" customHeight="1">
      <c r="A261" s="26">
        <v>46162.0</v>
      </c>
      <c r="B261" s="48" t="s">
        <v>403</v>
      </c>
      <c r="C261" s="32" t="str">
        <f t="array" ref="C261">_xlfn.XLOOKUP(B261, DB[samplingPoint], DB[samplingTag])</f>
        <v>POU HE216.01</v>
      </c>
      <c r="D261" s="33" t="s">
        <v>412</v>
      </c>
      <c r="E261" s="38" t="b">
        <v>1</v>
      </c>
      <c r="F261" s="39" t="str">
        <f t="array" ref="F261">_xlfn.XLOOKUP($B261, DB[samplingPoint], DB[noLocation])</f>
        <v>16-1-107</v>
      </c>
      <c r="G261" s="33" t="s">
        <v>327</v>
      </c>
      <c r="H261" s="40" t="str">
        <f t="array" ref="H261">_xlfn.XLOOKUP($B261, DB[samplingPoint], DB[location])</f>
        <v>COMPOUNDING-01</v>
      </c>
      <c r="I261" s="39" t="str">
        <f t="array" ref="I261">_xlfn.XLOOKUP($B261, DB[samplingPoint], DB[waterType])</f>
        <v>WFI</v>
      </c>
      <c r="J261" s="43">
        <f t="shared" si="59"/>
        <v>46164</v>
      </c>
      <c r="K261" s="26">
        <v>46167.0</v>
      </c>
      <c r="L261" s="53">
        <v>0.0</v>
      </c>
      <c r="M261" s="32">
        <f t="shared" si="2"/>
        <v>0</v>
      </c>
      <c r="N261" s="55"/>
      <c r="O261" s="32"/>
      <c r="P261" s="50" t="str">
        <f t="shared" si="3"/>
        <v>PASSED</v>
      </c>
      <c r="Q261" s="38" t="b">
        <v>0</v>
      </c>
      <c r="R261" s="32" t="s">
        <v>976</v>
      </c>
      <c r="S261" s="39" t="s">
        <v>386</v>
      </c>
      <c r="T261" s="32" t="s">
        <v>381</v>
      </c>
    </row>
    <row r="262" ht="22.5" customHeight="1">
      <c r="A262" s="26">
        <v>46162.0</v>
      </c>
      <c r="B262" s="48" t="s">
        <v>407</v>
      </c>
      <c r="C262" s="32" t="str">
        <f t="array" ref="C262">_xlfn.XLOOKUP(B262, DB[samplingPoint], DB[samplingTag])</f>
        <v>POU HE216.02</v>
      </c>
      <c r="D262" s="33" t="s">
        <v>412</v>
      </c>
      <c r="E262" s="38" t="b">
        <v>1</v>
      </c>
      <c r="F262" s="39" t="str">
        <f t="array" ref="F262">_xlfn.XLOOKUP($B262, DB[samplingPoint], DB[noLocation])</f>
        <v>16-1-107</v>
      </c>
      <c r="G262" s="33" t="s">
        <v>327</v>
      </c>
      <c r="H262" s="40" t="str">
        <f t="array" ref="H262">_xlfn.XLOOKUP($B262, DB[samplingPoint], DB[location])</f>
        <v>COMPOUNDING-01</v>
      </c>
      <c r="I262" s="39" t="str">
        <f t="array" ref="I262">_xlfn.XLOOKUP($B262, DB[samplingPoint], DB[waterType])</f>
        <v>WFI</v>
      </c>
      <c r="J262" s="43">
        <f t="shared" si="59"/>
        <v>46164</v>
      </c>
      <c r="K262" s="26">
        <v>46167.0</v>
      </c>
      <c r="L262" s="53">
        <v>0.0</v>
      </c>
      <c r="M262" s="32">
        <f t="shared" si="2"/>
        <v>0</v>
      </c>
      <c r="N262" s="55"/>
      <c r="O262" s="32"/>
      <c r="P262" s="50" t="str">
        <f t="shared" si="3"/>
        <v>PASSED</v>
      </c>
      <c r="Q262" s="38" t="b">
        <v>0</v>
      </c>
      <c r="R262" s="32" t="s">
        <v>976</v>
      </c>
      <c r="S262" s="39" t="s">
        <v>386</v>
      </c>
      <c r="T262" s="32" t="s">
        <v>381</v>
      </c>
    </row>
    <row r="263" ht="22.5" customHeight="1">
      <c r="A263" s="26">
        <v>46163.0</v>
      </c>
      <c r="B263" s="48" t="s">
        <v>225</v>
      </c>
      <c r="C263" s="32" t="str">
        <f t="array" ref="C263">_xlfn.XLOOKUP(B263, DB[samplingPoint], DB[samplingTag])</f>
        <v>SV216.05</v>
      </c>
      <c r="D263" s="33" t="s">
        <v>292</v>
      </c>
      <c r="E263" s="38" t="b">
        <v>1</v>
      </c>
      <c r="F263" s="39" t="str">
        <f t="array" ref="F263">_xlfn.XLOOKUP($B263, DB[samplingPoint], DB[noLocation])</f>
        <v>16-1-110</v>
      </c>
      <c r="G263" s="33" t="s">
        <v>327</v>
      </c>
      <c r="H263" s="40" t="str">
        <f t="array" ref="H263">_xlfn.XLOOKUP($B263, DB[samplingPoint], DB[location])</f>
        <v>DISINFECTANT PREPARATION</v>
      </c>
      <c r="I263" s="39" t="str">
        <f t="array" ref="I263">_xlfn.XLOOKUP($B263, DB[samplingPoint], DB[waterType])</f>
        <v>WFI</v>
      </c>
      <c r="J263" s="43">
        <f t="shared" si="59"/>
        <v>46165</v>
      </c>
      <c r="K263" s="26">
        <v>46173.0</v>
      </c>
      <c r="L263" s="53">
        <v>0.0</v>
      </c>
      <c r="M263" s="32">
        <f t="shared" si="2"/>
        <v>0</v>
      </c>
      <c r="N263" s="55"/>
      <c r="O263" s="32"/>
      <c r="P263" s="50" t="str">
        <f t="shared" si="3"/>
        <v>PASSED</v>
      </c>
      <c r="Q263" s="38" t="b">
        <v>0</v>
      </c>
      <c r="R263" s="32" t="s">
        <v>977</v>
      </c>
      <c r="S263" s="39" t="s">
        <v>386</v>
      </c>
      <c r="T263" s="32" t="s">
        <v>381</v>
      </c>
    </row>
    <row r="264" ht="22.5" customHeight="1">
      <c r="A264" s="26">
        <v>46163.0</v>
      </c>
      <c r="B264" s="48" t="s">
        <v>365</v>
      </c>
      <c r="C264" s="32" t="str">
        <f t="array" ref="C264">_xlfn.XLOOKUP(B264, DB[samplingPoint], DB[samplingTag])</f>
        <v>SV216.10</v>
      </c>
      <c r="D264" s="33" t="s">
        <v>292</v>
      </c>
      <c r="E264" s="38" t="b">
        <v>1</v>
      </c>
      <c r="F264" s="39" t="str">
        <f t="array" ref="F264">_xlfn.XLOOKUP($B264, DB[samplingPoint], DB[noLocation])</f>
        <v>16-1-105</v>
      </c>
      <c r="G264" s="33" t="s">
        <v>327</v>
      </c>
      <c r="H264" s="40" t="str">
        <f t="array" ref="H264">_xlfn.XLOOKUP($B264, DB[samplingPoint], DB[location])</f>
        <v>WASHING/TUNNEL-01</v>
      </c>
      <c r="I264" s="39" t="str">
        <f t="array" ref="I264">_xlfn.XLOOKUP($B264, DB[samplingPoint], DB[waterType])</f>
        <v>WFI</v>
      </c>
      <c r="J264" s="43">
        <f t="shared" si="59"/>
        <v>46165</v>
      </c>
      <c r="K264" s="26">
        <v>46173.0</v>
      </c>
      <c r="L264" s="53">
        <v>0.0</v>
      </c>
      <c r="M264" s="32">
        <f t="shared" si="2"/>
        <v>0</v>
      </c>
      <c r="N264" s="55"/>
      <c r="O264" s="32"/>
      <c r="P264" s="50" t="str">
        <f t="shared" si="3"/>
        <v>PASSED</v>
      </c>
      <c r="Q264" s="38" t="b">
        <v>0</v>
      </c>
      <c r="R264" s="32" t="s">
        <v>977</v>
      </c>
      <c r="S264" s="39" t="s">
        <v>386</v>
      </c>
      <c r="T264" s="32" t="s">
        <v>381</v>
      </c>
    </row>
    <row r="265" ht="22.5" customHeight="1">
      <c r="A265" s="26">
        <v>46164.0</v>
      </c>
      <c r="B265" s="48" t="s">
        <v>367</v>
      </c>
      <c r="C265" s="32" t="str">
        <f t="array" ref="C265">_xlfn.XLOOKUP(B265, DB[samplingPoint], DB[samplingTag])</f>
        <v>POU HE216.04</v>
      </c>
      <c r="D265" s="33" t="s">
        <v>369</v>
      </c>
      <c r="E265" s="38" t="b">
        <v>1</v>
      </c>
      <c r="F265" s="39" t="str">
        <f t="array" ref="F265">_xlfn.XLOOKUP($B265, DB[samplingPoint], DB[noLocation])</f>
        <v>16-1-114</v>
      </c>
      <c r="G265" s="33" t="s">
        <v>327</v>
      </c>
      <c r="H265" s="40" t="str">
        <f t="array" ref="H265">_xlfn.XLOOKUP($B265, DB[samplingPoint], DB[location])</f>
        <v>COMPOUNDING-02</v>
      </c>
      <c r="I265" s="39" t="str">
        <f t="array" ref="I265">_xlfn.XLOOKUP($B265, DB[samplingPoint], DB[waterType])</f>
        <v>WFI</v>
      </c>
      <c r="J265" s="43">
        <f t="shared" ref="J265:J271" si="60">$A265+1</f>
        <v>46165</v>
      </c>
      <c r="K265" s="26">
        <v>46173.0</v>
      </c>
      <c r="L265" s="53">
        <v>0.0</v>
      </c>
      <c r="M265" s="32">
        <f t="shared" si="2"/>
        <v>0</v>
      </c>
      <c r="N265" s="55"/>
      <c r="O265" s="32"/>
      <c r="P265" s="50" t="str">
        <f t="shared" si="3"/>
        <v>PASSED</v>
      </c>
      <c r="Q265" s="38" t="b">
        <v>0</v>
      </c>
      <c r="R265" s="32" t="s">
        <v>978</v>
      </c>
      <c r="S265" s="39" t="s">
        <v>386</v>
      </c>
      <c r="T265" s="32" t="s">
        <v>381</v>
      </c>
    </row>
    <row r="266" ht="22.5" customHeight="1">
      <c r="A266" s="26">
        <v>46164.0</v>
      </c>
      <c r="B266" s="48" t="s">
        <v>372</v>
      </c>
      <c r="C266" s="32" t="str">
        <f t="array" ref="C266">_xlfn.XLOOKUP(B266, DB[samplingPoint], DB[samplingTag])</f>
        <v>POU HE216.05</v>
      </c>
      <c r="D266" s="33" t="s">
        <v>369</v>
      </c>
      <c r="E266" s="38" t="b">
        <v>1</v>
      </c>
      <c r="F266" s="39" t="str">
        <f t="array" ref="F266">_xlfn.XLOOKUP($B266, DB[samplingPoint], DB[noLocation])</f>
        <v>16-1-114</v>
      </c>
      <c r="G266" s="33" t="s">
        <v>327</v>
      </c>
      <c r="H266" s="40" t="str">
        <f t="array" ref="H266">_xlfn.XLOOKUP($B266, DB[samplingPoint], DB[location])</f>
        <v>COMPOUNDING-02</v>
      </c>
      <c r="I266" s="39" t="str">
        <f t="array" ref="I266">_xlfn.XLOOKUP($B266, DB[samplingPoint], DB[waterType])</f>
        <v>WFI</v>
      </c>
      <c r="J266" s="43">
        <f t="shared" si="60"/>
        <v>46165</v>
      </c>
      <c r="K266" s="26">
        <v>46173.0</v>
      </c>
      <c r="L266" s="53">
        <v>0.0</v>
      </c>
      <c r="M266" s="32">
        <f t="shared" si="2"/>
        <v>0</v>
      </c>
      <c r="N266" s="55"/>
      <c r="O266" s="32"/>
      <c r="P266" s="50" t="str">
        <f t="shared" si="3"/>
        <v>PASSED</v>
      </c>
      <c r="Q266" s="38" t="b">
        <v>0</v>
      </c>
      <c r="R266" s="32" t="s">
        <v>978</v>
      </c>
      <c r="S266" s="39" t="s">
        <v>386</v>
      </c>
      <c r="T266" s="32" t="s">
        <v>381</v>
      </c>
    </row>
    <row r="267" ht="22.5" customHeight="1">
      <c r="A267" s="26">
        <v>46167.0</v>
      </c>
      <c r="B267" s="63" t="s">
        <v>377</v>
      </c>
      <c r="C267" s="32" t="str">
        <f t="array" ref="C267">_xlfn.XLOOKUP(B267, DB[samplingPoint], DB[samplingTag])</f>
        <v>V12-4</v>
      </c>
      <c r="D267" s="33" t="s">
        <v>379</v>
      </c>
      <c r="E267" s="38" t="b">
        <v>1</v>
      </c>
      <c r="F267" s="39" t="str">
        <f t="array" ref="F267">_xlfn.XLOOKUP($B267, DB[samplingPoint], DB[noLocation])</f>
        <v>16-2-010</v>
      </c>
      <c r="G267" s="33" t="s">
        <v>327</v>
      </c>
      <c r="H267" s="40" t="str">
        <f t="array" ref="H267">_xlfn.XLOOKUP($B267, DB[samplingPoint], DB[location])</f>
        <v>AFTER WFI GENERATOR</v>
      </c>
      <c r="I267" s="39" t="str">
        <f t="array" ref="I267">_xlfn.XLOOKUP($B267, DB[samplingPoint], DB[waterType])</f>
        <v>WFI</v>
      </c>
      <c r="J267" s="43">
        <f t="shared" si="60"/>
        <v>46168</v>
      </c>
      <c r="K267" s="26">
        <v>46171.0</v>
      </c>
      <c r="L267" s="53">
        <v>0.0</v>
      </c>
      <c r="M267" s="32">
        <f t="shared" si="2"/>
        <v>0</v>
      </c>
      <c r="N267" s="55"/>
      <c r="O267" s="32"/>
      <c r="P267" s="50" t="str">
        <f t="shared" si="3"/>
        <v>PASSED</v>
      </c>
      <c r="Q267" s="38" t="b">
        <v>0</v>
      </c>
      <c r="R267" s="32" t="s">
        <v>979</v>
      </c>
      <c r="S267" s="39" t="s">
        <v>386</v>
      </c>
      <c r="T267" s="32" t="s">
        <v>381</v>
      </c>
    </row>
    <row r="268" ht="22.5" customHeight="1">
      <c r="A268" s="26">
        <v>46167.0</v>
      </c>
      <c r="B268" s="48" t="s">
        <v>383</v>
      </c>
      <c r="C268" s="32" t="str">
        <f t="array" ref="C268">_xlfn.XLOOKUP(B268, DB[samplingPoint], DB[samplingTag])</f>
        <v>SV213.01</v>
      </c>
      <c r="D268" s="33" t="s">
        <v>379</v>
      </c>
      <c r="E268" s="38" t="b">
        <v>1</v>
      </c>
      <c r="F268" s="39" t="str">
        <f t="array" ref="F268">_xlfn.XLOOKUP($B268, DB[samplingPoint], DB[noLocation])</f>
        <v>16-2-010</v>
      </c>
      <c r="G268" s="33" t="s">
        <v>327</v>
      </c>
      <c r="H268" s="40" t="str">
        <f t="array" ref="H268">_xlfn.XLOOKUP($B268, DB[samplingPoint], DB[location])</f>
        <v>AFTER STORAGE TANK</v>
      </c>
      <c r="I268" s="39" t="str">
        <f t="array" ref="I268">_xlfn.XLOOKUP($B268, DB[samplingPoint], DB[waterType])</f>
        <v>WFI</v>
      </c>
      <c r="J268" s="43">
        <f t="shared" si="60"/>
        <v>46168</v>
      </c>
      <c r="K268" s="26">
        <v>46171.0</v>
      </c>
      <c r="L268" s="53">
        <v>0.0</v>
      </c>
      <c r="M268" s="32">
        <f t="shared" si="2"/>
        <v>0</v>
      </c>
      <c r="N268" s="55"/>
      <c r="O268" s="32"/>
      <c r="P268" s="50" t="str">
        <f t="shared" si="3"/>
        <v>PASSED</v>
      </c>
      <c r="Q268" s="38" t="b">
        <v>0</v>
      </c>
      <c r="R268" s="32" t="s">
        <v>979</v>
      </c>
      <c r="S268" s="39" t="s">
        <v>386</v>
      </c>
      <c r="T268" s="32" t="s">
        <v>381</v>
      </c>
    </row>
    <row r="269" ht="22.5" customHeight="1">
      <c r="A269" s="26">
        <v>46167.0</v>
      </c>
      <c r="B269" s="48" t="s">
        <v>388</v>
      </c>
      <c r="C269" s="32" t="str">
        <f t="array" ref="C269">_xlfn.XLOOKUP(B269, DB[samplingPoint], DB[samplingTag])</f>
        <v>SV217.01</v>
      </c>
      <c r="D269" s="33" t="s">
        <v>379</v>
      </c>
      <c r="E269" s="38" t="b">
        <v>1</v>
      </c>
      <c r="F269" s="39" t="str">
        <f t="array" ref="F269">_xlfn.XLOOKUP($B269, DB[samplingPoint], DB[noLocation])</f>
        <v>16-2-010</v>
      </c>
      <c r="G269" s="33" t="s">
        <v>327</v>
      </c>
      <c r="H269" s="40" t="str">
        <f t="array" ref="H269">_xlfn.XLOOKUP($B269, DB[samplingPoint], DB[location])</f>
        <v>RETURN LOOP</v>
      </c>
      <c r="I269" s="39" t="str">
        <f t="array" ref="I269">_xlfn.XLOOKUP($B269, DB[samplingPoint], DB[waterType])</f>
        <v>WFI</v>
      </c>
      <c r="J269" s="43">
        <f t="shared" si="60"/>
        <v>46168</v>
      </c>
      <c r="K269" s="26">
        <v>46171.0</v>
      </c>
      <c r="L269" s="53">
        <v>0.0</v>
      </c>
      <c r="M269" s="32">
        <f t="shared" si="2"/>
        <v>0</v>
      </c>
      <c r="N269" s="55"/>
      <c r="O269" s="32"/>
      <c r="P269" s="50" t="str">
        <f t="shared" si="3"/>
        <v>PASSED</v>
      </c>
      <c r="Q269" s="38" t="b">
        <v>0</v>
      </c>
      <c r="R269" s="32" t="s">
        <v>979</v>
      </c>
      <c r="S269" s="39" t="s">
        <v>386</v>
      </c>
      <c r="T269" s="32" t="s">
        <v>381</v>
      </c>
    </row>
    <row r="270" ht="22.5" customHeight="1">
      <c r="A270" s="26">
        <v>46167.0</v>
      </c>
      <c r="B270" s="48" t="s">
        <v>416</v>
      </c>
      <c r="C270" s="32" t="str">
        <f t="array" ref="C270">_xlfn.XLOOKUP(B270, DB[samplingPoint], DB[samplingTag])</f>
        <v>SV216.02</v>
      </c>
      <c r="D270" s="33" t="s">
        <v>379</v>
      </c>
      <c r="E270" s="38" t="b">
        <v>1</v>
      </c>
      <c r="F270" s="39" t="str">
        <f t="array" ref="F270">_xlfn.XLOOKUP($B270, DB[samplingPoint], DB[noLocation])</f>
        <v>16-1-098</v>
      </c>
      <c r="G270" s="33" t="s">
        <v>327</v>
      </c>
      <c r="H270" s="40" t="str">
        <f t="array" ref="H270">_xlfn.XLOOKUP($B270, DB[samplingPoint], DB[location])</f>
        <v>CIP/SIP</v>
      </c>
      <c r="I270" s="39" t="str">
        <f t="array" ref="I270">_xlfn.XLOOKUP($B270, DB[samplingPoint], DB[waterType])</f>
        <v>WFI</v>
      </c>
      <c r="J270" s="43">
        <f t="shared" si="60"/>
        <v>46168</v>
      </c>
      <c r="K270" s="26">
        <v>46171.0</v>
      </c>
      <c r="L270" s="53">
        <v>0.0</v>
      </c>
      <c r="M270" s="32">
        <f t="shared" si="2"/>
        <v>0</v>
      </c>
      <c r="N270" s="55"/>
      <c r="O270" s="32"/>
      <c r="P270" s="50" t="str">
        <f t="shared" si="3"/>
        <v>PASSED</v>
      </c>
      <c r="Q270" s="38" t="b">
        <v>0</v>
      </c>
      <c r="R270" s="32" t="s">
        <v>979</v>
      </c>
      <c r="S270" s="39" t="s">
        <v>386</v>
      </c>
      <c r="T270" s="32" t="s">
        <v>381</v>
      </c>
    </row>
    <row r="271" ht="22.5" customHeight="1">
      <c r="A271" s="26">
        <v>46167.0</v>
      </c>
      <c r="B271" s="48" t="s">
        <v>418</v>
      </c>
      <c r="C271" s="32" t="str">
        <f t="array" ref="C271">_xlfn.XLOOKUP(B271, DB[samplingPoint], DB[samplingTag])</f>
        <v>SV216.04</v>
      </c>
      <c r="D271" s="33" t="s">
        <v>379</v>
      </c>
      <c r="E271" s="38" t="b">
        <v>1</v>
      </c>
      <c r="F271" s="39" t="str">
        <f t="array" ref="F271">_xlfn.XLOOKUP($B271, DB[samplingPoint], DB[noLocation])</f>
        <v>16-1-098</v>
      </c>
      <c r="G271" s="33" t="s">
        <v>327</v>
      </c>
      <c r="H271" s="40" t="str">
        <f t="array" ref="H271">_xlfn.XLOOKUP($B271, DB[samplingPoint], DB[location])</f>
        <v>CIP/SIP</v>
      </c>
      <c r="I271" s="39" t="str">
        <f t="array" ref="I271">_xlfn.XLOOKUP($B271, DB[samplingPoint], DB[waterType])</f>
        <v>WFI</v>
      </c>
      <c r="J271" s="43">
        <f t="shared" si="60"/>
        <v>46168</v>
      </c>
      <c r="K271" s="26">
        <v>46171.0</v>
      </c>
      <c r="L271" s="53">
        <v>0.0</v>
      </c>
      <c r="M271" s="32">
        <f t="shared" si="2"/>
        <v>0</v>
      </c>
      <c r="N271" s="55"/>
      <c r="O271" s="32"/>
      <c r="P271" s="50" t="str">
        <f t="shared" si="3"/>
        <v>PASSED</v>
      </c>
      <c r="Q271" s="38" t="b">
        <v>0</v>
      </c>
      <c r="R271" s="32" t="s">
        <v>979</v>
      </c>
      <c r="S271" s="39" t="s">
        <v>386</v>
      </c>
      <c r="T271" s="32" t="s">
        <v>381</v>
      </c>
    </row>
    <row r="272" ht="22.5" customHeight="1">
      <c r="A272" s="26">
        <v>46168.0</v>
      </c>
      <c r="B272" s="48" t="s">
        <v>391</v>
      </c>
      <c r="C272" s="32" t="str">
        <f t="array" ref="C272">_xlfn.XLOOKUP(B272, DB[samplingPoint], DB[samplingTag])</f>
        <v>SV216.03</v>
      </c>
      <c r="D272" s="33" t="s">
        <v>404</v>
      </c>
      <c r="E272" s="38" t="b">
        <v>1</v>
      </c>
      <c r="F272" s="39" t="str">
        <f t="array" ref="F272">_xlfn.XLOOKUP($B272, DB[samplingPoint], DB[noLocation])</f>
        <v>16-1-096</v>
      </c>
      <c r="G272" s="33" t="s">
        <v>327</v>
      </c>
      <c r="H272" s="40" t="str">
        <f t="array" ref="H272">_xlfn.XLOOKUP($B272, DB[samplingPoint], DB[location])</f>
        <v>WASHING/TUNNEL-02</v>
      </c>
      <c r="I272" s="39" t="str">
        <f t="array" ref="I272">_xlfn.XLOOKUP($B272, DB[samplingPoint], DB[waterType])</f>
        <v>WFI</v>
      </c>
      <c r="J272" s="43">
        <f t="shared" ref="J272:J274" si="61">$A272+2</f>
        <v>46170</v>
      </c>
      <c r="K272" s="26">
        <v>46173.0</v>
      </c>
      <c r="L272" s="53">
        <v>0.0</v>
      </c>
      <c r="M272" s="32">
        <f t="shared" si="2"/>
        <v>0</v>
      </c>
      <c r="N272" s="55"/>
      <c r="O272" s="32"/>
      <c r="P272" s="50" t="str">
        <f t="shared" si="3"/>
        <v>PASSED</v>
      </c>
      <c r="Q272" s="38" t="b">
        <v>0</v>
      </c>
      <c r="R272" s="32" t="s">
        <v>981</v>
      </c>
      <c r="S272" s="39" t="s">
        <v>386</v>
      </c>
      <c r="T272" s="32" t="s">
        <v>381</v>
      </c>
    </row>
    <row r="273" ht="22.5" customHeight="1">
      <c r="A273" s="26">
        <v>46168.0</v>
      </c>
      <c r="B273" s="48" t="s">
        <v>395</v>
      </c>
      <c r="C273" s="32" t="str">
        <f t="array" ref="C273">_xlfn.XLOOKUP(B273, DB[samplingPoint], DB[samplingTag])</f>
        <v>POU HE216.03</v>
      </c>
      <c r="D273" s="33" t="s">
        <v>404</v>
      </c>
      <c r="E273" s="38" t="b">
        <v>1</v>
      </c>
      <c r="F273" s="39" t="str">
        <f t="array" ref="F273">_xlfn.XLOOKUP($B273, DB[samplingPoint], DB[noLocation])</f>
        <v>16-1-082</v>
      </c>
      <c r="G273" s="33" t="s">
        <v>327</v>
      </c>
      <c r="H273" s="40" t="str">
        <f t="array" ref="H273">_xlfn.XLOOKUP($B273, DB[samplingPoint], DB[location])</f>
        <v>WASHING</v>
      </c>
      <c r="I273" s="39" t="str">
        <f t="array" ref="I273">_xlfn.XLOOKUP($B273, DB[samplingPoint], DB[waterType])</f>
        <v>WFI</v>
      </c>
      <c r="J273" s="43">
        <f t="shared" si="61"/>
        <v>46170</v>
      </c>
      <c r="K273" s="26">
        <v>46173.0</v>
      </c>
      <c r="L273" s="53">
        <v>0.0</v>
      </c>
      <c r="M273" s="32">
        <f t="shared" si="2"/>
        <v>0</v>
      </c>
      <c r="N273" s="55"/>
      <c r="O273" s="32"/>
      <c r="P273" s="50" t="str">
        <f t="shared" si="3"/>
        <v>PASSED</v>
      </c>
      <c r="Q273" s="38" t="b">
        <v>0</v>
      </c>
      <c r="R273" s="32" t="s">
        <v>981</v>
      </c>
      <c r="S273" s="39" t="s">
        <v>386</v>
      </c>
      <c r="T273" s="32" t="s">
        <v>381</v>
      </c>
    </row>
    <row r="274" ht="22.5" customHeight="1">
      <c r="A274" s="26">
        <v>46168.0</v>
      </c>
      <c r="B274" s="48" t="s">
        <v>397</v>
      </c>
      <c r="C274" s="32" t="str">
        <f t="array" ref="C274">_xlfn.XLOOKUP(B274, DB[samplingPoint], DB[samplingTag])</f>
        <v>SV216.06</v>
      </c>
      <c r="D274" s="33" t="s">
        <v>404</v>
      </c>
      <c r="E274" s="38" t="b">
        <v>1</v>
      </c>
      <c r="F274" s="39" t="str">
        <f t="array" ref="F274">_xlfn.XLOOKUP($B274, DB[samplingPoint], DB[noLocation])</f>
        <v>16-1-082</v>
      </c>
      <c r="G274" s="33" t="s">
        <v>327</v>
      </c>
      <c r="H274" s="40" t="str">
        <f t="array" ref="H274">_xlfn.XLOOKUP($B274, DB[samplingPoint], DB[location])</f>
        <v>WASHING</v>
      </c>
      <c r="I274" s="39" t="str">
        <f t="array" ref="I274">_xlfn.XLOOKUP($B274, DB[samplingPoint], DB[waterType])</f>
        <v>WFI</v>
      </c>
      <c r="J274" s="43">
        <f t="shared" si="61"/>
        <v>46170</v>
      </c>
      <c r="K274" s="26">
        <v>46173.0</v>
      </c>
      <c r="L274" s="53">
        <v>0.0</v>
      </c>
      <c r="M274" s="32">
        <f t="shared" si="2"/>
        <v>0</v>
      </c>
      <c r="N274" s="55"/>
      <c r="O274" s="32"/>
      <c r="P274" s="50" t="str">
        <f t="shared" si="3"/>
        <v>PASSED</v>
      </c>
      <c r="Q274" s="38" t="b">
        <v>0</v>
      </c>
      <c r="R274" s="32" t="s">
        <v>981</v>
      </c>
      <c r="S274" s="39" t="s">
        <v>386</v>
      </c>
      <c r="T274" s="32" t="s">
        <v>381</v>
      </c>
    </row>
    <row r="275" ht="22.5" customHeight="1">
      <c r="A275" s="26">
        <v>46169.0</v>
      </c>
      <c r="B275" s="48" t="s">
        <v>403</v>
      </c>
      <c r="C275" s="32" t="str">
        <f t="array" ref="C275">_xlfn.XLOOKUP(B275, DB[samplingPoint], DB[samplingTag])</f>
        <v>POU HE216.01</v>
      </c>
      <c r="D275" s="33" t="s">
        <v>412</v>
      </c>
      <c r="E275" s="38" t="b">
        <v>1</v>
      </c>
      <c r="F275" s="39" t="str">
        <f t="array" ref="F275">_xlfn.XLOOKUP($B275, DB[samplingPoint], DB[noLocation])</f>
        <v>16-1-107</v>
      </c>
      <c r="G275" s="33" t="s">
        <v>327</v>
      </c>
      <c r="H275" s="40" t="str">
        <f t="array" ref="H275">_xlfn.XLOOKUP($B275, DB[samplingPoint], DB[location])</f>
        <v>COMPOUNDING-01</v>
      </c>
      <c r="I275" s="39" t="str">
        <f t="array" ref="I275">_xlfn.XLOOKUP($B275, DB[samplingPoint], DB[waterType])</f>
        <v>WFI</v>
      </c>
      <c r="J275" s="43">
        <f t="shared" ref="J275:J276" si="62">$A275+1</f>
        <v>46170</v>
      </c>
      <c r="K275" s="26">
        <v>46173.0</v>
      </c>
      <c r="L275" s="53">
        <v>0.0</v>
      </c>
      <c r="M275" s="32">
        <f t="shared" si="2"/>
        <v>0</v>
      </c>
      <c r="N275" s="55"/>
      <c r="O275" s="32"/>
      <c r="P275" s="50" t="str">
        <f t="shared" si="3"/>
        <v>PASSED</v>
      </c>
      <c r="Q275" s="38" t="b">
        <v>0</v>
      </c>
      <c r="R275" s="32" t="s">
        <v>985</v>
      </c>
      <c r="S275" s="39" t="s">
        <v>386</v>
      </c>
      <c r="T275" s="32" t="s">
        <v>381</v>
      </c>
    </row>
    <row r="276" ht="22.5" customHeight="1">
      <c r="A276" s="26">
        <v>46169.0</v>
      </c>
      <c r="B276" s="48" t="s">
        <v>407</v>
      </c>
      <c r="C276" s="32" t="str">
        <f t="array" ref="C276">_xlfn.XLOOKUP(B276, DB[samplingPoint], DB[samplingTag])</f>
        <v>POU HE216.02</v>
      </c>
      <c r="D276" s="33" t="s">
        <v>412</v>
      </c>
      <c r="E276" s="38" t="b">
        <v>1</v>
      </c>
      <c r="F276" s="39" t="str">
        <f t="array" ref="F276">_xlfn.XLOOKUP($B276, DB[samplingPoint], DB[noLocation])</f>
        <v>16-1-107</v>
      </c>
      <c r="G276" s="33" t="s">
        <v>327</v>
      </c>
      <c r="H276" s="40" t="str">
        <f t="array" ref="H276">_xlfn.XLOOKUP($B276, DB[samplingPoint], DB[location])</f>
        <v>COMPOUNDING-01</v>
      </c>
      <c r="I276" s="39" t="str">
        <f t="array" ref="I276">_xlfn.XLOOKUP($B276, DB[samplingPoint], DB[waterType])</f>
        <v>WFI</v>
      </c>
      <c r="J276" s="43">
        <f t="shared" si="62"/>
        <v>46170</v>
      </c>
      <c r="K276" s="26">
        <v>46173.0</v>
      </c>
      <c r="L276" s="53">
        <v>0.0</v>
      </c>
      <c r="M276" s="32">
        <f t="shared" si="2"/>
        <v>0</v>
      </c>
      <c r="N276" s="55"/>
      <c r="O276" s="32"/>
      <c r="P276" s="50" t="str">
        <f t="shared" si="3"/>
        <v>PASSED</v>
      </c>
      <c r="Q276" s="38" t="b">
        <v>0</v>
      </c>
      <c r="R276" s="32" t="s">
        <v>985</v>
      </c>
      <c r="S276" s="39" t="s">
        <v>386</v>
      </c>
      <c r="T276" s="32" t="s">
        <v>381</v>
      </c>
    </row>
    <row r="277" ht="22.5" customHeight="1">
      <c r="A277" s="26">
        <v>46170.0</v>
      </c>
      <c r="B277" s="48" t="s">
        <v>225</v>
      </c>
      <c r="C277" s="32" t="str">
        <f t="array" ref="C277">_xlfn.XLOOKUP(B277, DB[samplingPoint], DB[samplingTag])</f>
        <v>SV216.05</v>
      </c>
      <c r="D277" s="33" t="s">
        <v>292</v>
      </c>
      <c r="E277" s="38" t="b">
        <v>1</v>
      </c>
      <c r="F277" s="39" t="str">
        <f t="array" ref="F277">_xlfn.XLOOKUP($B277, DB[samplingPoint], DB[noLocation])</f>
        <v>16-1-110</v>
      </c>
      <c r="G277" s="33" t="s">
        <v>327</v>
      </c>
      <c r="H277" s="40" t="str">
        <f t="array" ref="H277">_xlfn.XLOOKUP($B277, DB[samplingPoint], DB[location])</f>
        <v>DISINFECTANT PREPARATION</v>
      </c>
      <c r="I277" s="39" t="str">
        <f t="array" ref="I277">_xlfn.XLOOKUP($B277, DB[samplingPoint], DB[waterType])</f>
        <v>WFI</v>
      </c>
      <c r="J277" s="43">
        <f t="shared" ref="J277:J278" si="63">$A277+2</f>
        <v>46172</v>
      </c>
      <c r="K277" s="26">
        <v>46175.0</v>
      </c>
      <c r="L277" s="53">
        <v>0.0</v>
      </c>
      <c r="M277" s="32">
        <f t="shared" si="2"/>
        <v>0</v>
      </c>
      <c r="N277" s="55"/>
      <c r="O277" s="32"/>
      <c r="P277" s="50" t="str">
        <f t="shared" si="3"/>
        <v>PASSED</v>
      </c>
      <c r="Q277" s="38" t="b">
        <v>0</v>
      </c>
      <c r="R277" s="32" t="s">
        <v>70</v>
      </c>
      <c r="S277" s="39" t="s">
        <v>386</v>
      </c>
      <c r="T277" s="32" t="s">
        <v>381</v>
      </c>
    </row>
    <row r="278" ht="22.5" customHeight="1">
      <c r="A278" s="26">
        <v>46170.0</v>
      </c>
      <c r="B278" s="48" t="s">
        <v>365</v>
      </c>
      <c r="C278" s="32" t="str">
        <f t="array" ref="C278">_xlfn.XLOOKUP(B278, DB[samplingPoint], DB[samplingTag])</f>
        <v>SV216.10</v>
      </c>
      <c r="D278" s="33" t="s">
        <v>292</v>
      </c>
      <c r="E278" s="38" t="b">
        <v>1</v>
      </c>
      <c r="F278" s="39" t="str">
        <f t="array" ref="F278">_xlfn.XLOOKUP($B278, DB[samplingPoint], DB[noLocation])</f>
        <v>16-1-105</v>
      </c>
      <c r="G278" s="33" t="s">
        <v>327</v>
      </c>
      <c r="H278" s="40" t="str">
        <f t="array" ref="H278">_xlfn.XLOOKUP($B278, DB[samplingPoint], DB[location])</f>
        <v>WASHING/TUNNEL-01</v>
      </c>
      <c r="I278" s="39" t="str">
        <f t="array" ref="I278">_xlfn.XLOOKUP($B278, DB[samplingPoint], DB[waterType])</f>
        <v>WFI</v>
      </c>
      <c r="J278" s="43">
        <f t="shared" si="63"/>
        <v>46172</v>
      </c>
      <c r="K278" s="26">
        <v>46175.0</v>
      </c>
      <c r="L278" s="53">
        <v>0.0</v>
      </c>
      <c r="M278" s="32">
        <f t="shared" si="2"/>
        <v>0</v>
      </c>
      <c r="N278" s="55"/>
      <c r="O278" s="32"/>
      <c r="P278" s="50" t="str">
        <f t="shared" si="3"/>
        <v>PASSED</v>
      </c>
      <c r="Q278" s="38" t="b">
        <v>0</v>
      </c>
      <c r="R278" s="32" t="s">
        <v>70</v>
      </c>
      <c r="S278" s="39" t="s">
        <v>386</v>
      </c>
      <c r="T278" s="32" t="s">
        <v>381</v>
      </c>
    </row>
    <row r="279" ht="22.5" customHeight="1">
      <c r="A279" s="26">
        <v>46171.0</v>
      </c>
      <c r="B279" s="48" t="s">
        <v>367</v>
      </c>
      <c r="C279" s="32" t="str">
        <f t="array" ref="C279">_xlfn.XLOOKUP(B279, DB[samplingPoint], DB[samplingTag])</f>
        <v>POU HE216.04</v>
      </c>
      <c r="D279" s="33" t="s">
        <v>369</v>
      </c>
      <c r="E279" s="38" t="b">
        <v>1</v>
      </c>
      <c r="F279" s="39" t="str">
        <f t="array" ref="F279">_xlfn.XLOOKUP($B279, DB[samplingPoint], DB[noLocation])</f>
        <v>16-1-114</v>
      </c>
      <c r="G279" s="33" t="s">
        <v>327</v>
      </c>
      <c r="H279" s="40" t="str">
        <f t="array" ref="H279">_xlfn.XLOOKUP($B279, DB[samplingPoint], DB[location])</f>
        <v>COMPOUNDING-02</v>
      </c>
      <c r="I279" s="39" t="str">
        <f t="array" ref="I279">_xlfn.XLOOKUP($B279, DB[samplingPoint], DB[waterType])</f>
        <v>WFI</v>
      </c>
      <c r="J279" s="43">
        <f t="shared" ref="J279:J289" si="64">$A279+1</f>
        <v>46172</v>
      </c>
      <c r="K279" s="26">
        <v>46175.0</v>
      </c>
      <c r="L279" s="53">
        <v>0.0</v>
      </c>
      <c r="M279" s="32">
        <f t="shared" si="2"/>
        <v>0</v>
      </c>
      <c r="N279" s="55"/>
      <c r="O279" s="32"/>
      <c r="P279" s="50" t="str">
        <f t="shared" si="3"/>
        <v>PASSED</v>
      </c>
      <c r="Q279" s="38" t="b">
        <v>0</v>
      </c>
      <c r="R279" s="32" t="s">
        <v>77</v>
      </c>
      <c r="S279" s="39" t="s">
        <v>386</v>
      </c>
      <c r="T279" s="32" t="s">
        <v>381</v>
      </c>
    </row>
    <row r="280" ht="22.5" customHeight="1">
      <c r="A280" s="26">
        <v>46171.0</v>
      </c>
      <c r="B280" s="48" t="s">
        <v>372</v>
      </c>
      <c r="C280" s="32" t="str">
        <f t="array" ref="C280">_xlfn.XLOOKUP(B280, DB[samplingPoint], DB[samplingTag])</f>
        <v>POU HE216.05</v>
      </c>
      <c r="D280" s="33" t="s">
        <v>369</v>
      </c>
      <c r="E280" s="38" t="b">
        <v>1</v>
      </c>
      <c r="F280" s="39" t="str">
        <f t="array" ref="F280">_xlfn.XLOOKUP($B280, DB[samplingPoint], DB[noLocation])</f>
        <v>16-1-114</v>
      </c>
      <c r="G280" s="33" t="s">
        <v>327</v>
      </c>
      <c r="H280" s="40" t="str">
        <f t="array" ref="H280">_xlfn.XLOOKUP($B280, DB[samplingPoint], DB[location])</f>
        <v>COMPOUNDING-02</v>
      </c>
      <c r="I280" s="39" t="str">
        <f t="array" ref="I280">_xlfn.XLOOKUP($B280, DB[samplingPoint], DB[waterType])</f>
        <v>WFI</v>
      </c>
      <c r="J280" s="43">
        <f t="shared" si="64"/>
        <v>46172</v>
      </c>
      <c r="K280" s="26">
        <v>46175.0</v>
      </c>
      <c r="L280" s="53">
        <v>0.0</v>
      </c>
      <c r="M280" s="32">
        <f t="shared" si="2"/>
        <v>0</v>
      </c>
      <c r="N280" s="55"/>
      <c r="O280" s="32"/>
      <c r="P280" s="50" t="str">
        <f t="shared" si="3"/>
        <v>PASSED</v>
      </c>
      <c r="Q280" s="38" t="b">
        <v>0</v>
      </c>
      <c r="R280" s="32" t="s">
        <v>77</v>
      </c>
      <c r="S280" s="39" t="s">
        <v>386</v>
      </c>
      <c r="T280" s="32" t="s">
        <v>381</v>
      </c>
    </row>
    <row r="281" ht="22.5" customHeight="1">
      <c r="A281" s="26">
        <v>46175.0</v>
      </c>
      <c r="B281" s="48" t="s">
        <v>377</v>
      </c>
      <c r="C281" s="32" t="str">
        <f t="array" ref="C281">_xlfn.XLOOKUP(B281, DB[samplingPoint], DB[samplingTag])</f>
        <v>V12-4</v>
      </c>
      <c r="D281" s="33" t="s">
        <v>379</v>
      </c>
      <c r="E281" s="38" t="b">
        <v>1</v>
      </c>
      <c r="F281" s="39" t="str">
        <f t="array" ref="F281">_xlfn.XLOOKUP($B281, DB[samplingPoint], DB[noLocation])</f>
        <v>16-2-010</v>
      </c>
      <c r="G281" s="33" t="s">
        <v>327</v>
      </c>
      <c r="H281" s="40" t="str">
        <f t="array" ref="H281">_xlfn.XLOOKUP($B281, DB[samplingPoint], DB[location])</f>
        <v>AFTER WFI GENERATOR</v>
      </c>
      <c r="I281" s="39" t="str">
        <f t="array" ref="I281">_xlfn.XLOOKUP($B281, DB[samplingPoint], DB[waterType])</f>
        <v>WFI</v>
      </c>
      <c r="J281" s="43">
        <f t="shared" si="64"/>
        <v>46176</v>
      </c>
      <c r="K281" s="26">
        <v>46179.0</v>
      </c>
      <c r="L281" s="53">
        <v>0.0</v>
      </c>
      <c r="M281" s="32">
        <f t="shared" si="2"/>
        <v>0</v>
      </c>
      <c r="N281" s="55"/>
      <c r="O281" s="32"/>
      <c r="P281" s="50" t="str">
        <f t="shared" si="3"/>
        <v>PASSED</v>
      </c>
      <c r="Q281" s="38" t="b">
        <v>0</v>
      </c>
      <c r="R281" s="32" t="s">
        <v>81</v>
      </c>
      <c r="S281" s="39" t="s">
        <v>386</v>
      </c>
      <c r="T281" s="32" t="s">
        <v>381</v>
      </c>
    </row>
    <row r="282" ht="22.5" customHeight="1">
      <c r="A282" s="26">
        <v>46175.0</v>
      </c>
      <c r="B282" s="48" t="s">
        <v>383</v>
      </c>
      <c r="C282" s="32" t="str">
        <f t="array" ref="C282">_xlfn.XLOOKUP(B282, DB[samplingPoint], DB[samplingTag])</f>
        <v>SV213.01</v>
      </c>
      <c r="D282" s="33" t="s">
        <v>379</v>
      </c>
      <c r="E282" s="38" t="b">
        <v>1</v>
      </c>
      <c r="F282" s="39" t="str">
        <f t="array" ref="F282">_xlfn.XLOOKUP($B282, DB[samplingPoint], DB[noLocation])</f>
        <v>16-2-010</v>
      </c>
      <c r="G282" s="33" t="s">
        <v>327</v>
      </c>
      <c r="H282" s="40" t="str">
        <f t="array" ref="H282">_xlfn.XLOOKUP($B282, DB[samplingPoint], DB[location])</f>
        <v>AFTER STORAGE TANK</v>
      </c>
      <c r="I282" s="39" t="str">
        <f t="array" ref="I282">_xlfn.XLOOKUP($B282, DB[samplingPoint], DB[waterType])</f>
        <v>WFI</v>
      </c>
      <c r="J282" s="43">
        <f t="shared" si="64"/>
        <v>46176</v>
      </c>
      <c r="K282" s="26">
        <v>46179.0</v>
      </c>
      <c r="L282" s="53">
        <v>0.0</v>
      </c>
      <c r="M282" s="32">
        <f t="shared" si="2"/>
        <v>0</v>
      </c>
      <c r="N282" s="55"/>
      <c r="O282" s="32"/>
      <c r="P282" s="50" t="str">
        <f t="shared" si="3"/>
        <v>PASSED</v>
      </c>
      <c r="Q282" s="38" t="b">
        <v>0</v>
      </c>
      <c r="R282" s="32" t="s">
        <v>81</v>
      </c>
      <c r="S282" s="39" t="s">
        <v>386</v>
      </c>
      <c r="T282" s="32" t="s">
        <v>381</v>
      </c>
    </row>
    <row r="283" ht="22.5" customHeight="1">
      <c r="A283" s="26">
        <v>46175.0</v>
      </c>
      <c r="B283" s="48" t="s">
        <v>388</v>
      </c>
      <c r="C283" s="32" t="str">
        <f t="array" ref="C283">_xlfn.XLOOKUP(B283, DB[samplingPoint], DB[samplingTag])</f>
        <v>SV217.01</v>
      </c>
      <c r="D283" s="33" t="s">
        <v>379</v>
      </c>
      <c r="E283" s="38" t="b">
        <v>1</v>
      </c>
      <c r="F283" s="39" t="str">
        <f t="array" ref="F283">_xlfn.XLOOKUP($B283, DB[samplingPoint], DB[noLocation])</f>
        <v>16-2-010</v>
      </c>
      <c r="G283" s="33" t="s">
        <v>327</v>
      </c>
      <c r="H283" s="40" t="str">
        <f t="array" ref="H283">_xlfn.XLOOKUP($B283, DB[samplingPoint], DB[location])</f>
        <v>RETURN LOOP</v>
      </c>
      <c r="I283" s="39" t="str">
        <f t="array" ref="I283">_xlfn.XLOOKUP($B283, DB[samplingPoint], DB[waterType])</f>
        <v>WFI</v>
      </c>
      <c r="J283" s="43">
        <f t="shared" si="64"/>
        <v>46176</v>
      </c>
      <c r="K283" s="26">
        <v>46179.0</v>
      </c>
      <c r="L283" s="53">
        <v>0.0</v>
      </c>
      <c r="M283" s="32">
        <f t="shared" si="2"/>
        <v>0</v>
      </c>
      <c r="N283" s="55"/>
      <c r="O283" s="32"/>
      <c r="P283" s="50" t="str">
        <f t="shared" si="3"/>
        <v>PASSED</v>
      </c>
      <c r="Q283" s="38" t="b">
        <v>0</v>
      </c>
      <c r="R283" s="32" t="s">
        <v>81</v>
      </c>
      <c r="S283" s="39" t="s">
        <v>386</v>
      </c>
      <c r="T283" s="32" t="s">
        <v>381</v>
      </c>
    </row>
    <row r="284" ht="22.5" customHeight="1">
      <c r="A284" s="26">
        <v>46175.0</v>
      </c>
      <c r="B284" s="48" t="s">
        <v>391</v>
      </c>
      <c r="C284" s="32" t="str">
        <f t="array" ref="C284">_xlfn.XLOOKUP(B284, DB[samplingPoint], DB[samplingTag])</f>
        <v>SV216.03</v>
      </c>
      <c r="D284" s="33" t="s">
        <v>379</v>
      </c>
      <c r="E284" s="38" t="b">
        <v>1</v>
      </c>
      <c r="F284" s="39" t="str">
        <f t="array" ref="F284">_xlfn.XLOOKUP($B284, DB[samplingPoint], DB[noLocation])</f>
        <v>16-1-096</v>
      </c>
      <c r="G284" s="33" t="s">
        <v>327</v>
      </c>
      <c r="H284" s="40" t="str">
        <f t="array" ref="H284">_xlfn.XLOOKUP($B284, DB[samplingPoint], DB[location])</f>
        <v>WASHING/TUNNEL-02</v>
      </c>
      <c r="I284" s="39" t="str">
        <f t="array" ref="I284">_xlfn.XLOOKUP($B284, DB[samplingPoint], DB[waterType])</f>
        <v>WFI</v>
      </c>
      <c r="J284" s="43">
        <f t="shared" si="64"/>
        <v>46176</v>
      </c>
      <c r="K284" s="26">
        <v>46179.0</v>
      </c>
      <c r="L284" s="53">
        <v>0.0</v>
      </c>
      <c r="M284" s="32">
        <f t="shared" si="2"/>
        <v>0</v>
      </c>
      <c r="N284" s="55"/>
      <c r="O284" s="32"/>
      <c r="P284" s="50" t="str">
        <f t="shared" si="3"/>
        <v>PASSED</v>
      </c>
      <c r="Q284" s="38" t="b">
        <v>0</v>
      </c>
      <c r="R284" s="32" t="s">
        <v>81</v>
      </c>
      <c r="S284" s="39" t="s">
        <v>386</v>
      </c>
      <c r="T284" s="32" t="s">
        <v>381</v>
      </c>
    </row>
    <row r="285" ht="22.5" customHeight="1">
      <c r="A285" s="26">
        <v>46175.0</v>
      </c>
      <c r="B285" s="48" t="s">
        <v>395</v>
      </c>
      <c r="C285" s="32" t="str">
        <f t="array" ref="C285">_xlfn.XLOOKUP(B285, DB[samplingPoint], DB[samplingTag])</f>
        <v>POU HE216.03</v>
      </c>
      <c r="D285" s="33" t="s">
        <v>379</v>
      </c>
      <c r="E285" s="38" t="b">
        <v>1</v>
      </c>
      <c r="F285" s="39" t="str">
        <f t="array" ref="F285">_xlfn.XLOOKUP($B285, DB[samplingPoint], DB[noLocation])</f>
        <v>16-1-082</v>
      </c>
      <c r="G285" s="33" t="s">
        <v>327</v>
      </c>
      <c r="H285" s="40" t="str">
        <f t="array" ref="H285">_xlfn.XLOOKUP($B285, DB[samplingPoint], DB[location])</f>
        <v>WASHING</v>
      </c>
      <c r="I285" s="39" t="str">
        <f t="array" ref="I285">_xlfn.XLOOKUP($B285, DB[samplingPoint], DB[waterType])</f>
        <v>WFI</v>
      </c>
      <c r="J285" s="43">
        <f t="shared" si="64"/>
        <v>46176</v>
      </c>
      <c r="K285" s="26">
        <v>46179.0</v>
      </c>
      <c r="L285" s="53">
        <v>0.0</v>
      </c>
      <c r="M285" s="32">
        <f t="shared" si="2"/>
        <v>0</v>
      </c>
      <c r="N285" s="55"/>
      <c r="O285" s="32"/>
      <c r="P285" s="50" t="str">
        <f t="shared" si="3"/>
        <v>PASSED</v>
      </c>
      <c r="Q285" s="38" t="b">
        <v>0</v>
      </c>
      <c r="R285" s="32" t="s">
        <v>81</v>
      </c>
      <c r="S285" s="39" t="s">
        <v>386</v>
      </c>
      <c r="T285" s="32" t="s">
        <v>381</v>
      </c>
    </row>
    <row r="286" ht="22.5" customHeight="1">
      <c r="A286" s="26">
        <v>46175.0</v>
      </c>
      <c r="B286" s="48" t="s">
        <v>397</v>
      </c>
      <c r="C286" s="32" t="str">
        <f t="array" ref="C286">_xlfn.XLOOKUP(B286, DB[samplingPoint], DB[samplingTag])</f>
        <v>SV216.06</v>
      </c>
      <c r="D286" s="33" t="s">
        <v>379</v>
      </c>
      <c r="E286" s="38" t="b">
        <v>1</v>
      </c>
      <c r="F286" s="39" t="str">
        <f t="array" ref="F286">_xlfn.XLOOKUP($B286, DB[samplingPoint], DB[noLocation])</f>
        <v>16-1-082</v>
      </c>
      <c r="G286" s="33" t="s">
        <v>327</v>
      </c>
      <c r="H286" s="40" t="str">
        <f t="array" ref="H286">_xlfn.XLOOKUP($B286, DB[samplingPoint], DB[location])</f>
        <v>WASHING</v>
      </c>
      <c r="I286" s="39" t="str">
        <f t="array" ref="I286">_xlfn.XLOOKUP($B286, DB[samplingPoint], DB[waterType])</f>
        <v>WFI</v>
      </c>
      <c r="J286" s="43">
        <f t="shared" si="64"/>
        <v>46176</v>
      </c>
      <c r="K286" s="26">
        <v>46179.0</v>
      </c>
      <c r="L286" s="53">
        <v>0.0</v>
      </c>
      <c r="M286" s="32">
        <f t="shared" si="2"/>
        <v>0</v>
      </c>
      <c r="N286" s="55"/>
      <c r="O286" s="32"/>
      <c r="P286" s="50" t="str">
        <f t="shared" si="3"/>
        <v>PASSED</v>
      </c>
      <c r="Q286" s="38" t="b">
        <v>0</v>
      </c>
      <c r="R286" s="32" t="s">
        <v>81</v>
      </c>
      <c r="S286" s="39" t="s">
        <v>386</v>
      </c>
      <c r="T286" s="32" t="s">
        <v>381</v>
      </c>
    </row>
    <row r="287" ht="22.5" customHeight="1">
      <c r="A287" s="62">
        <v>46177.0</v>
      </c>
      <c r="B287" s="63" t="s">
        <v>403</v>
      </c>
      <c r="C287" s="64" t="str">
        <f t="array" ref="C287">_xlfn.XLOOKUP(B287, DB[samplingPoint], DB[samplingTag])</f>
        <v>POU HE216.01</v>
      </c>
      <c r="D287" s="65" t="s">
        <v>404</v>
      </c>
      <c r="E287" s="38" t="b">
        <v>1</v>
      </c>
      <c r="F287" s="66" t="str">
        <f t="array" ref="F287">_xlfn.XLOOKUP($B287, DB[samplingPoint], DB[noLocation])</f>
        <v>16-1-107</v>
      </c>
      <c r="G287" s="65" t="s">
        <v>327</v>
      </c>
      <c r="H287" s="67" t="str">
        <f t="array" ref="H287">_xlfn.XLOOKUP($B287, DB[samplingPoint], DB[location])</f>
        <v>COMPOUNDING-01</v>
      </c>
      <c r="I287" s="66" t="str">
        <f t="array" ref="I287">_xlfn.XLOOKUP($B287, DB[samplingPoint], DB[waterType])</f>
        <v>WFI</v>
      </c>
      <c r="J287" s="68">
        <f t="shared" si="64"/>
        <v>46178</v>
      </c>
      <c r="K287" s="62">
        <v>46181.0</v>
      </c>
      <c r="L287" s="64">
        <v>0.0</v>
      </c>
      <c r="M287" s="64">
        <f t="shared" si="2"/>
        <v>0</v>
      </c>
      <c r="N287" s="69"/>
      <c r="O287" s="64"/>
      <c r="P287" s="70" t="str">
        <f t="shared" si="3"/>
        <v>PASSED</v>
      </c>
      <c r="Q287" s="71" t="b">
        <v>0</v>
      </c>
      <c r="R287" s="32" t="s">
        <v>85</v>
      </c>
      <c r="S287" s="66" t="s">
        <v>386</v>
      </c>
      <c r="T287" s="32" t="s">
        <v>381</v>
      </c>
      <c r="U287" s="72"/>
      <c r="V287" s="72"/>
      <c r="W287" s="72"/>
      <c r="X287" s="72"/>
      <c r="Y287" s="72"/>
    </row>
    <row r="288" ht="22.5" customHeight="1">
      <c r="A288" s="26">
        <v>46177.0</v>
      </c>
      <c r="B288" s="48" t="s">
        <v>407</v>
      </c>
      <c r="C288" s="32" t="str">
        <f t="array" ref="C288">_xlfn.XLOOKUP(B288, DB[samplingPoint], DB[samplingTag])</f>
        <v>POU HE216.02</v>
      </c>
      <c r="D288" s="33" t="s">
        <v>404</v>
      </c>
      <c r="E288" s="38" t="b">
        <v>1</v>
      </c>
      <c r="F288" s="39" t="str">
        <f t="array" ref="F288">_xlfn.XLOOKUP($B288, DB[samplingPoint], DB[noLocation])</f>
        <v>16-1-107</v>
      </c>
      <c r="G288" s="33" t="s">
        <v>327</v>
      </c>
      <c r="H288" s="40" t="str">
        <f t="array" ref="H288">_xlfn.XLOOKUP($B288, DB[samplingPoint], DB[location])</f>
        <v>COMPOUNDING-01</v>
      </c>
      <c r="I288" s="39" t="str">
        <f t="array" ref="I288">_xlfn.XLOOKUP($B288, DB[samplingPoint], DB[waterType])</f>
        <v>WFI</v>
      </c>
      <c r="J288" s="68">
        <f t="shared" si="64"/>
        <v>46178</v>
      </c>
      <c r="K288" s="62">
        <v>46181.0</v>
      </c>
      <c r="L288" s="53">
        <v>0.0</v>
      </c>
      <c r="M288" s="32">
        <f t="shared" si="2"/>
        <v>0</v>
      </c>
      <c r="N288" s="55"/>
      <c r="O288" s="32"/>
      <c r="P288" s="50" t="str">
        <f t="shared" si="3"/>
        <v>PASSED</v>
      </c>
      <c r="Q288" s="38" t="b">
        <v>0</v>
      </c>
      <c r="R288" s="32" t="s">
        <v>85</v>
      </c>
      <c r="S288" s="39" t="s">
        <v>386</v>
      </c>
      <c r="T288" s="32" t="s">
        <v>381</v>
      </c>
    </row>
    <row r="289" ht="22.5" customHeight="1">
      <c r="A289" s="26">
        <v>46177.0</v>
      </c>
      <c r="B289" s="48" t="s">
        <v>365</v>
      </c>
      <c r="C289" s="32" t="str">
        <f t="array" ref="C289">_xlfn.XLOOKUP(B289, DB[samplingPoint], DB[samplingTag])</f>
        <v>SV216.10</v>
      </c>
      <c r="D289" s="33" t="s">
        <v>404</v>
      </c>
      <c r="E289" s="38" t="b">
        <v>1</v>
      </c>
      <c r="F289" s="39" t="str">
        <f t="array" ref="F289">_xlfn.XLOOKUP($B289, DB[samplingPoint], DB[noLocation])</f>
        <v>16-1-105</v>
      </c>
      <c r="G289" s="33" t="s">
        <v>327</v>
      </c>
      <c r="H289" s="40" t="str">
        <f t="array" ref="H289">_xlfn.XLOOKUP($B289, DB[samplingPoint], DB[location])</f>
        <v>WASHING/TUNNEL-01</v>
      </c>
      <c r="I289" s="39" t="str">
        <f t="array" ref="I289">_xlfn.XLOOKUP($B289, DB[samplingPoint], DB[waterType])</f>
        <v>WFI</v>
      </c>
      <c r="J289" s="68">
        <f t="shared" si="64"/>
        <v>46178</v>
      </c>
      <c r="K289" s="62">
        <v>46181.0</v>
      </c>
      <c r="L289" s="53">
        <v>0.0</v>
      </c>
      <c r="M289" s="32">
        <f t="shared" si="2"/>
        <v>0</v>
      </c>
      <c r="N289" s="55"/>
      <c r="O289" s="32"/>
      <c r="P289" s="50" t="str">
        <f t="shared" si="3"/>
        <v>PASSED</v>
      </c>
      <c r="Q289" s="38" t="b">
        <v>0</v>
      </c>
      <c r="R289" s="32" t="s">
        <v>85</v>
      </c>
      <c r="S289" s="39" t="s">
        <v>386</v>
      </c>
      <c r="T289" s="32" t="s">
        <v>381</v>
      </c>
    </row>
    <row r="290" ht="22.5" customHeight="1">
      <c r="A290" s="26">
        <v>46178.0</v>
      </c>
      <c r="B290" s="48" t="s">
        <v>225</v>
      </c>
      <c r="C290" s="32" t="str">
        <f t="array" ref="C290">_xlfn.XLOOKUP(B290, DB[samplingPoint], DB[samplingTag])</f>
        <v>SV216.05</v>
      </c>
      <c r="D290" s="33" t="s">
        <v>412</v>
      </c>
      <c r="E290" s="38" t="b">
        <v>1</v>
      </c>
      <c r="F290" s="39" t="str">
        <f t="array" ref="F290">_xlfn.XLOOKUP($B290, DB[samplingPoint], DB[noLocation])</f>
        <v>16-1-110</v>
      </c>
      <c r="G290" s="33" t="s">
        <v>327</v>
      </c>
      <c r="H290" s="40" t="str">
        <f t="array" ref="H290">_xlfn.XLOOKUP($B290, DB[samplingPoint], DB[location])</f>
        <v>DISINFECTANT PREPARATION</v>
      </c>
      <c r="I290" s="39" t="str">
        <f t="array" ref="I290">_xlfn.XLOOKUP($B290, DB[samplingPoint], DB[waterType])</f>
        <v>WFI</v>
      </c>
      <c r="J290" s="43">
        <f t="shared" ref="J290:J294" si="65">$A290+0</f>
        <v>46178</v>
      </c>
      <c r="K290" s="62">
        <v>46181.0</v>
      </c>
      <c r="L290" s="53">
        <v>0.0</v>
      </c>
      <c r="M290" s="32">
        <f t="shared" si="2"/>
        <v>0</v>
      </c>
      <c r="N290" s="55"/>
      <c r="O290" s="32"/>
      <c r="P290" s="50" t="str">
        <f t="shared" si="3"/>
        <v>PASSED</v>
      </c>
      <c r="Q290" s="38" t="b">
        <v>0</v>
      </c>
      <c r="R290" s="32" t="s">
        <v>88</v>
      </c>
      <c r="S290" s="39" t="s">
        <v>386</v>
      </c>
      <c r="T290" s="32" t="s">
        <v>381</v>
      </c>
    </row>
    <row r="291" ht="22.5" customHeight="1">
      <c r="A291" s="26">
        <v>46178.0</v>
      </c>
      <c r="B291" s="48" t="s">
        <v>416</v>
      </c>
      <c r="C291" s="32" t="str">
        <f t="array" ref="C291">_xlfn.XLOOKUP(B291, DB[samplingPoint], DB[samplingTag])</f>
        <v>SV216.02</v>
      </c>
      <c r="D291" s="33" t="s">
        <v>412</v>
      </c>
      <c r="E291" s="38" t="b">
        <v>1</v>
      </c>
      <c r="F291" s="39" t="str">
        <f t="array" ref="F291">_xlfn.XLOOKUP($B291, DB[samplingPoint], DB[noLocation])</f>
        <v>16-1-098</v>
      </c>
      <c r="G291" s="33" t="s">
        <v>327</v>
      </c>
      <c r="H291" s="40" t="str">
        <f t="array" ref="H291">_xlfn.XLOOKUP($B291, DB[samplingPoint], DB[location])</f>
        <v>CIP/SIP</v>
      </c>
      <c r="I291" s="39" t="str">
        <f t="array" ref="I291">_xlfn.XLOOKUP($B291, DB[samplingPoint], DB[waterType])</f>
        <v>WFI</v>
      </c>
      <c r="J291" s="43">
        <f t="shared" si="65"/>
        <v>46178</v>
      </c>
      <c r="K291" s="62">
        <v>46181.0</v>
      </c>
      <c r="L291" s="53">
        <v>0.0</v>
      </c>
      <c r="M291" s="32">
        <v>0.0</v>
      </c>
      <c r="N291" s="55"/>
      <c r="O291" s="32"/>
      <c r="P291" s="50" t="str">
        <f t="shared" si="3"/>
        <v>PASSED</v>
      </c>
      <c r="Q291" s="38" t="b">
        <v>0</v>
      </c>
      <c r="R291" s="32" t="s">
        <v>88</v>
      </c>
      <c r="S291" s="39" t="s">
        <v>386</v>
      </c>
      <c r="T291" s="32" t="s">
        <v>381</v>
      </c>
    </row>
    <row r="292" ht="22.5" customHeight="1">
      <c r="A292" s="26">
        <v>46178.0</v>
      </c>
      <c r="B292" s="48" t="s">
        <v>418</v>
      </c>
      <c r="C292" s="32" t="str">
        <f t="array" ref="C292">_xlfn.XLOOKUP(B292, DB[samplingPoint], DB[samplingTag])</f>
        <v>SV216.04</v>
      </c>
      <c r="D292" s="33" t="s">
        <v>412</v>
      </c>
      <c r="E292" s="38" t="b">
        <v>1</v>
      </c>
      <c r="F292" s="39" t="str">
        <f t="array" ref="F292">_xlfn.XLOOKUP($B292, DB[samplingPoint], DB[noLocation])</f>
        <v>16-1-098</v>
      </c>
      <c r="G292" s="33" t="s">
        <v>327</v>
      </c>
      <c r="H292" s="40" t="str">
        <f t="array" ref="H292">_xlfn.XLOOKUP($B292, DB[samplingPoint], DB[location])</f>
        <v>CIP/SIP</v>
      </c>
      <c r="I292" s="39" t="str">
        <f t="array" ref="I292">_xlfn.XLOOKUP($B292, DB[samplingPoint], DB[waterType])</f>
        <v>WFI</v>
      </c>
      <c r="J292" s="43">
        <f t="shared" si="65"/>
        <v>46178</v>
      </c>
      <c r="K292" s="62">
        <v>46181.0</v>
      </c>
      <c r="L292" s="53">
        <v>0.0</v>
      </c>
      <c r="M292" s="32">
        <f t="shared" ref="M292:M308" si="66">iferror(ROUNDUP(AVERAGE($L292), 0),"")</f>
        <v>0</v>
      </c>
      <c r="N292" s="55"/>
      <c r="O292" s="32"/>
      <c r="P292" s="50" t="str">
        <f t="shared" si="3"/>
        <v>PASSED</v>
      </c>
      <c r="Q292" s="38" t="b">
        <v>0</v>
      </c>
      <c r="R292" s="32" t="s">
        <v>88</v>
      </c>
      <c r="S292" s="39" t="s">
        <v>386</v>
      </c>
      <c r="T292" s="32" t="s">
        <v>381</v>
      </c>
    </row>
    <row r="293" ht="22.5" customHeight="1">
      <c r="A293" s="26">
        <v>46178.0</v>
      </c>
      <c r="B293" s="48" t="s">
        <v>367</v>
      </c>
      <c r="C293" s="32" t="str">
        <f t="array" ref="C293">_xlfn.XLOOKUP(B293, DB[samplingPoint], DB[samplingTag])</f>
        <v>POU HE216.04</v>
      </c>
      <c r="D293" s="33" t="s">
        <v>412</v>
      </c>
      <c r="E293" s="38" t="b">
        <v>1</v>
      </c>
      <c r="F293" s="39" t="str">
        <f t="array" ref="F293">_xlfn.XLOOKUP($B293, DB[samplingPoint], DB[noLocation])</f>
        <v>16-1-114</v>
      </c>
      <c r="G293" s="33" t="s">
        <v>327</v>
      </c>
      <c r="H293" s="40" t="str">
        <f t="array" ref="H293">_xlfn.XLOOKUP($B293, DB[samplingPoint], DB[location])</f>
        <v>COMPOUNDING-02</v>
      </c>
      <c r="I293" s="39" t="str">
        <f t="array" ref="I293">_xlfn.XLOOKUP($B293, DB[samplingPoint], DB[waterType])</f>
        <v>WFI</v>
      </c>
      <c r="J293" s="43">
        <f t="shared" si="65"/>
        <v>46178</v>
      </c>
      <c r="K293" s="62">
        <v>46181.0</v>
      </c>
      <c r="L293" s="53">
        <v>0.0</v>
      </c>
      <c r="M293" s="32">
        <f t="shared" si="66"/>
        <v>0</v>
      </c>
      <c r="N293" s="55"/>
      <c r="O293" s="32"/>
      <c r="P293" s="50" t="str">
        <f t="shared" si="3"/>
        <v>PASSED</v>
      </c>
      <c r="Q293" s="38" t="b">
        <v>0</v>
      </c>
      <c r="R293" s="32" t="s">
        <v>88</v>
      </c>
      <c r="S293" s="39" t="s">
        <v>386</v>
      </c>
      <c r="T293" s="32" t="s">
        <v>381</v>
      </c>
    </row>
    <row r="294" ht="22.5" customHeight="1">
      <c r="A294" s="26">
        <v>46178.0</v>
      </c>
      <c r="B294" s="48" t="s">
        <v>372</v>
      </c>
      <c r="C294" s="32" t="str">
        <f t="array" ref="C294">_xlfn.XLOOKUP(B294, DB[samplingPoint], DB[samplingTag])</f>
        <v>POU HE216.05</v>
      </c>
      <c r="D294" s="33" t="s">
        <v>412</v>
      </c>
      <c r="E294" s="38" t="b">
        <v>1</v>
      </c>
      <c r="F294" s="39" t="str">
        <f t="array" ref="F294">_xlfn.XLOOKUP($B294, DB[samplingPoint], DB[noLocation])</f>
        <v>16-1-114</v>
      </c>
      <c r="G294" s="33" t="s">
        <v>327</v>
      </c>
      <c r="H294" s="40" t="str">
        <f t="array" ref="H294">_xlfn.XLOOKUP($B294, DB[samplingPoint], DB[location])</f>
        <v>COMPOUNDING-02</v>
      </c>
      <c r="I294" s="39" t="str">
        <f t="array" ref="I294">_xlfn.XLOOKUP($B294, DB[samplingPoint], DB[waterType])</f>
        <v>WFI</v>
      </c>
      <c r="J294" s="43">
        <f t="shared" si="65"/>
        <v>46178</v>
      </c>
      <c r="K294" s="62">
        <v>46181.0</v>
      </c>
      <c r="L294" s="53">
        <v>0.0</v>
      </c>
      <c r="M294" s="32">
        <f t="shared" si="66"/>
        <v>0</v>
      </c>
      <c r="N294" s="55"/>
      <c r="O294" s="32"/>
      <c r="P294" s="50" t="str">
        <f t="shared" si="3"/>
        <v>PASSED</v>
      </c>
      <c r="Q294" s="38" t="b">
        <v>0</v>
      </c>
      <c r="R294" s="32" t="s">
        <v>88</v>
      </c>
      <c r="S294" s="39" t="s">
        <v>386</v>
      </c>
      <c r="T294" s="32" t="s">
        <v>381</v>
      </c>
    </row>
    <row r="295" ht="22.5" customHeight="1">
      <c r="A295" s="26">
        <v>46181.0</v>
      </c>
      <c r="B295" s="48" t="s">
        <v>377</v>
      </c>
      <c r="C295" s="32" t="str">
        <f t="array" ref="C295">_xlfn.XLOOKUP(B295, DB[samplingPoint], DB[samplingTag])</f>
        <v>V12-4</v>
      </c>
      <c r="D295" s="33" t="s">
        <v>379</v>
      </c>
      <c r="E295" s="38" t="b">
        <v>0</v>
      </c>
      <c r="F295" s="39" t="str">
        <f t="array" ref="F295">_xlfn.XLOOKUP($B295, DB[samplingPoint], DB[noLocation])</f>
        <v>16-2-010</v>
      </c>
      <c r="G295" s="33" t="s">
        <v>327</v>
      </c>
      <c r="H295" s="40" t="str">
        <f t="array" ref="H295">_xlfn.XLOOKUP($B295, DB[samplingPoint], DB[location])</f>
        <v>AFTER WFI GENERATOR</v>
      </c>
      <c r="I295" s="39" t="str">
        <f t="array" ref="I295">_xlfn.XLOOKUP($B295, DB[samplingPoint], DB[waterType])</f>
        <v>WFI</v>
      </c>
      <c r="J295" s="43">
        <f t="shared" ref="J295:J299" si="67">$A295+1</f>
        <v>46182</v>
      </c>
      <c r="K295" s="26"/>
      <c r="L295" s="53"/>
      <c r="M295" s="32" t="str">
        <f t="shared" si="66"/>
        <v/>
      </c>
      <c r="N295" s="55"/>
      <c r="O295" s="32"/>
      <c r="P295" s="50" t="str">
        <f t="shared" si="3"/>
        <v>PASSED</v>
      </c>
      <c r="Q295" s="38" t="b">
        <v>0</v>
      </c>
      <c r="R295" s="32"/>
      <c r="S295" s="39" t="s">
        <v>381</v>
      </c>
      <c r="T295" s="196"/>
    </row>
    <row r="296" ht="22.5" customHeight="1">
      <c r="A296" s="26">
        <v>46181.0</v>
      </c>
      <c r="B296" s="48" t="s">
        <v>383</v>
      </c>
      <c r="C296" s="32" t="str">
        <f t="array" ref="C296">_xlfn.XLOOKUP(B296, DB[samplingPoint], DB[samplingTag])</f>
        <v>SV213.01</v>
      </c>
      <c r="D296" s="33" t="s">
        <v>379</v>
      </c>
      <c r="E296" s="38" t="b">
        <v>0</v>
      </c>
      <c r="F296" s="39" t="str">
        <f t="array" ref="F296">_xlfn.XLOOKUP($B296, DB[samplingPoint], DB[noLocation])</f>
        <v>16-2-010</v>
      </c>
      <c r="G296" s="33" t="s">
        <v>327</v>
      </c>
      <c r="H296" s="40" t="str">
        <f t="array" ref="H296">_xlfn.XLOOKUP($B296, DB[samplingPoint], DB[location])</f>
        <v>AFTER STORAGE TANK</v>
      </c>
      <c r="I296" s="39" t="str">
        <f t="array" ref="I296">_xlfn.XLOOKUP($B296, DB[samplingPoint], DB[waterType])</f>
        <v>WFI</v>
      </c>
      <c r="J296" s="43">
        <f t="shared" si="67"/>
        <v>46182</v>
      </c>
      <c r="K296" s="26"/>
      <c r="L296" s="53"/>
      <c r="M296" s="32" t="str">
        <f t="shared" si="66"/>
        <v/>
      </c>
      <c r="N296" s="55"/>
      <c r="O296" s="32"/>
      <c r="P296" s="50" t="str">
        <f t="shared" si="3"/>
        <v>PASSED</v>
      </c>
      <c r="Q296" s="38" t="b">
        <v>0</v>
      </c>
      <c r="R296" s="32"/>
      <c r="S296" s="39" t="s">
        <v>381</v>
      </c>
      <c r="T296" s="196"/>
    </row>
    <row r="297" ht="22.5" customHeight="1">
      <c r="A297" s="26">
        <v>46181.0</v>
      </c>
      <c r="B297" s="48" t="s">
        <v>388</v>
      </c>
      <c r="C297" s="32" t="str">
        <f t="array" ref="C297">_xlfn.XLOOKUP(B297, DB[samplingPoint], DB[samplingTag])</f>
        <v>SV217.01</v>
      </c>
      <c r="D297" s="33" t="s">
        <v>379</v>
      </c>
      <c r="E297" s="38" t="b">
        <v>0</v>
      </c>
      <c r="F297" s="39" t="str">
        <f t="array" ref="F297">_xlfn.XLOOKUP($B297, DB[samplingPoint], DB[noLocation])</f>
        <v>16-2-010</v>
      </c>
      <c r="G297" s="33" t="s">
        <v>327</v>
      </c>
      <c r="H297" s="40" t="str">
        <f t="array" ref="H297">_xlfn.XLOOKUP($B297, DB[samplingPoint], DB[location])</f>
        <v>RETURN LOOP</v>
      </c>
      <c r="I297" s="39" t="str">
        <f t="array" ref="I297">_xlfn.XLOOKUP($B297, DB[samplingPoint], DB[waterType])</f>
        <v>WFI</v>
      </c>
      <c r="J297" s="43">
        <f t="shared" si="67"/>
        <v>46182</v>
      </c>
      <c r="K297" s="26"/>
      <c r="L297" s="53"/>
      <c r="M297" s="32" t="str">
        <f t="shared" si="66"/>
        <v/>
      </c>
      <c r="N297" s="55"/>
      <c r="O297" s="32"/>
      <c r="P297" s="50" t="str">
        <f t="shared" si="3"/>
        <v>PASSED</v>
      </c>
      <c r="Q297" s="38" t="b">
        <v>0</v>
      </c>
      <c r="R297" s="32"/>
      <c r="S297" s="39" t="s">
        <v>381</v>
      </c>
      <c r="T297" s="196"/>
    </row>
    <row r="298" ht="22.5" customHeight="1">
      <c r="A298" s="26">
        <v>46181.0</v>
      </c>
      <c r="B298" s="48" t="s">
        <v>416</v>
      </c>
      <c r="C298" s="32" t="str">
        <f t="array" ref="C298">_xlfn.XLOOKUP(B298, DB[samplingPoint], DB[samplingTag])</f>
        <v>SV216.02</v>
      </c>
      <c r="D298" s="33" t="s">
        <v>379</v>
      </c>
      <c r="E298" s="38" t="b">
        <v>0</v>
      </c>
      <c r="F298" s="39" t="str">
        <f t="array" ref="F298">_xlfn.XLOOKUP($B298, DB[samplingPoint], DB[noLocation])</f>
        <v>16-1-098</v>
      </c>
      <c r="G298" s="33" t="s">
        <v>327</v>
      </c>
      <c r="H298" s="40" t="str">
        <f t="array" ref="H298">_xlfn.XLOOKUP($B298, DB[samplingPoint], DB[location])</f>
        <v>CIP/SIP</v>
      </c>
      <c r="I298" s="39" t="str">
        <f t="array" ref="I298">_xlfn.XLOOKUP($B298, DB[samplingPoint], DB[waterType])</f>
        <v>WFI</v>
      </c>
      <c r="J298" s="43">
        <f t="shared" si="67"/>
        <v>46182</v>
      </c>
      <c r="K298" s="26"/>
      <c r="L298" s="53"/>
      <c r="M298" s="32" t="str">
        <f t="shared" si="66"/>
        <v/>
      </c>
      <c r="N298" s="55"/>
      <c r="O298" s="32"/>
      <c r="P298" s="50" t="str">
        <f t="shared" si="3"/>
        <v>PASSED</v>
      </c>
      <c r="Q298" s="38" t="b">
        <v>0</v>
      </c>
      <c r="R298" s="32"/>
      <c r="S298" s="39" t="s">
        <v>381</v>
      </c>
      <c r="T298" s="196"/>
    </row>
    <row r="299" ht="22.5" customHeight="1">
      <c r="A299" s="26">
        <v>46181.0</v>
      </c>
      <c r="B299" s="48" t="s">
        <v>418</v>
      </c>
      <c r="C299" s="32" t="str">
        <f t="array" ref="C299">_xlfn.XLOOKUP(B299, DB[samplingPoint], DB[samplingTag])</f>
        <v>SV216.04</v>
      </c>
      <c r="D299" s="33" t="s">
        <v>379</v>
      </c>
      <c r="E299" s="38" t="b">
        <v>0</v>
      </c>
      <c r="F299" s="39" t="str">
        <f t="array" ref="F299">_xlfn.XLOOKUP($B299, DB[samplingPoint], DB[noLocation])</f>
        <v>16-1-098</v>
      </c>
      <c r="G299" s="33" t="s">
        <v>327</v>
      </c>
      <c r="H299" s="40" t="str">
        <f t="array" ref="H299">_xlfn.XLOOKUP($B299, DB[samplingPoint], DB[location])</f>
        <v>CIP/SIP</v>
      </c>
      <c r="I299" s="39" t="str">
        <f t="array" ref="I299">_xlfn.XLOOKUP($B299, DB[samplingPoint], DB[waterType])</f>
        <v>WFI</v>
      </c>
      <c r="J299" s="43">
        <f t="shared" si="67"/>
        <v>46182</v>
      </c>
      <c r="K299" s="26"/>
      <c r="L299" s="53"/>
      <c r="M299" s="32" t="str">
        <f t="shared" si="66"/>
        <v/>
      </c>
      <c r="N299" s="55"/>
      <c r="O299" s="32"/>
      <c r="P299" s="50" t="str">
        <f t="shared" si="3"/>
        <v>PASSED</v>
      </c>
      <c r="Q299" s="38" t="b">
        <v>0</v>
      </c>
      <c r="R299" s="32"/>
      <c r="S299" s="39" t="s">
        <v>381</v>
      </c>
      <c r="T299" s="196"/>
    </row>
    <row r="300" ht="22.5" customHeight="1">
      <c r="A300" s="26">
        <v>46182.0</v>
      </c>
      <c r="B300" s="48" t="s">
        <v>391</v>
      </c>
      <c r="C300" s="32" t="str">
        <f t="array" ref="C300">_xlfn.XLOOKUP(B300, DB[samplingPoint], DB[samplingTag])</f>
        <v>SV216.03</v>
      </c>
      <c r="D300" s="33" t="s">
        <v>404</v>
      </c>
      <c r="E300" s="38" t="b">
        <v>0</v>
      </c>
      <c r="F300" s="39" t="str">
        <f t="array" ref="F300">_xlfn.XLOOKUP($B300, DB[samplingPoint], DB[noLocation])</f>
        <v>16-1-096</v>
      </c>
      <c r="G300" s="33" t="s">
        <v>327</v>
      </c>
      <c r="H300" s="40" t="str">
        <f t="array" ref="H300">_xlfn.XLOOKUP($B300, DB[samplingPoint], DB[location])</f>
        <v>WASHING/TUNNEL-02</v>
      </c>
      <c r="I300" s="39" t="str">
        <f t="array" ref="I300">_xlfn.XLOOKUP($B300, DB[samplingPoint], DB[waterType])</f>
        <v>WFI</v>
      </c>
      <c r="J300" s="43">
        <f t="shared" ref="J300:J302" si="68">$A300+0</f>
        <v>46182</v>
      </c>
      <c r="K300" s="26"/>
      <c r="L300" s="53"/>
      <c r="M300" s="32" t="str">
        <f t="shared" si="66"/>
        <v/>
      </c>
      <c r="N300" s="55"/>
      <c r="O300" s="32"/>
      <c r="P300" s="50" t="str">
        <f t="shared" si="3"/>
        <v>PASSED</v>
      </c>
      <c r="Q300" s="38" t="b">
        <v>0</v>
      </c>
      <c r="R300" s="32"/>
      <c r="S300" s="39" t="s">
        <v>381</v>
      </c>
      <c r="T300" s="196"/>
    </row>
    <row r="301" ht="22.5" customHeight="1">
      <c r="A301" s="26">
        <v>46182.0</v>
      </c>
      <c r="B301" s="48" t="s">
        <v>395</v>
      </c>
      <c r="C301" s="32" t="str">
        <f t="array" ref="C301">_xlfn.XLOOKUP(B301, DB[samplingPoint], DB[samplingTag])</f>
        <v>POU HE216.03</v>
      </c>
      <c r="D301" s="33" t="s">
        <v>404</v>
      </c>
      <c r="E301" s="38" t="b">
        <v>0</v>
      </c>
      <c r="F301" s="39" t="str">
        <f t="array" ref="F301">_xlfn.XLOOKUP($B301, DB[samplingPoint], DB[noLocation])</f>
        <v>16-1-082</v>
      </c>
      <c r="G301" s="33" t="s">
        <v>327</v>
      </c>
      <c r="H301" s="40" t="str">
        <f t="array" ref="H301">_xlfn.XLOOKUP($B301, DB[samplingPoint], DB[location])</f>
        <v>WASHING</v>
      </c>
      <c r="I301" s="39" t="str">
        <f t="array" ref="I301">_xlfn.XLOOKUP($B301, DB[samplingPoint], DB[waterType])</f>
        <v>WFI</v>
      </c>
      <c r="J301" s="43">
        <f t="shared" si="68"/>
        <v>46182</v>
      </c>
      <c r="K301" s="26"/>
      <c r="L301" s="53"/>
      <c r="M301" s="32" t="str">
        <f t="shared" si="66"/>
        <v/>
      </c>
      <c r="N301" s="55"/>
      <c r="O301" s="32"/>
      <c r="P301" s="50" t="str">
        <f t="shared" si="3"/>
        <v>PASSED</v>
      </c>
      <c r="Q301" s="38" t="b">
        <v>0</v>
      </c>
      <c r="R301" s="32"/>
      <c r="S301" s="39" t="s">
        <v>381</v>
      </c>
      <c r="T301" s="196"/>
    </row>
    <row r="302" ht="22.5" customHeight="1">
      <c r="A302" s="26">
        <v>46182.0</v>
      </c>
      <c r="B302" s="48" t="s">
        <v>397</v>
      </c>
      <c r="C302" s="32" t="str">
        <f t="array" ref="C302">_xlfn.XLOOKUP(B302, DB[samplingPoint], DB[samplingTag])</f>
        <v>SV216.06</v>
      </c>
      <c r="D302" s="33" t="s">
        <v>404</v>
      </c>
      <c r="E302" s="38" t="b">
        <v>0</v>
      </c>
      <c r="F302" s="39" t="str">
        <f t="array" ref="F302">_xlfn.XLOOKUP($B302, DB[samplingPoint], DB[noLocation])</f>
        <v>16-1-082</v>
      </c>
      <c r="G302" s="33" t="s">
        <v>327</v>
      </c>
      <c r="H302" s="40" t="str">
        <f t="array" ref="H302">_xlfn.XLOOKUP($B302, DB[samplingPoint], DB[location])</f>
        <v>WASHING</v>
      </c>
      <c r="I302" s="39" t="str">
        <f t="array" ref="I302">_xlfn.XLOOKUP($B302, DB[samplingPoint], DB[waterType])</f>
        <v>WFI</v>
      </c>
      <c r="J302" s="43">
        <f t="shared" si="68"/>
        <v>46182</v>
      </c>
      <c r="K302" s="26"/>
      <c r="L302" s="53"/>
      <c r="M302" s="32" t="str">
        <f t="shared" si="66"/>
        <v/>
      </c>
      <c r="N302" s="55"/>
      <c r="O302" s="32"/>
      <c r="P302" s="50" t="str">
        <f t="shared" si="3"/>
        <v>PASSED</v>
      </c>
      <c r="Q302" s="38" t="b">
        <v>0</v>
      </c>
      <c r="R302" s="32"/>
      <c r="S302" s="39" t="s">
        <v>381</v>
      </c>
      <c r="T302" s="196"/>
    </row>
    <row r="303" ht="22.5" customHeight="1">
      <c r="A303" s="26">
        <v>46183.0</v>
      </c>
      <c r="B303" s="48" t="s">
        <v>403</v>
      </c>
      <c r="C303" s="32" t="str">
        <f t="array" ref="C303">_xlfn.XLOOKUP(B303, DB[samplingPoint], DB[samplingTag])</f>
        <v>POU HE216.01</v>
      </c>
      <c r="D303" s="33" t="s">
        <v>412</v>
      </c>
      <c r="E303" s="38" t="b">
        <v>0</v>
      </c>
      <c r="F303" s="39" t="str">
        <f t="array" ref="F303">_xlfn.XLOOKUP($B303, DB[samplingPoint], DB[noLocation])</f>
        <v>16-1-107</v>
      </c>
      <c r="G303" s="33" t="s">
        <v>327</v>
      </c>
      <c r="H303" s="40" t="str">
        <f t="array" ref="H303">_xlfn.XLOOKUP($B303, DB[samplingPoint], DB[location])</f>
        <v>COMPOUNDING-01</v>
      </c>
      <c r="I303" s="39" t="str">
        <f t="array" ref="I303">_xlfn.XLOOKUP($B303, DB[samplingPoint], DB[waterType])</f>
        <v>WFI</v>
      </c>
      <c r="J303" s="43">
        <f t="shared" ref="J303:J304" si="69">$A303+1</f>
        <v>46184</v>
      </c>
      <c r="K303" s="26"/>
      <c r="L303" s="53"/>
      <c r="M303" s="32" t="str">
        <f t="shared" si="66"/>
        <v/>
      </c>
      <c r="N303" s="55"/>
      <c r="O303" s="32"/>
      <c r="P303" s="50" t="str">
        <f t="shared" si="3"/>
        <v>PASSED</v>
      </c>
      <c r="Q303" s="38" t="b">
        <v>0</v>
      </c>
      <c r="R303" s="32"/>
      <c r="S303" s="39" t="s">
        <v>381</v>
      </c>
      <c r="T303" s="196"/>
    </row>
    <row r="304" ht="22.5" customHeight="1">
      <c r="A304" s="26">
        <v>46183.0</v>
      </c>
      <c r="B304" s="48" t="s">
        <v>407</v>
      </c>
      <c r="C304" s="32" t="str">
        <f t="array" ref="C304">_xlfn.XLOOKUP(B304, DB[samplingPoint], DB[samplingTag])</f>
        <v>POU HE216.02</v>
      </c>
      <c r="D304" s="33" t="s">
        <v>412</v>
      </c>
      <c r="E304" s="38" t="b">
        <v>0</v>
      </c>
      <c r="F304" s="39" t="str">
        <f t="array" ref="F304">_xlfn.XLOOKUP($B304, DB[samplingPoint], DB[noLocation])</f>
        <v>16-1-107</v>
      </c>
      <c r="G304" s="33" t="s">
        <v>327</v>
      </c>
      <c r="H304" s="40" t="str">
        <f t="array" ref="H304">_xlfn.XLOOKUP($B304, DB[samplingPoint], DB[location])</f>
        <v>COMPOUNDING-01</v>
      </c>
      <c r="I304" s="39" t="str">
        <f t="array" ref="I304">_xlfn.XLOOKUP($B304, DB[samplingPoint], DB[waterType])</f>
        <v>WFI</v>
      </c>
      <c r="J304" s="43">
        <f t="shared" si="69"/>
        <v>46184</v>
      </c>
      <c r="K304" s="26"/>
      <c r="L304" s="53"/>
      <c r="M304" s="32" t="str">
        <f t="shared" si="66"/>
        <v/>
      </c>
      <c r="N304" s="55"/>
      <c r="O304" s="32"/>
      <c r="P304" s="50" t="str">
        <f t="shared" si="3"/>
        <v>PASSED</v>
      </c>
      <c r="Q304" s="38" t="b">
        <v>0</v>
      </c>
      <c r="R304" s="32"/>
      <c r="S304" s="39" t="s">
        <v>381</v>
      </c>
      <c r="T304" s="196"/>
    </row>
    <row r="305" ht="22.5" customHeight="1">
      <c r="A305" s="26">
        <v>46184.0</v>
      </c>
      <c r="B305" s="48" t="s">
        <v>225</v>
      </c>
      <c r="C305" s="32" t="str">
        <f t="array" ref="C305">_xlfn.XLOOKUP(B305, DB[samplingPoint], DB[samplingTag])</f>
        <v>SV216.05</v>
      </c>
      <c r="D305" s="33" t="s">
        <v>292</v>
      </c>
      <c r="E305" s="38" t="b">
        <v>0</v>
      </c>
      <c r="F305" s="39" t="str">
        <f t="array" ref="F305">_xlfn.XLOOKUP($B305, DB[samplingPoint], DB[noLocation])</f>
        <v>16-1-110</v>
      </c>
      <c r="G305" s="33" t="s">
        <v>327</v>
      </c>
      <c r="H305" s="40" t="str">
        <f t="array" ref="H305">_xlfn.XLOOKUP($B305, DB[samplingPoint], DB[location])</f>
        <v>DISINFECTANT PREPARATION</v>
      </c>
      <c r="I305" s="39" t="str">
        <f t="array" ref="I305">_xlfn.XLOOKUP($B305, DB[samplingPoint], DB[waterType])</f>
        <v>WFI</v>
      </c>
      <c r="J305" s="43">
        <f t="shared" ref="J305:J306" si="70">$A305+0</f>
        <v>46184</v>
      </c>
      <c r="K305" s="26"/>
      <c r="L305" s="53"/>
      <c r="M305" s="32" t="str">
        <f t="shared" si="66"/>
        <v/>
      </c>
      <c r="N305" s="55"/>
      <c r="O305" s="32"/>
      <c r="P305" s="50" t="str">
        <f t="shared" si="3"/>
        <v>PASSED</v>
      </c>
      <c r="Q305" s="38" t="b">
        <v>0</v>
      </c>
      <c r="R305" s="32"/>
      <c r="S305" s="39" t="s">
        <v>381</v>
      </c>
      <c r="T305" s="196"/>
    </row>
    <row r="306" ht="22.5" customHeight="1">
      <c r="A306" s="26">
        <v>46184.0</v>
      </c>
      <c r="B306" s="48" t="s">
        <v>365</v>
      </c>
      <c r="C306" s="32" t="str">
        <f t="array" ref="C306">_xlfn.XLOOKUP(B306, DB[samplingPoint], DB[samplingTag])</f>
        <v>SV216.10</v>
      </c>
      <c r="D306" s="33" t="s">
        <v>292</v>
      </c>
      <c r="E306" s="38" t="b">
        <v>0</v>
      </c>
      <c r="F306" s="39" t="str">
        <f t="array" ref="F306">_xlfn.XLOOKUP($B306, DB[samplingPoint], DB[noLocation])</f>
        <v>16-1-105</v>
      </c>
      <c r="G306" s="33" t="s">
        <v>327</v>
      </c>
      <c r="H306" s="40" t="str">
        <f t="array" ref="H306">_xlfn.XLOOKUP($B306, DB[samplingPoint], DB[location])</f>
        <v>WASHING/TUNNEL-01</v>
      </c>
      <c r="I306" s="39" t="str">
        <f t="array" ref="I306">_xlfn.XLOOKUP($B306, DB[samplingPoint], DB[waterType])</f>
        <v>WFI</v>
      </c>
      <c r="J306" s="43">
        <f t="shared" si="70"/>
        <v>46184</v>
      </c>
      <c r="K306" s="26"/>
      <c r="L306" s="53"/>
      <c r="M306" s="32" t="str">
        <f t="shared" si="66"/>
        <v/>
      </c>
      <c r="N306" s="55"/>
      <c r="O306" s="32"/>
      <c r="P306" s="50" t="str">
        <f t="shared" si="3"/>
        <v>PASSED</v>
      </c>
      <c r="Q306" s="38" t="b">
        <v>0</v>
      </c>
      <c r="R306" s="32"/>
      <c r="S306" s="39" t="s">
        <v>381</v>
      </c>
      <c r="T306" s="196"/>
    </row>
    <row r="307" ht="22.5" customHeight="1">
      <c r="A307" s="26">
        <v>46185.0</v>
      </c>
      <c r="B307" s="48" t="s">
        <v>367</v>
      </c>
      <c r="C307" s="32" t="str">
        <f t="array" ref="C307">_xlfn.XLOOKUP(B307, DB[samplingPoint], DB[samplingTag])</f>
        <v>POU HE216.04</v>
      </c>
      <c r="D307" s="33" t="s">
        <v>369</v>
      </c>
      <c r="E307" s="38" t="b">
        <v>0</v>
      </c>
      <c r="F307" s="39" t="str">
        <f t="array" ref="F307">_xlfn.XLOOKUP($B307, DB[samplingPoint], DB[noLocation])</f>
        <v>16-1-114</v>
      </c>
      <c r="G307" s="33" t="s">
        <v>327</v>
      </c>
      <c r="H307" s="40" t="str">
        <f t="array" ref="H307">_xlfn.XLOOKUP($B307, DB[samplingPoint], DB[location])</f>
        <v>COMPOUNDING-02</v>
      </c>
      <c r="I307" s="39" t="str">
        <f t="array" ref="I307">_xlfn.XLOOKUP($B307, DB[samplingPoint], DB[waterType])</f>
        <v>WFI</v>
      </c>
      <c r="J307" s="43">
        <f t="shared" ref="J307:J308" si="71">$A307+1</f>
        <v>46186</v>
      </c>
      <c r="K307" s="26"/>
      <c r="L307" s="53"/>
      <c r="M307" s="32" t="str">
        <f t="shared" si="66"/>
        <v/>
      </c>
      <c r="N307" s="55"/>
      <c r="O307" s="32"/>
      <c r="P307" s="50" t="str">
        <f t="shared" si="3"/>
        <v>PASSED</v>
      </c>
      <c r="Q307" s="38" t="b">
        <v>0</v>
      </c>
      <c r="R307" s="32"/>
      <c r="S307" s="39" t="s">
        <v>381</v>
      </c>
      <c r="T307" s="196"/>
    </row>
    <row r="308" ht="22.5" customHeight="1">
      <c r="A308" s="26">
        <v>46185.0</v>
      </c>
      <c r="B308" s="48" t="s">
        <v>372</v>
      </c>
      <c r="C308" s="32" t="str">
        <f t="array" ref="C308">_xlfn.XLOOKUP(B308, DB[samplingPoint], DB[samplingTag])</f>
        <v>POU HE216.05</v>
      </c>
      <c r="D308" s="33" t="s">
        <v>369</v>
      </c>
      <c r="E308" s="38" t="b">
        <v>0</v>
      </c>
      <c r="F308" s="39" t="str">
        <f t="array" ref="F308">_xlfn.XLOOKUP($B308, DB[samplingPoint], DB[noLocation])</f>
        <v>16-1-114</v>
      </c>
      <c r="G308" s="33" t="s">
        <v>327</v>
      </c>
      <c r="H308" s="40" t="str">
        <f t="array" ref="H308">_xlfn.XLOOKUP($B308, DB[samplingPoint], DB[location])</f>
        <v>COMPOUNDING-02</v>
      </c>
      <c r="I308" s="39" t="str">
        <f t="array" ref="I308">_xlfn.XLOOKUP($B308, DB[samplingPoint], DB[waterType])</f>
        <v>WFI</v>
      </c>
      <c r="J308" s="43">
        <f t="shared" si="71"/>
        <v>46186</v>
      </c>
      <c r="K308" s="26"/>
      <c r="L308" s="53"/>
      <c r="M308" s="32" t="str">
        <f t="shared" si="66"/>
        <v/>
      </c>
      <c r="N308" s="55"/>
      <c r="O308" s="32"/>
      <c r="P308" s="50" t="str">
        <f t="shared" si="3"/>
        <v>PASSED</v>
      </c>
      <c r="Q308" s="38" t="b">
        <v>0</v>
      </c>
      <c r="R308" s="32"/>
      <c r="S308" s="39" t="s">
        <v>381</v>
      </c>
      <c r="T308" s="196"/>
    </row>
  </sheetData>
  <conditionalFormatting sqref="R1:R308">
    <cfRule type="containsBlanks" dxfId="5" priority="1">
      <formula>LEN(TRIM(R1))=0</formula>
    </cfRule>
  </conditionalFormatting>
  <conditionalFormatting sqref="R1:R308">
    <cfRule type="notContainsBlanks" dxfId="6" priority="2">
      <formula>LEN(TRIM(R1))&gt;0</formula>
    </cfRule>
  </conditionalFormatting>
  <conditionalFormatting sqref="L2:L308">
    <cfRule type="containsBlanks" dxfId="7" priority="3">
      <formula>LEN(TRIM(L2))=0</formula>
    </cfRule>
  </conditionalFormatting>
  <conditionalFormatting sqref="S2:S308">
    <cfRule type="containsText" dxfId="8" priority="4" operator="containsText" text="complete">
      <formula>NOT(ISERROR(SEARCH(("complete"),(S2))))</formula>
    </cfRule>
  </conditionalFormatting>
  <conditionalFormatting sqref="S2:S308">
    <cfRule type="containsText" dxfId="9" priority="5" operator="containsText" text="pending">
      <formula>NOT(ISERROR(SEARCH(("pending"),(S2))))</formula>
    </cfRule>
  </conditionalFormatting>
  <dataValidations>
    <dataValidation type="list" allowBlank="1" sqref="D2:D308">
      <formula1>"PQ3-Day1,PQ3-Day2,PQ3-Day3,PQ3-Day4,PQ3-Day5,Pre PQ3/WFI,Special"</formula1>
    </dataValidation>
    <dataValidation type="custom" allowBlank="1" showDropDown="1" sqref="A2:A308 J2:K308">
      <formula1>OR(NOT(ISERROR(DATEVALUE(A2))), AND(ISNUMBER(A2), LEFT(CELL("format", A2))="D"))</formula1>
    </dataValidation>
    <dataValidation allowBlank="1" showDropDown="1" sqref="B2:B308 F2:F308 H2:I308 S2:S308"/>
    <dataValidation type="list" allowBlank="1" sqref="G2:G308">
      <formula1>"Building 10,Building 19,Building 16,#N/A,Building 12"</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22.5"/>
    <col customWidth="1" min="3" max="3" width="38.25"/>
    <col customWidth="1" min="5" max="5" width="24.5"/>
  </cols>
  <sheetData>
    <row r="1" ht="22.5" customHeight="1">
      <c r="A1" s="115" t="s">
        <v>17</v>
      </c>
      <c r="B1" s="116" t="s">
        <v>19</v>
      </c>
      <c r="C1" s="117" t="s">
        <v>45</v>
      </c>
      <c r="D1" s="118" t="s">
        <v>37</v>
      </c>
      <c r="E1" s="117" t="s">
        <v>610</v>
      </c>
      <c r="F1" s="117" t="s">
        <v>41</v>
      </c>
      <c r="G1" s="119" t="s">
        <v>47</v>
      </c>
      <c r="H1" s="120" t="s">
        <v>611</v>
      </c>
      <c r="M1" s="10" t="s">
        <v>47</v>
      </c>
      <c r="N1" s="10" t="s">
        <v>612</v>
      </c>
      <c r="O1" s="10" t="s">
        <v>613</v>
      </c>
    </row>
    <row r="2" ht="22.5" customHeight="1">
      <c r="A2" s="73" t="s">
        <v>431</v>
      </c>
      <c r="B2" s="121" t="s">
        <v>614</v>
      </c>
      <c r="C2" s="99" t="s">
        <v>76</v>
      </c>
      <c r="D2" s="122" t="s">
        <v>615</v>
      </c>
      <c r="E2" s="99" t="s">
        <v>616</v>
      </c>
      <c r="F2" s="99" t="s">
        <v>432</v>
      </c>
      <c r="G2" s="123" t="s">
        <v>5</v>
      </c>
      <c r="H2" s="73">
        <f t="shared" ref="H2:H150" si="1">_xlfn.XLOOKUP(G2,$M$1:$M$5,$O$1:$O$5)</f>
        <v>500</v>
      </c>
      <c r="M2" s="124" t="s">
        <v>5</v>
      </c>
      <c r="N2" s="125" t="s">
        <v>617</v>
      </c>
      <c r="O2" s="10">
        <v>500.0</v>
      </c>
    </row>
    <row r="3" ht="22.5" customHeight="1">
      <c r="A3" s="126" t="s">
        <v>618</v>
      </c>
      <c r="B3" s="127" t="s">
        <v>619</v>
      </c>
      <c r="C3" s="128" t="s">
        <v>7</v>
      </c>
      <c r="D3" s="129" t="s">
        <v>615</v>
      </c>
      <c r="E3" s="128" t="s">
        <v>616</v>
      </c>
      <c r="F3" s="128" t="s">
        <v>432</v>
      </c>
      <c r="G3" s="130" t="s">
        <v>5</v>
      </c>
      <c r="H3" s="73">
        <f t="shared" si="1"/>
        <v>500</v>
      </c>
      <c r="M3" s="131" t="s">
        <v>68</v>
      </c>
      <c r="N3" s="125" t="s">
        <v>617</v>
      </c>
      <c r="O3" s="10">
        <v>500.0</v>
      </c>
    </row>
    <row r="4" ht="22.5" customHeight="1">
      <c r="A4" s="132" t="s">
        <v>349</v>
      </c>
      <c r="B4" s="133" t="s">
        <v>620</v>
      </c>
      <c r="C4" s="134" t="s">
        <v>96</v>
      </c>
      <c r="D4" s="135" t="s">
        <v>621</v>
      </c>
      <c r="E4" s="134" t="s">
        <v>616</v>
      </c>
      <c r="F4" s="134" t="s">
        <v>180</v>
      </c>
      <c r="G4" s="136" t="s">
        <v>5</v>
      </c>
      <c r="H4" s="73">
        <f t="shared" si="1"/>
        <v>500</v>
      </c>
      <c r="M4" s="10" t="s">
        <v>66</v>
      </c>
      <c r="N4" s="125" t="s">
        <v>617</v>
      </c>
      <c r="O4" s="10">
        <v>100.0</v>
      </c>
    </row>
    <row r="5" ht="22.5" customHeight="1">
      <c r="A5" s="27" t="s">
        <v>579</v>
      </c>
      <c r="B5" s="127" t="s">
        <v>622</v>
      </c>
      <c r="C5" s="128" t="s">
        <v>623</v>
      </c>
      <c r="D5" s="129" t="s">
        <v>621</v>
      </c>
      <c r="E5" s="128" t="s">
        <v>616</v>
      </c>
      <c r="F5" s="137" t="s">
        <v>180</v>
      </c>
      <c r="G5" s="130" t="s">
        <v>5</v>
      </c>
      <c r="H5" s="73">
        <f t="shared" si="1"/>
        <v>500</v>
      </c>
      <c r="M5" s="10" t="s">
        <v>400</v>
      </c>
      <c r="N5" s="125" t="s">
        <v>625</v>
      </c>
      <c r="O5" s="10">
        <v>10.0</v>
      </c>
    </row>
    <row r="6" ht="22.5" customHeight="1">
      <c r="A6" s="58" t="s">
        <v>366</v>
      </c>
      <c r="B6" s="121" t="s">
        <v>626</v>
      </c>
      <c r="C6" s="99" t="s">
        <v>86</v>
      </c>
      <c r="D6" s="122" t="s">
        <v>621</v>
      </c>
      <c r="E6" s="99" t="s">
        <v>616</v>
      </c>
      <c r="F6" s="99" t="s">
        <v>180</v>
      </c>
      <c r="G6" s="123" t="s">
        <v>5</v>
      </c>
      <c r="H6" s="73">
        <f t="shared" si="1"/>
        <v>500</v>
      </c>
    </row>
    <row r="7" ht="22.5" customHeight="1">
      <c r="A7" s="27" t="s">
        <v>368</v>
      </c>
      <c r="B7" s="139" t="s">
        <v>627</v>
      </c>
      <c r="C7" s="128" t="s">
        <v>114</v>
      </c>
      <c r="D7" s="129" t="s">
        <v>621</v>
      </c>
      <c r="E7" s="128" t="s">
        <v>616</v>
      </c>
      <c r="F7" s="137" t="s">
        <v>180</v>
      </c>
      <c r="G7" s="140" t="s">
        <v>68</v>
      </c>
      <c r="H7" s="73">
        <f t="shared" si="1"/>
        <v>500</v>
      </c>
    </row>
    <row r="8" ht="22.5" customHeight="1">
      <c r="A8" s="58" t="s">
        <v>374</v>
      </c>
      <c r="B8" s="121" t="s">
        <v>628</v>
      </c>
      <c r="C8" s="99" t="s">
        <v>103</v>
      </c>
      <c r="D8" s="122" t="s">
        <v>621</v>
      </c>
      <c r="E8" s="99" t="s">
        <v>616</v>
      </c>
      <c r="F8" s="99" t="s">
        <v>180</v>
      </c>
      <c r="G8" s="123" t="s">
        <v>66</v>
      </c>
      <c r="H8" s="73">
        <f t="shared" si="1"/>
        <v>100</v>
      </c>
    </row>
    <row r="9" ht="22.5" customHeight="1">
      <c r="A9" s="27" t="s">
        <v>380</v>
      </c>
      <c r="B9" s="127" t="s">
        <v>629</v>
      </c>
      <c r="C9" s="128" t="s">
        <v>630</v>
      </c>
      <c r="D9" s="129" t="s">
        <v>621</v>
      </c>
      <c r="E9" s="128" t="s">
        <v>616</v>
      </c>
      <c r="F9" s="137" t="s">
        <v>180</v>
      </c>
      <c r="G9" s="141" t="s">
        <v>66</v>
      </c>
      <c r="H9" s="142">
        <f t="shared" si="1"/>
        <v>100</v>
      </c>
    </row>
    <row r="10" ht="22.5" customHeight="1">
      <c r="A10" s="58" t="s">
        <v>385</v>
      </c>
      <c r="B10" s="121" t="s">
        <v>632</v>
      </c>
      <c r="C10" s="99" t="s">
        <v>633</v>
      </c>
      <c r="D10" s="122" t="s">
        <v>621</v>
      </c>
      <c r="E10" s="99" t="s">
        <v>616</v>
      </c>
      <c r="F10" s="99" t="s">
        <v>180</v>
      </c>
      <c r="G10" s="123" t="s">
        <v>66</v>
      </c>
      <c r="H10" s="143">
        <f t="shared" si="1"/>
        <v>100</v>
      </c>
    </row>
    <row r="11" ht="22.5" customHeight="1">
      <c r="A11" s="27" t="s">
        <v>390</v>
      </c>
      <c r="B11" s="127" t="s">
        <v>634</v>
      </c>
      <c r="C11" s="128" t="s">
        <v>635</v>
      </c>
      <c r="D11" s="129" t="s">
        <v>621</v>
      </c>
      <c r="E11" s="128" t="s">
        <v>616</v>
      </c>
      <c r="F11" s="137" t="s">
        <v>180</v>
      </c>
      <c r="G11" s="141" t="s">
        <v>66</v>
      </c>
      <c r="H11" s="142">
        <f t="shared" si="1"/>
        <v>100</v>
      </c>
    </row>
    <row r="12" ht="22.5" customHeight="1">
      <c r="A12" s="58" t="s">
        <v>491</v>
      </c>
      <c r="B12" s="144" t="s">
        <v>636</v>
      </c>
      <c r="C12" s="145" t="s">
        <v>211</v>
      </c>
      <c r="D12" s="145" t="s">
        <v>637</v>
      </c>
      <c r="E12" s="145" t="s">
        <v>638</v>
      </c>
      <c r="F12" s="99" t="s">
        <v>180</v>
      </c>
      <c r="G12" s="146" t="s">
        <v>66</v>
      </c>
      <c r="H12" s="143">
        <f t="shared" si="1"/>
        <v>100</v>
      </c>
    </row>
    <row r="13" ht="22.5" customHeight="1">
      <c r="A13" s="27" t="s">
        <v>493</v>
      </c>
      <c r="B13" s="147" t="s">
        <v>639</v>
      </c>
      <c r="C13" s="137" t="s">
        <v>640</v>
      </c>
      <c r="D13" s="137" t="s">
        <v>637</v>
      </c>
      <c r="E13" s="137" t="s">
        <v>638</v>
      </c>
      <c r="F13" s="137" t="s">
        <v>180</v>
      </c>
      <c r="G13" s="130" t="s">
        <v>66</v>
      </c>
      <c r="H13" s="142">
        <f t="shared" si="1"/>
        <v>100</v>
      </c>
    </row>
    <row r="14" ht="22.5" customHeight="1">
      <c r="A14" s="58" t="s">
        <v>494</v>
      </c>
      <c r="B14" s="144" t="s">
        <v>642</v>
      </c>
      <c r="C14" s="145" t="s">
        <v>212</v>
      </c>
      <c r="D14" s="145" t="s">
        <v>637</v>
      </c>
      <c r="E14" s="145" t="s">
        <v>638</v>
      </c>
      <c r="F14" s="99" t="s">
        <v>180</v>
      </c>
      <c r="G14" s="146" t="s">
        <v>66</v>
      </c>
      <c r="H14" s="143">
        <f t="shared" si="1"/>
        <v>100</v>
      </c>
    </row>
    <row r="15" ht="22.5" customHeight="1">
      <c r="A15" s="27" t="s">
        <v>495</v>
      </c>
      <c r="B15" s="147" t="s">
        <v>643</v>
      </c>
      <c r="C15" s="137" t="s">
        <v>644</v>
      </c>
      <c r="D15" s="137" t="s">
        <v>637</v>
      </c>
      <c r="E15" s="137" t="s">
        <v>638</v>
      </c>
      <c r="F15" s="137" t="s">
        <v>180</v>
      </c>
      <c r="G15" s="130" t="s">
        <v>66</v>
      </c>
      <c r="H15" s="142">
        <f t="shared" si="1"/>
        <v>100</v>
      </c>
    </row>
    <row r="16" ht="22.5" customHeight="1">
      <c r="A16" s="58" t="s">
        <v>496</v>
      </c>
      <c r="B16" s="144" t="s">
        <v>645</v>
      </c>
      <c r="C16" s="145" t="s">
        <v>646</v>
      </c>
      <c r="D16" s="145" t="s">
        <v>637</v>
      </c>
      <c r="E16" s="145" t="s">
        <v>638</v>
      </c>
      <c r="F16" s="99" t="s">
        <v>180</v>
      </c>
      <c r="G16" s="146" t="s">
        <v>66</v>
      </c>
      <c r="H16" s="143">
        <f t="shared" si="1"/>
        <v>100</v>
      </c>
    </row>
    <row r="17" ht="22.5" customHeight="1">
      <c r="A17" s="27" t="s">
        <v>489</v>
      </c>
      <c r="B17" s="147" t="s">
        <v>647</v>
      </c>
      <c r="C17" s="137" t="s">
        <v>197</v>
      </c>
      <c r="D17" s="137" t="s">
        <v>648</v>
      </c>
      <c r="E17" s="137" t="s">
        <v>638</v>
      </c>
      <c r="F17" s="137" t="s">
        <v>180</v>
      </c>
      <c r="G17" s="130" t="s">
        <v>66</v>
      </c>
      <c r="H17" s="142">
        <f t="shared" si="1"/>
        <v>100</v>
      </c>
    </row>
    <row r="18" ht="22.5" customHeight="1">
      <c r="A18" s="58" t="s">
        <v>485</v>
      </c>
      <c r="B18" s="144" t="s">
        <v>649</v>
      </c>
      <c r="C18" s="145" t="s">
        <v>203</v>
      </c>
      <c r="D18" s="145" t="s">
        <v>650</v>
      </c>
      <c r="E18" s="145" t="s">
        <v>638</v>
      </c>
      <c r="F18" s="99" t="s">
        <v>180</v>
      </c>
      <c r="G18" s="146" t="s">
        <v>66</v>
      </c>
      <c r="H18" s="143">
        <f t="shared" si="1"/>
        <v>100</v>
      </c>
    </row>
    <row r="19" ht="22.5" customHeight="1">
      <c r="A19" s="27" t="s">
        <v>492</v>
      </c>
      <c r="B19" s="147" t="s">
        <v>651</v>
      </c>
      <c r="C19" s="137" t="s">
        <v>203</v>
      </c>
      <c r="D19" s="137" t="s">
        <v>650</v>
      </c>
      <c r="E19" s="137" t="s">
        <v>638</v>
      </c>
      <c r="F19" s="137" t="s">
        <v>180</v>
      </c>
      <c r="G19" s="130" t="s">
        <v>66</v>
      </c>
      <c r="H19" s="142">
        <f t="shared" si="1"/>
        <v>100</v>
      </c>
    </row>
    <row r="20" ht="22.5" customHeight="1">
      <c r="A20" s="58" t="s">
        <v>482</v>
      </c>
      <c r="B20" s="144" t="s">
        <v>652</v>
      </c>
      <c r="C20" s="145" t="s">
        <v>206</v>
      </c>
      <c r="D20" s="145" t="s">
        <v>653</v>
      </c>
      <c r="E20" s="145" t="s">
        <v>638</v>
      </c>
      <c r="F20" s="99" t="s">
        <v>180</v>
      </c>
      <c r="G20" s="146" t="s">
        <v>66</v>
      </c>
      <c r="H20" s="143">
        <f t="shared" si="1"/>
        <v>100</v>
      </c>
    </row>
    <row r="21" ht="22.5" customHeight="1">
      <c r="A21" s="27" t="s">
        <v>490</v>
      </c>
      <c r="B21" s="147" t="s">
        <v>655</v>
      </c>
      <c r="C21" s="137" t="s">
        <v>210</v>
      </c>
      <c r="D21" s="137" t="s">
        <v>656</v>
      </c>
      <c r="E21" s="137" t="s">
        <v>638</v>
      </c>
      <c r="F21" s="137" t="s">
        <v>180</v>
      </c>
      <c r="G21" s="130" t="s">
        <v>66</v>
      </c>
      <c r="H21" s="142">
        <f t="shared" si="1"/>
        <v>100</v>
      </c>
    </row>
    <row r="22" ht="22.5" customHeight="1">
      <c r="A22" s="58" t="s">
        <v>479</v>
      </c>
      <c r="B22" s="144" t="s">
        <v>657</v>
      </c>
      <c r="C22" s="145" t="s">
        <v>210</v>
      </c>
      <c r="D22" s="145" t="s">
        <v>656</v>
      </c>
      <c r="E22" s="145" t="s">
        <v>638</v>
      </c>
      <c r="F22" s="99" t="s">
        <v>180</v>
      </c>
      <c r="G22" s="146" t="s">
        <v>66</v>
      </c>
      <c r="H22" s="143">
        <f t="shared" si="1"/>
        <v>100</v>
      </c>
    </row>
    <row r="23" ht="22.5" customHeight="1">
      <c r="A23" s="27" t="s">
        <v>476</v>
      </c>
      <c r="B23" s="147" t="s">
        <v>658</v>
      </c>
      <c r="C23" s="137" t="s">
        <v>210</v>
      </c>
      <c r="D23" s="137" t="s">
        <v>656</v>
      </c>
      <c r="E23" s="137" t="s">
        <v>638</v>
      </c>
      <c r="F23" s="137" t="s">
        <v>180</v>
      </c>
      <c r="G23" s="130" t="s">
        <v>66</v>
      </c>
      <c r="H23" s="142">
        <f t="shared" si="1"/>
        <v>100</v>
      </c>
    </row>
    <row r="24" ht="22.5" customHeight="1">
      <c r="A24" s="58" t="s">
        <v>394</v>
      </c>
      <c r="B24" s="144" t="s">
        <v>659</v>
      </c>
      <c r="C24" s="145" t="s">
        <v>660</v>
      </c>
      <c r="D24" s="145" t="s">
        <v>661</v>
      </c>
      <c r="E24" s="145" t="s">
        <v>638</v>
      </c>
      <c r="F24" s="99" t="s">
        <v>180</v>
      </c>
      <c r="G24" s="146" t="s">
        <v>66</v>
      </c>
      <c r="H24" s="143">
        <f t="shared" si="1"/>
        <v>100</v>
      </c>
    </row>
    <row r="25" ht="22.5" customHeight="1">
      <c r="A25" s="27" t="s">
        <v>398</v>
      </c>
      <c r="B25" s="147" t="s">
        <v>662</v>
      </c>
      <c r="C25" s="137" t="s">
        <v>663</v>
      </c>
      <c r="D25" s="137" t="s">
        <v>664</v>
      </c>
      <c r="E25" s="137" t="s">
        <v>638</v>
      </c>
      <c r="F25" s="137" t="s">
        <v>180</v>
      </c>
      <c r="G25" s="130" t="s">
        <v>66</v>
      </c>
      <c r="H25" s="142">
        <f t="shared" si="1"/>
        <v>100</v>
      </c>
    </row>
    <row r="26" ht="22.5" customHeight="1">
      <c r="A26" s="58" t="s">
        <v>401</v>
      </c>
      <c r="B26" s="144" t="s">
        <v>665</v>
      </c>
      <c r="C26" s="145" t="s">
        <v>666</v>
      </c>
      <c r="D26" s="145" t="s">
        <v>667</v>
      </c>
      <c r="E26" s="145" t="s">
        <v>638</v>
      </c>
      <c r="F26" s="99" t="s">
        <v>180</v>
      </c>
      <c r="G26" s="146" t="s">
        <v>66</v>
      </c>
      <c r="H26" s="143">
        <f t="shared" si="1"/>
        <v>100</v>
      </c>
    </row>
    <row r="27" ht="22.5" customHeight="1">
      <c r="A27" s="27" t="s">
        <v>406</v>
      </c>
      <c r="B27" s="147" t="s">
        <v>668</v>
      </c>
      <c r="C27" s="137" t="s">
        <v>669</v>
      </c>
      <c r="D27" s="137" t="s">
        <v>670</v>
      </c>
      <c r="E27" s="137" t="s">
        <v>638</v>
      </c>
      <c r="F27" s="137" t="s">
        <v>180</v>
      </c>
      <c r="G27" s="130" t="s">
        <v>66</v>
      </c>
      <c r="H27" s="142">
        <f t="shared" si="1"/>
        <v>100</v>
      </c>
    </row>
    <row r="28" ht="22.5" customHeight="1">
      <c r="A28" s="58" t="s">
        <v>410</v>
      </c>
      <c r="B28" s="144" t="s">
        <v>671</v>
      </c>
      <c r="C28" s="145" t="s">
        <v>669</v>
      </c>
      <c r="D28" s="145" t="s">
        <v>670</v>
      </c>
      <c r="E28" s="145" t="s">
        <v>638</v>
      </c>
      <c r="F28" s="99" t="s">
        <v>180</v>
      </c>
      <c r="G28" s="146" t="s">
        <v>66</v>
      </c>
      <c r="H28" s="143">
        <f t="shared" si="1"/>
        <v>100</v>
      </c>
    </row>
    <row r="29" ht="22.5" customHeight="1">
      <c r="A29" s="27" t="s">
        <v>414</v>
      </c>
      <c r="B29" s="147" t="s">
        <v>673</v>
      </c>
      <c r="C29" s="137" t="s">
        <v>669</v>
      </c>
      <c r="D29" s="137" t="s">
        <v>670</v>
      </c>
      <c r="E29" s="137" t="s">
        <v>638</v>
      </c>
      <c r="F29" s="137" t="s">
        <v>180</v>
      </c>
      <c r="G29" s="130" t="s">
        <v>66</v>
      </c>
      <c r="H29" s="142">
        <f t="shared" si="1"/>
        <v>100</v>
      </c>
    </row>
    <row r="30" ht="22.5" customHeight="1">
      <c r="A30" s="58" t="s">
        <v>417</v>
      </c>
      <c r="B30" s="144" t="s">
        <v>674</v>
      </c>
      <c r="C30" s="145" t="s">
        <v>675</v>
      </c>
      <c r="D30" s="145" t="s">
        <v>676</v>
      </c>
      <c r="E30" s="145" t="s">
        <v>638</v>
      </c>
      <c r="F30" s="99" t="s">
        <v>180</v>
      </c>
      <c r="G30" s="146" t="s">
        <v>66</v>
      </c>
      <c r="H30" s="143">
        <f t="shared" si="1"/>
        <v>100</v>
      </c>
    </row>
    <row r="31" ht="22.5" customHeight="1">
      <c r="A31" s="27" t="s">
        <v>421</v>
      </c>
      <c r="B31" s="147" t="s">
        <v>677</v>
      </c>
      <c r="C31" s="137" t="s">
        <v>678</v>
      </c>
      <c r="D31" s="137" t="s">
        <v>679</v>
      </c>
      <c r="E31" s="137" t="s">
        <v>638</v>
      </c>
      <c r="F31" s="137" t="s">
        <v>180</v>
      </c>
      <c r="G31" s="130" t="s">
        <v>66</v>
      </c>
      <c r="H31" s="142">
        <f t="shared" si="1"/>
        <v>100</v>
      </c>
    </row>
    <row r="32" ht="22.5" customHeight="1">
      <c r="A32" s="58" t="s">
        <v>423</v>
      </c>
      <c r="B32" s="144" t="s">
        <v>680</v>
      </c>
      <c r="C32" s="145" t="s">
        <v>681</v>
      </c>
      <c r="D32" s="145" t="s">
        <v>682</v>
      </c>
      <c r="E32" s="145" t="s">
        <v>638</v>
      </c>
      <c r="F32" s="99" t="s">
        <v>180</v>
      </c>
      <c r="G32" s="146" t="s">
        <v>66</v>
      </c>
      <c r="H32" s="143">
        <f t="shared" si="1"/>
        <v>100</v>
      </c>
      <c r="K32" s="148" t="s">
        <v>214</v>
      </c>
    </row>
    <row r="33" ht="22.5" customHeight="1">
      <c r="A33" s="27" t="s">
        <v>536</v>
      </c>
      <c r="B33" s="147" t="s">
        <v>683</v>
      </c>
      <c r="C33" s="137" t="s">
        <v>684</v>
      </c>
      <c r="D33" s="137" t="s">
        <v>685</v>
      </c>
      <c r="E33" s="137" t="s">
        <v>638</v>
      </c>
      <c r="F33" s="137" t="s">
        <v>180</v>
      </c>
      <c r="G33" s="130" t="s">
        <v>66</v>
      </c>
      <c r="H33" s="142">
        <f t="shared" si="1"/>
        <v>100</v>
      </c>
    </row>
    <row r="34" ht="22.5" customHeight="1">
      <c r="A34" s="58" t="s">
        <v>535</v>
      </c>
      <c r="B34" s="144" t="s">
        <v>686</v>
      </c>
      <c r="C34" s="145" t="s">
        <v>687</v>
      </c>
      <c r="D34" s="145" t="s">
        <v>688</v>
      </c>
      <c r="E34" s="145" t="s">
        <v>638</v>
      </c>
      <c r="F34" s="99" t="s">
        <v>180</v>
      </c>
      <c r="G34" s="146" t="s">
        <v>66</v>
      </c>
      <c r="H34" s="143">
        <f t="shared" si="1"/>
        <v>100</v>
      </c>
    </row>
    <row r="35" ht="22.5" customHeight="1">
      <c r="A35" s="27" t="s">
        <v>529</v>
      </c>
      <c r="B35" s="147" t="s">
        <v>689</v>
      </c>
      <c r="C35" s="137" t="s">
        <v>690</v>
      </c>
      <c r="D35" s="137" t="s">
        <v>691</v>
      </c>
      <c r="E35" s="137" t="s">
        <v>638</v>
      </c>
      <c r="F35" s="137" t="s">
        <v>180</v>
      </c>
      <c r="G35" s="130" t="s">
        <v>66</v>
      </c>
      <c r="H35" s="142">
        <f t="shared" si="1"/>
        <v>100</v>
      </c>
    </row>
    <row r="36" ht="22.5" customHeight="1">
      <c r="A36" s="58" t="s">
        <v>528</v>
      </c>
      <c r="B36" s="144" t="s">
        <v>692</v>
      </c>
      <c r="C36" s="145" t="s">
        <v>693</v>
      </c>
      <c r="D36" s="145" t="s">
        <v>694</v>
      </c>
      <c r="E36" s="145" t="s">
        <v>638</v>
      </c>
      <c r="F36" s="99" t="s">
        <v>180</v>
      </c>
      <c r="G36" s="146" t="s">
        <v>66</v>
      </c>
      <c r="H36" s="143">
        <f t="shared" si="1"/>
        <v>100</v>
      </c>
    </row>
    <row r="37" ht="22.5" customHeight="1">
      <c r="A37" s="27" t="s">
        <v>534</v>
      </c>
      <c r="B37" s="147" t="s">
        <v>695</v>
      </c>
      <c r="C37" s="137" t="s">
        <v>696</v>
      </c>
      <c r="D37" s="137" t="s">
        <v>697</v>
      </c>
      <c r="E37" s="137" t="s">
        <v>638</v>
      </c>
      <c r="F37" s="137" t="s">
        <v>180</v>
      </c>
      <c r="G37" s="130" t="s">
        <v>66</v>
      </c>
      <c r="H37" s="142">
        <f t="shared" si="1"/>
        <v>100</v>
      </c>
    </row>
    <row r="38" ht="22.5" customHeight="1">
      <c r="A38" s="58" t="s">
        <v>488</v>
      </c>
      <c r="B38" s="144" t="s">
        <v>699</v>
      </c>
      <c r="C38" s="145" t="s">
        <v>214</v>
      </c>
      <c r="D38" s="145" t="s">
        <v>700</v>
      </c>
      <c r="E38" s="145" t="s">
        <v>638</v>
      </c>
      <c r="F38" s="99" t="s">
        <v>180</v>
      </c>
      <c r="G38" s="146" t="s">
        <v>66</v>
      </c>
      <c r="H38" s="143">
        <f t="shared" si="1"/>
        <v>100</v>
      </c>
    </row>
    <row r="39" ht="22.5" customHeight="1">
      <c r="A39" s="27" t="s">
        <v>119</v>
      </c>
      <c r="B39" s="147" t="s">
        <v>701</v>
      </c>
      <c r="C39" s="145" t="s">
        <v>213</v>
      </c>
      <c r="D39" s="137" t="s">
        <v>702</v>
      </c>
      <c r="E39" s="137" t="s">
        <v>638</v>
      </c>
      <c r="F39" s="137" t="s">
        <v>180</v>
      </c>
      <c r="G39" s="130" t="s">
        <v>66</v>
      </c>
      <c r="H39" s="142">
        <f t="shared" si="1"/>
        <v>100</v>
      </c>
    </row>
    <row r="40" ht="22.5" customHeight="1">
      <c r="A40" s="58" t="s">
        <v>541</v>
      </c>
      <c r="B40" s="144" t="s">
        <v>703</v>
      </c>
      <c r="C40" s="145" t="s">
        <v>704</v>
      </c>
      <c r="D40" s="145" t="s">
        <v>705</v>
      </c>
      <c r="E40" s="145" t="s">
        <v>638</v>
      </c>
      <c r="F40" s="99" t="s">
        <v>180</v>
      </c>
      <c r="G40" s="146" t="s">
        <v>66</v>
      </c>
      <c r="H40" s="143">
        <f t="shared" si="1"/>
        <v>100</v>
      </c>
    </row>
    <row r="41" ht="22.5" customHeight="1">
      <c r="A41" s="27" t="s">
        <v>532</v>
      </c>
      <c r="B41" s="147" t="s">
        <v>706</v>
      </c>
      <c r="C41" s="137" t="s">
        <v>707</v>
      </c>
      <c r="D41" s="137" t="s">
        <v>708</v>
      </c>
      <c r="E41" s="137" t="s">
        <v>638</v>
      </c>
      <c r="F41" s="137" t="s">
        <v>180</v>
      </c>
      <c r="G41" s="130" t="s">
        <v>66</v>
      </c>
      <c r="H41" s="142">
        <f t="shared" si="1"/>
        <v>100</v>
      </c>
    </row>
    <row r="42" ht="22.5" customHeight="1">
      <c r="A42" s="58" t="s">
        <v>531</v>
      </c>
      <c r="B42" s="144" t="s">
        <v>709</v>
      </c>
      <c r="C42" s="145" t="s">
        <v>710</v>
      </c>
      <c r="D42" s="145" t="s">
        <v>711</v>
      </c>
      <c r="E42" s="145" t="s">
        <v>638</v>
      </c>
      <c r="F42" s="99" t="s">
        <v>180</v>
      </c>
      <c r="G42" s="146" t="s">
        <v>66</v>
      </c>
      <c r="H42" s="143">
        <f t="shared" si="1"/>
        <v>100</v>
      </c>
    </row>
    <row r="43" ht="22.5" customHeight="1">
      <c r="A43" s="27" t="s">
        <v>539</v>
      </c>
      <c r="B43" s="147" t="s">
        <v>713</v>
      </c>
      <c r="C43" s="137" t="s">
        <v>714</v>
      </c>
      <c r="D43" s="137" t="s">
        <v>715</v>
      </c>
      <c r="E43" s="137" t="s">
        <v>638</v>
      </c>
      <c r="F43" s="137" t="s">
        <v>180</v>
      </c>
      <c r="G43" s="130" t="s">
        <v>66</v>
      </c>
      <c r="H43" s="142">
        <f t="shared" si="1"/>
        <v>100</v>
      </c>
    </row>
    <row r="44" ht="22.5" customHeight="1">
      <c r="A44" s="58" t="s">
        <v>538</v>
      </c>
      <c r="B44" s="144" t="s">
        <v>716</v>
      </c>
      <c r="C44" s="145" t="s">
        <v>717</v>
      </c>
      <c r="D44" s="145" t="s">
        <v>718</v>
      </c>
      <c r="E44" s="145" t="s">
        <v>638</v>
      </c>
      <c r="F44" s="99" t="s">
        <v>180</v>
      </c>
      <c r="G44" s="146" t="s">
        <v>66</v>
      </c>
      <c r="H44" s="143">
        <f t="shared" si="1"/>
        <v>100</v>
      </c>
    </row>
    <row r="45" ht="22.5" customHeight="1">
      <c r="A45" s="27" t="s">
        <v>498</v>
      </c>
      <c r="B45" s="147" t="s">
        <v>719</v>
      </c>
      <c r="C45" s="137" t="s">
        <v>720</v>
      </c>
      <c r="D45" s="137" t="s">
        <v>721</v>
      </c>
      <c r="E45" s="137" t="s">
        <v>638</v>
      </c>
      <c r="F45" s="137" t="s">
        <v>180</v>
      </c>
      <c r="G45" s="130" t="s">
        <v>66</v>
      </c>
      <c r="H45" s="142">
        <f t="shared" si="1"/>
        <v>100</v>
      </c>
    </row>
    <row r="46" ht="22.5" customHeight="1">
      <c r="A46" s="58" t="s">
        <v>499</v>
      </c>
      <c r="B46" s="144" t="s">
        <v>722</v>
      </c>
      <c r="C46" s="145" t="s">
        <v>723</v>
      </c>
      <c r="D46" s="149" t="s">
        <v>724</v>
      </c>
      <c r="E46" s="145" t="s">
        <v>638</v>
      </c>
      <c r="F46" s="99" t="s">
        <v>180</v>
      </c>
      <c r="G46" s="146" t="s">
        <v>66</v>
      </c>
      <c r="H46" s="143">
        <f t="shared" si="1"/>
        <v>100</v>
      </c>
    </row>
    <row r="47" ht="22.5" customHeight="1">
      <c r="A47" s="27" t="s">
        <v>520</v>
      </c>
      <c r="B47" s="147" t="s">
        <v>725</v>
      </c>
      <c r="C47" s="137" t="s">
        <v>726</v>
      </c>
      <c r="D47" s="145" t="s">
        <v>727</v>
      </c>
      <c r="E47" s="137" t="s">
        <v>638</v>
      </c>
      <c r="F47" s="137" t="s">
        <v>180</v>
      </c>
      <c r="G47" s="130" t="s">
        <v>66</v>
      </c>
      <c r="H47" s="142">
        <f t="shared" si="1"/>
        <v>100</v>
      </c>
    </row>
    <row r="48" ht="22.5" customHeight="1">
      <c r="A48" s="58" t="s">
        <v>526</v>
      </c>
      <c r="B48" s="144" t="s">
        <v>728</v>
      </c>
      <c r="C48" s="145" t="s">
        <v>726</v>
      </c>
      <c r="D48" s="145" t="s">
        <v>727</v>
      </c>
      <c r="E48" s="145" t="s">
        <v>638</v>
      </c>
      <c r="F48" s="99" t="s">
        <v>180</v>
      </c>
      <c r="G48" s="146" t="s">
        <v>66</v>
      </c>
      <c r="H48" s="143">
        <f t="shared" si="1"/>
        <v>100</v>
      </c>
    </row>
    <row r="49" ht="22.5" customHeight="1">
      <c r="A49" s="27" t="s">
        <v>527</v>
      </c>
      <c r="B49" s="147" t="s">
        <v>729</v>
      </c>
      <c r="C49" s="137" t="s">
        <v>730</v>
      </c>
      <c r="D49" s="145" t="s">
        <v>731</v>
      </c>
      <c r="E49" s="137" t="s">
        <v>638</v>
      </c>
      <c r="F49" s="137" t="s">
        <v>180</v>
      </c>
      <c r="G49" s="130" t="s">
        <v>66</v>
      </c>
      <c r="H49" s="142">
        <f t="shared" si="1"/>
        <v>100</v>
      </c>
    </row>
    <row r="50" ht="22.5" customHeight="1">
      <c r="A50" s="58" t="s">
        <v>524</v>
      </c>
      <c r="B50" s="144" t="s">
        <v>732</v>
      </c>
      <c r="C50" s="145" t="s">
        <v>730</v>
      </c>
      <c r="D50" s="145" t="s">
        <v>731</v>
      </c>
      <c r="E50" s="145" t="s">
        <v>638</v>
      </c>
      <c r="F50" s="99" t="s">
        <v>180</v>
      </c>
      <c r="G50" s="146" t="s">
        <v>66</v>
      </c>
      <c r="H50" s="143">
        <f t="shared" si="1"/>
        <v>100</v>
      </c>
    </row>
    <row r="51" ht="22.5" customHeight="1">
      <c r="A51" s="27" t="s">
        <v>522</v>
      </c>
      <c r="B51" s="147" t="s">
        <v>733</v>
      </c>
      <c r="C51" s="137" t="s">
        <v>734</v>
      </c>
      <c r="D51" s="137" t="s">
        <v>721</v>
      </c>
      <c r="E51" s="137" t="s">
        <v>638</v>
      </c>
      <c r="F51" s="137" t="s">
        <v>180</v>
      </c>
      <c r="G51" s="130" t="s">
        <v>66</v>
      </c>
      <c r="H51" s="142">
        <f t="shared" si="1"/>
        <v>100</v>
      </c>
    </row>
    <row r="52" ht="22.5" customHeight="1">
      <c r="A52" s="58" t="s">
        <v>425</v>
      </c>
      <c r="B52" s="144" t="s">
        <v>735</v>
      </c>
      <c r="C52" s="145" t="s">
        <v>210</v>
      </c>
      <c r="D52" s="145" t="s">
        <v>736</v>
      </c>
      <c r="E52" s="145" t="s">
        <v>638</v>
      </c>
      <c r="F52" s="99" t="s">
        <v>180</v>
      </c>
      <c r="G52" s="146" t="s">
        <v>66</v>
      </c>
      <c r="H52" s="143">
        <f t="shared" si="1"/>
        <v>100</v>
      </c>
    </row>
    <row r="53" ht="22.5" customHeight="1">
      <c r="A53" s="27" t="s">
        <v>428</v>
      </c>
      <c r="B53" s="147" t="s">
        <v>737</v>
      </c>
      <c r="C53" s="137" t="s">
        <v>669</v>
      </c>
      <c r="D53" s="137" t="s">
        <v>738</v>
      </c>
      <c r="E53" s="137" t="s">
        <v>638</v>
      </c>
      <c r="F53" s="137" t="s">
        <v>180</v>
      </c>
      <c r="G53" s="130" t="s">
        <v>66</v>
      </c>
      <c r="H53" s="142">
        <f t="shared" si="1"/>
        <v>100</v>
      </c>
    </row>
    <row r="54" ht="22.5" customHeight="1">
      <c r="A54" s="58" t="s">
        <v>502</v>
      </c>
      <c r="B54" s="144" t="s">
        <v>739</v>
      </c>
      <c r="C54" s="145" t="s">
        <v>740</v>
      </c>
      <c r="D54" s="145" t="s">
        <v>742</v>
      </c>
      <c r="E54" s="145" t="s">
        <v>638</v>
      </c>
      <c r="F54" s="99" t="s">
        <v>180</v>
      </c>
      <c r="G54" s="146" t="s">
        <v>66</v>
      </c>
      <c r="H54" s="143">
        <f t="shared" si="1"/>
        <v>100</v>
      </c>
    </row>
    <row r="55" ht="22.5" customHeight="1">
      <c r="A55" s="132" t="s">
        <v>444</v>
      </c>
      <c r="B55" s="150" t="s">
        <v>743</v>
      </c>
      <c r="C55" s="151" t="s">
        <v>744</v>
      </c>
      <c r="D55" s="152" t="s">
        <v>745</v>
      </c>
      <c r="E55" s="134" t="s">
        <v>616</v>
      </c>
      <c r="F55" s="151" t="s">
        <v>437</v>
      </c>
      <c r="G55" s="153" t="s">
        <v>5</v>
      </c>
      <c r="H55" s="73">
        <f t="shared" si="1"/>
        <v>500</v>
      </c>
    </row>
    <row r="56" ht="22.5" customHeight="1">
      <c r="A56" s="58" t="s">
        <v>442</v>
      </c>
      <c r="B56" s="121" t="s">
        <v>746</v>
      </c>
      <c r="C56" s="99" t="s">
        <v>89</v>
      </c>
      <c r="D56" s="154" t="s">
        <v>745</v>
      </c>
      <c r="E56" s="99" t="s">
        <v>616</v>
      </c>
      <c r="F56" s="99" t="s">
        <v>437</v>
      </c>
      <c r="G56" s="155" t="s">
        <v>5</v>
      </c>
      <c r="H56" s="73">
        <f t="shared" si="1"/>
        <v>500</v>
      </c>
    </row>
    <row r="57" ht="22.5" customHeight="1">
      <c r="A57" s="27" t="s">
        <v>434</v>
      </c>
      <c r="B57" s="127" t="s">
        <v>747</v>
      </c>
      <c r="C57" s="128" t="s">
        <v>117</v>
      </c>
      <c r="D57" s="129" t="s">
        <v>745</v>
      </c>
      <c r="E57" s="137" t="s">
        <v>616</v>
      </c>
      <c r="F57" s="128" t="s">
        <v>437</v>
      </c>
      <c r="G57" s="140" t="s">
        <v>68</v>
      </c>
      <c r="H57" s="73">
        <f t="shared" si="1"/>
        <v>500</v>
      </c>
    </row>
    <row r="58" ht="22.5" customHeight="1">
      <c r="A58" s="58" t="s">
        <v>440</v>
      </c>
      <c r="B58" s="121" t="s">
        <v>748</v>
      </c>
      <c r="C58" s="99" t="s">
        <v>106</v>
      </c>
      <c r="D58" s="154" t="s">
        <v>745</v>
      </c>
      <c r="E58" s="99" t="s">
        <v>616</v>
      </c>
      <c r="F58" s="99" t="s">
        <v>437</v>
      </c>
      <c r="G58" s="155" t="s">
        <v>66</v>
      </c>
      <c r="H58" s="143">
        <f t="shared" si="1"/>
        <v>100</v>
      </c>
    </row>
    <row r="59" ht="22.5" customHeight="1">
      <c r="A59" s="27" t="s">
        <v>435</v>
      </c>
      <c r="B59" s="127" t="s">
        <v>749</v>
      </c>
      <c r="C59" s="128" t="s">
        <v>750</v>
      </c>
      <c r="D59" s="129" t="s">
        <v>745</v>
      </c>
      <c r="E59" s="137" t="s">
        <v>616</v>
      </c>
      <c r="F59" s="128" t="s">
        <v>437</v>
      </c>
      <c r="G59" s="140" t="s">
        <v>66</v>
      </c>
      <c r="H59" s="142">
        <f t="shared" si="1"/>
        <v>100</v>
      </c>
    </row>
    <row r="60" ht="22.5" customHeight="1">
      <c r="A60" s="58" t="s">
        <v>438</v>
      </c>
      <c r="B60" s="121" t="s">
        <v>751</v>
      </c>
      <c r="C60" s="99" t="s">
        <v>752</v>
      </c>
      <c r="D60" s="154" t="s">
        <v>745</v>
      </c>
      <c r="E60" s="99" t="s">
        <v>616</v>
      </c>
      <c r="F60" s="99" t="s">
        <v>437</v>
      </c>
      <c r="G60" s="155" t="s">
        <v>66</v>
      </c>
      <c r="H60" s="143">
        <f t="shared" si="1"/>
        <v>100</v>
      </c>
    </row>
    <row r="61" ht="22.5" customHeight="1">
      <c r="A61" s="27" t="s">
        <v>430</v>
      </c>
      <c r="B61" s="127" t="s">
        <v>753</v>
      </c>
      <c r="C61" s="128" t="s">
        <v>754</v>
      </c>
      <c r="D61" s="129" t="s">
        <v>745</v>
      </c>
      <c r="E61" s="137" t="s">
        <v>616</v>
      </c>
      <c r="F61" s="128" t="s">
        <v>437</v>
      </c>
      <c r="G61" s="140" t="s">
        <v>66</v>
      </c>
      <c r="H61" s="142">
        <f t="shared" si="1"/>
        <v>100</v>
      </c>
    </row>
    <row r="62" ht="22.5" customHeight="1">
      <c r="A62" s="58" t="s">
        <v>548</v>
      </c>
      <c r="B62" s="121" t="s">
        <v>755</v>
      </c>
      <c r="C62" s="99" t="s">
        <v>210</v>
      </c>
      <c r="D62" s="122" t="s">
        <v>756</v>
      </c>
      <c r="E62" s="145" t="s">
        <v>638</v>
      </c>
      <c r="F62" s="99" t="s">
        <v>437</v>
      </c>
      <c r="G62" s="155" t="s">
        <v>66</v>
      </c>
      <c r="H62" s="143">
        <f t="shared" si="1"/>
        <v>100</v>
      </c>
    </row>
    <row r="63" ht="22.5" customHeight="1">
      <c r="A63" s="27" t="s">
        <v>551</v>
      </c>
      <c r="B63" s="127" t="s">
        <v>757</v>
      </c>
      <c r="C63" s="128" t="s">
        <v>758</v>
      </c>
      <c r="D63" s="129" t="s">
        <v>759</v>
      </c>
      <c r="E63" s="128" t="s">
        <v>638</v>
      </c>
      <c r="F63" s="128" t="s">
        <v>437</v>
      </c>
      <c r="G63" s="140" t="s">
        <v>66</v>
      </c>
      <c r="H63" s="142">
        <f t="shared" si="1"/>
        <v>100</v>
      </c>
    </row>
    <row r="64" ht="22.5" customHeight="1">
      <c r="A64" s="58" t="s">
        <v>518</v>
      </c>
      <c r="B64" s="121" t="s">
        <v>760</v>
      </c>
      <c r="C64" s="99" t="s">
        <v>761</v>
      </c>
      <c r="D64" s="122" t="s">
        <v>762</v>
      </c>
      <c r="E64" s="145" t="s">
        <v>638</v>
      </c>
      <c r="F64" s="99" t="s">
        <v>437</v>
      </c>
      <c r="G64" s="155" t="s">
        <v>66</v>
      </c>
      <c r="H64" s="143">
        <f t="shared" si="1"/>
        <v>100</v>
      </c>
    </row>
    <row r="65" ht="22.5" customHeight="1">
      <c r="A65" s="27" t="s">
        <v>517</v>
      </c>
      <c r="B65" s="127" t="s">
        <v>763</v>
      </c>
      <c r="C65" s="128" t="s">
        <v>764</v>
      </c>
      <c r="D65" s="129" t="s">
        <v>766</v>
      </c>
      <c r="E65" s="128" t="s">
        <v>638</v>
      </c>
      <c r="F65" s="128" t="s">
        <v>437</v>
      </c>
      <c r="G65" s="140" t="s">
        <v>66</v>
      </c>
      <c r="H65" s="142">
        <f t="shared" si="1"/>
        <v>100</v>
      </c>
    </row>
    <row r="66" ht="22.5" customHeight="1">
      <c r="A66" s="58" t="s">
        <v>516</v>
      </c>
      <c r="B66" s="121" t="s">
        <v>767</v>
      </c>
      <c r="C66" s="99" t="s">
        <v>764</v>
      </c>
      <c r="D66" s="122" t="s">
        <v>766</v>
      </c>
      <c r="E66" s="145" t="s">
        <v>638</v>
      </c>
      <c r="F66" s="99" t="s">
        <v>437</v>
      </c>
      <c r="G66" s="155" t="s">
        <v>66</v>
      </c>
      <c r="H66" s="143">
        <f t="shared" si="1"/>
        <v>100</v>
      </c>
    </row>
    <row r="67" ht="22.5" customHeight="1">
      <c r="A67" s="27" t="s">
        <v>443</v>
      </c>
      <c r="B67" s="127" t="s">
        <v>768</v>
      </c>
      <c r="C67" s="128" t="s">
        <v>769</v>
      </c>
      <c r="D67" s="129" t="s">
        <v>770</v>
      </c>
      <c r="E67" s="128" t="s">
        <v>638</v>
      </c>
      <c r="F67" s="128" t="s">
        <v>437</v>
      </c>
      <c r="G67" s="140" t="s">
        <v>66</v>
      </c>
      <c r="H67" s="142">
        <f t="shared" si="1"/>
        <v>100</v>
      </c>
    </row>
    <row r="68" ht="22.5" customHeight="1">
      <c r="A68" s="58" t="s">
        <v>445</v>
      </c>
      <c r="B68" s="121" t="s">
        <v>771</v>
      </c>
      <c r="C68" s="99" t="s">
        <v>772</v>
      </c>
      <c r="D68" s="122" t="s">
        <v>773</v>
      </c>
      <c r="E68" s="145" t="s">
        <v>638</v>
      </c>
      <c r="F68" s="99" t="s">
        <v>437</v>
      </c>
      <c r="G68" s="155" t="s">
        <v>66</v>
      </c>
      <c r="H68" s="143">
        <f t="shared" si="1"/>
        <v>100</v>
      </c>
    </row>
    <row r="69" ht="22.5" customHeight="1">
      <c r="A69" s="27" t="s">
        <v>449</v>
      </c>
      <c r="B69" s="127" t="s">
        <v>774</v>
      </c>
      <c r="C69" s="128" t="s">
        <v>775</v>
      </c>
      <c r="D69" s="129" t="s">
        <v>776</v>
      </c>
      <c r="E69" s="128" t="s">
        <v>638</v>
      </c>
      <c r="F69" s="128" t="s">
        <v>437</v>
      </c>
      <c r="G69" s="140" t="s">
        <v>66</v>
      </c>
      <c r="H69" s="142">
        <f t="shared" si="1"/>
        <v>100</v>
      </c>
    </row>
    <row r="70" ht="22.5" customHeight="1">
      <c r="A70" s="58" t="s">
        <v>453</v>
      </c>
      <c r="B70" s="156" t="s">
        <v>777</v>
      </c>
      <c r="C70" s="99" t="s">
        <v>775</v>
      </c>
      <c r="D70" s="122" t="s">
        <v>776</v>
      </c>
      <c r="E70" s="145" t="s">
        <v>638</v>
      </c>
      <c r="F70" s="99" t="s">
        <v>437</v>
      </c>
      <c r="G70" s="155" t="s">
        <v>66</v>
      </c>
      <c r="H70" s="143">
        <f t="shared" si="1"/>
        <v>100</v>
      </c>
    </row>
    <row r="71" ht="22.5" customHeight="1">
      <c r="A71" s="27" t="s">
        <v>549</v>
      </c>
      <c r="B71" s="127" t="s">
        <v>778</v>
      </c>
      <c r="C71" s="128" t="s">
        <v>779</v>
      </c>
      <c r="D71" s="129" t="s">
        <v>780</v>
      </c>
      <c r="E71" s="128" t="s">
        <v>638</v>
      </c>
      <c r="F71" s="128" t="s">
        <v>437</v>
      </c>
      <c r="G71" s="140" t="s">
        <v>66</v>
      </c>
      <c r="H71" s="142">
        <f t="shared" si="1"/>
        <v>100</v>
      </c>
    </row>
    <row r="72" ht="22.5" customHeight="1">
      <c r="A72" s="58" t="s">
        <v>455</v>
      </c>
      <c r="B72" s="121" t="s">
        <v>781</v>
      </c>
      <c r="C72" s="99" t="s">
        <v>775</v>
      </c>
      <c r="D72" s="122" t="s">
        <v>776</v>
      </c>
      <c r="E72" s="145" t="s">
        <v>638</v>
      </c>
      <c r="F72" s="99" t="s">
        <v>437</v>
      </c>
      <c r="G72" s="155" t="s">
        <v>66</v>
      </c>
      <c r="H72" s="143">
        <f t="shared" si="1"/>
        <v>100</v>
      </c>
    </row>
    <row r="73" ht="22.5" customHeight="1">
      <c r="A73" s="27" t="s">
        <v>510</v>
      </c>
      <c r="B73" s="127" t="s">
        <v>783</v>
      </c>
      <c r="C73" s="128" t="s">
        <v>784</v>
      </c>
      <c r="D73" s="129" t="s">
        <v>786</v>
      </c>
      <c r="E73" s="128" t="s">
        <v>638</v>
      </c>
      <c r="F73" s="128" t="s">
        <v>437</v>
      </c>
      <c r="G73" s="140" t="s">
        <v>66</v>
      </c>
      <c r="H73" s="142">
        <f t="shared" si="1"/>
        <v>100</v>
      </c>
    </row>
    <row r="74" ht="22.5" customHeight="1">
      <c r="A74" s="58" t="s">
        <v>514</v>
      </c>
      <c r="B74" s="121" t="s">
        <v>787</v>
      </c>
      <c r="C74" s="99" t="s">
        <v>784</v>
      </c>
      <c r="D74" s="122" t="s">
        <v>786</v>
      </c>
      <c r="E74" s="145" t="s">
        <v>638</v>
      </c>
      <c r="F74" s="99" t="s">
        <v>437</v>
      </c>
      <c r="G74" s="155" t="s">
        <v>66</v>
      </c>
      <c r="H74" s="143">
        <f t="shared" si="1"/>
        <v>100</v>
      </c>
    </row>
    <row r="75" ht="22.5" customHeight="1">
      <c r="A75" s="27" t="s">
        <v>513</v>
      </c>
      <c r="B75" s="127" t="s">
        <v>788</v>
      </c>
      <c r="C75" s="128" t="s">
        <v>789</v>
      </c>
      <c r="D75" s="129" t="s">
        <v>790</v>
      </c>
      <c r="E75" s="128" t="s">
        <v>638</v>
      </c>
      <c r="F75" s="128" t="s">
        <v>437</v>
      </c>
      <c r="G75" s="140" t="s">
        <v>66</v>
      </c>
      <c r="H75" s="142">
        <f t="shared" si="1"/>
        <v>100</v>
      </c>
    </row>
    <row r="76" ht="22.5" customHeight="1">
      <c r="A76" s="58" t="s">
        <v>506</v>
      </c>
      <c r="B76" s="121" t="s">
        <v>791</v>
      </c>
      <c r="C76" s="99" t="s">
        <v>80</v>
      </c>
      <c r="D76" s="122" t="s">
        <v>792</v>
      </c>
      <c r="E76" s="145" t="s">
        <v>638</v>
      </c>
      <c r="F76" s="99" t="s">
        <v>437</v>
      </c>
      <c r="G76" s="155" t="s">
        <v>66</v>
      </c>
      <c r="H76" s="143">
        <f t="shared" si="1"/>
        <v>100</v>
      </c>
    </row>
    <row r="77" ht="22.5" customHeight="1">
      <c r="A77" s="27" t="s">
        <v>458</v>
      </c>
      <c r="B77" s="127" t="s">
        <v>793</v>
      </c>
      <c r="C77" s="128" t="s">
        <v>794</v>
      </c>
      <c r="D77" s="129" t="s">
        <v>795</v>
      </c>
      <c r="E77" s="128" t="s">
        <v>638</v>
      </c>
      <c r="F77" s="128" t="s">
        <v>437</v>
      </c>
      <c r="G77" s="140" t="s">
        <v>66</v>
      </c>
      <c r="H77" s="142">
        <f t="shared" si="1"/>
        <v>100</v>
      </c>
    </row>
    <row r="78" ht="22.5" customHeight="1">
      <c r="A78" s="58" t="s">
        <v>545</v>
      </c>
      <c r="B78" s="121" t="s">
        <v>796</v>
      </c>
      <c r="C78" s="99" t="s">
        <v>797</v>
      </c>
      <c r="D78" s="122" t="s">
        <v>798</v>
      </c>
      <c r="E78" s="145" t="s">
        <v>638</v>
      </c>
      <c r="F78" s="99" t="s">
        <v>437</v>
      </c>
      <c r="G78" s="155" t="s">
        <v>66</v>
      </c>
      <c r="H78" s="143">
        <f t="shared" si="1"/>
        <v>100</v>
      </c>
    </row>
    <row r="79" ht="22.5" customHeight="1">
      <c r="A79" s="27" t="s">
        <v>460</v>
      </c>
      <c r="B79" s="127" t="s">
        <v>799</v>
      </c>
      <c r="C79" s="128" t="s">
        <v>800</v>
      </c>
      <c r="D79" s="129" t="s">
        <v>801</v>
      </c>
      <c r="E79" s="128" t="s">
        <v>638</v>
      </c>
      <c r="F79" s="128" t="s">
        <v>437</v>
      </c>
      <c r="G79" s="140" t="s">
        <v>66</v>
      </c>
      <c r="H79" s="142">
        <f t="shared" si="1"/>
        <v>100</v>
      </c>
    </row>
    <row r="80" ht="22.5" customHeight="1">
      <c r="A80" s="58" t="s">
        <v>543</v>
      </c>
      <c r="B80" s="121" t="s">
        <v>802</v>
      </c>
      <c r="C80" s="99" t="s">
        <v>803</v>
      </c>
      <c r="D80" s="122" t="s">
        <v>804</v>
      </c>
      <c r="E80" s="145" t="s">
        <v>638</v>
      </c>
      <c r="F80" s="99" t="s">
        <v>437</v>
      </c>
      <c r="G80" s="155" t="s">
        <v>66</v>
      </c>
      <c r="H80" s="143">
        <f t="shared" si="1"/>
        <v>100</v>
      </c>
    </row>
    <row r="81" ht="22.5" customHeight="1">
      <c r="A81" s="27" t="s">
        <v>547</v>
      </c>
      <c r="B81" s="127" t="s">
        <v>805</v>
      </c>
      <c r="C81" s="128" t="s">
        <v>210</v>
      </c>
      <c r="D81" s="129" t="s">
        <v>806</v>
      </c>
      <c r="E81" s="128" t="s">
        <v>638</v>
      </c>
      <c r="F81" s="128" t="s">
        <v>437</v>
      </c>
      <c r="G81" s="140" t="s">
        <v>66</v>
      </c>
      <c r="H81" s="142">
        <f t="shared" si="1"/>
        <v>100</v>
      </c>
    </row>
    <row r="82" ht="22.5" customHeight="1">
      <c r="A82" s="58" t="s">
        <v>419</v>
      </c>
      <c r="B82" s="121" t="s">
        <v>807</v>
      </c>
      <c r="C82" s="99" t="s">
        <v>808</v>
      </c>
      <c r="D82" s="122" t="s">
        <v>809</v>
      </c>
      <c r="E82" s="145" t="s">
        <v>638</v>
      </c>
      <c r="F82" s="99" t="s">
        <v>437</v>
      </c>
      <c r="G82" s="155" t="s">
        <v>66</v>
      </c>
      <c r="H82" s="143">
        <f t="shared" si="1"/>
        <v>100</v>
      </c>
    </row>
    <row r="83" ht="22.5" customHeight="1">
      <c r="A83" s="27" t="s">
        <v>409</v>
      </c>
      <c r="B83" s="157" t="s">
        <v>810</v>
      </c>
      <c r="C83" s="128" t="s">
        <v>811</v>
      </c>
      <c r="D83" s="129" t="s">
        <v>812</v>
      </c>
      <c r="E83" s="128" t="s">
        <v>638</v>
      </c>
      <c r="F83" s="128" t="s">
        <v>437</v>
      </c>
      <c r="G83" s="140" t="s">
        <v>66</v>
      </c>
      <c r="H83" s="142">
        <f t="shared" si="1"/>
        <v>100</v>
      </c>
    </row>
    <row r="84" ht="22.5" customHeight="1">
      <c r="A84" s="58" t="s">
        <v>427</v>
      </c>
      <c r="B84" s="121" t="s">
        <v>813</v>
      </c>
      <c r="C84" s="99" t="s">
        <v>82</v>
      </c>
      <c r="D84" s="122" t="s">
        <v>814</v>
      </c>
      <c r="E84" s="145" t="s">
        <v>638</v>
      </c>
      <c r="F84" s="99" t="s">
        <v>437</v>
      </c>
      <c r="G84" s="155" t="s">
        <v>66</v>
      </c>
      <c r="H84" s="143">
        <f t="shared" si="1"/>
        <v>100</v>
      </c>
    </row>
    <row r="85" ht="22.5" customHeight="1">
      <c r="A85" s="27" t="s">
        <v>399</v>
      </c>
      <c r="B85" s="127" t="s">
        <v>815</v>
      </c>
      <c r="C85" s="128" t="s">
        <v>82</v>
      </c>
      <c r="D85" s="129" t="s">
        <v>814</v>
      </c>
      <c r="E85" s="128" t="s">
        <v>638</v>
      </c>
      <c r="F85" s="128" t="s">
        <v>437</v>
      </c>
      <c r="G85" s="140" t="s">
        <v>66</v>
      </c>
      <c r="H85" s="142">
        <f t="shared" si="1"/>
        <v>100</v>
      </c>
    </row>
    <row r="86" ht="22.5" customHeight="1">
      <c r="A86" s="58" t="s">
        <v>405</v>
      </c>
      <c r="B86" s="158" t="s">
        <v>816</v>
      </c>
      <c r="C86" s="99" t="s">
        <v>817</v>
      </c>
      <c r="D86" s="122" t="s">
        <v>818</v>
      </c>
      <c r="E86" s="145" t="s">
        <v>638</v>
      </c>
      <c r="F86" s="99" t="s">
        <v>437</v>
      </c>
      <c r="G86" s="155" t="s">
        <v>66</v>
      </c>
      <c r="H86" s="143">
        <f t="shared" si="1"/>
        <v>100</v>
      </c>
    </row>
    <row r="87" ht="22.5" customHeight="1">
      <c r="A87" s="27" t="s">
        <v>393</v>
      </c>
      <c r="B87" s="127" t="s">
        <v>819</v>
      </c>
      <c r="C87" s="128" t="s">
        <v>817</v>
      </c>
      <c r="D87" s="129" t="s">
        <v>818</v>
      </c>
      <c r="E87" s="128" t="s">
        <v>638</v>
      </c>
      <c r="F87" s="128" t="s">
        <v>437</v>
      </c>
      <c r="G87" s="140" t="s">
        <v>66</v>
      </c>
      <c r="H87" s="142">
        <f t="shared" si="1"/>
        <v>100</v>
      </c>
    </row>
    <row r="88" ht="22.5" customHeight="1">
      <c r="A88" s="58" t="s">
        <v>413</v>
      </c>
      <c r="B88" s="121" t="s">
        <v>820</v>
      </c>
      <c r="C88" s="99" t="s">
        <v>821</v>
      </c>
      <c r="D88" s="122" t="s">
        <v>822</v>
      </c>
      <c r="E88" s="145" t="s">
        <v>638</v>
      </c>
      <c r="F88" s="99" t="s">
        <v>437</v>
      </c>
      <c r="G88" s="155" t="s">
        <v>66</v>
      </c>
      <c r="H88" s="143">
        <f t="shared" si="1"/>
        <v>100</v>
      </c>
    </row>
    <row r="89" ht="22.5" customHeight="1">
      <c r="A89" s="27" t="s">
        <v>422</v>
      </c>
      <c r="B89" s="127" t="s">
        <v>823</v>
      </c>
      <c r="C89" s="128" t="s">
        <v>824</v>
      </c>
      <c r="D89" s="129" t="s">
        <v>825</v>
      </c>
      <c r="E89" s="128" t="s">
        <v>638</v>
      </c>
      <c r="F89" s="128" t="s">
        <v>437</v>
      </c>
      <c r="G89" s="140" t="s">
        <v>66</v>
      </c>
      <c r="H89" s="142">
        <f t="shared" si="1"/>
        <v>100</v>
      </c>
    </row>
    <row r="90" ht="22.5" customHeight="1">
      <c r="A90" s="58" t="s">
        <v>373</v>
      </c>
      <c r="B90" s="121" t="s">
        <v>826</v>
      </c>
      <c r="C90" s="99" t="s">
        <v>824</v>
      </c>
      <c r="D90" s="122" t="s">
        <v>825</v>
      </c>
      <c r="E90" s="145" t="s">
        <v>638</v>
      </c>
      <c r="F90" s="99" t="s">
        <v>437</v>
      </c>
      <c r="G90" s="155" t="s">
        <v>66</v>
      </c>
      <c r="H90" s="143">
        <f t="shared" si="1"/>
        <v>100</v>
      </c>
    </row>
    <row r="91" ht="22.5" customHeight="1">
      <c r="A91" s="27" t="s">
        <v>389</v>
      </c>
      <c r="B91" s="127" t="s">
        <v>827</v>
      </c>
      <c r="C91" s="128" t="s">
        <v>824</v>
      </c>
      <c r="D91" s="129" t="s">
        <v>825</v>
      </c>
      <c r="E91" s="128" t="s">
        <v>638</v>
      </c>
      <c r="F91" s="128" t="s">
        <v>437</v>
      </c>
      <c r="G91" s="140" t="s">
        <v>66</v>
      </c>
      <c r="H91" s="142">
        <f t="shared" si="1"/>
        <v>100</v>
      </c>
    </row>
    <row r="92" ht="22.5" customHeight="1">
      <c r="A92" s="58" t="s">
        <v>508</v>
      </c>
      <c r="B92" s="121" t="s">
        <v>828</v>
      </c>
      <c r="C92" s="99" t="s">
        <v>829</v>
      </c>
      <c r="D92" s="122" t="s">
        <v>830</v>
      </c>
      <c r="E92" s="145" t="s">
        <v>638</v>
      </c>
      <c r="F92" s="99" t="s">
        <v>437</v>
      </c>
      <c r="G92" s="155" t="s">
        <v>66</v>
      </c>
      <c r="H92" s="143">
        <f t="shared" si="1"/>
        <v>100</v>
      </c>
    </row>
    <row r="93" ht="22.5" customHeight="1">
      <c r="A93" s="27" t="s">
        <v>463</v>
      </c>
      <c r="B93" s="127" t="s">
        <v>831</v>
      </c>
      <c r="C93" s="128" t="s">
        <v>726</v>
      </c>
      <c r="D93" s="129" t="s">
        <v>832</v>
      </c>
      <c r="E93" s="128" t="s">
        <v>638</v>
      </c>
      <c r="F93" s="128" t="s">
        <v>437</v>
      </c>
      <c r="G93" s="140" t="s">
        <v>66</v>
      </c>
      <c r="H93" s="142">
        <f t="shared" si="1"/>
        <v>100</v>
      </c>
    </row>
    <row r="94" ht="22.5" customHeight="1">
      <c r="A94" s="58" t="s">
        <v>465</v>
      </c>
      <c r="B94" s="121" t="s">
        <v>833</v>
      </c>
      <c r="C94" s="99" t="s">
        <v>726</v>
      </c>
      <c r="D94" s="122" t="s">
        <v>832</v>
      </c>
      <c r="E94" s="145" t="s">
        <v>638</v>
      </c>
      <c r="F94" s="99" t="s">
        <v>437</v>
      </c>
      <c r="G94" s="155" t="s">
        <v>66</v>
      </c>
      <c r="H94" s="143">
        <f t="shared" si="1"/>
        <v>100</v>
      </c>
    </row>
    <row r="95" ht="22.5" customHeight="1">
      <c r="A95" s="27" t="s">
        <v>546</v>
      </c>
      <c r="B95" s="127" t="s">
        <v>834</v>
      </c>
      <c r="C95" s="128" t="s">
        <v>740</v>
      </c>
      <c r="D95" s="129" t="s">
        <v>835</v>
      </c>
      <c r="E95" s="128" t="s">
        <v>638</v>
      </c>
      <c r="F95" s="128" t="s">
        <v>437</v>
      </c>
      <c r="G95" s="140" t="s">
        <v>66</v>
      </c>
      <c r="H95" s="142">
        <f t="shared" si="1"/>
        <v>100</v>
      </c>
    </row>
    <row r="96" ht="22.5" customHeight="1">
      <c r="A96" s="132" t="s">
        <v>471</v>
      </c>
      <c r="B96" s="133" t="s">
        <v>836</v>
      </c>
      <c r="C96" s="134" t="s">
        <v>100</v>
      </c>
      <c r="D96" s="152" t="s">
        <v>837</v>
      </c>
      <c r="E96" s="134" t="s">
        <v>616</v>
      </c>
      <c r="F96" s="134" t="s">
        <v>327</v>
      </c>
      <c r="G96" s="159" t="s">
        <v>5</v>
      </c>
      <c r="H96" s="73">
        <f t="shared" si="1"/>
        <v>500</v>
      </c>
    </row>
    <row r="97" ht="22.5" customHeight="1">
      <c r="A97" s="27" t="s">
        <v>470</v>
      </c>
      <c r="B97" s="127" t="s">
        <v>838</v>
      </c>
      <c r="C97" s="128" t="s">
        <v>94</v>
      </c>
      <c r="D97" s="129" t="s">
        <v>837</v>
      </c>
      <c r="E97" s="137" t="s">
        <v>616</v>
      </c>
      <c r="F97" s="128" t="s">
        <v>327</v>
      </c>
      <c r="G97" s="140" t="s">
        <v>5</v>
      </c>
      <c r="H97" s="73">
        <f t="shared" si="1"/>
        <v>500</v>
      </c>
    </row>
    <row r="98" ht="22.5" customHeight="1">
      <c r="A98" s="58" t="s">
        <v>466</v>
      </c>
      <c r="B98" s="158" t="s">
        <v>839</v>
      </c>
      <c r="C98" s="99" t="s">
        <v>840</v>
      </c>
      <c r="D98" s="154" t="s">
        <v>837</v>
      </c>
      <c r="E98" s="99" t="s">
        <v>616</v>
      </c>
      <c r="F98" s="99" t="s">
        <v>327</v>
      </c>
      <c r="G98" s="155" t="s">
        <v>68</v>
      </c>
      <c r="H98" s="73">
        <f t="shared" si="1"/>
        <v>500</v>
      </c>
    </row>
    <row r="99" ht="22.5" customHeight="1">
      <c r="A99" s="27" t="s">
        <v>468</v>
      </c>
      <c r="B99" s="127" t="s">
        <v>841</v>
      </c>
      <c r="C99" s="128" t="s">
        <v>109</v>
      </c>
      <c r="D99" s="129" t="s">
        <v>837</v>
      </c>
      <c r="E99" s="137" t="s">
        <v>616</v>
      </c>
      <c r="F99" s="128" t="s">
        <v>327</v>
      </c>
      <c r="G99" s="140" t="s">
        <v>66</v>
      </c>
      <c r="H99" s="142">
        <f t="shared" si="1"/>
        <v>100</v>
      </c>
    </row>
    <row r="100" ht="22.5" customHeight="1">
      <c r="A100" s="58" t="s">
        <v>467</v>
      </c>
      <c r="B100" s="158" t="s">
        <v>842</v>
      </c>
      <c r="C100" s="99" t="s">
        <v>843</v>
      </c>
      <c r="D100" s="154" t="s">
        <v>837</v>
      </c>
      <c r="E100" s="99" t="s">
        <v>616</v>
      </c>
      <c r="F100" s="99" t="s">
        <v>327</v>
      </c>
      <c r="G100" s="155" t="s">
        <v>66</v>
      </c>
      <c r="H100" s="143">
        <f t="shared" si="1"/>
        <v>100</v>
      </c>
    </row>
    <row r="101" ht="22.5" customHeight="1">
      <c r="A101" s="160" t="s">
        <v>844</v>
      </c>
      <c r="B101" s="90" t="s">
        <v>845</v>
      </c>
      <c r="C101" s="90" t="s">
        <v>112</v>
      </c>
      <c r="D101" s="161" t="s">
        <v>837</v>
      </c>
      <c r="E101" s="162" t="s">
        <v>616</v>
      </c>
      <c r="F101" s="162" t="s">
        <v>327</v>
      </c>
      <c r="G101" s="163" t="s">
        <v>66</v>
      </c>
      <c r="H101" s="142">
        <f t="shared" si="1"/>
        <v>100</v>
      </c>
      <c r="I101" s="164"/>
      <c r="J101" s="164"/>
      <c r="K101" s="164"/>
      <c r="L101" s="164"/>
      <c r="M101" s="164"/>
      <c r="N101" s="164"/>
      <c r="O101" s="164"/>
      <c r="P101" s="164"/>
      <c r="Q101" s="164"/>
      <c r="R101" s="164"/>
      <c r="S101" s="164"/>
    </row>
    <row r="102" ht="22.5" customHeight="1">
      <c r="A102" s="58" t="s">
        <v>469</v>
      </c>
      <c r="B102" s="127" t="s">
        <v>846</v>
      </c>
      <c r="C102" s="128" t="s">
        <v>847</v>
      </c>
      <c r="D102" s="129" t="s">
        <v>837</v>
      </c>
      <c r="E102" s="137" t="s">
        <v>616</v>
      </c>
      <c r="F102" s="128" t="s">
        <v>327</v>
      </c>
      <c r="G102" s="140" t="s">
        <v>66</v>
      </c>
      <c r="H102" s="142">
        <f t="shared" si="1"/>
        <v>100</v>
      </c>
    </row>
    <row r="103" ht="22.5" customHeight="1">
      <c r="A103" s="58" t="s">
        <v>464</v>
      </c>
      <c r="B103" s="158" t="s">
        <v>848</v>
      </c>
      <c r="C103" s="99" t="s">
        <v>849</v>
      </c>
      <c r="D103" s="154" t="s">
        <v>837</v>
      </c>
      <c r="E103" s="99" t="s">
        <v>616</v>
      </c>
      <c r="F103" s="99" t="s">
        <v>327</v>
      </c>
      <c r="G103" s="155" t="s">
        <v>66</v>
      </c>
      <c r="H103" s="143">
        <f t="shared" si="1"/>
        <v>100</v>
      </c>
    </row>
    <row r="104" ht="22.5" customHeight="1">
      <c r="A104" s="27" t="s">
        <v>451</v>
      </c>
      <c r="B104" s="127" t="s">
        <v>850</v>
      </c>
      <c r="C104" s="128" t="s">
        <v>210</v>
      </c>
      <c r="D104" s="129" t="s">
        <v>851</v>
      </c>
      <c r="E104" s="128" t="s">
        <v>638</v>
      </c>
      <c r="F104" s="128" t="s">
        <v>327</v>
      </c>
      <c r="G104" s="140" t="s">
        <v>66</v>
      </c>
      <c r="H104" s="142">
        <f t="shared" si="1"/>
        <v>100</v>
      </c>
    </row>
    <row r="105" ht="22.5" customHeight="1">
      <c r="A105" s="58" t="s">
        <v>447</v>
      </c>
      <c r="B105" s="121" t="s">
        <v>852</v>
      </c>
      <c r="C105" s="99" t="s">
        <v>210</v>
      </c>
      <c r="D105" s="122" t="s">
        <v>851</v>
      </c>
      <c r="E105" s="145" t="s">
        <v>638</v>
      </c>
      <c r="F105" s="99" t="s">
        <v>327</v>
      </c>
      <c r="G105" s="155" t="s">
        <v>66</v>
      </c>
      <c r="H105" s="143">
        <f t="shared" si="1"/>
        <v>100</v>
      </c>
    </row>
    <row r="106" ht="22.5" customHeight="1">
      <c r="A106" s="27" t="s">
        <v>459</v>
      </c>
      <c r="B106" s="127" t="s">
        <v>853</v>
      </c>
      <c r="C106" s="128" t="s">
        <v>854</v>
      </c>
      <c r="D106" s="129" t="s">
        <v>855</v>
      </c>
      <c r="E106" s="128" t="s">
        <v>638</v>
      </c>
      <c r="F106" s="128" t="s">
        <v>327</v>
      </c>
      <c r="G106" s="140" t="s">
        <v>66</v>
      </c>
      <c r="H106" s="142">
        <f t="shared" si="1"/>
        <v>100</v>
      </c>
    </row>
    <row r="107" ht="22.5" customHeight="1">
      <c r="A107" s="58" t="s">
        <v>454</v>
      </c>
      <c r="B107" s="121" t="s">
        <v>856</v>
      </c>
      <c r="C107" s="99" t="s">
        <v>857</v>
      </c>
      <c r="D107" s="122" t="s">
        <v>855</v>
      </c>
      <c r="E107" s="145" t="s">
        <v>638</v>
      </c>
      <c r="F107" s="99" t="s">
        <v>327</v>
      </c>
      <c r="G107" s="155" t="s">
        <v>66</v>
      </c>
      <c r="H107" s="143">
        <f t="shared" si="1"/>
        <v>100</v>
      </c>
    </row>
    <row r="108" ht="22.5" customHeight="1">
      <c r="A108" s="27" t="s">
        <v>457</v>
      </c>
      <c r="B108" s="127" t="s">
        <v>858</v>
      </c>
      <c r="C108" s="128" t="s">
        <v>859</v>
      </c>
      <c r="D108" s="129" t="s">
        <v>860</v>
      </c>
      <c r="E108" s="128" t="s">
        <v>638</v>
      </c>
      <c r="F108" s="128" t="s">
        <v>327</v>
      </c>
      <c r="G108" s="140" t="s">
        <v>66</v>
      </c>
      <c r="H108" s="142">
        <f t="shared" si="1"/>
        <v>100</v>
      </c>
    </row>
    <row r="109" ht="22.5" customHeight="1">
      <c r="A109" s="58" t="s">
        <v>567</v>
      </c>
      <c r="B109" s="121" t="s">
        <v>861</v>
      </c>
      <c r="C109" s="99" t="s">
        <v>769</v>
      </c>
      <c r="D109" s="122" t="s">
        <v>862</v>
      </c>
      <c r="E109" s="145" t="s">
        <v>638</v>
      </c>
      <c r="F109" s="99" t="s">
        <v>327</v>
      </c>
      <c r="G109" s="155" t="s">
        <v>66</v>
      </c>
      <c r="H109" s="143">
        <f t="shared" si="1"/>
        <v>100</v>
      </c>
    </row>
    <row r="110" ht="22.5" customHeight="1">
      <c r="A110" s="27" t="s">
        <v>569</v>
      </c>
      <c r="B110" s="127" t="s">
        <v>863</v>
      </c>
      <c r="C110" s="128" t="s">
        <v>864</v>
      </c>
      <c r="D110" s="129" t="s">
        <v>865</v>
      </c>
      <c r="E110" s="128" t="s">
        <v>638</v>
      </c>
      <c r="F110" s="128" t="s">
        <v>327</v>
      </c>
      <c r="G110" s="140" t="s">
        <v>66</v>
      </c>
      <c r="H110" s="142">
        <f t="shared" si="1"/>
        <v>100</v>
      </c>
    </row>
    <row r="111" ht="22.5" customHeight="1">
      <c r="A111" s="58" t="s">
        <v>562</v>
      </c>
      <c r="B111" s="121" t="s">
        <v>866</v>
      </c>
      <c r="C111" s="99" t="s">
        <v>867</v>
      </c>
      <c r="D111" s="122" t="s">
        <v>865</v>
      </c>
      <c r="E111" s="145" t="s">
        <v>638</v>
      </c>
      <c r="F111" s="99" t="s">
        <v>327</v>
      </c>
      <c r="G111" s="155" t="s">
        <v>66</v>
      </c>
      <c r="H111" s="143">
        <f t="shared" si="1"/>
        <v>100</v>
      </c>
    </row>
    <row r="112" ht="22.5" customHeight="1">
      <c r="A112" s="27" t="s">
        <v>553</v>
      </c>
      <c r="B112" s="127" t="s">
        <v>868</v>
      </c>
      <c r="C112" s="128" t="s">
        <v>772</v>
      </c>
      <c r="D112" s="129" t="s">
        <v>869</v>
      </c>
      <c r="E112" s="128" t="s">
        <v>638</v>
      </c>
      <c r="F112" s="128" t="s">
        <v>327</v>
      </c>
      <c r="G112" s="140" t="s">
        <v>66</v>
      </c>
      <c r="H112" s="142">
        <f t="shared" si="1"/>
        <v>100</v>
      </c>
    </row>
    <row r="113" ht="22.5" customHeight="1">
      <c r="A113" s="58" t="s">
        <v>555</v>
      </c>
      <c r="B113" s="121" t="s">
        <v>870</v>
      </c>
      <c r="C113" s="99" t="s">
        <v>772</v>
      </c>
      <c r="D113" s="122" t="s">
        <v>869</v>
      </c>
      <c r="E113" s="145" t="s">
        <v>638</v>
      </c>
      <c r="F113" s="99" t="s">
        <v>327</v>
      </c>
      <c r="G113" s="155" t="s">
        <v>66</v>
      </c>
      <c r="H113" s="143">
        <f t="shared" si="1"/>
        <v>100</v>
      </c>
    </row>
    <row r="114" ht="22.5" customHeight="1">
      <c r="A114" s="27" t="s">
        <v>557</v>
      </c>
      <c r="B114" s="127" t="s">
        <v>872</v>
      </c>
      <c r="C114" s="128" t="s">
        <v>873</v>
      </c>
      <c r="D114" s="129" t="s">
        <v>874</v>
      </c>
      <c r="E114" s="128" t="s">
        <v>638</v>
      </c>
      <c r="F114" s="128" t="s">
        <v>327</v>
      </c>
      <c r="G114" s="140" t="s">
        <v>66</v>
      </c>
      <c r="H114" s="142">
        <f t="shared" si="1"/>
        <v>100</v>
      </c>
    </row>
    <row r="115" ht="22.5" customHeight="1">
      <c r="A115" s="58" t="s">
        <v>561</v>
      </c>
      <c r="B115" s="121" t="s">
        <v>875</v>
      </c>
      <c r="C115" s="99" t="s">
        <v>876</v>
      </c>
      <c r="D115" s="122" t="s">
        <v>874</v>
      </c>
      <c r="E115" s="145" t="s">
        <v>638</v>
      </c>
      <c r="F115" s="99" t="s">
        <v>327</v>
      </c>
      <c r="G115" s="155" t="s">
        <v>66</v>
      </c>
      <c r="H115" s="143">
        <f t="shared" si="1"/>
        <v>100</v>
      </c>
    </row>
    <row r="116" ht="22.5" customHeight="1">
      <c r="A116" s="27" t="s">
        <v>472</v>
      </c>
      <c r="B116" s="127" t="s">
        <v>877</v>
      </c>
      <c r="C116" s="128" t="s">
        <v>878</v>
      </c>
      <c r="D116" s="129" t="s">
        <v>879</v>
      </c>
      <c r="E116" s="128" t="s">
        <v>638</v>
      </c>
      <c r="F116" s="128" t="s">
        <v>327</v>
      </c>
      <c r="G116" s="140" t="s">
        <v>66</v>
      </c>
      <c r="H116" s="142">
        <f t="shared" si="1"/>
        <v>100</v>
      </c>
    </row>
    <row r="117" ht="22.5" customHeight="1">
      <c r="A117" s="58" t="s">
        <v>474</v>
      </c>
      <c r="B117" s="121" t="s">
        <v>880</v>
      </c>
      <c r="C117" s="99" t="s">
        <v>881</v>
      </c>
      <c r="D117" s="122" t="s">
        <v>882</v>
      </c>
      <c r="E117" s="145" t="s">
        <v>638</v>
      </c>
      <c r="F117" s="99" t="s">
        <v>327</v>
      </c>
      <c r="G117" s="155" t="s">
        <v>66</v>
      </c>
      <c r="H117" s="143">
        <f t="shared" si="1"/>
        <v>100</v>
      </c>
    </row>
    <row r="118" ht="22.5" customHeight="1">
      <c r="A118" s="27" t="s">
        <v>478</v>
      </c>
      <c r="B118" s="127" t="s">
        <v>883</v>
      </c>
      <c r="C118" s="128" t="s">
        <v>884</v>
      </c>
      <c r="D118" s="129" t="s">
        <v>882</v>
      </c>
      <c r="E118" s="128" t="s">
        <v>638</v>
      </c>
      <c r="F118" s="128" t="s">
        <v>327</v>
      </c>
      <c r="G118" s="140" t="s">
        <v>66</v>
      </c>
      <c r="H118" s="142">
        <f t="shared" si="1"/>
        <v>100</v>
      </c>
    </row>
    <row r="119" ht="22.5" customHeight="1">
      <c r="A119" s="58" t="s">
        <v>568</v>
      </c>
      <c r="B119" s="121" t="s">
        <v>885</v>
      </c>
      <c r="C119" s="99" t="s">
        <v>886</v>
      </c>
      <c r="D119" s="122" t="s">
        <v>887</v>
      </c>
      <c r="E119" s="145" t="s">
        <v>638</v>
      </c>
      <c r="F119" s="99" t="s">
        <v>327</v>
      </c>
      <c r="G119" s="155" t="s">
        <v>66</v>
      </c>
      <c r="H119" s="143">
        <f t="shared" si="1"/>
        <v>100</v>
      </c>
    </row>
    <row r="120" ht="22.5" customHeight="1">
      <c r="A120" s="27" t="s">
        <v>481</v>
      </c>
      <c r="B120" s="127" t="s">
        <v>889</v>
      </c>
      <c r="C120" s="128" t="s">
        <v>890</v>
      </c>
      <c r="D120" s="129" t="s">
        <v>891</v>
      </c>
      <c r="E120" s="128" t="s">
        <v>638</v>
      </c>
      <c r="F120" s="128" t="s">
        <v>327</v>
      </c>
      <c r="G120" s="140" t="s">
        <v>66</v>
      </c>
      <c r="H120" s="142">
        <f t="shared" si="1"/>
        <v>100</v>
      </c>
    </row>
    <row r="121" ht="22.5" customHeight="1">
      <c r="A121" s="58" t="s">
        <v>566</v>
      </c>
      <c r="B121" s="121" t="s">
        <v>892</v>
      </c>
      <c r="C121" s="99" t="s">
        <v>893</v>
      </c>
      <c r="D121" s="122" t="s">
        <v>894</v>
      </c>
      <c r="E121" s="145" t="s">
        <v>638</v>
      </c>
      <c r="F121" s="99" t="s">
        <v>327</v>
      </c>
      <c r="G121" s="155" t="s">
        <v>66</v>
      </c>
      <c r="H121" s="143">
        <f t="shared" si="1"/>
        <v>100</v>
      </c>
    </row>
    <row r="122" ht="22.5" customHeight="1">
      <c r="A122" s="27" t="s">
        <v>563</v>
      </c>
      <c r="B122" s="127" t="s">
        <v>895</v>
      </c>
      <c r="C122" s="128" t="s">
        <v>893</v>
      </c>
      <c r="D122" s="129" t="s">
        <v>894</v>
      </c>
      <c r="E122" s="128" t="s">
        <v>638</v>
      </c>
      <c r="F122" s="128" t="s">
        <v>327</v>
      </c>
      <c r="G122" s="140" t="s">
        <v>66</v>
      </c>
      <c r="H122" s="142">
        <f t="shared" si="1"/>
        <v>100</v>
      </c>
    </row>
    <row r="123" ht="22.5" customHeight="1">
      <c r="A123" s="58" t="s">
        <v>564</v>
      </c>
      <c r="B123" s="158" t="s">
        <v>896</v>
      </c>
      <c r="C123" s="99" t="s">
        <v>859</v>
      </c>
      <c r="D123" s="122" t="s">
        <v>897</v>
      </c>
      <c r="E123" s="145" t="s">
        <v>638</v>
      </c>
      <c r="F123" s="99" t="s">
        <v>327</v>
      </c>
      <c r="G123" s="155" t="s">
        <v>66</v>
      </c>
      <c r="H123" s="143">
        <f t="shared" si="1"/>
        <v>100</v>
      </c>
    </row>
    <row r="124" ht="22.5" customHeight="1">
      <c r="A124" s="27" t="s">
        <v>483</v>
      </c>
      <c r="B124" s="127" t="s">
        <v>898</v>
      </c>
      <c r="C124" s="128" t="s">
        <v>210</v>
      </c>
      <c r="D124" s="129" t="s">
        <v>899</v>
      </c>
      <c r="E124" s="128" t="s">
        <v>638</v>
      </c>
      <c r="F124" s="128" t="s">
        <v>327</v>
      </c>
      <c r="G124" s="140" t="s">
        <v>66</v>
      </c>
      <c r="H124" s="142">
        <f t="shared" si="1"/>
        <v>100</v>
      </c>
    </row>
    <row r="125" ht="22.5" customHeight="1">
      <c r="A125" s="58" t="s">
        <v>461</v>
      </c>
      <c r="B125" s="121" t="s">
        <v>900</v>
      </c>
      <c r="C125" s="99" t="s">
        <v>901</v>
      </c>
      <c r="D125" s="122" t="s">
        <v>902</v>
      </c>
      <c r="E125" s="145" t="s">
        <v>638</v>
      </c>
      <c r="F125" s="99" t="s">
        <v>327</v>
      </c>
      <c r="G125" s="155" t="s">
        <v>66</v>
      </c>
      <c r="H125" s="143">
        <f t="shared" si="1"/>
        <v>100</v>
      </c>
    </row>
    <row r="126" ht="22.5" customHeight="1">
      <c r="A126" s="27" t="s">
        <v>486</v>
      </c>
      <c r="B126" s="127" t="s">
        <v>903</v>
      </c>
      <c r="C126" s="128" t="s">
        <v>904</v>
      </c>
      <c r="D126" s="129" t="s">
        <v>902</v>
      </c>
      <c r="E126" s="128" t="s">
        <v>638</v>
      </c>
      <c r="F126" s="128" t="s">
        <v>327</v>
      </c>
      <c r="G126" s="140" t="s">
        <v>66</v>
      </c>
      <c r="H126" s="142">
        <f t="shared" si="1"/>
        <v>100</v>
      </c>
    </row>
    <row r="127" ht="22.5" customHeight="1">
      <c r="A127" s="58" t="s">
        <v>558</v>
      </c>
      <c r="B127" s="165" t="s">
        <v>905</v>
      </c>
      <c r="C127" s="166" t="s">
        <v>906</v>
      </c>
      <c r="D127" s="167" t="s">
        <v>902</v>
      </c>
      <c r="E127" s="145" t="s">
        <v>638</v>
      </c>
      <c r="F127" s="166" t="s">
        <v>327</v>
      </c>
      <c r="G127" s="168" t="s">
        <v>66</v>
      </c>
      <c r="H127" s="143">
        <f t="shared" si="1"/>
        <v>100</v>
      </c>
    </row>
    <row r="128" ht="22.5" customHeight="1">
      <c r="A128" s="169" t="s">
        <v>377</v>
      </c>
      <c r="B128" s="169" t="s">
        <v>370</v>
      </c>
      <c r="C128" s="169" t="s">
        <v>907</v>
      </c>
      <c r="D128" s="170" t="s">
        <v>902</v>
      </c>
      <c r="E128" s="171" t="s">
        <v>616</v>
      </c>
      <c r="F128" s="172" t="s">
        <v>327</v>
      </c>
      <c r="G128" s="169" t="s">
        <v>400</v>
      </c>
      <c r="H128" s="173">
        <f t="shared" si="1"/>
        <v>10</v>
      </c>
      <c r="I128" s="174"/>
      <c r="J128" s="174"/>
      <c r="K128" s="174"/>
      <c r="L128" s="174"/>
      <c r="M128" s="174"/>
      <c r="N128" s="174"/>
      <c r="O128" s="174"/>
      <c r="P128" s="174"/>
      <c r="Q128" s="174"/>
      <c r="R128" s="174"/>
      <c r="S128" s="174"/>
    </row>
    <row r="129" ht="22.5" customHeight="1">
      <c r="A129" s="48" t="s">
        <v>383</v>
      </c>
      <c r="B129" s="48" t="s">
        <v>382</v>
      </c>
      <c r="C129" s="48" t="s">
        <v>909</v>
      </c>
      <c r="D129" s="73" t="s">
        <v>902</v>
      </c>
      <c r="E129" s="128" t="s">
        <v>638</v>
      </c>
      <c r="F129" s="166" t="s">
        <v>327</v>
      </c>
      <c r="G129" s="48" t="s">
        <v>400</v>
      </c>
      <c r="H129" s="175">
        <f t="shared" si="1"/>
        <v>10</v>
      </c>
    </row>
    <row r="130" ht="22.5" customHeight="1">
      <c r="A130" s="48" t="s">
        <v>388</v>
      </c>
      <c r="B130" s="48" t="s">
        <v>387</v>
      </c>
      <c r="C130" s="48" t="s">
        <v>910</v>
      </c>
      <c r="D130" s="73" t="s">
        <v>902</v>
      </c>
      <c r="E130" s="128" t="s">
        <v>638</v>
      </c>
      <c r="F130" s="166" t="s">
        <v>327</v>
      </c>
      <c r="G130" s="48" t="s">
        <v>400</v>
      </c>
      <c r="H130" s="175">
        <f t="shared" si="1"/>
        <v>10</v>
      </c>
    </row>
    <row r="131" ht="22.5" customHeight="1">
      <c r="A131" s="48" t="s">
        <v>403</v>
      </c>
      <c r="B131" s="48" t="s">
        <v>433</v>
      </c>
      <c r="C131" s="48" t="s">
        <v>911</v>
      </c>
      <c r="D131" s="73" t="s">
        <v>912</v>
      </c>
      <c r="E131" s="128" t="s">
        <v>638</v>
      </c>
      <c r="F131" s="166" t="s">
        <v>327</v>
      </c>
      <c r="G131" s="48" t="s">
        <v>400</v>
      </c>
      <c r="H131" s="175">
        <f t="shared" si="1"/>
        <v>10</v>
      </c>
    </row>
    <row r="132" ht="22.5" customHeight="1">
      <c r="A132" s="48" t="s">
        <v>407</v>
      </c>
      <c r="B132" s="48" t="s">
        <v>441</v>
      </c>
      <c r="C132" s="48" t="s">
        <v>911</v>
      </c>
      <c r="D132" s="73" t="s">
        <v>912</v>
      </c>
      <c r="E132" s="128" t="s">
        <v>638</v>
      </c>
      <c r="F132" s="166" t="s">
        <v>327</v>
      </c>
      <c r="G132" s="48" t="s">
        <v>400</v>
      </c>
      <c r="H132" s="175">
        <f t="shared" si="1"/>
        <v>10</v>
      </c>
    </row>
    <row r="133" ht="22.5" customHeight="1">
      <c r="A133" s="48" t="s">
        <v>391</v>
      </c>
      <c r="B133" s="48" t="s">
        <v>408</v>
      </c>
      <c r="C133" s="48" t="s">
        <v>913</v>
      </c>
      <c r="D133" s="73" t="s">
        <v>914</v>
      </c>
      <c r="E133" s="128" t="s">
        <v>638</v>
      </c>
      <c r="F133" s="166" t="s">
        <v>327</v>
      </c>
      <c r="G133" s="48" t="s">
        <v>400</v>
      </c>
      <c r="H133" s="175">
        <f t="shared" si="1"/>
        <v>10</v>
      </c>
    </row>
    <row r="134" ht="22.5" customHeight="1">
      <c r="A134" s="48" t="s">
        <v>395</v>
      </c>
      <c r="B134" s="48" t="s">
        <v>411</v>
      </c>
      <c r="C134" s="48" t="s">
        <v>210</v>
      </c>
      <c r="D134" s="73" t="s">
        <v>851</v>
      </c>
      <c r="E134" s="128" t="s">
        <v>638</v>
      </c>
      <c r="F134" s="166" t="s">
        <v>327</v>
      </c>
      <c r="G134" s="48" t="s">
        <v>400</v>
      </c>
      <c r="H134" s="175">
        <f t="shared" si="1"/>
        <v>10</v>
      </c>
    </row>
    <row r="135" ht="22.5" customHeight="1">
      <c r="A135" s="48" t="s">
        <v>397</v>
      </c>
      <c r="B135" s="48" t="s">
        <v>415</v>
      </c>
      <c r="C135" s="48" t="s">
        <v>210</v>
      </c>
      <c r="D135" s="73" t="s">
        <v>851</v>
      </c>
      <c r="E135" s="128" t="s">
        <v>638</v>
      </c>
      <c r="F135" s="166" t="s">
        <v>327</v>
      </c>
      <c r="G135" s="48" t="s">
        <v>400</v>
      </c>
      <c r="H135" s="175">
        <f t="shared" si="1"/>
        <v>10</v>
      </c>
    </row>
    <row r="136" ht="22.5" customHeight="1">
      <c r="A136" s="48" t="s">
        <v>225</v>
      </c>
      <c r="B136" s="48" t="s">
        <v>424</v>
      </c>
      <c r="C136" s="48" t="s">
        <v>915</v>
      </c>
      <c r="D136" s="73" t="s">
        <v>916</v>
      </c>
      <c r="E136" s="128" t="s">
        <v>638</v>
      </c>
      <c r="F136" s="166" t="s">
        <v>327</v>
      </c>
      <c r="G136" s="48" t="s">
        <v>400</v>
      </c>
      <c r="H136" s="175">
        <f t="shared" si="1"/>
        <v>10</v>
      </c>
    </row>
    <row r="137" ht="22.5" customHeight="1">
      <c r="A137" s="48" t="s">
        <v>416</v>
      </c>
      <c r="B137" s="48" t="s">
        <v>392</v>
      </c>
      <c r="C137" s="48" t="s">
        <v>918</v>
      </c>
      <c r="D137" s="73" t="s">
        <v>855</v>
      </c>
      <c r="E137" s="128" t="s">
        <v>638</v>
      </c>
      <c r="F137" s="166" t="s">
        <v>327</v>
      </c>
      <c r="G137" s="48" t="s">
        <v>400</v>
      </c>
      <c r="H137" s="175">
        <f t="shared" si="1"/>
        <v>10</v>
      </c>
    </row>
    <row r="138" ht="22.5" customHeight="1">
      <c r="A138" s="48" t="s">
        <v>418</v>
      </c>
      <c r="B138" s="48" t="s">
        <v>396</v>
      </c>
      <c r="C138" s="48" t="s">
        <v>918</v>
      </c>
      <c r="D138" s="73" t="s">
        <v>855</v>
      </c>
      <c r="E138" s="128" t="s">
        <v>638</v>
      </c>
      <c r="F138" s="166" t="s">
        <v>327</v>
      </c>
      <c r="G138" s="48" t="s">
        <v>400</v>
      </c>
      <c r="H138" s="175">
        <f t="shared" si="1"/>
        <v>10</v>
      </c>
    </row>
    <row r="139" ht="22.5" customHeight="1">
      <c r="A139" s="48" t="s">
        <v>365</v>
      </c>
      <c r="B139" s="48" t="s">
        <v>426</v>
      </c>
      <c r="C139" s="48" t="s">
        <v>919</v>
      </c>
      <c r="D139" s="73" t="s">
        <v>920</v>
      </c>
      <c r="E139" s="128" t="s">
        <v>638</v>
      </c>
      <c r="F139" s="166" t="s">
        <v>327</v>
      </c>
      <c r="G139" s="48" t="s">
        <v>400</v>
      </c>
      <c r="H139" s="175">
        <f t="shared" si="1"/>
        <v>10</v>
      </c>
    </row>
    <row r="140" ht="22.5" customHeight="1">
      <c r="A140" s="48" t="s">
        <v>367</v>
      </c>
      <c r="B140" s="48" t="s">
        <v>452</v>
      </c>
      <c r="C140" s="48" t="s">
        <v>921</v>
      </c>
      <c r="D140" s="73" t="s">
        <v>922</v>
      </c>
      <c r="E140" s="128" t="s">
        <v>638</v>
      </c>
      <c r="F140" s="166" t="s">
        <v>327</v>
      </c>
      <c r="G140" s="48" t="s">
        <v>400</v>
      </c>
      <c r="H140" s="175">
        <f t="shared" si="1"/>
        <v>10</v>
      </c>
    </row>
    <row r="141" ht="22.5" customHeight="1">
      <c r="A141" s="48" t="s">
        <v>372</v>
      </c>
      <c r="B141" s="48" t="s">
        <v>456</v>
      </c>
      <c r="C141" s="48" t="s">
        <v>921</v>
      </c>
      <c r="D141" s="73" t="s">
        <v>922</v>
      </c>
      <c r="E141" s="128" t="s">
        <v>638</v>
      </c>
      <c r="F141" s="166" t="s">
        <v>327</v>
      </c>
      <c r="G141" s="48" t="s">
        <v>400</v>
      </c>
      <c r="H141" s="175">
        <f t="shared" si="1"/>
        <v>10</v>
      </c>
    </row>
    <row r="142" ht="22.5" customHeight="1">
      <c r="A142" s="132" t="s">
        <v>923</v>
      </c>
      <c r="B142" s="139" t="s">
        <v>924</v>
      </c>
      <c r="C142" s="128" t="s">
        <v>925</v>
      </c>
      <c r="D142" s="176" t="s">
        <v>837</v>
      </c>
      <c r="E142" s="128" t="s">
        <v>616</v>
      </c>
      <c r="F142" s="128" t="s">
        <v>327</v>
      </c>
      <c r="G142" s="140" t="s">
        <v>926</v>
      </c>
      <c r="H142" s="142" t="str">
        <f t="shared" si="1"/>
        <v>#N/A</v>
      </c>
    </row>
    <row r="143" ht="22.5" customHeight="1">
      <c r="A143" s="132" t="s">
        <v>927</v>
      </c>
      <c r="B143" s="158" t="s">
        <v>928</v>
      </c>
      <c r="C143" s="99" t="s">
        <v>929</v>
      </c>
      <c r="D143" s="138" t="s">
        <v>930</v>
      </c>
      <c r="E143" s="177" t="s">
        <v>638</v>
      </c>
      <c r="F143" s="99" t="s">
        <v>327</v>
      </c>
      <c r="G143" s="155" t="s">
        <v>926</v>
      </c>
      <c r="H143" s="143" t="str">
        <f t="shared" si="1"/>
        <v>#N/A</v>
      </c>
    </row>
    <row r="144" ht="22.5" customHeight="1">
      <c r="A144" s="132" t="s">
        <v>931</v>
      </c>
      <c r="B144" s="139" t="s">
        <v>932</v>
      </c>
      <c r="C144" s="128" t="s">
        <v>933</v>
      </c>
      <c r="D144" s="178" t="s">
        <v>934</v>
      </c>
      <c r="E144" s="128" t="s">
        <v>638</v>
      </c>
      <c r="F144" s="128" t="s">
        <v>327</v>
      </c>
      <c r="G144" s="140" t="s">
        <v>926</v>
      </c>
      <c r="H144" s="142" t="str">
        <f t="shared" si="1"/>
        <v>#N/A</v>
      </c>
    </row>
    <row r="145" ht="22.5" customHeight="1">
      <c r="A145" s="58" t="s">
        <v>935</v>
      </c>
      <c r="B145" s="158" t="s">
        <v>936</v>
      </c>
      <c r="C145" s="179" t="s">
        <v>937</v>
      </c>
      <c r="D145" s="73" t="s">
        <v>938</v>
      </c>
      <c r="E145" s="177" t="s">
        <v>638</v>
      </c>
      <c r="F145" s="99" t="s">
        <v>327</v>
      </c>
      <c r="G145" s="155" t="s">
        <v>926</v>
      </c>
      <c r="H145" s="143" t="str">
        <f t="shared" si="1"/>
        <v>#N/A</v>
      </c>
    </row>
    <row r="146" ht="22.5" customHeight="1">
      <c r="A146" s="27" t="s">
        <v>940</v>
      </c>
      <c r="B146" s="139" t="s">
        <v>941</v>
      </c>
      <c r="C146" s="128" t="s">
        <v>911</v>
      </c>
      <c r="D146" s="73" t="s">
        <v>912</v>
      </c>
      <c r="E146" s="128" t="s">
        <v>638</v>
      </c>
      <c r="F146" s="128" t="s">
        <v>327</v>
      </c>
      <c r="G146" s="140" t="s">
        <v>926</v>
      </c>
      <c r="H146" s="142" t="str">
        <f t="shared" si="1"/>
        <v>#N/A</v>
      </c>
    </row>
    <row r="147" ht="22.5" customHeight="1">
      <c r="A147" s="58" t="s">
        <v>942</v>
      </c>
      <c r="B147" s="158" t="s">
        <v>943</v>
      </c>
      <c r="C147" s="99" t="s">
        <v>944</v>
      </c>
      <c r="D147" s="73" t="s">
        <v>855</v>
      </c>
      <c r="E147" s="177" t="s">
        <v>638</v>
      </c>
      <c r="F147" s="99" t="s">
        <v>327</v>
      </c>
      <c r="G147" s="155" t="s">
        <v>926</v>
      </c>
      <c r="H147" s="143" t="str">
        <f t="shared" si="1"/>
        <v>#N/A</v>
      </c>
    </row>
    <row r="148" ht="22.5" customHeight="1">
      <c r="A148" s="27" t="s">
        <v>945</v>
      </c>
      <c r="B148" s="139" t="s">
        <v>946</v>
      </c>
      <c r="C148" s="128" t="s">
        <v>947</v>
      </c>
      <c r="D148" s="73" t="s">
        <v>948</v>
      </c>
      <c r="E148" s="128" t="s">
        <v>638</v>
      </c>
      <c r="F148" s="128" t="s">
        <v>327</v>
      </c>
      <c r="G148" s="140" t="s">
        <v>926</v>
      </c>
      <c r="H148" s="142" t="str">
        <f t="shared" si="1"/>
        <v>#N/A</v>
      </c>
    </row>
    <row r="149" ht="22.5" customHeight="1">
      <c r="A149" s="58" t="s">
        <v>949</v>
      </c>
      <c r="B149" s="158" t="s">
        <v>950</v>
      </c>
      <c r="C149" s="99" t="s">
        <v>921</v>
      </c>
      <c r="D149" s="73" t="s">
        <v>922</v>
      </c>
      <c r="E149" s="177" t="s">
        <v>638</v>
      </c>
      <c r="F149" s="99" t="s">
        <v>327</v>
      </c>
      <c r="G149" s="155" t="s">
        <v>926</v>
      </c>
      <c r="H149" s="143" t="str">
        <f t="shared" si="1"/>
        <v>#N/A</v>
      </c>
    </row>
    <row r="150" ht="22.5" customHeight="1">
      <c r="A150" s="27" t="s">
        <v>951</v>
      </c>
      <c r="B150" s="180" t="s">
        <v>952</v>
      </c>
      <c r="C150" s="181" t="s">
        <v>953</v>
      </c>
      <c r="D150" s="73" t="s">
        <v>954</v>
      </c>
      <c r="E150" s="182" t="s">
        <v>638</v>
      </c>
      <c r="F150" s="182" t="s">
        <v>327</v>
      </c>
      <c r="G150" s="183" t="s">
        <v>926</v>
      </c>
      <c r="H150" s="142" t="str">
        <f t="shared" si="1"/>
        <v>#N/A</v>
      </c>
    </row>
    <row r="155">
      <c r="C155" s="184"/>
    </row>
    <row r="156">
      <c r="C156" s="184"/>
    </row>
    <row r="157">
      <c r="C157" s="148"/>
    </row>
    <row r="158">
      <c r="C158" s="148"/>
    </row>
    <row r="159">
      <c r="C159" s="148"/>
    </row>
    <row r="160">
      <c r="C160" s="148"/>
    </row>
    <row r="161">
      <c r="C161" s="148"/>
    </row>
  </sheetData>
  <dataValidations>
    <dataValidation allowBlank="1" showDropDown="1" sqref="A2:C150 E2:G150"/>
  </dataValidations>
  <printOptions gridLines="1" horizontalCentered="1"/>
  <pageMargins bottom="0.75" footer="0.0" header="0.0" left="0.7" right="0.7" top="0.75"/>
  <pageSetup fitToHeight="0" paperSize="9" cellComments="atEnd" orientation="portrait" pageOrder="overThenDown"/>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185" t="s">
        <v>957</v>
      </c>
    </row>
    <row r="6">
      <c r="C6" s="87"/>
      <c r="D6" s="186"/>
      <c r="E6" s="87"/>
    </row>
    <row r="7">
      <c r="C7" s="87"/>
      <c r="D7" s="186"/>
      <c r="E7" s="87"/>
      <c r="G7" s="87"/>
      <c r="H7" s="87"/>
    </row>
    <row r="8">
      <c r="C8" s="87"/>
      <c r="D8" s="186"/>
      <c r="E8" s="87"/>
      <c r="G8" s="87"/>
      <c r="H8" s="186"/>
    </row>
    <row r="9">
      <c r="C9" s="87"/>
      <c r="D9" s="187"/>
      <c r="E9" s="87"/>
      <c r="G9" s="87"/>
      <c r="H9" s="187"/>
    </row>
    <row r="10">
      <c r="C10" s="87"/>
      <c r="D10" s="187"/>
      <c r="E10" s="87"/>
      <c r="G10" s="87"/>
      <c r="H10" s="187"/>
    </row>
    <row r="11">
      <c r="C11" s="87"/>
      <c r="D11" s="187"/>
      <c r="E11" s="87"/>
      <c r="G11" s="87"/>
      <c r="H11" s="186"/>
    </row>
    <row r="12">
      <c r="C12" s="87"/>
      <c r="D12" s="187"/>
      <c r="E12" s="87"/>
      <c r="G12" s="87"/>
      <c r="H12" s="186"/>
    </row>
    <row r="13">
      <c r="C13" s="87"/>
      <c r="D13" s="187"/>
      <c r="E13" s="87"/>
      <c r="G13" s="87"/>
      <c r="H13" s="186"/>
    </row>
    <row r="14">
      <c r="C14" s="87"/>
      <c r="D14" s="187"/>
      <c r="E14" s="87"/>
      <c r="G14" s="87"/>
      <c r="H14" s="186"/>
    </row>
    <row r="15">
      <c r="C15" s="87"/>
      <c r="D15" s="87"/>
      <c r="E15" s="87"/>
      <c r="G15" s="87"/>
      <c r="H15" s="187"/>
    </row>
    <row r="16">
      <c r="G16" s="87"/>
      <c r="H16" s="187"/>
    </row>
    <row r="17">
      <c r="G17" s="87"/>
      <c r="H17" s="87"/>
    </row>
    <row r="18">
      <c r="G18" s="87"/>
      <c r="H18" s="87"/>
    </row>
    <row r="19">
      <c r="G19" s="87"/>
      <c r="H19" s="87"/>
    </row>
    <row r="20">
      <c r="G20" s="87"/>
      <c r="H20" s="87"/>
    </row>
    <row r="21">
      <c r="G21" s="87"/>
      <c r="H21" s="87"/>
    </row>
    <row r="22">
      <c r="G22" s="87"/>
      <c r="H22" s="87"/>
    </row>
  </sheetData>
  <hyperlinks>
    <hyperlink r:id="rId1" ref="A1"/>
  </hyperlinks>
  <drawing r:id="rId2"/>
  <tableParts count="2">
    <tablePart r:id="rId5"/>
    <tablePart r:id="rId6"/>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2" max="2" width="17.5"/>
    <col customWidth="1" min="3" max="3" width="12.75"/>
    <col customWidth="1" min="4" max="4" width="16.38"/>
    <col customWidth="1" min="5" max="5" width="9.75"/>
    <col customWidth="1" min="6" max="6" width="11.13"/>
    <col customWidth="1" min="7" max="7" width="36.38"/>
    <col customWidth="1" min="8" max="8" width="9.13"/>
    <col customWidth="1" min="9" max="9" width="14.25"/>
    <col customWidth="1" min="10" max="10" width="12.13"/>
    <col customWidth="1" min="11" max="11" width="8.13"/>
    <col customWidth="1" min="12" max="12" width="7.13"/>
    <col customWidth="1" min="13" max="13" width="10.38"/>
  </cols>
  <sheetData>
    <row r="1" ht="22.5" customHeight="1">
      <c r="A1" s="188" t="s">
        <v>15</v>
      </c>
      <c r="B1" s="189" t="s">
        <v>17</v>
      </c>
      <c r="C1" s="189" t="s">
        <v>19</v>
      </c>
      <c r="D1" s="189" t="s">
        <v>21</v>
      </c>
      <c r="E1" s="189" t="s">
        <v>37</v>
      </c>
      <c r="F1" s="189" t="s">
        <v>41</v>
      </c>
      <c r="G1" s="189" t="s">
        <v>45</v>
      </c>
      <c r="H1" s="189" t="s">
        <v>47</v>
      </c>
      <c r="I1" s="189" t="s">
        <v>49</v>
      </c>
      <c r="J1" s="189" t="s">
        <v>52</v>
      </c>
      <c r="K1" s="189" t="s">
        <v>54</v>
      </c>
      <c r="L1" s="189" t="s">
        <v>57</v>
      </c>
      <c r="M1" s="190" t="s">
        <v>61</v>
      </c>
      <c r="N1" s="120" t="s">
        <v>69</v>
      </c>
      <c r="O1" s="120" t="s">
        <v>74</v>
      </c>
      <c r="P1" s="120" t="s">
        <v>78</v>
      </c>
      <c r="Q1" s="120" t="s">
        <v>958</v>
      </c>
    </row>
    <row r="2" ht="22.5" customHeight="1">
      <c r="A2" s="26">
        <v>45663.0</v>
      </c>
      <c r="B2" s="32" t="s">
        <v>489</v>
      </c>
      <c r="C2" s="191" t="str">
        <f t="array" ref="C2">_xlfn.XLOOKUP(B2, DB[samplingPoint], DB[samplingTag])</f>
        <v>DV116.18</v>
      </c>
      <c r="D2" s="33" t="s">
        <v>59</v>
      </c>
      <c r="E2" s="39" t="str">
        <f t="array" ref="E2">_xlfn.XLOOKUP($B2, DB[samplingPoint], DB[noLocation])</f>
        <v>10-3-111</v>
      </c>
      <c r="F2" s="39" t="str">
        <f t="array" ref="F2">_xlfn.XLOOKUP($B2, DB[samplingPoint], DB[building])</f>
        <v>Building 10</v>
      </c>
      <c r="G2" s="40" t="str">
        <f t="array" ref="G2">_xlfn.XLOOKUP($B2, DB[samplingPoint], DB[location])</f>
        <v>WET GRANULATION-5</v>
      </c>
      <c r="H2" s="40" t="str">
        <f t="array" ref="H2">_xlfn.XLOOKUP($B2, DB[samplingPoint], DB[waterType])</f>
        <v>PW</v>
      </c>
      <c r="I2" s="60">
        <f t="shared" ref="I2:I965" si="1">$A2+1</f>
        <v>45664</v>
      </c>
      <c r="J2" s="192">
        <f t="shared" ref="J2:J862" si="2">$I2+3</f>
        <v>45667</v>
      </c>
      <c r="K2" s="32">
        <v>0.0</v>
      </c>
      <c r="L2" s="32">
        <v>0.0</v>
      </c>
      <c r="M2" s="32">
        <f t="shared" ref="M2:M1193" si="3">ROUNDUP(AVERAGE($K2:$L2), 0)</f>
        <v>0</v>
      </c>
      <c r="N2" s="32" t="s">
        <v>376</v>
      </c>
      <c r="O2" s="32">
        <v>100.0</v>
      </c>
      <c r="P2" s="50" t="str">
        <f t="shared" ref="P2:P158" si="4">iferror(ifs($M2&gt;O2, "NOT-PASSED", M2&lt;=O2, "PASSED"), "NA")</f>
        <v>PASSED</v>
      </c>
      <c r="Q2" s="50" t="str">
        <f t="shared" ref="Q2:Q1193" si="5">LEFT(E2, 2)</f>
        <v>10</v>
      </c>
    </row>
    <row r="3" ht="22.5" customHeight="1">
      <c r="A3" s="26">
        <v>45663.0</v>
      </c>
      <c r="B3" s="32" t="s">
        <v>485</v>
      </c>
      <c r="C3" s="191" t="str">
        <f t="array" ref="C3">_xlfn.XLOOKUP(B3, DB[samplingPoint], DB[samplingTag])</f>
        <v>DV116.16</v>
      </c>
      <c r="D3" s="33" t="s">
        <v>59</v>
      </c>
      <c r="E3" s="39" t="str">
        <f t="array" ref="E3">_xlfn.XLOOKUP($B3, DB[samplingPoint], DB[noLocation])</f>
        <v>10-3-107</v>
      </c>
      <c r="F3" s="40" t="str">
        <f t="array" ref="F3">_xlfn.XLOOKUP($B3, DB[samplingPoint], DB[building])</f>
        <v>Building 10</v>
      </c>
      <c r="G3" s="40" t="str">
        <f t="array" ref="G3">_xlfn.XLOOKUP($B3, DB[samplingPoint], DB[location])</f>
        <v>WET GRANULATION-2</v>
      </c>
      <c r="H3" s="40" t="str">
        <f t="array" ref="H3">_xlfn.XLOOKUP($B3, DB[samplingPoint], DB[waterType])</f>
        <v>PW</v>
      </c>
      <c r="I3" s="60">
        <f t="shared" si="1"/>
        <v>45664</v>
      </c>
      <c r="J3" s="192">
        <f t="shared" si="2"/>
        <v>45667</v>
      </c>
      <c r="K3" s="32">
        <v>0.0</v>
      </c>
      <c r="L3" s="32">
        <v>0.0</v>
      </c>
      <c r="M3" s="32">
        <f t="shared" si="3"/>
        <v>0</v>
      </c>
      <c r="N3" s="32" t="s">
        <v>376</v>
      </c>
      <c r="O3" s="32">
        <v>100.0</v>
      </c>
      <c r="P3" s="50" t="str">
        <f t="shared" si="4"/>
        <v>PASSED</v>
      </c>
      <c r="Q3" s="50" t="str">
        <f t="shared" si="5"/>
        <v>10</v>
      </c>
    </row>
    <row r="4" ht="22.5" customHeight="1">
      <c r="A4" s="26">
        <v>45663.0</v>
      </c>
      <c r="B4" s="32" t="s">
        <v>482</v>
      </c>
      <c r="C4" s="191" t="str">
        <f t="array" ref="C4">_xlfn.XLOOKUP(B4, DB[samplingPoint], DB[samplingTag])</f>
        <v>DV116.14</v>
      </c>
      <c r="D4" s="33" t="s">
        <v>59</v>
      </c>
      <c r="E4" s="39" t="str">
        <f t="array" ref="E4">_xlfn.XLOOKUP($B4, DB[samplingPoint], DB[noLocation])</f>
        <v>10-3-086</v>
      </c>
      <c r="F4" s="40" t="str">
        <f t="array" ref="F4">_xlfn.XLOOKUP($B4, DB[samplingPoint], DB[building])</f>
        <v>Building 10</v>
      </c>
      <c r="G4" s="40" t="str">
        <f t="array" ref="G4">_xlfn.XLOOKUP($B4, DB[samplingPoint], DB[location])</f>
        <v>TOOL WASHING</v>
      </c>
      <c r="H4" s="40" t="str">
        <f t="array" ref="H4">_xlfn.XLOOKUP($B4, DB[samplingPoint], DB[waterType])</f>
        <v>PW</v>
      </c>
      <c r="I4" s="60">
        <f t="shared" si="1"/>
        <v>45664</v>
      </c>
      <c r="J4" s="192">
        <f t="shared" si="2"/>
        <v>45667</v>
      </c>
      <c r="K4" s="32">
        <v>0.0</v>
      </c>
      <c r="L4" s="32">
        <v>0.0</v>
      </c>
      <c r="M4" s="32">
        <f t="shared" si="3"/>
        <v>0</v>
      </c>
      <c r="N4" s="32" t="s">
        <v>376</v>
      </c>
      <c r="O4" s="32">
        <v>100.0</v>
      </c>
      <c r="P4" s="50" t="str">
        <f t="shared" si="4"/>
        <v>PASSED</v>
      </c>
      <c r="Q4" s="50" t="str">
        <f t="shared" si="5"/>
        <v>10</v>
      </c>
    </row>
    <row r="5" ht="22.5" customHeight="1">
      <c r="A5" s="26">
        <v>45663.0</v>
      </c>
      <c r="B5" s="32" t="s">
        <v>490</v>
      </c>
      <c r="C5" s="191" t="str">
        <f t="array" ref="C5">_xlfn.XLOOKUP(B5, DB[samplingPoint], DB[samplingTag])</f>
        <v>SV116.09</v>
      </c>
      <c r="D5" s="33" t="s">
        <v>59</v>
      </c>
      <c r="E5" s="39" t="str">
        <f t="array" ref="E5">_xlfn.XLOOKUP($B5, DB[samplingPoint], DB[noLocation])</f>
        <v>10-3-078</v>
      </c>
      <c r="F5" s="40" t="str">
        <f t="array" ref="F5">_xlfn.XLOOKUP($B5, DB[samplingPoint], DB[building])</f>
        <v>Building 10</v>
      </c>
      <c r="G5" s="40" t="str">
        <f t="array" ref="G5">_xlfn.XLOOKUP($B5, DB[samplingPoint], DB[location])</f>
        <v>WASHING</v>
      </c>
      <c r="H5" s="40" t="str">
        <f t="array" ref="H5">_xlfn.XLOOKUP($B5, DB[samplingPoint], DB[waterType])</f>
        <v>PW</v>
      </c>
      <c r="I5" s="60">
        <f t="shared" si="1"/>
        <v>45664</v>
      </c>
      <c r="J5" s="192">
        <f t="shared" si="2"/>
        <v>45667</v>
      </c>
      <c r="K5" s="32">
        <v>0.0</v>
      </c>
      <c r="L5" s="32">
        <v>0.0</v>
      </c>
      <c r="M5" s="32">
        <f t="shared" si="3"/>
        <v>0</v>
      </c>
      <c r="N5" s="32" t="s">
        <v>376</v>
      </c>
      <c r="O5" s="32">
        <v>100.0</v>
      </c>
      <c r="P5" s="50" t="str">
        <f t="shared" si="4"/>
        <v>PASSED</v>
      </c>
      <c r="Q5" s="50" t="str">
        <f t="shared" si="5"/>
        <v>10</v>
      </c>
    </row>
    <row r="6" ht="22.5" customHeight="1">
      <c r="A6" s="26">
        <v>45663.0</v>
      </c>
      <c r="B6" s="32" t="s">
        <v>479</v>
      </c>
      <c r="C6" s="191" t="str">
        <f t="array" ref="C6">_xlfn.XLOOKUP(B6, DB[samplingPoint], DB[samplingTag])</f>
        <v>DV116.13</v>
      </c>
      <c r="D6" s="33" t="s">
        <v>59</v>
      </c>
      <c r="E6" s="39" t="str">
        <f t="array" ref="E6">_xlfn.XLOOKUP($B6, DB[samplingPoint], DB[noLocation])</f>
        <v>10-3-078</v>
      </c>
      <c r="F6" s="40" t="str">
        <f t="array" ref="F6">_xlfn.XLOOKUP($B6, DB[samplingPoint], DB[building])</f>
        <v>Building 10</v>
      </c>
      <c r="G6" s="40" t="str">
        <f t="array" ref="G6">_xlfn.XLOOKUP($B6, DB[samplingPoint], DB[location])</f>
        <v>WASHING</v>
      </c>
      <c r="H6" s="40" t="str">
        <f t="array" ref="H6">_xlfn.XLOOKUP($B6, DB[samplingPoint], DB[waterType])</f>
        <v>PW</v>
      </c>
      <c r="I6" s="60">
        <f t="shared" si="1"/>
        <v>45664</v>
      </c>
      <c r="J6" s="192">
        <f t="shared" si="2"/>
        <v>45667</v>
      </c>
      <c r="K6" s="32">
        <v>0.0</v>
      </c>
      <c r="L6" s="32">
        <v>0.0</v>
      </c>
      <c r="M6" s="32">
        <f t="shared" si="3"/>
        <v>0</v>
      </c>
      <c r="N6" s="32" t="s">
        <v>376</v>
      </c>
      <c r="O6" s="32">
        <v>100.0</v>
      </c>
      <c r="P6" s="50" t="str">
        <f t="shared" si="4"/>
        <v>PASSED</v>
      </c>
      <c r="Q6" s="50" t="str">
        <f t="shared" si="5"/>
        <v>10</v>
      </c>
    </row>
    <row r="7" ht="22.5" customHeight="1">
      <c r="A7" s="26">
        <v>45663.0</v>
      </c>
      <c r="B7" s="32" t="s">
        <v>476</v>
      </c>
      <c r="C7" s="191" t="str">
        <f t="array" ref="C7">_xlfn.XLOOKUP(B7, DB[samplingPoint], DB[samplingTag])</f>
        <v>DV116.12</v>
      </c>
      <c r="D7" s="33" t="s">
        <v>59</v>
      </c>
      <c r="E7" s="39" t="str">
        <f t="array" ref="E7">_xlfn.XLOOKUP($B7, DB[samplingPoint], DB[noLocation])</f>
        <v>10-3-078</v>
      </c>
      <c r="F7" s="40" t="str">
        <f t="array" ref="F7">_xlfn.XLOOKUP($B7, DB[samplingPoint], DB[building])</f>
        <v>Building 10</v>
      </c>
      <c r="G7" s="40" t="str">
        <f t="array" ref="G7">_xlfn.XLOOKUP($B7, DB[samplingPoint], DB[location])</f>
        <v>WASHING</v>
      </c>
      <c r="H7" s="40" t="str">
        <f t="array" ref="H7">_xlfn.XLOOKUP($B7, DB[samplingPoint], DB[waterType])</f>
        <v>PW</v>
      </c>
      <c r="I7" s="60">
        <f t="shared" si="1"/>
        <v>45664</v>
      </c>
      <c r="J7" s="192">
        <f t="shared" si="2"/>
        <v>45667</v>
      </c>
      <c r="K7" s="32">
        <v>0.0</v>
      </c>
      <c r="L7" s="32">
        <v>0.0</v>
      </c>
      <c r="M7" s="32">
        <f t="shared" si="3"/>
        <v>0</v>
      </c>
      <c r="N7" s="32" t="s">
        <v>376</v>
      </c>
      <c r="O7" s="32">
        <v>100.0</v>
      </c>
      <c r="P7" s="50" t="str">
        <f t="shared" si="4"/>
        <v>PASSED</v>
      </c>
      <c r="Q7" s="50" t="str">
        <f t="shared" si="5"/>
        <v>10</v>
      </c>
    </row>
    <row r="8" ht="22.5" customHeight="1">
      <c r="A8" s="26">
        <v>45663.0</v>
      </c>
      <c r="B8" s="32" t="s">
        <v>491</v>
      </c>
      <c r="C8" s="191" t="str">
        <f t="array" ref="C8">_xlfn.XLOOKUP(B8, DB[samplingPoint], DB[samplingTag])</f>
        <v>SV116.15</v>
      </c>
      <c r="D8" s="33" t="s">
        <v>59</v>
      </c>
      <c r="E8" s="39" t="str">
        <f t="array" ref="E8">_xlfn.XLOOKUP($B8, DB[samplingPoint], DB[noLocation])</f>
        <v>10-4-012</v>
      </c>
      <c r="F8" s="40" t="str">
        <f t="array" ref="F8">_xlfn.XLOOKUP($B8, DB[samplingPoint], DB[building])</f>
        <v>Building 10</v>
      </c>
      <c r="G8" s="40" t="str">
        <f t="array" ref="G8">_xlfn.XLOOKUP($B8, DB[samplingPoint], DB[location])</f>
        <v>CIP SKID-1 FOR BIN WASHING-1</v>
      </c>
      <c r="H8" s="40" t="str">
        <f t="array" ref="H8">_xlfn.XLOOKUP($B8, DB[samplingPoint], DB[waterType])</f>
        <v>PW</v>
      </c>
      <c r="I8" s="60">
        <f t="shared" si="1"/>
        <v>45664</v>
      </c>
      <c r="J8" s="192">
        <f t="shared" si="2"/>
        <v>45667</v>
      </c>
      <c r="K8" s="32">
        <v>0.0</v>
      </c>
      <c r="L8" s="32">
        <v>0.0</v>
      </c>
      <c r="M8" s="32">
        <f t="shared" si="3"/>
        <v>0</v>
      </c>
      <c r="N8" s="32" t="s">
        <v>376</v>
      </c>
      <c r="O8" s="32">
        <v>100.0</v>
      </c>
      <c r="P8" s="50" t="str">
        <f t="shared" si="4"/>
        <v>PASSED</v>
      </c>
      <c r="Q8" s="50" t="str">
        <f t="shared" si="5"/>
        <v>10</v>
      </c>
    </row>
    <row r="9" ht="22.5" customHeight="1">
      <c r="A9" s="26">
        <v>45663.0</v>
      </c>
      <c r="B9" s="32" t="s">
        <v>494</v>
      </c>
      <c r="C9" s="191" t="str">
        <f t="array" ref="C9">_xlfn.XLOOKUP(B9, DB[samplingPoint], DB[samplingTag])</f>
        <v>SV116.17</v>
      </c>
      <c r="D9" s="33" t="s">
        <v>59</v>
      </c>
      <c r="E9" s="39" t="str">
        <f t="array" ref="E9">_xlfn.XLOOKUP($B9, DB[samplingPoint], DB[noLocation])</f>
        <v>10-4-012</v>
      </c>
      <c r="F9" s="40" t="str">
        <f t="array" ref="F9">_xlfn.XLOOKUP($B9, DB[samplingPoint], DB[building])</f>
        <v>Building 10</v>
      </c>
      <c r="G9" s="40" t="str">
        <f t="array" ref="G9">_xlfn.XLOOKUP($B9, DB[samplingPoint], DB[location])</f>
        <v>CIP SKID-2 FOR BIN WASHING-1</v>
      </c>
      <c r="H9" s="40" t="str">
        <f t="array" ref="H9">_xlfn.XLOOKUP($B9, DB[samplingPoint], DB[waterType])</f>
        <v>PW</v>
      </c>
      <c r="I9" s="60">
        <f t="shared" si="1"/>
        <v>45664</v>
      </c>
      <c r="J9" s="192">
        <f t="shared" si="2"/>
        <v>45667</v>
      </c>
      <c r="K9" s="32">
        <v>0.0</v>
      </c>
      <c r="L9" s="32">
        <v>0.0</v>
      </c>
      <c r="M9" s="32">
        <f t="shared" si="3"/>
        <v>0</v>
      </c>
      <c r="N9" s="32" t="s">
        <v>376</v>
      </c>
      <c r="O9" s="32">
        <v>100.0</v>
      </c>
      <c r="P9" s="50" t="str">
        <f t="shared" si="4"/>
        <v>PASSED</v>
      </c>
      <c r="Q9" s="50" t="str">
        <f t="shared" si="5"/>
        <v>10</v>
      </c>
    </row>
    <row r="10" ht="22.5" customHeight="1">
      <c r="A10" s="26">
        <v>45663.0</v>
      </c>
      <c r="B10" s="32" t="s">
        <v>488</v>
      </c>
      <c r="C10" s="191" t="str">
        <f t="array" ref="C10">_xlfn.XLOOKUP(B10, DB[samplingPoint], DB[samplingTag])</f>
        <v>DV116.17</v>
      </c>
      <c r="D10" s="33" t="s">
        <v>59</v>
      </c>
      <c r="E10" s="39" t="str">
        <f t="array" ref="E10">_xlfn.XLOOKUP($B10, DB[samplingPoint], DB[noLocation])</f>
        <v>10-3-117</v>
      </c>
      <c r="F10" s="40" t="str">
        <f t="array" ref="F10">_xlfn.XLOOKUP($B10, DB[samplingPoint], DB[building])</f>
        <v>Building 10</v>
      </c>
      <c r="G10" s="40" t="str">
        <f t="array" ref="G10">_xlfn.XLOOKUP($B10, DB[samplingPoint], DB[location])</f>
        <v>IPQC-2</v>
      </c>
      <c r="H10" s="40" t="str">
        <f t="array" ref="H10">_xlfn.XLOOKUP($B10, DB[samplingPoint], DB[waterType])</f>
        <v>PW</v>
      </c>
      <c r="I10" s="60">
        <f t="shared" si="1"/>
        <v>45664</v>
      </c>
      <c r="J10" s="192">
        <f t="shared" si="2"/>
        <v>45667</v>
      </c>
      <c r="K10" s="32">
        <v>0.0</v>
      </c>
      <c r="L10" s="32">
        <v>0.0</v>
      </c>
      <c r="M10" s="32">
        <f t="shared" si="3"/>
        <v>0</v>
      </c>
      <c r="N10" s="32" t="s">
        <v>376</v>
      </c>
      <c r="O10" s="32">
        <v>100.0</v>
      </c>
      <c r="P10" s="50" t="str">
        <f t="shared" si="4"/>
        <v>PASSED</v>
      </c>
      <c r="Q10" s="50" t="str">
        <f t="shared" si="5"/>
        <v>10</v>
      </c>
    </row>
    <row r="11" ht="22.5" customHeight="1">
      <c r="A11" s="26">
        <v>45663.0</v>
      </c>
      <c r="B11" s="32" t="s">
        <v>119</v>
      </c>
      <c r="C11" s="191" t="str">
        <f t="array" ref="C11">_xlfn.XLOOKUP(B11, DB[samplingPoint], DB[samplingTag])</f>
        <v>DV116.15</v>
      </c>
      <c r="D11" s="33" t="s">
        <v>59</v>
      </c>
      <c r="E11" s="39" t="str">
        <f t="array" ref="E11">_xlfn.XLOOKUP($B11, DB[samplingPoint], DB[noLocation])</f>
        <v>10-3-104</v>
      </c>
      <c r="F11" s="40" t="str">
        <f t="array" ref="F11">_xlfn.XLOOKUP($B11, DB[samplingPoint], DB[building])</f>
        <v>Building 10</v>
      </c>
      <c r="G11" s="40" t="str">
        <f t="array" ref="G11">_xlfn.XLOOKUP($B11, DB[samplingPoint], DB[location])</f>
        <v>BINDER PREPARATION</v>
      </c>
      <c r="H11" s="40" t="str">
        <f t="array" ref="H11">_xlfn.XLOOKUP($B11, DB[samplingPoint], DB[waterType])</f>
        <v>PW</v>
      </c>
      <c r="I11" s="60">
        <f t="shared" si="1"/>
        <v>45664</v>
      </c>
      <c r="J11" s="192">
        <f t="shared" si="2"/>
        <v>45667</v>
      </c>
      <c r="K11" s="32">
        <v>0.0</v>
      </c>
      <c r="L11" s="32">
        <v>0.0</v>
      </c>
      <c r="M11" s="32">
        <f t="shared" si="3"/>
        <v>0</v>
      </c>
      <c r="N11" s="32" t="s">
        <v>376</v>
      </c>
      <c r="O11" s="32">
        <v>100.0</v>
      </c>
      <c r="P11" s="50" t="str">
        <f t="shared" si="4"/>
        <v>PASSED</v>
      </c>
      <c r="Q11" s="50" t="str">
        <f t="shared" si="5"/>
        <v>10</v>
      </c>
    </row>
    <row r="12" ht="22.5" customHeight="1">
      <c r="A12" s="26">
        <v>45663.0</v>
      </c>
      <c r="B12" s="32" t="s">
        <v>349</v>
      </c>
      <c r="C12" s="191" t="str">
        <f t="array" ref="C12">_xlfn.XLOOKUP(B12, DB[samplingPoint], DB[samplingTag])</f>
        <v>VB-05(10)</v>
      </c>
      <c r="D12" s="33" t="s">
        <v>59</v>
      </c>
      <c r="E12" s="39" t="str">
        <f t="array" ref="E12">_xlfn.XLOOKUP($B12, DB[samplingPoint], DB[noLocation])</f>
        <v>WATER SYSTEM (B10)</v>
      </c>
      <c r="F12" s="40" t="str">
        <f t="array" ref="F12">_xlfn.XLOOKUP($B12, DB[samplingPoint], DB[building])</f>
        <v>Building 10</v>
      </c>
      <c r="G12" s="40" t="str">
        <f t="array" ref="G12">_xlfn.XLOOKUP($B12, DB[samplingPoint], DB[location])</f>
        <v>After Chlorine circulation tank (B10)</v>
      </c>
      <c r="H12" s="40" t="str">
        <f t="array" ref="H12">_xlfn.XLOOKUP($B12, DB[samplingPoint], DB[waterType])</f>
        <v>PRW</v>
      </c>
      <c r="I12" s="60">
        <f t="shared" si="1"/>
        <v>45664</v>
      </c>
      <c r="J12" s="192">
        <f t="shared" si="2"/>
        <v>45667</v>
      </c>
      <c r="K12" s="32">
        <v>0.0</v>
      </c>
      <c r="L12" s="32">
        <v>0.0</v>
      </c>
      <c r="M12" s="32">
        <f t="shared" si="3"/>
        <v>0</v>
      </c>
      <c r="N12" s="32" t="s">
        <v>376</v>
      </c>
      <c r="O12" s="32">
        <v>500.0</v>
      </c>
      <c r="P12" s="50" t="str">
        <f t="shared" si="4"/>
        <v>PASSED</v>
      </c>
      <c r="Q12" s="50" t="str">
        <f t="shared" si="5"/>
        <v>WA</v>
      </c>
    </row>
    <row r="13" ht="22.5" customHeight="1">
      <c r="A13" s="26">
        <v>45663.0</v>
      </c>
      <c r="B13" s="32" t="s">
        <v>579</v>
      </c>
      <c r="C13" s="39" t="str">
        <f t="array" ref="C13">_xlfn.XLOOKUP(B13, DB[samplingPoint], DB[samplingTag])</f>
        <v>V50-60(10)</v>
      </c>
      <c r="D13" s="33" t="s">
        <v>59</v>
      </c>
      <c r="E13" s="39" t="str">
        <f t="array" ref="E13">_xlfn.XLOOKUP($B13, DB[samplingPoint], DB[noLocation])</f>
        <v>WATER SYSTEM (B10)</v>
      </c>
      <c r="F13" s="40" t="str">
        <f t="array" ref="F13">_xlfn.XLOOKUP($B13, DB[samplingPoint], DB[building])</f>
        <v>Building 10</v>
      </c>
      <c r="G13" s="40" t="str">
        <f t="array" ref="G13">_xlfn.XLOOKUP($B13, DB[samplingPoint], DB[location])</f>
        <v>Before Cartridge filter 5 µm (B10)</v>
      </c>
      <c r="H13" s="40" t="str">
        <f t="array" ref="H13">_xlfn.XLOOKUP($B13, DB[samplingPoint], DB[waterType])</f>
        <v>PRW</v>
      </c>
      <c r="I13" s="60">
        <f t="shared" si="1"/>
        <v>45664</v>
      </c>
      <c r="J13" s="192">
        <f t="shared" si="2"/>
        <v>45667</v>
      </c>
      <c r="K13" s="32">
        <v>804.0</v>
      </c>
      <c r="L13" s="32">
        <v>732.0</v>
      </c>
      <c r="M13" s="32">
        <f t="shared" si="3"/>
        <v>768</v>
      </c>
      <c r="N13" s="32" t="s">
        <v>376</v>
      </c>
      <c r="O13" s="32">
        <v>500.0</v>
      </c>
      <c r="P13" s="50" t="str">
        <f t="shared" si="4"/>
        <v>NOT-PASSED</v>
      </c>
      <c r="Q13" s="50" t="str">
        <f t="shared" si="5"/>
        <v>WA</v>
      </c>
    </row>
    <row r="14" ht="22.5" customHeight="1">
      <c r="A14" s="26">
        <v>45663.0</v>
      </c>
      <c r="B14" s="32" t="s">
        <v>366</v>
      </c>
      <c r="C14" s="191" t="str">
        <f t="array" ref="C14">_xlfn.XLOOKUP(B14, DB[samplingPoint], DB[samplingTag])</f>
        <v>V50-61(10)</v>
      </c>
      <c r="D14" s="33" t="s">
        <v>59</v>
      </c>
      <c r="E14" s="39" t="str">
        <f t="array" ref="E14">_xlfn.XLOOKUP($B14, DB[samplingPoint], DB[noLocation])</f>
        <v>WATER SYSTEM (B10)</v>
      </c>
      <c r="F14" s="40" t="str">
        <f t="array" ref="F14">_xlfn.XLOOKUP($B14, DB[samplingPoint], DB[building])</f>
        <v>Building 10</v>
      </c>
      <c r="G14" s="40" t="str">
        <f t="array" ref="G14">_xlfn.XLOOKUP($B14, DB[samplingPoint], DB[location])</f>
        <v>After Cartridge filter 5 µm (B10)</v>
      </c>
      <c r="H14" s="40" t="str">
        <f t="array" ref="H14">_xlfn.XLOOKUP($B14, DB[samplingPoint], DB[waterType])</f>
        <v>PRW</v>
      </c>
      <c r="I14" s="60">
        <f t="shared" si="1"/>
        <v>45664</v>
      </c>
      <c r="J14" s="192">
        <f t="shared" si="2"/>
        <v>45667</v>
      </c>
      <c r="K14" s="32">
        <v>248.0</v>
      </c>
      <c r="L14" s="32">
        <v>279.0</v>
      </c>
      <c r="M14" s="32">
        <f t="shared" si="3"/>
        <v>264</v>
      </c>
      <c r="N14" s="32" t="s">
        <v>376</v>
      </c>
      <c r="O14" s="32">
        <v>500.0</v>
      </c>
      <c r="P14" s="50" t="str">
        <f t="shared" si="4"/>
        <v>PASSED</v>
      </c>
      <c r="Q14" s="50" t="str">
        <f t="shared" si="5"/>
        <v>WA</v>
      </c>
    </row>
    <row r="15" ht="22.5" customHeight="1">
      <c r="A15" s="26">
        <v>45663.0</v>
      </c>
      <c r="B15" s="32" t="s">
        <v>368</v>
      </c>
      <c r="C15" s="191" t="str">
        <f t="array" ref="C15">_xlfn.XLOOKUP(B15, DB[samplingPoint], DB[samplingTag])</f>
        <v>V50-11C(10)</v>
      </c>
      <c r="D15" s="33" t="s">
        <v>59</v>
      </c>
      <c r="E15" s="39" t="str">
        <f t="array" ref="E15">_xlfn.XLOOKUP($B15, DB[samplingPoint], DB[noLocation])</f>
        <v>WATER SYSTEM (B10)</v>
      </c>
      <c r="F15" s="40" t="str">
        <f t="array" ref="F15">_xlfn.XLOOKUP($B15, DB[samplingPoint], DB[building])</f>
        <v>Building 10</v>
      </c>
      <c r="G15" s="40" t="str">
        <f t="array" ref="G15">_xlfn.XLOOKUP($B15, DB[samplingPoint], DB[location])</f>
        <v>After RO (Before EDI) (B10)</v>
      </c>
      <c r="H15" s="40" t="str">
        <f t="array" ref="H15">_xlfn.XLOOKUP($B15, DB[samplingPoint], DB[waterType])</f>
        <v>RO water</v>
      </c>
      <c r="I15" s="60">
        <f t="shared" si="1"/>
        <v>45664</v>
      </c>
      <c r="J15" s="192">
        <f t="shared" si="2"/>
        <v>45667</v>
      </c>
      <c r="K15" s="32">
        <v>0.0</v>
      </c>
      <c r="L15" s="32">
        <v>0.0</v>
      </c>
      <c r="M15" s="32">
        <f t="shared" si="3"/>
        <v>0</v>
      </c>
      <c r="N15" s="32" t="s">
        <v>376</v>
      </c>
      <c r="O15" s="32">
        <v>500.0</v>
      </c>
      <c r="P15" s="50" t="str">
        <f t="shared" si="4"/>
        <v>PASSED</v>
      </c>
      <c r="Q15" s="50" t="str">
        <f t="shared" si="5"/>
        <v>WA</v>
      </c>
    </row>
    <row r="16" ht="22.5" customHeight="1">
      <c r="A16" s="26">
        <v>45663.0</v>
      </c>
      <c r="B16" s="32" t="s">
        <v>374</v>
      </c>
      <c r="C16" s="191" t="str">
        <f t="array" ref="C16">_xlfn.XLOOKUP(B16, DB[samplingPoint], DB[samplingTag])</f>
        <v>V50-39(10)</v>
      </c>
      <c r="D16" s="33" t="s">
        <v>59</v>
      </c>
      <c r="E16" s="39" t="str">
        <f t="array" ref="E16">_xlfn.XLOOKUP($B16, DB[samplingPoint], DB[noLocation])</f>
        <v>WATER SYSTEM (B10)</v>
      </c>
      <c r="F16" s="40" t="str">
        <f t="array" ref="F16">_xlfn.XLOOKUP($B16, DB[samplingPoint], DB[building])</f>
        <v>Building 10</v>
      </c>
      <c r="G16" s="40" t="str">
        <f t="array" ref="G16">_xlfn.XLOOKUP($B16, DB[samplingPoint], DB[location])</f>
        <v>After EDI (B10)</v>
      </c>
      <c r="H16" s="40" t="str">
        <f t="array" ref="H16">_xlfn.XLOOKUP($B16, DB[samplingPoint], DB[waterType])</f>
        <v>PW</v>
      </c>
      <c r="I16" s="60">
        <f t="shared" si="1"/>
        <v>45664</v>
      </c>
      <c r="J16" s="192">
        <f t="shared" si="2"/>
        <v>45667</v>
      </c>
      <c r="K16" s="32">
        <v>0.0</v>
      </c>
      <c r="L16" s="32">
        <v>0.0</v>
      </c>
      <c r="M16" s="32">
        <f t="shared" si="3"/>
        <v>0</v>
      </c>
      <c r="N16" s="32" t="s">
        <v>376</v>
      </c>
      <c r="O16" s="32">
        <v>100.0</v>
      </c>
      <c r="P16" s="50" t="str">
        <f t="shared" si="4"/>
        <v>PASSED</v>
      </c>
      <c r="Q16" s="50" t="str">
        <f t="shared" si="5"/>
        <v>WA</v>
      </c>
    </row>
    <row r="17" ht="22.5" customHeight="1">
      <c r="A17" s="26">
        <v>45674.0</v>
      </c>
      <c r="B17" s="32" t="s">
        <v>531</v>
      </c>
      <c r="C17" s="191" t="str">
        <f t="array" ref="C17">_xlfn.XLOOKUP(B17, DB[samplingPoint], DB[samplingTag])</f>
        <v>DV116.10</v>
      </c>
      <c r="D17" s="33" t="s">
        <v>59</v>
      </c>
      <c r="E17" s="39" t="str">
        <f t="array" ref="E17">_xlfn.XLOOKUP($B17, DB[samplingPoint], DB[noLocation])</f>
        <v>10-3-065</v>
      </c>
      <c r="F17" s="40" t="str">
        <f t="array" ref="F17">_xlfn.XLOOKUP($B17, DB[samplingPoint], DB[building])</f>
        <v>Building 10</v>
      </c>
      <c r="G17" s="40" t="str">
        <f t="array" ref="G17">_xlfn.XLOOKUP($B17, DB[samplingPoint], DB[location])</f>
        <v>COATING SOLUTION PREP.-3</v>
      </c>
      <c r="H17" s="40" t="str">
        <f t="array" ref="H17">_xlfn.XLOOKUP($B17, DB[samplingPoint], DB[waterType])</f>
        <v>PW</v>
      </c>
      <c r="I17" s="60">
        <f t="shared" si="1"/>
        <v>45675</v>
      </c>
      <c r="J17" s="192">
        <f t="shared" si="2"/>
        <v>45678</v>
      </c>
      <c r="K17" s="32">
        <v>0.0</v>
      </c>
      <c r="L17" s="32">
        <v>0.0</v>
      </c>
      <c r="M17" s="32">
        <f t="shared" si="3"/>
        <v>0</v>
      </c>
      <c r="N17" s="32" t="s">
        <v>376</v>
      </c>
      <c r="O17" s="32">
        <v>100.0</v>
      </c>
      <c r="P17" s="50" t="str">
        <f t="shared" si="4"/>
        <v>PASSED</v>
      </c>
      <c r="Q17" s="50" t="str">
        <f t="shared" si="5"/>
        <v>10</v>
      </c>
    </row>
    <row r="18" ht="22.5" customHeight="1">
      <c r="A18" s="26">
        <v>45674.0</v>
      </c>
      <c r="B18" s="32" t="s">
        <v>539</v>
      </c>
      <c r="C18" s="191" t="str">
        <f t="array" ref="C18">_xlfn.XLOOKUP(B18, DB[samplingPoint], DB[samplingTag])</f>
        <v>SV116.07</v>
      </c>
      <c r="D18" s="33" t="s">
        <v>59</v>
      </c>
      <c r="E18" s="39" t="str">
        <f t="array" ref="E18">_xlfn.XLOOKUP($B18, DB[samplingPoint], DB[noLocation])</f>
        <v>10-3-064</v>
      </c>
      <c r="F18" s="40" t="str">
        <f t="array" ref="F18">_xlfn.XLOOKUP($B18, DB[samplingPoint], DB[building])</f>
        <v>Building 10</v>
      </c>
      <c r="G18" s="40" t="str">
        <f t="array" ref="G18">_xlfn.XLOOKUP($B18, DB[samplingPoint], DB[location])</f>
        <v>COATING ROOM-5</v>
      </c>
      <c r="H18" s="40" t="str">
        <f t="array" ref="H18">_xlfn.XLOOKUP($B18, DB[samplingPoint], DB[waterType])</f>
        <v>PW</v>
      </c>
      <c r="I18" s="60">
        <f t="shared" si="1"/>
        <v>45675</v>
      </c>
      <c r="J18" s="192">
        <f t="shared" si="2"/>
        <v>45678</v>
      </c>
      <c r="K18" s="32">
        <v>0.0</v>
      </c>
      <c r="L18" s="32">
        <v>0.0</v>
      </c>
      <c r="M18" s="32">
        <f t="shared" si="3"/>
        <v>0</v>
      </c>
      <c r="N18" s="32" t="s">
        <v>376</v>
      </c>
      <c r="O18" s="32">
        <v>100.0</v>
      </c>
      <c r="P18" s="50" t="str">
        <f t="shared" si="4"/>
        <v>PASSED</v>
      </c>
      <c r="Q18" s="50" t="str">
        <f t="shared" si="5"/>
        <v>10</v>
      </c>
    </row>
    <row r="19" ht="22.5" customHeight="1">
      <c r="A19" s="26">
        <v>45674.0</v>
      </c>
      <c r="B19" s="32" t="s">
        <v>527</v>
      </c>
      <c r="C19" s="191" t="str">
        <f t="array" ref="C19">_xlfn.XLOOKUP(B19, DB[samplingPoint], DB[samplingTag])</f>
        <v>DV116.07</v>
      </c>
      <c r="D19" s="33" t="s">
        <v>59</v>
      </c>
      <c r="E19" s="39" t="str">
        <f t="array" ref="E19">_xlfn.XLOOKUP($B19, DB[samplingPoint], DB[noLocation])</f>
        <v>10-2-032</v>
      </c>
      <c r="F19" s="40" t="str">
        <f t="array" ref="F19">_xlfn.XLOOKUP($B19, DB[samplingPoint], DB[building])</f>
        <v>Building 10</v>
      </c>
      <c r="G19" s="40" t="str">
        <f t="array" ref="G19">_xlfn.XLOOKUP($B19, DB[samplingPoint], DB[location])</f>
        <v>GLASS-WARE WASHING</v>
      </c>
      <c r="H19" s="40" t="str">
        <f t="array" ref="H19">_xlfn.XLOOKUP($B19, DB[samplingPoint], DB[waterType])</f>
        <v>PW</v>
      </c>
      <c r="I19" s="60">
        <f t="shared" si="1"/>
        <v>45675</v>
      </c>
      <c r="J19" s="192">
        <f t="shared" si="2"/>
        <v>45678</v>
      </c>
      <c r="K19" s="32">
        <v>0.0</v>
      </c>
      <c r="L19" s="32">
        <v>0.0</v>
      </c>
      <c r="M19" s="32">
        <f t="shared" si="3"/>
        <v>0</v>
      </c>
      <c r="N19" s="32" t="s">
        <v>376</v>
      </c>
      <c r="O19" s="32">
        <v>100.0</v>
      </c>
      <c r="P19" s="50" t="str">
        <f t="shared" si="4"/>
        <v>PASSED</v>
      </c>
      <c r="Q19" s="50" t="str">
        <f t="shared" si="5"/>
        <v>10</v>
      </c>
    </row>
    <row r="20" ht="22.5" customHeight="1">
      <c r="A20" s="26">
        <v>45674.0</v>
      </c>
      <c r="B20" s="32" t="s">
        <v>524</v>
      </c>
      <c r="C20" s="191" t="str">
        <f t="array" ref="C20">_xlfn.XLOOKUP(B20, DB[samplingPoint], DB[samplingTag])</f>
        <v>DV116.05</v>
      </c>
      <c r="D20" s="33" t="s">
        <v>59</v>
      </c>
      <c r="E20" s="39" t="str">
        <f t="array" ref="E20">_xlfn.XLOOKUP($B20, DB[samplingPoint], DB[noLocation])</f>
        <v>10-2-032</v>
      </c>
      <c r="F20" s="40" t="str">
        <f t="array" ref="F20">_xlfn.XLOOKUP($B20, DB[samplingPoint], DB[building])</f>
        <v>Building 10</v>
      </c>
      <c r="G20" s="40" t="str">
        <f t="array" ref="G20">_xlfn.XLOOKUP($B20, DB[samplingPoint], DB[location])</f>
        <v>GLASS-WARE WASHING</v>
      </c>
      <c r="H20" s="40" t="str">
        <f t="array" ref="H20">_xlfn.XLOOKUP($B20, DB[samplingPoint], DB[waterType])</f>
        <v>PW</v>
      </c>
      <c r="I20" s="60">
        <f t="shared" si="1"/>
        <v>45675</v>
      </c>
      <c r="J20" s="192">
        <f t="shared" si="2"/>
        <v>45678</v>
      </c>
      <c r="K20" s="32">
        <v>0.0</v>
      </c>
      <c r="L20" s="32">
        <v>0.0</v>
      </c>
      <c r="M20" s="32">
        <f t="shared" si="3"/>
        <v>0</v>
      </c>
      <c r="N20" s="32" t="s">
        <v>376</v>
      </c>
      <c r="O20" s="32">
        <v>100.0</v>
      </c>
      <c r="P20" s="50" t="str">
        <f t="shared" si="4"/>
        <v>PASSED</v>
      </c>
      <c r="Q20" s="50" t="str">
        <f t="shared" si="5"/>
        <v>10</v>
      </c>
    </row>
    <row r="21" ht="22.5" customHeight="1">
      <c r="A21" s="26">
        <v>45674.0</v>
      </c>
      <c r="B21" s="32" t="s">
        <v>535</v>
      </c>
      <c r="C21" s="191" t="str">
        <f t="array" ref="C21">_xlfn.XLOOKUP(B21, DB[samplingPoint], DB[samplingTag])</f>
        <v>SV116.04</v>
      </c>
      <c r="D21" s="33" t="s">
        <v>59</v>
      </c>
      <c r="E21" s="39" t="str">
        <f t="array" ref="E21">_xlfn.XLOOKUP($B21, DB[samplingPoint], DB[noLocation])</f>
        <v>10-3-061</v>
      </c>
      <c r="F21" s="40" t="str">
        <f t="array" ref="F21">_xlfn.XLOOKUP($B21, DB[samplingPoint], DB[building])</f>
        <v>Building 10</v>
      </c>
      <c r="G21" s="40" t="str">
        <f t="array" ref="G21">_xlfn.XLOOKUP($B21, DB[samplingPoint], DB[location])</f>
        <v>COATING ROOM-2</v>
      </c>
      <c r="H21" s="40" t="str">
        <f t="array" ref="H21">_xlfn.XLOOKUP($B21, DB[samplingPoint], DB[waterType])</f>
        <v>PW</v>
      </c>
      <c r="I21" s="60">
        <f t="shared" si="1"/>
        <v>45675</v>
      </c>
      <c r="J21" s="192">
        <f t="shared" si="2"/>
        <v>45678</v>
      </c>
      <c r="K21" s="32">
        <v>0.0</v>
      </c>
      <c r="L21" s="32">
        <v>0.0</v>
      </c>
      <c r="M21" s="32">
        <f t="shared" si="3"/>
        <v>0</v>
      </c>
      <c r="N21" s="32" t="s">
        <v>376</v>
      </c>
      <c r="O21" s="32">
        <v>100.0</v>
      </c>
      <c r="P21" s="50" t="str">
        <f t="shared" si="4"/>
        <v>PASSED</v>
      </c>
      <c r="Q21" s="50" t="str">
        <f t="shared" si="5"/>
        <v>10</v>
      </c>
    </row>
    <row r="22" ht="22.5" customHeight="1">
      <c r="A22" s="26">
        <v>45674.0</v>
      </c>
      <c r="B22" s="32" t="s">
        <v>541</v>
      </c>
      <c r="C22" s="191" t="str">
        <f t="array" ref="C22">_xlfn.XLOOKUP(B22, DB[samplingPoint], DB[samplingTag])</f>
        <v>SV116.08</v>
      </c>
      <c r="D22" s="33" t="s">
        <v>59</v>
      </c>
      <c r="E22" s="39" t="str">
        <f t="array" ref="E22">_xlfn.XLOOKUP($B22, DB[samplingPoint], DB[noLocation])</f>
        <v>10-3-067</v>
      </c>
      <c r="F22" s="40" t="str">
        <f t="array" ref="F22">_xlfn.XLOOKUP($B22, DB[samplingPoint], DB[building])</f>
        <v>Building 10</v>
      </c>
      <c r="G22" s="40" t="str">
        <f t="array" ref="G22">_xlfn.XLOOKUP($B22, DB[samplingPoint], DB[location])</f>
        <v>COATING ROOM-6</v>
      </c>
      <c r="H22" s="40" t="str">
        <f t="array" ref="H22">_xlfn.XLOOKUP($B22, DB[samplingPoint], DB[waterType])</f>
        <v>PW</v>
      </c>
      <c r="I22" s="60">
        <f t="shared" si="1"/>
        <v>45675</v>
      </c>
      <c r="J22" s="192">
        <f t="shared" si="2"/>
        <v>45678</v>
      </c>
      <c r="K22" s="32">
        <v>0.0</v>
      </c>
      <c r="L22" s="32">
        <v>0.0</v>
      </c>
      <c r="M22" s="32">
        <f t="shared" si="3"/>
        <v>0</v>
      </c>
      <c r="N22" s="32" t="s">
        <v>376</v>
      </c>
      <c r="O22" s="32">
        <v>100.0</v>
      </c>
      <c r="P22" s="50" t="str">
        <f t="shared" si="4"/>
        <v>PASSED</v>
      </c>
      <c r="Q22" s="50" t="str">
        <f t="shared" si="5"/>
        <v>10</v>
      </c>
    </row>
    <row r="23" ht="22.5" customHeight="1">
      <c r="A23" s="26">
        <v>45674.0</v>
      </c>
      <c r="B23" s="32" t="s">
        <v>522</v>
      </c>
      <c r="C23" s="191" t="str">
        <f t="array" ref="C23">_xlfn.XLOOKUP(B23, DB[samplingPoint], DB[samplingTag])</f>
        <v>DV116.04</v>
      </c>
      <c r="D23" s="33" t="s">
        <v>59</v>
      </c>
      <c r="E23" s="39" t="str">
        <f t="array" ref="E23">_xlfn.XLOOKUP($B23, DB[samplingPoint], DB[noLocation])</f>
        <v>10-2-037</v>
      </c>
      <c r="F23" s="40" t="str">
        <f t="array" ref="F23">_xlfn.XLOOKUP($B23, DB[samplingPoint], DB[building])</f>
        <v>Building 10</v>
      </c>
      <c r="G23" s="40" t="str">
        <f t="array" ref="G23">_xlfn.XLOOKUP($B23, DB[samplingPoint], DB[location])</f>
        <v>SKID FOR BIN WASHING-1</v>
      </c>
      <c r="H23" s="40" t="str">
        <f t="array" ref="H23">_xlfn.XLOOKUP($B23, DB[samplingPoint], DB[waterType])</f>
        <v>PW</v>
      </c>
      <c r="I23" s="60">
        <f t="shared" si="1"/>
        <v>45675</v>
      </c>
      <c r="J23" s="192">
        <f t="shared" si="2"/>
        <v>45678</v>
      </c>
      <c r="K23" s="32">
        <v>0.0</v>
      </c>
      <c r="L23" s="32">
        <v>0.0</v>
      </c>
      <c r="M23" s="32">
        <f t="shared" si="3"/>
        <v>0</v>
      </c>
      <c r="N23" s="32" t="s">
        <v>376</v>
      </c>
      <c r="O23" s="32">
        <v>100.0</v>
      </c>
      <c r="P23" s="50" t="str">
        <f t="shared" si="4"/>
        <v>PASSED</v>
      </c>
      <c r="Q23" s="50" t="str">
        <f t="shared" si="5"/>
        <v>10</v>
      </c>
    </row>
    <row r="24" ht="22.5" customHeight="1">
      <c r="A24" s="26">
        <v>45674.0</v>
      </c>
      <c r="B24" s="32" t="s">
        <v>526</v>
      </c>
      <c r="C24" s="191" t="str">
        <f t="array" ref="C24">_xlfn.XLOOKUP(B24, DB[samplingPoint], DB[samplingTag])</f>
        <v>DV116.06</v>
      </c>
      <c r="D24" s="33" t="s">
        <v>59</v>
      </c>
      <c r="E24" s="39" t="str">
        <f t="array" ref="E24">_xlfn.XLOOKUP($B24, DB[samplingPoint], DB[noLocation])</f>
        <v>10-2-034</v>
      </c>
      <c r="F24" s="40" t="str">
        <f t="array" ref="F24">_xlfn.XLOOKUP($B24, DB[samplingPoint], DB[building])</f>
        <v>Building 10</v>
      </c>
      <c r="G24" s="40" t="str">
        <f t="array" ref="G24">_xlfn.XLOOKUP($B24, DB[samplingPoint], DB[location])</f>
        <v>SAMPLE PREPARATION</v>
      </c>
      <c r="H24" s="40" t="str">
        <f t="array" ref="H24">_xlfn.XLOOKUP($B24, DB[samplingPoint], DB[waterType])</f>
        <v>PW</v>
      </c>
      <c r="I24" s="60">
        <f t="shared" si="1"/>
        <v>45675</v>
      </c>
      <c r="J24" s="192">
        <f t="shared" si="2"/>
        <v>45678</v>
      </c>
      <c r="K24" s="32">
        <v>0.0</v>
      </c>
      <c r="L24" s="32">
        <v>0.0</v>
      </c>
      <c r="M24" s="32">
        <f t="shared" si="3"/>
        <v>0</v>
      </c>
      <c r="N24" s="32" t="s">
        <v>376</v>
      </c>
      <c r="O24" s="32">
        <v>100.0</v>
      </c>
      <c r="P24" s="50" t="str">
        <f t="shared" si="4"/>
        <v>PASSED</v>
      </c>
      <c r="Q24" s="50" t="str">
        <f t="shared" si="5"/>
        <v>10</v>
      </c>
    </row>
    <row r="25" ht="22.5" customHeight="1">
      <c r="A25" s="26">
        <v>45674.0</v>
      </c>
      <c r="B25" s="32" t="s">
        <v>536</v>
      </c>
      <c r="C25" s="191" t="str">
        <f t="array" ref="C25">_xlfn.XLOOKUP(B25, DB[samplingPoint], DB[samplingTag])</f>
        <v>SV116.05</v>
      </c>
      <c r="D25" s="33" t="s">
        <v>59</v>
      </c>
      <c r="E25" s="39" t="str">
        <f t="array" ref="E25">_xlfn.XLOOKUP($B25, DB[samplingPoint], DB[noLocation])</f>
        <v>10-3-062</v>
      </c>
      <c r="F25" s="40" t="str">
        <f t="array" ref="F25">_xlfn.XLOOKUP($B25, DB[samplingPoint], DB[building])</f>
        <v>Building 10</v>
      </c>
      <c r="G25" s="40" t="str">
        <f t="array" ref="G25">_xlfn.XLOOKUP($B25, DB[samplingPoint], DB[location])</f>
        <v>COATING ROOM-3</v>
      </c>
      <c r="H25" s="40" t="str">
        <f t="array" ref="H25">_xlfn.XLOOKUP($B25, DB[samplingPoint], DB[waterType])</f>
        <v>PW</v>
      </c>
      <c r="I25" s="60">
        <f t="shared" si="1"/>
        <v>45675</v>
      </c>
      <c r="J25" s="192">
        <f t="shared" si="2"/>
        <v>45678</v>
      </c>
      <c r="K25" s="32">
        <v>0.0</v>
      </c>
      <c r="L25" s="32">
        <v>0.0</v>
      </c>
      <c r="M25" s="32">
        <f t="shared" si="3"/>
        <v>0</v>
      </c>
      <c r="N25" s="32" t="s">
        <v>376</v>
      </c>
      <c r="O25" s="32">
        <v>100.0</v>
      </c>
      <c r="P25" s="50" t="str">
        <f t="shared" si="4"/>
        <v>PASSED</v>
      </c>
      <c r="Q25" s="50" t="str">
        <f t="shared" si="5"/>
        <v>10</v>
      </c>
    </row>
    <row r="26" ht="22.5" customHeight="1">
      <c r="A26" s="26">
        <v>45674.0</v>
      </c>
      <c r="B26" s="32" t="s">
        <v>534</v>
      </c>
      <c r="C26" s="191" t="str">
        <f t="array" ref="C26">_xlfn.XLOOKUP(B26, DB[samplingPoint], DB[samplingTag])</f>
        <v>SV116.03</v>
      </c>
      <c r="D26" s="33" t="s">
        <v>59</v>
      </c>
      <c r="E26" s="39" t="str">
        <f t="array" ref="E26">_xlfn.XLOOKUP($B26, DB[samplingPoint], DB[noLocation])</f>
        <v>10-3-058</v>
      </c>
      <c r="F26" s="40" t="str">
        <f t="array" ref="F26">_xlfn.XLOOKUP($B26, DB[samplingPoint], DB[building])</f>
        <v>Building 10</v>
      </c>
      <c r="G26" s="40" t="str">
        <f t="array" ref="G26">_xlfn.XLOOKUP($B26, DB[samplingPoint], DB[location])</f>
        <v>COATING ROOM-1</v>
      </c>
      <c r="H26" s="40" t="str">
        <f t="array" ref="H26">_xlfn.XLOOKUP($B26, DB[samplingPoint], DB[waterType])</f>
        <v>PW</v>
      </c>
      <c r="I26" s="60">
        <f t="shared" si="1"/>
        <v>45675</v>
      </c>
      <c r="J26" s="192">
        <f t="shared" si="2"/>
        <v>45678</v>
      </c>
      <c r="K26" s="32">
        <v>0.0</v>
      </c>
      <c r="L26" s="32">
        <v>0.0</v>
      </c>
      <c r="M26" s="32">
        <f t="shared" si="3"/>
        <v>0</v>
      </c>
      <c r="N26" s="32" t="s">
        <v>376</v>
      </c>
      <c r="O26" s="32">
        <v>100.0</v>
      </c>
      <c r="P26" s="50" t="str">
        <f t="shared" si="4"/>
        <v>PASSED</v>
      </c>
      <c r="Q26" s="50" t="str">
        <f t="shared" si="5"/>
        <v>10</v>
      </c>
    </row>
    <row r="27" ht="22.5" customHeight="1">
      <c r="A27" s="26">
        <v>45674.0</v>
      </c>
      <c r="B27" s="32" t="s">
        <v>529</v>
      </c>
      <c r="C27" s="191" t="str">
        <f t="array" ref="C27">_xlfn.XLOOKUP(B27, DB[samplingPoint], DB[samplingTag])</f>
        <v>DV116.09</v>
      </c>
      <c r="D27" s="33" t="s">
        <v>59</v>
      </c>
      <c r="E27" s="39" t="str">
        <f t="array" ref="E27">_xlfn.XLOOKUP($B27, DB[samplingPoint], DB[noLocation])</f>
        <v>10-3-060</v>
      </c>
      <c r="F27" s="40" t="str">
        <f t="array" ref="F27">_xlfn.XLOOKUP($B27, DB[samplingPoint], DB[building])</f>
        <v>Building 10</v>
      </c>
      <c r="G27" s="40" t="str">
        <f t="array" ref="G27">_xlfn.XLOOKUP($B27, DB[samplingPoint], DB[location])</f>
        <v>COATING SOLUTION PREP.-2</v>
      </c>
      <c r="H27" s="40" t="str">
        <f t="array" ref="H27">_xlfn.XLOOKUP($B27, DB[samplingPoint], DB[waterType])</f>
        <v>PW</v>
      </c>
      <c r="I27" s="60">
        <f t="shared" si="1"/>
        <v>45675</v>
      </c>
      <c r="J27" s="192">
        <f t="shared" si="2"/>
        <v>45678</v>
      </c>
      <c r="K27" s="32">
        <v>0.0</v>
      </c>
      <c r="L27" s="32">
        <v>0.0</v>
      </c>
      <c r="M27" s="32">
        <f t="shared" si="3"/>
        <v>0</v>
      </c>
      <c r="N27" s="32" t="s">
        <v>376</v>
      </c>
      <c r="O27" s="32">
        <v>100.0</v>
      </c>
      <c r="P27" s="50" t="str">
        <f t="shared" si="4"/>
        <v>PASSED</v>
      </c>
      <c r="Q27" s="50" t="str">
        <f t="shared" si="5"/>
        <v>10</v>
      </c>
    </row>
    <row r="28" ht="22.5" customHeight="1">
      <c r="A28" s="26">
        <v>45674.0</v>
      </c>
      <c r="B28" s="32" t="s">
        <v>538</v>
      </c>
      <c r="C28" s="191" t="str">
        <f t="array" ref="C28">_xlfn.XLOOKUP(B28, DB[samplingPoint], DB[samplingTag])</f>
        <v>SV116.06</v>
      </c>
      <c r="D28" s="33" t="s">
        <v>59</v>
      </c>
      <c r="E28" s="39" t="str">
        <f t="array" ref="E28">_xlfn.XLOOKUP($B28, DB[samplingPoint], DB[noLocation])</f>
        <v>10-3-063</v>
      </c>
      <c r="F28" s="40" t="str">
        <f t="array" ref="F28">_xlfn.XLOOKUP($B28, DB[samplingPoint], DB[building])</f>
        <v>Building 10</v>
      </c>
      <c r="G28" s="40" t="str">
        <f t="array" ref="G28">_xlfn.XLOOKUP($B28, DB[samplingPoint], DB[location])</f>
        <v>COATING ROOM-4</v>
      </c>
      <c r="H28" s="40" t="str">
        <f t="array" ref="H28">_xlfn.XLOOKUP($B28, DB[samplingPoint], DB[waterType])</f>
        <v>PW</v>
      </c>
      <c r="I28" s="60">
        <f t="shared" si="1"/>
        <v>45675</v>
      </c>
      <c r="J28" s="192">
        <f t="shared" si="2"/>
        <v>45678</v>
      </c>
      <c r="K28" s="32">
        <v>0.0</v>
      </c>
      <c r="L28" s="32">
        <v>0.0</v>
      </c>
      <c r="M28" s="32">
        <f t="shared" si="3"/>
        <v>0</v>
      </c>
      <c r="N28" s="32" t="s">
        <v>376</v>
      </c>
      <c r="O28" s="32">
        <v>100.0</v>
      </c>
      <c r="P28" s="50" t="str">
        <f t="shared" si="4"/>
        <v>PASSED</v>
      </c>
      <c r="Q28" s="50" t="str">
        <f t="shared" si="5"/>
        <v>10</v>
      </c>
    </row>
    <row r="29" ht="22.5" customHeight="1">
      <c r="A29" s="26">
        <v>45674.0</v>
      </c>
      <c r="B29" s="32" t="s">
        <v>528</v>
      </c>
      <c r="C29" s="191" t="str">
        <f t="array" ref="C29">_xlfn.XLOOKUP(B29, DB[samplingPoint], DB[samplingTag])</f>
        <v>DV116.08</v>
      </c>
      <c r="D29" s="33" t="s">
        <v>59</v>
      </c>
      <c r="E29" s="39" t="str">
        <f t="array" ref="E29">_xlfn.XLOOKUP($B29, DB[samplingPoint], DB[noLocation])</f>
        <v>10-3-059</v>
      </c>
      <c r="F29" s="40" t="str">
        <f t="array" ref="F29">_xlfn.XLOOKUP($B29, DB[samplingPoint], DB[building])</f>
        <v>Building 10</v>
      </c>
      <c r="G29" s="40" t="str">
        <f t="array" ref="G29">_xlfn.XLOOKUP($B29, DB[samplingPoint], DB[location])</f>
        <v>COATING SOLUTION PREP.-1</v>
      </c>
      <c r="H29" s="40" t="str">
        <f t="array" ref="H29">_xlfn.XLOOKUP($B29, DB[samplingPoint], DB[waterType])</f>
        <v>PW</v>
      </c>
      <c r="I29" s="60">
        <f t="shared" si="1"/>
        <v>45675</v>
      </c>
      <c r="J29" s="192">
        <f t="shared" si="2"/>
        <v>45678</v>
      </c>
      <c r="K29" s="32">
        <v>0.0</v>
      </c>
      <c r="L29" s="32">
        <v>0.0</v>
      </c>
      <c r="M29" s="32">
        <f t="shared" si="3"/>
        <v>0</v>
      </c>
      <c r="N29" s="32" t="s">
        <v>376</v>
      </c>
      <c r="O29" s="32">
        <v>100.0</v>
      </c>
      <c r="P29" s="50" t="str">
        <f t="shared" si="4"/>
        <v>PASSED</v>
      </c>
      <c r="Q29" s="50" t="str">
        <f t="shared" si="5"/>
        <v>10</v>
      </c>
    </row>
    <row r="30" ht="22.5" customHeight="1">
      <c r="A30" s="26">
        <v>45674.0</v>
      </c>
      <c r="B30" s="32" t="s">
        <v>532</v>
      </c>
      <c r="C30" s="191" t="str">
        <f t="array" ref="C30">_xlfn.XLOOKUP(B30, DB[samplingPoint], DB[samplingTag])</f>
        <v>DV116.11</v>
      </c>
      <c r="D30" s="33" t="s">
        <v>59</v>
      </c>
      <c r="E30" s="39" t="str">
        <f t="array" ref="E30">_xlfn.XLOOKUP($B30, DB[samplingPoint], DB[noLocation])</f>
        <v>10-3-066</v>
      </c>
      <c r="F30" s="40" t="str">
        <f t="array" ref="F30">_xlfn.XLOOKUP($B30, DB[samplingPoint], DB[building])</f>
        <v>Building 10</v>
      </c>
      <c r="G30" s="40" t="str">
        <f t="array" ref="G30">_xlfn.XLOOKUP($B30, DB[samplingPoint], DB[location])</f>
        <v>COATING SOLUTION PREP.-4</v>
      </c>
      <c r="H30" s="40" t="str">
        <f t="array" ref="H30">_xlfn.XLOOKUP($B30, DB[samplingPoint], DB[waterType])</f>
        <v>PW</v>
      </c>
      <c r="I30" s="60">
        <f t="shared" si="1"/>
        <v>45675</v>
      </c>
      <c r="J30" s="192">
        <f t="shared" si="2"/>
        <v>45678</v>
      </c>
      <c r="K30" s="32">
        <v>0.0</v>
      </c>
      <c r="L30" s="32">
        <v>0.0</v>
      </c>
      <c r="M30" s="32">
        <f t="shared" si="3"/>
        <v>0</v>
      </c>
      <c r="N30" s="32" t="s">
        <v>376</v>
      </c>
      <c r="O30" s="32">
        <v>100.0</v>
      </c>
      <c r="P30" s="50" t="str">
        <f t="shared" si="4"/>
        <v>PASSED</v>
      </c>
      <c r="Q30" s="50" t="str">
        <f t="shared" si="5"/>
        <v>10</v>
      </c>
    </row>
    <row r="31" ht="22.5" customHeight="1">
      <c r="A31" s="26">
        <v>45674.0</v>
      </c>
      <c r="B31" s="32" t="s">
        <v>520</v>
      </c>
      <c r="C31" s="191" t="str">
        <f t="array" ref="C31">_xlfn.XLOOKUP(B31, DB[samplingPoint], DB[samplingTag])</f>
        <v>DV116.03</v>
      </c>
      <c r="D31" s="33" t="s">
        <v>59</v>
      </c>
      <c r="E31" s="39" t="str">
        <f t="array" ref="E31">_xlfn.XLOOKUP($B31, DB[samplingPoint], DB[noLocation])</f>
        <v>10-2-034</v>
      </c>
      <c r="F31" s="40" t="str">
        <f t="array" ref="F31">_xlfn.XLOOKUP($B31, DB[samplingPoint], DB[building])</f>
        <v>Building 10</v>
      </c>
      <c r="G31" s="40" t="str">
        <f t="array" ref="G31">_xlfn.XLOOKUP($B31, DB[samplingPoint], DB[location])</f>
        <v>SAMPLE PREPARATION</v>
      </c>
      <c r="H31" s="40" t="str">
        <f t="array" ref="H31">_xlfn.XLOOKUP($B31, DB[samplingPoint], DB[waterType])</f>
        <v>PW</v>
      </c>
      <c r="I31" s="60">
        <f t="shared" si="1"/>
        <v>45675</v>
      </c>
      <c r="J31" s="192">
        <f t="shared" si="2"/>
        <v>45678</v>
      </c>
      <c r="K31" s="32">
        <v>0.0</v>
      </c>
      <c r="L31" s="32">
        <v>0.0</v>
      </c>
      <c r="M31" s="32">
        <f t="shared" si="3"/>
        <v>0</v>
      </c>
      <c r="N31" s="32" t="s">
        <v>376</v>
      </c>
      <c r="O31" s="32">
        <v>100.0</v>
      </c>
      <c r="P31" s="50" t="str">
        <f t="shared" si="4"/>
        <v>PASSED</v>
      </c>
      <c r="Q31" s="50" t="str">
        <f t="shared" si="5"/>
        <v>10</v>
      </c>
    </row>
    <row r="32" ht="22.5" customHeight="1">
      <c r="A32" s="26">
        <v>45674.0</v>
      </c>
      <c r="B32" s="32" t="s">
        <v>579</v>
      </c>
      <c r="C32" s="39" t="str">
        <f t="array" ref="C32">_xlfn.XLOOKUP(B32, DB[samplingPoint], DB[samplingTag])</f>
        <v>V50-60(10)</v>
      </c>
      <c r="D32" s="33" t="s">
        <v>59</v>
      </c>
      <c r="E32" s="39" t="str">
        <f t="array" ref="E32">_xlfn.XLOOKUP($B32, DB[samplingPoint], DB[noLocation])</f>
        <v>WATER SYSTEM (B10)</v>
      </c>
      <c r="F32" s="40" t="str">
        <f t="array" ref="F32">_xlfn.XLOOKUP($B32, DB[samplingPoint], DB[building])</f>
        <v>Building 10</v>
      </c>
      <c r="G32" s="40" t="str">
        <f t="array" ref="G32">_xlfn.XLOOKUP($B32, DB[samplingPoint], DB[location])</f>
        <v>Before Cartridge filter 5 µm (B10)</v>
      </c>
      <c r="H32" s="40" t="str">
        <f t="array" ref="H32">_xlfn.XLOOKUP($B32, DB[samplingPoint], DB[waterType])</f>
        <v>PRW</v>
      </c>
      <c r="I32" s="60">
        <f t="shared" si="1"/>
        <v>45675</v>
      </c>
      <c r="J32" s="192">
        <f t="shared" si="2"/>
        <v>45678</v>
      </c>
      <c r="K32" s="32">
        <v>999.0</v>
      </c>
      <c r="L32" s="32">
        <v>999.0</v>
      </c>
      <c r="M32" s="32">
        <f t="shared" si="3"/>
        <v>999</v>
      </c>
      <c r="N32" s="32" t="s">
        <v>376</v>
      </c>
      <c r="O32" s="32">
        <v>500.0</v>
      </c>
      <c r="P32" s="50" t="str">
        <f t="shared" si="4"/>
        <v>NOT-PASSED</v>
      </c>
      <c r="Q32" s="50" t="str">
        <f t="shared" si="5"/>
        <v>WA</v>
      </c>
    </row>
    <row r="33" ht="22.5" customHeight="1">
      <c r="A33" s="26">
        <v>45674.0</v>
      </c>
      <c r="B33" s="32" t="s">
        <v>366</v>
      </c>
      <c r="C33" s="191" t="str">
        <f t="array" ref="C33">_xlfn.XLOOKUP(B33, DB[samplingPoint], DB[samplingTag])</f>
        <v>V50-61(10)</v>
      </c>
      <c r="D33" s="33" t="s">
        <v>59</v>
      </c>
      <c r="E33" s="39" t="str">
        <f t="array" ref="E33">_xlfn.XLOOKUP($B33, DB[samplingPoint], DB[noLocation])</f>
        <v>WATER SYSTEM (B10)</v>
      </c>
      <c r="F33" s="40" t="str">
        <f t="array" ref="F33">_xlfn.XLOOKUP($B33, DB[samplingPoint], DB[building])</f>
        <v>Building 10</v>
      </c>
      <c r="G33" s="40" t="str">
        <f t="array" ref="G33">_xlfn.XLOOKUP($B33, DB[samplingPoint], DB[location])</f>
        <v>After Cartridge filter 5 µm (B10)</v>
      </c>
      <c r="H33" s="40" t="str">
        <f t="array" ref="H33">_xlfn.XLOOKUP($B33, DB[samplingPoint], DB[waterType])</f>
        <v>PRW</v>
      </c>
      <c r="I33" s="60">
        <f t="shared" si="1"/>
        <v>45675</v>
      </c>
      <c r="J33" s="192">
        <f t="shared" si="2"/>
        <v>45678</v>
      </c>
      <c r="K33" s="32">
        <v>999.0</v>
      </c>
      <c r="L33" s="32">
        <v>999.0</v>
      </c>
      <c r="M33" s="32">
        <f t="shared" si="3"/>
        <v>999</v>
      </c>
      <c r="N33" s="32" t="s">
        <v>376</v>
      </c>
      <c r="O33" s="32">
        <v>500.0</v>
      </c>
      <c r="P33" s="50" t="str">
        <f t="shared" si="4"/>
        <v>NOT-PASSED</v>
      </c>
      <c r="Q33" s="50" t="str">
        <f t="shared" si="5"/>
        <v>WA</v>
      </c>
    </row>
    <row r="34" ht="22.5" customHeight="1">
      <c r="A34" s="26">
        <v>45674.0</v>
      </c>
      <c r="B34" s="32" t="s">
        <v>380</v>
      </c>
      <c r="C34" s="191" t="str">
        <f t="array" ref="C34">_xlfn.XLOOKUP(B34, DB[samplingPoint], DB[samplingTag])</f>
        <v>SV113.01</v>
      </c>
      <c r="D34" s="33" t="s">
        <v>59</v>
      </c>
      <c r="E34" s="39" t="str">
        <f t="array" ref="E34">_xlfn.XLOOKUP($B34, DB[samplingPoint], DB[noLocation])</f>
        <v>WATER SYSTEM (B10)</v>
      </c>
      <c r="F34" s="40" t="str">
        <f t="array" ref="F34">_xlfn.XLOOKUP($B34, DB[samplingPoint], DB[building])</f>
        <v>Building 10</v>
      </c>
      <c r="G34" s="40" t="str">
        <f t="array" ref="G34">_xlfn.XLOOKUP($B34, DB[samplingPoint], DB[location])</f>
        <v>After Storage tank (B10)</v>
      </c>
      <c r="H34" s="40" t="str">
        <f t="array" ref="H34">_xlfn.XLOOKUP($B34, DB[samplingPoint], DB[waterType])</f>
        <v>PW</v>
      </c>
      <c r="I34" s="60">
        <f t="shared" si="1"/>
        <v>45675</v>
      </c>
      <c r="J34" s="192">
        <f t="shared" si="2"/>
        <v>45678</v>
      </c>
      <c r="K34" s="32">
        <v>0.0</v>
      </c>
      <c r="L34" s="32">
        <v>0.0</v>
      </c>
      <c r="M34" s="32">
        <f t="shared" si="3"/>
        <v>0</v>
      </c>
      <c r="N34" s="32" t="s">
        <v>376</v>
      </c>
      <c r="O34" s="32">
        <v>100.0</v>
      </c>
      <c r="P34" s="50" t="str">
        <f t="shared" si="4"/>
        <v>PASSED</v>
      </c>
      <c r="Q34" s="50" t="str">
        <f t="shared" si="5"/>
        <v>WA</v>
      </c>
    </row>
    <row r="35" ht="22.5" customHeight="1">
      <c r="A35" s="26">
        <v>45674.0</v>
      </c>
      <c r="B35" s="32" t="s">
        <v>385</v>
      </c>
      <c r="C35" s="191" t="str">
        <f t="array" ref="C35">_xlfn.XLOOKUP(B35, DB[samplingPoint], DB[samplingTag])</f>
        <v>SV115.02</v>
      </c>
      <c r="D35" s="33" t="s">
        <v>59</v>
      </c>
      <c r="E35" s="39" t="str">
        <f t="array" ref="E35">_xlfn.XLOOKUP($B35, DB[samplingPoint], DB[noLocation])</f>
        <v>WATER SYSTEM (B10)</v>
      </c>
      <c r="F35" s="40" t="str">
        <f t="array" ref="F35">_xlfn.XLOOKUP($B35, DB[samplingPoint], DB[building])</f>
        <v>Building 10</v>
      </c>
      <c r="G35" s="40" t="str">
        <f t="array" ref="G35">_xlfn.XLOOKUP($B35, DB[samplingPoint], DB[location])</f>
        <v>After UV (B10)</v>
      </c>
      <c r="H35" s="40" t="str">
        <f t="array" ref="H35">_xlfn.XLOOKUP($B35, DB[samplingPoint], DB[waterType])</f>
        <v>PW</v>
      </c>
      <c r="I35" s="60">
        <f t="shared" si="1"/>
        <v>45675</v>
      </c>
      <c r="J35" s="192">
        <f t="shared" si="2"/>
        <v>45678</v>
      </c>
      <c r="K35" s="32">
        <v>0.0</v>
      </c>
      <c r="L35" s="32">
        <v>0.0</v>
      </c>
      <c r="M35" s="32">
        <f t="shared" si="3"/>
        <v>0</v>
      </c>
      <c r="N35" s="32" t="s">
        <v>376</v>
      </c>
      <c r="O35" s="32">
        <v>100.0</v>
      </c>
      <c r="P35" s="50" t="str">
        <f t="shared" si="4"/>
        <v>PASSED</v>
      </c>
      <c r="Q35" s="50" t="str">
        <f t="shared" si="5"/>
        <v>WA</v>
      </c>
    </row>
    <row r="36" ht="22.5" customHeight="1">
      <c r="A36" s="26">
        <v>45674.0</v>
      </c>
      <c r="B36" s="32" t="s">
        <v>390</v>
      </c>
      <c r="C36" s="191" t="str">
        <f t="array" ref="C36">_xlfn.XLOOKUP(B36, DB[samplingPoint], DB[samplingTag])</f>
        <v>SV117.01</v>
      </c>
      <c r="D36" s="33" t="s">
        <v>59</v>
      </c>
      <c r="E36" s="39" t="str">
        <f t="array" ref="E36">_xlfn.XLOOKUP($B36, DB[samplingPoint], DB[noLocation])</f>
        <v>WATER SYSTEM (B10)</v>
      </c>
      <c r="F36" s="40" t="str">
        <f t="array" ref="F36">_xlfn.XLOOKUP($B36, DB[samplingPoint], DB[building])</f>
        <v>Building 10</v>
      </c>
      <c r="G36" s="40" t="str">
        <f t="array" ref="G36">_xlfn.XLOOKUP($B36, DB[samplingPoint], DB[location])</f>
        <v>Return loop (B10)</v>
      </c>
      <c r="H36" s="40" t="str">
        <f t="array" ref="H36">_xlfn.XLOOKUP($B36, DB[samplingPoint], DB[waterType])</f>
        <v>PW</v>
      </c>
      <c r="I36" s="60">
        <f t="shared" si="1"/>
        <v>45675</v>
      </c>
      <c r="J36" s="192">
        <f t="shared" si="2"/>
        <v>45678</v>
      </c>
      <c r="K36" s="32">
        <v>0.0</v>
      </c>
      <c r="L36" s="32">
        <v>0.0</v>
      </c>
      <c r="M36" s="32">
        <f t="shared" si="3"/>
        <v>0</v>
      </c>
      <c r="N36" s="32" t="s">
        <v>376</v>
      </c>
      <c r="O36" s="32">
        <v>100.0</v>
      </c>
      <c r="P36" s="50" t="str">
        <f t="shared" si="4"/>
        <v>PASSED</v>
      </c>
      <c r="Q36" s="50" t="str">
        <f t="shared" si="5"/>
        <v>WA</v>
      </c>
    </row>
    <row r="37" ht="22.5" customHeight="1">
      <c r="A37" s="26">
        <v>45677.0</v>
      </c>
      <c r="B37" s="32" t="s">
        <v>349</v>
      </c>
      <c r="C37" s="191" t="str">
        <f t="array" ref="C37">_xlfn.XLOOKUP(B37, DB[samplingPoint], DB[samplingTag])</f>
        <v>VB-05(10)</v>
      </c>
      <c r="D37" s="33" t="s">
        <v>59</v>
      </c>
      <c r="E37" s="39" t="str">
        <f t="array" ref="E37">_xlfn.XLOOKUP($B37, DB[samplingPoint], DB[noLocation])</f>
        <v>WATER SYSTEM (B10)</v>
      </c>
      <c r="F37" s="40" t="str">
        <f t="array" ref="F37">_xlfn.XLOOKUP($B37, DB[samplingPoint], DB[building])</f>
        <v>Building 10</v>
      </c>
      <c r="G37" s="40" t="str">
        <f t="array" ref="G37">_xlfn.XLOOKUP($B37, DB[samplingPoint], DB[location])</f>
        <v>After Chlorine circulation tank (B10)</v>
      </c>
      <c r="H37" s="40" t="str">
        <f t="array" ref="H37">_xlfn.XLOOKUP($B37, DB[samplingPoint], DB[waterType])</f>
        <v>PRW</v>
      </c>
      <c r="I37" s="60">
        <f t="shared" si="1"/>
        <v>45678</v>
      </c>
      <c r="J37" s="192">
        <f t="shared" si="2"/>
        <v>45681</v>
      </c>
      <c r="K37" s="32">
        <v>0.0</v>
      </c>
      <c r="L37" s="32">
        <v>0.0</v>
      </c>
      <c r="M37" s="32">
        <f t="shared" si="3"/>
        <v>0</v>
      </c>
      <c r="N37" s="32" t="s">
        <v>376</v>
      </c>
      <c r="O37" s="32">
        <v>500.0</v>
      </c>
      <c r="P37" s="50" t="str">
        <f t="shared" si="4"/>
        <v>PASSED</v>
      </c>
      <c r="Q37" s="50" t="str">
        <f t="shared" si="5"/>
        <v>WA</v>
      </c>
    </row>
    <row r="38" ht="22.5" customHeight="1">
      <c r="A38" s="26">
        <v>45677.0</v>
      </c>
      <c r="B38" s="32" t="s">
        <v>431</v>
      </c>
      <c r="C38" s="191" t="str">
        <f t="array" ref="C38">_xlfn.XLOOKUP(B38, DB[samplingPoint], DB[samplingTag])</f>
        <v>SV-14</v>
      </c>
      <c r="D38" s="33" t="s">
        <v>59</v>
      </c>
      <c r="E38" s="39" t="str">
        <f t="array" ref="E38">_xlfn.XLOOKUP($B38, DB[samplingPoint], DB[noLocation])</f>
        <v>PROCESS WATER (B19)</v>
      </c>
      <c r="F38" s="40" t="str">
        <f t="array" ref="F38">_xlfn.XLOOKUP($B38, DB[samplingPoint], DB[building])</f>
        <v>Building 19</v>
      </c>
      <c r="G38" s="40" t="str">
        <f t="array" ref="G38">_xlfn.XLOOKUP($B38, DB[samplingPoint], DB[location])</f>
        <v>AFTER RO SYSTEM NO.12 SV14</v>
      </c>
      <c r="H38" s="40" t="str">
        <f t="array" ref="H38">_xlfn.XLOOKUP($B38, DB[samplingPoint], DB[waterType])</f>
        <v>PRW</v>
      </c>
      <c r="I38" s="60">
        <f t="shared" si="1"/>
        <v>45678</v>
      </c>
      <c r="J38" s="192">
        <f t="shared" si="2"/>
        <v>45681</v>
      </c>
      <c r="K38" s="32">
        <v>0.0</v>
      </c>
      <c r="L38" s="32">
        <v>0.0</v>
      </c>
      <c r="M38" s="32">
        <f t="shared" si="3"/>
        <v>0</v>
      </c>
      <c r="N38" s="32" t="s">
        <v>376</v>
      </c>
      <c r="O38" s="32">
        <v>500.0</v>
      </c>
      <c r="P38" s="50" t="str">
        <f t="shared" si="4"/>
        <v>PASSED</v>
      </c>
      <c r="Q38" s="50" t="str">
        <f t="shared" si="5"/>
        <v>PR</v>
      </c>
    </row>
    <row r="39" ht="22.5" customHeight="1">
      <c r="A39" s="26">
        <v>45677.0</v>
      </c>
      <c r="B39" s="32" t="s">
        <v>428</v>
      </c>
      <c r="C39" s="191" t="str">
        <f t="array" ref="C39">_xlfn.XLOOKUP(B39, DB[samplingPoint], DB[samplingTag])</f>
        <v>DV116.01</v>
      </c>
      <c r="D39" s="33" t="s">
        <v>59</v>
      </c>
      <c r="E39" s="39" t="str">
        <f t="array" ref="E39">_xlfn.XLOOKUP($B39, DB[samplingPoint], DB[noLocation])</f>
        <v>10-1-057</v>
      </c>
      <c r="F39" s="40" t="str">
        <f t="array" ref="F39">_xlfn.XLOOKUP($B39, DB[samplingPoint], DB[building])</f>
        <v>Building 10</v>
      </c>
      <c r="G39" s="40" t="str">
        <f t="array" ref="G39">_xlfn.XLOOKUP($B39, DB[samplingPoint], DB[location])</f>
        <v>WASHING-P</v>
      </c>
      <c r="H39" s="40" t="str">
        <f t="array" ref="H39">_xlfn.XLOOKUP($B39, DB[samplingPoint], DB[waterType])</f>
        <v>PW</v>
      </c>
      <c r="I39" s="60">
        <f t="shared" si="1"/>
        <v>45678</v>
      </c>
      <c r="J39" s="192">
        <f t="shared" si="2"/>
        <v>45681</v>
      </c>
      <c r="K39" s="32">
        <v>0.0</v>
      </c>
      <c r="L39" s="32">
        <v>0.0</v>
      </c>
      <c r="M39" s="32">
        <f t="shared" si="3"/>
        <v>0</v>
      </c>
      <c r="N39" s="32" t="s">
        <v>376</v>
      </c>
      <c r="O39" s="32">
        <v>100.0</v>
      </c>
      <c r="P39" s="50" t="str">
        <f t="shared" si="4"/>
        <v>PASSED</v>
      </c>
      <c r="Q39" s="50" t="str">
        <f t="shared" si="5"/>
        <v>10</v>
      </c>
    </row>
    <row r="40" ht="22.5" customHeight="1">
      <c r="A40" s="26">
        <v>45677.0</v>
      </c>
      <c r="B40" s="32" t="s">
        <v>425</v>
      </c>
      <c r="C40" s="191" t="str">
        <f t="array" ref="C40">_xlfn.XLOOKUP(B40, DB[samplingPoint], DB[samplingTag])</f>
        <v>DV116.02</v>
      </c>
      <c r="D40" s="33" t="s">
        <v>59</v>
      </c>
      <c r="E40" s="39" t="str">
        <f t="array" ref="E40">_xlfn.XLOOKUP($B40, DB[samplingPoint], DB[noLocation])</f>
        <v>10-1-115</v>
      </c>
      <c r="F40" s="40" t="str">
        <f t="array" ref="F40">_xlfn.XLOOKUP($B40, DB[samplingPoint], DB[building])</f>
        <v>Building 10</v>
      </c>
      <c r="G40" s="40" t="str">
        <f t="array" ref="G40">_xlfn.XLOOKUP($B40, DB[samplingPoint], DB[location])</f>
        <v>WASHING</v>
      </c>
      <c r="H40" s="40" t="str">
        <f t="array" ref="H40">_xlfn.XLOOKUP($B40, DB[samplingPoint], DB[waterType])</f>
        <v>PW</v>
      </c>
      <c r="I40" s="60">
        <f t="shared" si="1"/>
        <v>45678</v>
      </c>
      <c r="J40" s="192">
        <f t="shared" si="2"/>
        <v>45681</v>
      </c>
      <c r="K40" s="32">
        <v>0.0</v>
      </c>
      <c r="L40" s="32">
        <v>0.0</v>
      </c>
      <c r="M40" s="32">
        <f t="shared" si="3"/>
        <v>0</v>
      </c>
      <c r="N40" s="32" t="s">
        <v>376</v>
      </c>
      <c r="O40" s="32">
        <v>100.0</v>
      </c>
      <c r="P40" s="50" t="str">
        <f t="shared" si="4"/>
        <v>PASSED</v>
      </c>
      <c r="Q40" s="50" t="str">
        <f t="shared" si="5"/>
        <v>10</v>
      </c>
    </row>
    <row r="41" ht="22.5" customHeight="1">
      <c r="A41" s="26">
        <v>45677.0</v>
      </c>
      <c r="B41" s="32" t="s">
        <v>421</v>
      </c>
      <c r="C41" s="191" t="str">
        <f t="array" ref="C41">_xlfn.XLOOKUP(B41, DB[samplingPoint], DB[samplingTag])</f>
        <v>DV116.19</v>
      </c>
      <c r="D41" s="33" t="s">
        <v>59</v>
      </c>
      <c r="E41" s="39" t="str">
        <f t="array" ref="E41">_xlfn.XLOOKUP($B41, DB[samplingPoint], DB[noLocation])</f>
        <v>10-3-143</v>
      </c>
      <c r="F41" s="40" t="str">
        <f t="array" ref="F41">_xlfn.XLOOKUP($B41, DB[samplingPoint], DB[building])</f>
        <v>Building 10</v>
      </c>
      <c r="G41" s="40" t="str">
        <f t="array" ref="G41">_xlfn.XLOOKUP($B41, DB[samplingPoint], DB[location])</f>
        <v>COATING SOLUTION PREP.-P</v>
      </c>
      <c r="H41" s="40" t="str">
        <f t="array" ref="H41">_xlfn.XLOOKUP($B41, DB[samplingPoint], DB[waterType])</f>
        <v>PW</v>
      </c>
      <c r="I41" s="60">
        <f t="shared" si="1"/>
        <v>45678</v>
      </c>
      <c r="J41" s="192">
        <f t="shared" si="2"/>
        <v>45681</v>
      </c>
      <c r="K41" s="32">
        <v>0.0</v>
      </c>
      <c r="L41" s="32">
        <v>0.0</v>
      </c>
      <c r="M41" s="32">
        <f t="shared" si="3"/>
        <v>0</v>
      </c>
      <c r="N41" s="32" t="s">
        <v>376</v>
      </c>
      <c r="O41" s="32">
        <v>100.0</v>
      </c>
      <c r="P41" s="50" t="str">
        <f t="shared" si="4"/>
        <v>PASSED</v>
      </c>
      <c r="Q41" s="50" t="str">
        <f t="shared" si="5"/>
        <v>10</v>
      </c>
    </row>
    <row r="42" ht="22.5" customHeight="1">
      <c r="A42" s="26">
        <v>45677.0</v>
      </c>
      <c r="B42" s="32" t="s">
        <v>417</v>
      </c>
      <c r="C42" s="191" t="str">
        <f t="array" ref="C42">_xlfn.XLOOKUP(B42, DB[samplingPoint], DB[samplingTag])</f>
        <v>DV116.20</v>
      </c>
      <c r="D42" s="33" t="s">
        <v>59</v>
      </c>
      <c r="E42" s="39" t="str">
        <f t="array" ref="E42">_xlfn.XLOOKUP($B42, DB[samplingPoint], DB[noLocation])</f>
        <v>10-3-149</v>
      </c>
      <c r="F42" s="40" t="str">
        <f t="array" ref="F42">_xlfn.XLOOKUP($B42, DB[samplingPoint], DB[building])</f>
        <v>Building 10</v>
      </c>
      <c r="G42" s="40" t="str">
        <f t="array" ref="G42">_xlfn.XLOOKUP($B42, DB[samplingPoint], DB[location])</f>
        <v>IPQC-1-P</v>
      </c>
      <c r="H42" s="40" t="str">
        <f t="array" ref="H42">_xlfn.XLOOKUP($B42, DB[samplingPoint], DB[waterType])</f>
        <v>PW</v>
      </c>
      <c r="I42" s="60">
        <f t="shared" si="1"/>
        <v>45678</v>
      </c>
      <c r="J42" s="192">
        <f t="shared" si="2"/>
        <v>45681</v>
      </c>
      <c r="K42" s="32">
        <v>0.0</v>
      </c>
      <c r="L42" s="32">
        <v>0.0</v>
      </c>
      <c r="M42" s="32">
        <f t="shared" si="3"/>
        <v>0</v>
      </c>
      <c r="N42" s="32" t="s">
        <v>376</v>
      </c>
      <c r="O42" s="32">
        <v>100.0</v>
      </c>
      <c r="P42" s="50" t="str">
        <f t="shared" si="4"/>
        <v>PASSED</v>
      </c>
      <c r="Q42" s="50" t="str">
        <f t="shared" si="5"/>
        <v>10</v>
      </c>
    </row>
    <row r="43" ht="22.5" customHeight="1">
      <c r="A43" s="26">
        <v>45677.0</v>
      </c>
      <c r="B43" s="32" t="s">
        <v>406</v>
      </c>
      <c r="C43" s="191" t="str">
        <f t="array" ref="C43">_xlfn.XLOOKUP(B43, DB[samplingPoint], DB[samplingTag])</f>
        <v>DV116.21</v>
      </c>
      <c r="D43" s="33" t="s">
        <v>59</v>
      </c>
      <c r="E43" s="39" t="str">
        <f t="array" ref="E43">_xlfn.XLOOKUP($B43, DB[samplingPoint], DB[noLocation])</f>
        <v>10-3-152</v>
      </c>
      <c r="F43" s="40" t="str">
        <f t="array" ref="F43">_xlfn.XLOOKUP($B43, DB[samplingPoint], DB[building])</f>
        <v>Building 10</v>
      </c>
      <c r="G43" s="40" t="str">
        <f t="array" ref="G43">_xlfn.XLOOKUP($B43, DB[samplingPoint], DB[location])</f>
        <v>WASHING-P</v>
      </c>
      <c r="H43" s="40" t="str">
        <f t="array" ref="H43">_xlfn.XLOOKUP($B43, DB[samplingPoint], DB[waterType])</f>
        <v>PW</v>
      </c>
      <c r="I43" s="60">
        <f t="shared" si="1"/>
        <v>45678</v>
      </c>
      <c r="J43" s="192">
        <f t="shared" si="2"/>
        <v>45681</v>
      </c>
      <c r="K43" s="32">
        <v>0.0</v>
      </c>
      <c r="L43" s="32">
        <v>0.0</v>
      </c>
      <c r="M43" s="32">
        <f t="shared" si="3"/>
        <v>0</v>
      </c>
      <c r="N43" s="32" t="s">
        <v>376</v>
      </c>
      <c r="O43" s="32">
        <v>100.0</v>
      </c>
      <c r="P43" s="50" t="str">
        <f t="shared" si="4"/>
        <v>PASSED</v>
      </c>
      <c r="Q43" s="50" t="str">
        <f t="shared" si="5"/>
        <v>10</v>
      </c>
    </row>
    <row r="44" ht="22.5" customHeight="1">
      <c r="A44" s="26">
        <v>45677.0</v>
      </c>
      <c r="B44" s="32" t="s">
        <v>410</v>
      </c>
      <c r="C44" s="191" t="str">
        <f t="array" ref="C44">_xlfn.XLOOKUP(B44, DB[samplingPoint], DB[samplingTag])</f>
        <v>DV116.22</v>
      </c>
      <c r="D44" s="33" t="s">
        <v>59</v>
      </c>
      <c r="E44" s="39" t="str">
        <f t="array" ref="E44">_xlfn.XLOOKUP($B44, DB[samplingPoint], DB[noLocation])</f>
        <v>10-3-152</v>
      </c>
      <c r="F44" s="40" t="str">
        <f t="array" ref="F44">_xlfn.XLOOKUP($B44, DB[samplingPoint], DB[building])</f>
        <v>Building 10</v>
      </c>
      <c r="G44" s="40" t="str">
        <f t="array" ref="G44">_xlfn.XLOOKUP($B44, DB[samplingPoint], DB[location])</f>
        <v>WASHING-P</v>
      </c>
      <c r="H44" s="40" t="str">
        <f t="array" ref="H44">_xlfn.XLOOKUP($B44, DB[samplingPoint], DB[waterType])</f>
        <v>PW</v>
      </c>
      <c r="I44" s="60">
        <f t="shared" si="1"/>
        <v>45678</v>
      </c>
      <c r="J44" s="192">
        <f t="shared" si="2"/>
        <v>45681</v>
      </c>
      <c r="K44" s="32">
        <v>0.0</v>
      </c>
      <c r="L44" s="32">
        <v>0.0</v>
      </c>
      <c r="M44" s="32">
        <f t="shared" si="3"/>
        <v>0</v>
      </c>
      <c r="N44" s="32" t="s">
        <v>376</v>
      </c>
      <c r="O44" s="32">
        <v>100.0</v>
      </c>
      <c r="P44" s="50" t="str">
        <f t="shared" si="4"/>
        <v>PASSED</v>
      </c>
      <c r="Q44" s="50" t="str">
        <f t="shared" si="5"/>
        <v>10</v>
      </c>
    </row>
    <row r="45" ht="22.5" customHeight="1">
      <c r="A45" s="26">
        <v>45677.0</v>
      </c>
      <c r="B45" s="32" t="s">
        <v>401</v>
      </c>
      <c r="C45" s="191" t="str">
        <f t="array" ref="C45">_xlfn.XLOOKUP(B45, DB[samplingPoint], DB[samplingTag])</f>
        <v>DV116.23</v>
      </c>
      <c r="D45" s="33" t="s">
        <v>59</v>
      </c>
      <c r="E45" s="39" t="str">
        <f t="array" ref="E45">_xlfn.XLOOKUP($B45, DB[samplingPoint], DB[noLocation])</f>
        <v>10-3-159</v>
      </c>
      <c r="F45" s="40" t="str">
        <f t="array" ref="F45">_xlfn.XLOOKUP($B45, DB[samplingPoint], DB[building])</f>
        <v>Building 10</v>
      </c>
      <c r="G45" s="40" t="str">
        <f t="array" ref="G45">_xlfn.XLOOKUP($B45, DB[samplingPoint], DB[location])</f>
        <v>BINDER PREPARATION-P</v>
      </c>
      <c r="H45" s="40" t="str">
        <f t="array" ref="H45">_xlfn.XLOOKUP($B45, DB[samplingPoint], DB[waterType])</f>
        <v>PW</v>
      </c>
      <c r="I45" s="60">
        <f t="shared" si="1"/>
        <v>45678</v>
      </c>
      <c r="J45" s="192">
        <f t="shared" si="2"/>
        <v>45681</v>
      </c>
      <c r="K45" s="32">
        <v>0.0</v>
      </c>
      <c r="L45" s="32">
        <v>0.0</v>
      </c>
      <c r="M45" s="32">
        <f t="shared" si="3"/>
        <v>0</v>
      </c>
      <c r="N45" s="32" t="s">
        <v>376</v>
      </c>
      <c r="O45" s="32">
        <v>100.0</v>
      </c>
      <c r="P45" s="50" t="str">
        <f t="shared" si="4"/>
        <v>PASSED</v>
      </c>
      <c r="Q45" s="50" t="str">
        <f t="shared" si="5"/>
        <v>10</v>
      </c>
    </row>
    <row r="46" ht="22.5" customHeight="1">
      <c r="A46" s="26">
        <v>45677.0</v>
      </c>
      <c r="B46" s="32" t="s">
        <v>398</v>
      </c>
      <c r="C46" s="191" t="str">
        <f t="array" ref="C46">_xlfn.XLOOKUP(B46, DB[samplingPoint], DB[samplingTag])</f>
        <v>DV116.24</v>
      </c>
      <c r="D46" s="33" t="s">
        <v>59</v>
      </c>
      <c r="E46" s="39" t="str">
        <f t="array" ref="E46">_xlfn.XLOOKUP($B46, DB[samplingPoint], DB[noLocation])</f>
        <v>10-3-163</v>
      </c>
      <c r="F46" s="40" t="str">
        <f t="array" ref="F46">_xlfn.XLOOKUP($B46, DB[samplingPoint], DB[building])</f>
        <v>Building 10</v>
      </c>
      <c r="G46" s="40" t="str">
        <f t="array" ref="G46">_xlfn.XLOOKUP($B46, DB[samplingPoint], DB[location])</f>
        <v>WET GRANULATION 1-P</v>
      </c>
      <c r="H46" s="40" t="str">
        <f t="array" ref="H46">_xlfn.XLOOKUP($B46, DB[samplingPoint], DB[waterType])</f>
        <v>PW</v>
      </c>
      <c r="I46" s="60">
        <f t="shared" si="1"/>
        <v>45678</v>
      </c>
      <c r="J46" s="192">
        <f t="shared" si="2"/>
        <v>45681</v>
      </c>
      <c r="K46" s="32">
        <v>0.0</v>
      </c>
      <c r="L46" s="32">
        <v>0.0</v>
      </c>
      <c r="M46" s="32">
        <f t="shared" si="3"/>
        <v>0</v>
      </c>
      <c r="N46" s="32" t="s">
        <v>376</v>
      </c>
      <c r="O46" s="32">
        <v>100.0</v>
      </c>
      <c r="P46" s="50" t="str">
        <f t="shared" si="4"/>
        <v>PASSED</v>
      </c>
      <c r="Q46" s="50" t="str">
        <f t="shared" si="5"/>
        <v>10</v>
      </c>
    </row>
    <row r="47" ht="22.5" customHeight="1">
      <c r="A47" s="26">
        <v>45677.0</v>
      </c>
      <c r="B47" s="32" t="s">
        <v>394</v>
      </c>
      <c r="C47" s="191" t="str">
        <f t="array" ref="C47">_xlfn.XLOOKUP(B47, DB[samplingPoint], DB[samplingTag])</f>
        <v>DV116.25</v>
      </c>
      <c r="D47" s="33" t="s">
        <v>59</v>
      </c>
      <c r="E47" s="39" t="str">
        <f t="array" ref="E47">_xlfn.XLOOKUP($B47, DB[samplingPoint], DB[noLocation])</f>
        <v>10-3-171</v>
      </c>
      <c r="F47" s="40" t="str">
        <f t="array" ref="F47">_xlfn.XLOOKUP($B47, DB[samplingPoint], DB[building])</f>
        <v>Building 10</v>
      </c>
      <c r="G47" s="40" t="str">
        <f t="array" ref="G47">_xlfn.XLOOKUP($B47, DB[samplingPoint], DB[location])</f>
        <v>TOOL WASHING-P</v>
      </c>
      <c r="H47" s="40" t="str">
        <f t="array" ref="H47">_xlfn.XLOOKUP($B47, DB[samplingPoint], DB[waterType])</f>
        <v>PW</v>
      </c>
      <c r="I47" s="60">
        <f t="shared" si="1"/>
        <v>45678</v>
      </c>
      <c r="J47" s="192">
        <f t="shared" si="2"/>
        <v>45681</v>
      </c>
      <c r="K47" s="32">
        <v>0.0</v>
      </c>
      <c r="L47" s="32">
        <v>0.0</v>
      </c>
      <c r="M47" s="32">
        <f t="shared" si="3"/>
        <v>0</v>
      </c>
      <c r="N47" s="32" t="s">
        <v>376</v>
      </c>
      <c r="O47" s="32">
        <v>100.0</v>
      </c>
      <c r="P47" s="50" t="str">
        <f t="shared" si="4"/>
        <v>PASSED</v>
      </c>
      <c r="Q47" s="50" t="str">
        <f t="shared" si="5"/>
        <v>10</v>
      </c>
    </row>
    <row r="48" ht="22.5" customHeight="1">
      <c r="A48" s="26">
        <v>45677.0</v>
      </c>
      <c r="B48" s="32" t="s">
        <v>423</v>
      </c>
      <c r="C48" s="191" t="str">
        <f t="array" ref="C48">_xlfn.XLOOKUP(B48, DB[samplingPoint], DB[samplingTag])</f>
        <v>SV116.12</v>
      </c>
      <c r="D48" s="33" t="s">
        <v>59</v>
      </c>
      <c r="E48" s="39" t="str">
        <f t="array" ref="E48">_xlfn.XLOOKUP($B48, DB[samplingPoint], DB[noLocation])</f>
        <v>10-3-144</v>
      </c>
      <c r="F48" s="40" t="str">
        <f t="array" ref="F48">_xlfn.XLOOKUP($B48, DB[samplingPoint], DB[building])</f>
        <v>Building 10</v>
      </c>
      <c r="G48" s="40" t="str">
        <f t="array" ref="G48">_xlfn.XLOOKUP($B48, DB[samplingPoint], DB[location])</f>
        <v>COATING-P</v>
      </c>
      <c r="H48" s="40" t="str">
        <f t="array" ref="H48">_xlfn.XLOOKUP($B48, DB[samplingPoint], DB[waterType])</f>
        <v>PW</v>
      </c>
      <c r="I48" s="60">
        <f t="shared" si="1"/>
        <v>45678</v>
      </c>
      <c r="J48" s="192">
        <f t="shared" si="2"/>
        <v>45681</v>
      </c>
      <c r="K48" s="32">
        <v>0.0</v>
      </c>
      <c r="L48" s="32">
        <v>0.0</v>
      </c>
      <c r="M48" s="32">
        <f t="shared" si="3"/>
        <v>0</v>
      </c>
      <c r="N48" s="32" t="s">
        <v>376</v>
      </c>
      <c r="O48" s="32">
        <v>100.0</v>
      </c>
      <c r="P48" s="50" t="str">
        <f t="shared" si="4"/>
        <v>PASSED</v>
      </c>
      <c r="Q48" s="50" t="str">
        <f t="shared" si="5"/>
        <v>10</v>
      </c>
    </row>
    <row r="49" ht="22.5" customHeight="1">
      <c r="A49" s="26">
        <v>45677.0</v>
      </c>
      <c r="B49" s="32" t="s">
        <v>423</v>
      </c>
      <c r="C49" s="191" t="str">
        <f t="array" ref="C49">_xlfn.XLOOKUP(B49, DB[samplingPoint], DB[samplingTag])</f>
        <v>SV116.12</v>
      </c>
      <c r="D49" s="33" t="s">
        <v>59</v>
      </c>
      <c r="E49" s="39" t="str">
        <f t="array" ref="E49">_xlfn.XLOOKUP($B49, DB[samplingPoint], DB[noLocation])</f>
        <v>10-3-144</v>
      </c>
      <c r="F49" s="40" t="str">
        <f t="array" ref="F49">_xlfn.XLOOKUP($B49, DB[samplingPoint], DB[building])</f>
        <v>Building 10</v>
      </c>
      <c r="G49" s="40" t="str">
        <f t="array" ref="G49">_xlfn.XLOOKUP($B49, DB[samplingPoint], DB[location])</f>
        <v>COATING-P</v>
      </c>
      <c r="H49" s="40" t="str">
        <f t="array" ref="H49">_xlfn.XLOOKUP($B49, DB[samplingPoint], DB[waterType])</f>
        <v>PW</v>
      </c>
      <c r="I49" s="60">
        <f t="shared" si="1"/>
        <v>45678</v>
      </c>
      <c r="J49" s="192">
        <f t="shared" si="2"/>
        <v>45681</v>
      </c>
      <c r="K49" s="32">
        <v>0.0</v>
      </c>
      <c r="L49" s="32">
        <v>0.0</v>
      </c>
      <c r="M49" s="32">
        <f t="shared" si="3"/>
        <v>0</v>
      </c>
      <c r="N49" s="32" t="s">
        <v>376</v>
      </c>
      <c r="O49" s="32">
        <v>100.0</v>
      </c>
      <c r="P49" s="50" t="str">
        <f t="shared" si="4"/>
        <v>PASSED</v>
      </c>
      <c r="Q49" s="50" t="str">
        <f t="shared" si="5"/>
        <v>10</v>
      </c>
    </row>
    <row r="50" ht="22.5" customHeight="1">
      <c r="A50" s="26">
        <v>45677.0</v>
      </c>
      <c r="B50" s="32" t="s">
        <v>414</v>
      </c>
      <c r="C50" s="191" t="str">
        <f t="array" ref="C50">_xlfn.XLOOKUP(B50, DB[samplingPoint], DB[samplingTag])</f>
        <v>SV116.13</v>
      </c>
      <c r="D50" s="33" t="s">
        <v>59</v>
      </c>
      <c r="E50" s="39" t="str">
        <f t="array" ref="E50">_xlfn.XLOOKUP($B50, DB[samplingPoint], DB[noLocation])</f>
        <v>10-3-152</v>
      </c>
      <c r="F50" s="40" t="str">
        <f t="array" ref="F50">_xlfn.XLOOKUP($B50, DB[samplingPoint], DB[building])</f>
        <v>Building 10</v>
      </c>
      <c r="G50" s="40" t="str">
        <f t="array" ref="G50">_xlfn.XLOOKUP($B50, DB[samplingPoint], DB[location])</f>
        <v>WASHING-P</v>
      </c>
      <c r="H50" s="40" t="str">
        <f t="array" ref="H50">_xlfn.XLOOKUP($B50, DB[samplingPoint], DB[waterType])</f>
        <v>PW</v>
      </c>
      <c r="I50" s="60">
        <f t="shared" si="1"/>
        <v>45678</v>
      </c>
      <c r="J50" s="192">
        <f t="shared" si="2"/>
        <v>45681</v>
      </c>
      <c r="K50" s="32">
        <v>0.0</v>
      </c>
      <c r="L50" s="32">
        <v>0.0</v>
      </c>
      <c r="M50" s="32">
        <f t="shared" si="3"/>
        <v>0</v>
      </c>
      <c r="N50" s="32" t="s">
        <v>376</v>
      </c>
      <c r="O50" s="32">
        <v>100.0</v>
      </c>
      <c r="P50" s="50" t="str">
        <f t="shared" si="4"/>
        <v>PASSED</v>
      </c>
      <c r="Q50" s="50" t="str">
        <f t="shared" si="5"/>
        <v>10</v>
      </c>
    </row>
    <row r="51" ht="22.5" customHeight="1">
      <c r="A51" s="26">
        <v>45677.0</v>
      </c>
      <c r="B51" s="32" t="s">
        <v>579</v>
      </c>
      <c r="C51" s="39" t="str">
        <f t="array" ref="C51">_xlfn.XLOOKUP(B51, DB[samplingPoint], DB[samplingTag])</f>
        <v>V50-60(10)</v>
      </c>
      <c r="D51" s="33" t="s">
        <v>59</v>
      </c>
      <c r="E51" s="39" t="str">
        <f t="array" ref="E51">_xlfn.XLOOKUP($B51, DB[samplingPoint], DB[noLocation])</f>
        <v>WATER SYSTEM (B10)</v>
      </c>
      <c r="F51" s="40" t="str">
        <f t="array" ref="F51">_xlfn.XLOOKUP($B51, DB[samplingPoint], DB[building])</f>
        <v>Building 10</v>
      </c>
      <c r="G51" s="40" t="str">
        <f t="array" ref="G51">_xlfn.XLOOKUP($B51, DB[samplingPoint], DB[location])</f>
        <v>Before Cartridge filter 5 µm (B10)</v>
      </c>
      <c r="H51" s="40" t="str">
        <f t="array" ref="H51">_xlfn.XLOOKUP($B51, DB[samplingPoint], DB[waterType])</f>
        <v>PRW</v>
      </c>
      <c r="I51" s="60">
        <f t="shared" si="1"/>
        <v>45678</v>
      </c>
      <c r="J51" s="192">
        <f t="shared" si="2"/>
        <v>45681</v>
      </c>
      <c r="K51" s="32">
        <v>999.0</v>
      </c>
      <c r="L51" s="32">
        <v>999.0</v>
      </c>
      <c r="M51" s="32">
        <f t="shared" si="3"/>
        <v>999</v>
      </c>
      <c r="N51" s="32" t="s">
        <v>376</v>
      </c>
      <c r="O51" s="32">
        <v>500.0</v>
      </c>
      <c r="P51" s="50" t="str">
        <f t="shared" si="4"/>
        <v>NOT-PASSED</v>
      </c>
      <c r="Q51" s="50" t="str">
        <f t="shared" si="5"/>
        <v>WA</v>
      </c>
    </row>
    <row r="52" ht="22.5" customHeight="1">
      <c r="A52" s="26">
        <v>45677.0</v>
      </c>
      <c r="B52" s="32" t="s">
        <v>366</v>
      </c>
      <c r="C52" s="191" t="str">
        <f t="array" ref="C52">_xlfn.XLOOKUP(B52, DB[samplingPoint], DB[samplingTag])</f>
        <v>V50-61(10)</v>
      </c>
      <c r="D52" s="33" t="s">
        <v>59</v>
      </c>
      <c r="E52" s="39" t="str">
        <f t="array" ref="E52">_xlfn.XLOOKUP($B52, DB[samplingPoint], DB[noLocation])</f>
        <v>WATER SYSTEM (B10)</v>
      </c>
      <c r="F52" s="40" t="str">
        <f t="array" ref="F52">_xlfn.XLOOKUP($B52, DB[samplingPoint], DB[building])</f>
        <v>Building 10</v>
      </c>
      <c r="G52" s="40" t="str">
        <f t="array" ref="G52">_xlfn.XLOOKUP($B52, DB[samplingPoint], DB[location])</f>
        <v>After Cartridge filter 5 µm (B10)</v>
      </c>
      <c r="H52" s="40" t="str">
        <f t="array" ref="H52">_xlfn.XLOOKUP($B52, DB[samplingPoint], DB[waterType])</f>
        <v>PRW</v>
      </c>
      <c r="I52" s="60">
        <f t="shared" si="1"/>
        <v>45678</v>
      </c>
      <c r="J52" s="192">
        <f t="shared" si="2"/>
        <v>45681</v>
      </c>
      <c r="K52" s="32">
        <v>999.0</v>
      </c>
      <c r="L52" s="32">
        <v>999.0</v>
      </c>
      <c r="M52" s="32">
        <f t="shared" si="3"/>
        <v>999</v>
      </c>
      <c r="N52" s="32" t="s">
        <v>376</v>
      </c>
      <c r="O52" s="32">
        <v>500.0</v>
      </c>
      <c r="P52" s="50" t="str">
        <f t="shared" si="4"/>
        <v>NOT-PASSED</v>
      </c>
      <c r="Q52" s="50" t="str">
        <f t="shared" si="5"/>
        <v>WA</v>
      </c>
    </row>
    <row r="53" ht="22.5" customHeight="1">
      <c r="A53" s="26">
        <v>45677.0</v>
      </c>
      <c r="B53" s="32" t="s">
        <v>368</v>
      </c>
      <c r="C53" s="191" t="str">
        <f t="array" ref="C53">_xlfn.XLOOKUP(B53, DB[samplingPoint], DB[samplingTag])</f>
        <v>V50-11C(10)</v>
      </c>
      <c r="D53" s="33" t="s">
        <v>59</v>
      </c>
      <c r="E53" s="39" t="str">
        <f t="array" ref="E53">_xlfn.XLOOKUP($B53, DB[samplingPoint], DB[noLocation])</f>
        <v>WATER SYSTEM (B10)</v>
      </c>
      <c r="F53" s="40" t="str">
        <f t="array" ref="F53">_xlfn.XLOOKUP($B53, DB[samplingPoint], DB[building])</f>
        <v>Building 10</v>
      </c>
      <c r="G53" s="40" t="str">
        <f t="array" ref="G53">_xlfn.XLOOKUP($B53, DB[samplingPoint], DB[location])</f>
        <v>After RO (Before EDI) (B10)</v>
      </c>
      <c r="H53" s="40" t="str">
        <f t="array" ref="H53">_xlfn.XLOOKUP($B53, DB[samplingPoint], DB[waterType])</f>
        <v>RO water</v>
      </c>
      <c r="I53" s="60">
        <f t="shared" si="1"/>
        <v>45678</v>
      </c>
      <c r="J53" s="192">
        <f t="shared" si="2"/>
        <v>45681</v>
      </c>
      <c r="K53" s="32">
        <v>0.0</v>
      </c>
      <c r="L53" s="32">
        <v>0.0</v>
      </c>
      <c r="M53" s="32">
        <f t="shared" si="3"/>
        <v>0</v>
      </c>
      <c r="N53" s="32" t="s">
        <v>376</v>
      </c>
      <c r="O53" s="32">
        <v>500.0</v>
      </c>
      <c r="P53" s="50" t="str">
        <f t="shared" si="4"/>
        <v>PASSED</v>
      </c>
      <c r="Q53" s="50" t="str">
        <f t="shared" si="5"/>
        <v>WA</v>
      </c>
    </row>
    <row r="54" ht="22.5" customHeight="1">
      <c r="A54" s="26">
        <v>45677.0</v>
      </c>
      <c r="B54" s="32" t="s">
        <v>368</v>
      </c>
      <c r="C54" s="191" t="str">
        <f t="array" ref="C54">_xlfn.XLOOKUP(B54, DB[samplingPoint], DB[samplingTag])</f>
        <v>V50-11C(10)</v>
      </c>
      <c r="D54" s="33" t="s">
        <v>59</v>
      </c>
      <c r="E54" s="39" t="str">
        <f t="array" ref="E54">_xlfn.XLOOKUP($B54, DB[samplingPoint], DB[noLocation])</f>
        <v>WATER SYSTEM (B10)</v>
      </c>
      <c r="F54" s="40" t="str">
        <f t="array" ref="F54">_xlfn.XLOOKUP($B54, DB[samplingPoint], DB[building])</f>
        <v>Building 10</v>
      </c>
      <c r="G54" s="40" t="str">
        <f t="array" ref="G54">_xlfn.XLOOKUP($B54, DB[samplingPoint], DB[location])</f>
        <v>After RO (Before EDI) (B10)</v>
      </c>
      <c r="H54" s="40" t="str">
        <f t="array" ref="H54">_xlfn.XLOOKUP($B54, DB[samplingPoint], DB[waterType])</f>
        <v>RO water</v>
      </c>
      <c r="I54" s="60">
        <f t="shared" si="1"/>
        <v>45678</v>
      </c>
      <c r="J54" s="192">
        <f t="shared" si="2"/>
        <v>45681</v>
      </c>
      <c r="K54" s="32">
        <v>0.0</v>
      </c>
      <c r="L54" s="32">
        <v>0.0</v>
      </c>
      <c r="M54" s="32">
        <f t="shared" si="3"/>
        <v>0</v>
      </c>
      <c r="N54" s="32" t="s">
        <v>376</v>
      </c>
      <c r="O54" s="32">
        <v>500.0</v>
      </c>
      <c r="P54" s="50" t="str">
        <f t="shared" si="4"/>
        <v>PASSED</v>
      </c>
      <c r="Q54" s="50" t="str">
        <f t="shared" si="5"/>
        <v>WA</v>
      </c>
    </row>
    <row r="55" ht="22.5" customHeight="1">
      <c r="A55" s="26">
        <v>45677.0</v>
      </c>
      <c r="B55" s="32" t="s">
        <v>374</v>
      </c>
      <c r="C55" s="191" t="str">
        <f t="array" ref="C55">_xlfn.XLOOKUP(B55, DB[samplingPoint], DB[samplingTag])</f>
        <v>V50-39(10)</v>
      </c>
      <c r="D55" s="33" t="s">
        <v>59</v>
      </c>
      <c r="E55" s="39" t="str">
        <f t="array" ref="E55">_xlfn.XLOOKUP($B55, DB[samplingPoint], DB[noLocation])</f>
        <v>WATER SYSTEM (B10)</v>
      </c>
      <c r="F55" s="40" t="str">
        <f t="array" ref="F55">_xlfn.XLOOKUP($B55, DB[samplingPoint], DB[building])</f>
        <v>Building 10</v>
      </c>
      <c r="G55" s="40" t="str">
        <f t="array" ref="G55">_xlfn.XLOOKUP($B55, DB[samplingPoint], DB[location])</f>
        <v>After EDI (B10)</v>
      </c>
      <c r="H55" s="40" t="str">
        <f t="array" ref="H55">_xlfn.XLOOKUP($B55, DB[samplingPoint], DB[waterType])</f>
        <v>PW</v>
      </c>
      <c r="I55" s="60">
        <f t="shared" si="1"/>
        <v>45678</v>
      </c>
      <c r="J55" s="192">
        <f t="shared" si="2"/>
        <v>45681</v>
      </c>
      <c r="K55" s="32">
        <v>0.0</v>
      </c>
      <c r="L55" s="32">
        <v>0.0</v>
      </c>
      <c r="M55" s="32">
        <f t="shared" si="3"/>
        <v>0</v>
      </c>
      <c r="N55" s="32" t="s">
        <v>376</v>
      </c>
      <c r="O55" s="32">
        <v>100.0</v>
      </c>
      <c r="P55" s="50" t="str">
        <f t="shared" si="4"/>
        <v>PASSED</v>
      </c>
      <c r="Q55" s="50" t="str">
        <f t="shared" si="5"/>
        <v>WA</v>
      </c>
    </row>
    <row r="56" ht="22.5" customHeight="1">
      <c r="A56" s="26">
        <v>45684.0</v>
      </c>
      <c r="B56" s="32" t="s">
        <v>502</v>
      </c>
      <c r="C56" s="191" t="str">
        <f t="array" ref="C56">_xlfn.XLOOKUP(B56, DB[samplingPoint], DB[samplingTag])</f>
        <v>DV116.26</v>
      </c>
      <c r="D56" s="33" t="s">
        <v>59</v>
      </c>
      <c r="E56" s="39" t="str">
        <f t="array" ref="E56">_xlfn.XLOOKUP($B56, DB[samplingPoint], DB[noLocation])</f>
        <v>10-4-015</v>
      </c>
      <c r="F56" s="40" t="str">
        <f t="array" ref="F56">_xlfn.XLOOKUP($B56, DB[samplingPoint], DB[building])</f>
        <v>Building 10</v>
      </c>
      <c r="G56" s="40" t="str">
        <f t="array" ref="G56">_xlfn.XLOOKUP($B56, DB[samplingPoint], DB[location])</f>
        <v>WATER SYSTEM ROOM</v>
      </c>
      <c r="H56" s="40" t="str">
        <f t="array" ref="H56">_xlfn.XLOOKUP($B56, DB[samplingPoint], DB[waterType])</f>
        <v>PW</v>
      </c>
      <c r="I56" s="60">
        <f t="shared" si="1"/>
        <v>45685</v>
      </c>
      <c r="J56" s="192">
        <f t="shared" si="2"/>
        <v>45688</v>
      </c>
      <c r="K56" s="32">
        <v>0.0</v>
      </c>
      <c r="L56" s="32">
        <v>0.0</v>
      </c>
      <c r="M56" s="32">
        <f t="shared" si="3"/>
        <v>0</v>
      </c>
      <c r="N56" s="32" t="s">
        <v>376</v>
      </c>
      <c r="O56" s="32">
        <v>100.0</v>
      </c>
      <c r="P56" s="50" t="str">
        <f t="shared" si="4"/>
        <v>PASSED</v>
      </c>
      <c r="Q56" s="50" t="str">
        <f t="shared" si="5"/>
        <v>10</v>
      </c>
    </row>
    <row r="57" ht="22.5" customHeight="1">
      <c r="A57" s="26">
        <v>45684.0</v>
      </c>
      <c r="B57" s="32" t="s">
        <v>491</v>
      </c>
      <c r="C57" s="191" t="str">
        <f t="array" ref="C57">_xlfn.XLOOKUP(B57, DB[samplingPoint], DB[samplingTag])</f>
        <v>SV116.15</v>
      </c>
      <c r="D57" s="33" t="s">
        <v>59</v>
      </c>
      <c r="E57" s="39" t="str">
        <f t="array" ref="E57">_xlfn.XLOOKUP($B57, DB[samplingPoint], DB[noLocation])</f>
        <v>10-4-012</v>
      </c>
      <c r="F57" s="40" t="str">
        <f t="array" ref="F57">_xlfn.XLOOKUP($B57, DB[samplingPoint], DB[building])</f>
        <v>Building 10</v>
      </c>
      <c r="G57" s="40" t="str">
        <f t="array" ref="G57">_xlfn.XLOOKUP($B57, DB[samplingPoint], DB[location])</f>
        <v>CIP SKID-1 FOR BIN WASHING-1</v>
      </c>
      <c r="H57" s="40" t="str">
        <f t="array" ref="H57">_xlfn.XLOOKUP($B57, DB[samplingPoint], DB[waterType])</f>
        <v>PW</v>
      </c>
      <c r="I57" s="60">
        <f t="shared" si="1"/>
        <v>45685</v>
      </c>
      <c r="J57" s="192">
        <f t="shared" si="2"/>
        <v>45688</v>
      </c>
      <c r="K57" s="32">
        <v>0.0</v>
      </c>
      <c r="L57" s="32">
        <v>0.0</v>
      </c>
      <c r="M57" s="32">
        <f t="shared" si="3"/>
        <v>0</v>
      </c>
      <c r="N57" s="32" t="s">
        <v>376</v>
      </c>
      <c r="O57" s="32">
        <v>100.0</v>
      </c>
      <c r="P57" s="50" t="str">
        <f t="shared" si="4"/>
        <v>PASSED</v>
      </c>
      <c r="Q57" s="50" t="str">
        <f t="shared" si="5"/>
        <v>10</v>
      </c>
    </row>
    <row r="58" ht="22.5" customHeight="1">
      <c r="A58" s="26">
        <v>45684.0</v>
      </c>
      <c r="B58" s="32" t="s">
        <v>493</v>
      </c>
      <c r="C58" s="191" t="str">
        <f t="array" ref="C58">_xlfn.XLOOKUP(B58, DB[samplingPoint], DB[samplingTag])</f>
        <v>SV116.16</v>
      </c>
      <c r="D58" s="33" t="s">
        <v>59</v>
      </c>
      <c r="E58" s="39" t="str">
        <f t="array" ref="E58">_xlfn.XLOOKUP($B58, DB[samplingPoint], DB[noLocation])</f>
        <v>10-4-012</v>
      </c>
      <c r="F58" s="40" t="str">
        <f t="array" ref="F58">_xlfn.XLOOKUP($B58, DB[samplingPoint], DB[building])</f>
        <v>Building 10</v>
      </c>
      <c r="G58" s="40" t="str">
        <f t="array" ref="G58">_xlfn.XLOOKUP($B58, DB[samplingPoint], DB[location])</f>
        <v>WIP SKID-3 FOR GRANULATION POTENT</v>
      </c>
      <c r="H58" s="40" t="str">
        <f t="array" ref="H58">_xlfn.XLOOKUP($B58, DB[samplingPoint], DB[waterType])</f>
        <v>PW</v>
      </c>
      <c r="I58" s="60">
        <f t="shared" si="1"/>
        <v>45685</v>
      </c>
      <c r="J58" s="192">
        <f t="shared" si="2"/>
        <v>45688</v>
      </c>
      <c r="K58" s="32">
        <v>0.0</v>
      </c>
      <c r="L58" s="32">
        <v>0.0</v>
      </c>
      <c r="M58" s="32">
        <f t="shared" si="3"/>
        <v>0</v>
      </c>
      <c r="N58" s="32" t="s">
        <v>376</v>
      </c>
      <c r="O58" s="32">
        <v>100.0</v>
      </c>
      <c r="P58" s="50" t="str">
        <f t="shared" si="4"/>
        <v>PASSED</v>
      </c>
      <c r="Q58" s="50" t="str">
        <f t="shared" si="5"/>
        <v>10</v>
      </c>
    </row>
    <row r="59" ht="22.5" customHeight="1">
      <c r="A59" s="26">
        <v>45684.0</v>
      </c>
      <c r="B59" s="32" t="s">
        <v>494</v>
      </c>
      <c r="C59" s="191" t="str">
        <f t="array" ref="C59">_xlfn.XLOOKUP(B59, DB[samplingPoint], DB[samplingTag])</f>
        <v>SV116.17</v>
      </c>
      <c r="D59" s="33" t="s">
        <v>59</v>
      </c>
      <c r="E59" s="39" t="str">
        <f t="array" ref="E59">_xlfn.XLOOKUP($B59, DB[samplingPoint], DB[noLocation])</f>
        <v>10-4-012</v>
      </c>
      <c r="F59" s="40" t="str">
        <f t="array" ref="F59">_xlfn.XLOOKUP($B59, DB[samplingPoint], DB[building])</f>
        <v>Building 10</v>
      </c>
      <c r="G59" s="40" t="str">
        <f t="array" ref="G59">_xlfn.XLOOKUP($B59, DB[samplingPoint], DB[location])</f>
        <v>CIP SKID-2 FOR BIN WASHING-1</v>
      </c>
      <c r="H59" s="40" t="str">
        <f t="array" ref="H59">_xlfn.XLOOKUP($B59, DB[samplingPoint], DB[waterType])</f>
        <v>PW</v>
      </c>
      <c r="I59" s="60">
        <f t="shared" si="1"/>
        <v>45685</v>
      </c>
      <c r="J59" s="192">
        <f t="shared" si="2"/>
        <v>45688</v>
      </c>
      <c r="K59" s="32">
        <v>0.0</v>
      </c>
      <c r="L59" s="32">
        <v>0.0</v>
      </c>
      <c r="M59" s="32">
        <f t="shared" si="3"/>
        <v>0</v>
      </c>
      <c r="N59" s="32" t="s">
        <v>376</v>
      </c>
      <c r="O59" s="32">
        <v>100.0</v>
      </c>
      <c r="P59" s="50" t="str">
        <f t="shared" si="4"/>
        <v>PASSED</v>
      </c>
      <c r="Q59" s="50" t="str">
        <f t="shared" si="5"/>
        <v>10</v>
      </c>
    </row>
    <row r="60" ht="22.5" customHeight="1">
      <c r="A60" s="26">
        <v>45684.0</v>
      </c>
      <c r="B60" s="32" t="s">
        <v>495</v>
      </c>
      <c r="C60" s="191" t="str">
        <f t="array" ref="C60">_xlfn.XLOOKUP(B60, DB[samplingPoint], DB[samplingTag])</f>
        <v>SV116.18</v>
      </c>
      <c r="D60" s="33" t="s">
        <v>59</v>
      </c>
      <c r="E60" s="39" t="str">
        <f t="array" ref="E60">_xlfn.XLOOKUP($B60, DB[samplingPoint], DB[noLocation])</f>
        <v>10-4-012</v>
      </c>
      <c r="F60" s="40" t="str">
        <f t="array" ref="F60">_xlfn.XLOOKUP($B60, DB[samplingPoint], DB[building])</f>
        <v>Building 10</v>
      </c>
      <c r="G60" s="40" t="str">
        <f t="array" ref="G60">_xlfn.XLOOKUP($B60, DB[samplingPoint], DB[location])</f>
        <v>WIP SKID-1 FOR GRANULATION NON POTENT</v>
      </c>
      <c r="H60" s="40" t="str">
        <f t="array" ref="H60">_xlfn.XLOOKUP($B60, DB[samplingPoint], DB[waterType])</f>
        <v>PW</v>
      </c>
      <c r="I60" s="60">
        <f t="shared" si="1"/>
        <v>45685</v>
      </c>
      <c r="J60" s="192">
        <f t="shared" si="2"/>
        <v>45688</v>
      </c>
      <c r="K60" s="32">
        <v>0.0</v>
      </c>
      <c r="L60" s="32">
        <v>0.0</v>
      </c>
      <c r="M60" s="32">
        <f t="shared" si="3"/>
        <v>0</v>
      </c>
      <c r="N60" s="32" t="s">
        <v>376</v>
      </c>
      <c r="O60" s="32">
        <v>100.0</v>
      </c>
      <c r="P60" s="50" t="str">
        <f t="shared" si="4"/>
        <v>PASSED</v>
      </c>
      <c r="Q60" s="50" t="str">
        <f t="shared" si="5"/>
        <v>10</v>
      </c>
    </row>
    <row r="61" ht="22.5" customHeight="1">
      <c r="A61" s="26">
        <v>45684.0</v>
      </c>
      <c r="B61" s="32" t="s">
        <v>496</v>
      </c>
      <c r="C61" s="191" t="str">
        <f t="array" ref="C61">_xlfn.XLOOKUP(B61, DB[samplingPoint], DB[samplingTag])</f>
        <v>SV116.19</v>
      </c>
      <c r="D61" s="33" t="s">
        <v>59</v>
      </c>
      <c r="E61" s="39" t="str">
        <f t="array" ref="E61">_xlfn.XLOOKUP($B61, DB[samplingPoint], DB[noLocation])</f>
        <v>10-4-012</v>
      </c>
      <c r="F61" s="40" t="str">
        <f t="array" ref="F61">_xlfn.XLOOKUP($B61, DB[samplingPoint], DB[building])</f>
        <v>Building 10</v>
      </c>
      <c r="G61" s="40" t="str">
        <f t="array" ref="G61">_xlfn.XLOOKUP($B61, DB[samplingPoint], DB[location])</f>
        <v>WIP SKID-2 FOR GRANULATION NON POTENT</v>
      </c>
      <c r="H61" s="40" t="str">
        <f t="array" ref="H61">_xlfn.XLOOKUP($B61, DB[samplingPoint], DB[waterType])</f>
        <v>PW</v>
      </c>
      <c r="I61" s="60">
        <f t="shared" si="1"/>
        <v>45685</v>
      </c>
      <c r="J61" s="192">
        <f t="shared" si="2"/>
        <v>45688</v>
      </c>
      <c r="K61" s="32">
        <v>0.0</v>
      </c>
      <c r="L61" s="32">
        <v>0.0</v>
      </c>
      <c r="M61" s="32">
        <f t="shared" si="3"/>
        <v>0</v>
      </c>
      <c r="N61" s="32" t="s">
        <v>376</v>
      </c>
      <c r="O61" s="32">
        <v>100.0</v>
      </c>
      <c r="P61" s="50" t="str">
        <f t="shared" si="4"/>
        <v>PASSED</v>
      </c>
      <c r="Q61" s="50" t="str">
        <f t="shared" si="5"/>
        <v>10</v>
      </c>
    </row>
    <row r="62" ht="22.5" customHeight="1">
      <c r="A62" s="26">
        <v>45684.0</v>
      </c>
      <c r="B62" s="32" t="s">
        <v>492</v>
      </c>
      <c r="C62" s="191" t="str">
        <f t="array" ref="C62">_xlfn.XLOOKUP(B62, DB[samplingPoint], DB[samplingTag])</f>
        <v>SV116.11</v>
      </c>
      <c r="D62" s="33" t="s">
        <v>59</v>
      </c>
      <c r="E62" s="39" t="str">
        <f t="array" ref="E62">_xlfn.XLOOKUP($B62, DB[samplingPoint], DB[noLocation])</f>
        <v>10-3-107</v>
      </c>
      <c r="F62" s="40" t="str">
        <f t="array" ref="F62">_xlfn.XLOOKUP($B62, DB[samplingPoint], DB[building])</f>
        <v>Building 10</v>
      </c>
      <c r="G62" s="40" t="str">
        <f t="array" ref="G62">_xlfn.XLOOKUP($B62, DB[samplingPoint], DB[location])</f>
        <v>WET GRANULATION-2</v>
      </c>
      <c r="H62" s="40" t="str">
        <f t="array" ref="H62">_xlfn.XLOOKUP($B62, DB[samplingPoint], DB[waterType])</f>
        <v>PW</v>
      </c>
      <c r="I62" s="60">
        <f t="shared" si="1"/>
        <v>45685</v>
      </c>
      <c r="J62" s="192">
        <f t="shared" si="2"/>
        <v>45688</v>
      </c>
      <c r="K62" s="32">
        <v>0.0</v>
      </c>
      <c r="L62" s="32">
        <v>0.0</v>
      </c>
      <c r="M62" s="32">
        <f t="shared" si="3"/>
        <v>0</v>
      </c>
      <c r="N62" s="32" t="s">
        <v>376</v>
      </c>
      <c r="O62" s="32">
        <v>100.0</v>
      </c>
      <c r="P62" s="50" t="str">
        <f t="shared" si="4"/>
        <v>PASSED</v>
      </c>
      <c r="Q62" s="50" t="str">
        <f t="shared" si="5"/>
        <v>10</v>
      </c>
    </row>
    <row r="63" ht="22.5" customHeight="1">
      <c r="A63" s="26">
        <v>45684.0</v>
      </c>
      <c r="B63" s="32" t="s">
        <v>499</v>
      </c>
      <c r="C63" s="191" t="str">
        <f t="array" ref="C63">_xlfn.XLOOKUP(B63, DB[samplingPoint], DB[samplingTag])</f>
        <v>SV116.01</v>
      </c>
      <c r="D63" s="33" t="s">
        <v>59</v>
      </c>
      <c r="E63" s="39" t="str">
        <f t="array" ref="E63">_xlfn.XLOOKUP($B63, DB[samplingPoint], DB[noLocation])</f>
        <v>10-2-021</v>
      </c>
      <c r="F63" s="40" t="str">
        <f t="array" ref="F63">_xlfn.XLOOKUP($B63, DB[samplingPoint], DB[building])</f>
        <v>Building 10</v>
      </c>
      <c r="G63" s="40" t="str">
        <f t="array" ref="G63">_xlfn.XLOOKUP($B63, DB[samplingPoint], DB[location])</f>
        <v>INSTRUMENT-1</v>
      </c>
      <c r="H63" s="40" t="str">
        <f t="array" ref="H63">_xlfn.XLOOKUP($B63, DB[samplingPoint], DB[waterType])</f>
        <v>PW</v>
      </c>
      <c r="I63" s="60">
        <f t="shared" si="1"/>
        <v>45685</v>
      </c>
      <c r="J63" s="192">
        <f t="shared" si="2"/>
        <v>45688</v>
      </c>
      <c r="K63" s="32">
        <v>0.0</v>
      </c>
      <c r="L63" s="32">
        <v>0.0</v>
      </c>
      <c r="M63" s="32">
        <f t="shared" si="3"/>
        <v>0</v>
      </c>
      <c r="N63" s="32" t="s">
        <v>376</v>
      </c>
      <c r="O63" s="32">
        <v>100.0</v>
      </c>
      <c r="P63" s="50" t="str">
        <f t="shared" si="4"/>
        <v>PASSED</v>
      </c>
      <c r="Q63" s="50" t="str">
        <f t="shared" si="5"/>
        <v>10</v>
      </c>
    </row>
    <row r="64" ht="22.5" customHeight="1">
      <c r="A64" s="26">
        <v>45684.0</v>
      </c>
      <c r="B64" s="32" t="s">
        <v>498</v>
      </c>
      <c r="C64" s="191" t="str">
        <f t="array" ref="C64">_xlfn.XLOOKUP(B64, DB[samplingPoint], DB[samplingTag])</f>
        <v>SV116.02</v>
      </c>
      <c r="D64" s="33" t="s">
        <v>59</v>
      </c>
      <c r="E64" s="39" t="str">
        <f t="array" ref="E64">_xlfn.XLOOKUP($B64, DB[samplingPoint], DB[noLocation])</f>
        <v>10-2-037</v>
      </c>
      <c r="F64" s="40" t="str">
        <f t="array" ref="F64">_xlfn.XLOOKUP($B64, DB[samplingPoint], DB[building])</f>
        <v>Building 10</v>
      </c>
      <c r="G64" s="40" t="str">
        <f t="array" ref="G64">_xlfn.XLOOKUP($B64, DB[samplingPoint], DB[location])</f>
        <v>SKID FOR BIN WASHING-2</v>
      </c>
      <c r="H64" s="40" t="str">
        <f t="array" ref="H64">_xlfn.XLOOKUP($B64, DB[samplingPoint], DB[waterType])</f>
        <v>PW</v>
      </c>
      <c r="I64" s="60">
        <f t="shared" si="1"/>
        <v>45685</v>
      </c>
      <c r="J64" s="192">
        <f t="shared" si="2"/>
        <v>45688</v>
      </c>
      <c r="K64" s="32">
        <v>0.0</v>
      </c>
      <c r="L64" s="32">
        <v>0.0</v>
      </c>
      <c r="M64" s="32">
        <f t="shared" si="3"/>
        <v>0</v>
      </c>
      <c r="N64" s="32" t="s">
        <v>982</v>
      </c>
      <c r="O64" s="32">
        <v>100.0</v>
      </c>
      <c r="P64" s="50" t="str">
        <f t="shared" si="4"/>
        <v>PASSED</v>
      </c>
      <c r="Q64" s="50" t="str">
        <f t="shared" si="5"/>
        <v>10</v>
      </c>
    </row>
    <row r="65" ht="22.5" customHeight="1">
      <c r="A65" s="26">
        <v>45684.0</v>
      </c>
      <c r="B65" s="32" t="s">
        <v>498</v>
      </c>
      <c r="C65" s="191" t="str">
        <f t="array" ref="C65">_xlfn.XLOOKUP(B65, DB[samplingPoint], DB[samplingTag])</f>
        <v>SV116.02</v>
      </c>
      <c r="D65" s="33" t="s">
        <v>59</v>
      </c>
      <c r="E65" s="39" t="str">
        <f t="array" ref="E65">_xlfn.XLOOKUP($B65, DB[samplingPoint], DB[noLocation])</f>
        <v>10-2-037</v>
      </c>
      <c r="F65" s="40" t="str">
        <f t="array" ref="F65">_xlfn.XLOOKUP($B65, DB[samplingPoint], DB[building])</f>
        <v>Building 10</v>
      </c>
      <c r="G65" s="40" t="str">
        <f t="array" ref="G65">_xlfn.XLOOKUP($B65, DB[samplingPoint], DB[location])</f>
        <v>SKID FOR BIN WASHING-2</v>
      </c>
      <c r="H65" s="40" t="str">
        <f t="array" ref="H65">_xlfn.XLOOKUP($B65, DB[samplingPoint], DB[waterType])</f>
        <v>PW</v>
      </c>
      <c r="I65" s="60">
        <f t="shared" si="1"/>
        <v>45685</v>
      </c>
      <c r="J65" s="192">
        <f t="shared" si="2"/>
        <v>45688</v>
      </c>
      <c r="K65" s="32">
        <v>0.0</v>
      </c>
      <c r="L65" s="32">
        <v>0.0</v>
      </c>
      <c r="M65" s="32">
        <f t="shared" si="3"/>
        <v>0</v>
      </c>
      <c r="N65" s="32" t="s">
        <v>983</v>
      </c>
      <c r="O65" s="32">
        <v>100.0</v>
      </c>
      <c r="P65" s="50" t="str">
        <f t="shared" si="4"/>
        <v>PASSED</v>
      </c>
      <c r="Q65" s="50" t="str">
        <f t="shared" si="5"/>
        <v>10</v>
      </c>
    </row>
    <row r="66" ht="22.5" customHeight="1">
      <c r="A66" s="26">
        <v>45684.0</v>
      </c>
      <c r="B66" s="32" t="s">
        <v>579</v>
      </c>
      <c r="C66" s="39" t="str">
        <f t="array" ref="C66">_xlfn.XLOOKUP(B66, DB[samplingPoint], DB[samplingTag])</f>
        <v>V50-60(10)</v>
      </c>
      <c r="D66" s="33" t="s">
        <v>59</v>
      </c>
      <c r="E66" s="39" t="str">
        <f t="array" ref="E66">_xlfn.XLOOKUP($B66, DB[samplingPoint], DB[noLocation])</f>
        <v>WATER SYSTEM (B10)</v>
      </c>
      <c r="F66" s="40" t="str">
        <f t="array" ref="F66">_xlfn.XLOOKUP($B66, DB[samplingPoint], DB[building])</f>
        <v>Building 10</v>
      </c>
      <c r="G66" s="40" t="str">
        <f t="array" ref="G66">_xlfn.XLOOKUP($B66, DB[samplingPoint], DB[location])</f>
        <v>Before Cartridge filter 5 µm (B10)</v>
      </c>
      <c r="H66" s="40" t="str">
        <f t="array" ref="H66">_xlfn.XLOOKUP($B66, DB[samplingPoint], DB[waterType])</f>
        <v>PRW</v>
      </c>
      <c r="I66" s="60">
        <f t="shared" si="1"/>
        <v>45685</v>
      </c>
      <c r="J66" s="192">
        <f t="shared" si="2"/>
        <v>45688</v>
      </c>
      <c r="K66" s="32">
        <v>999.0</v>
      </c>
      <c r="L66" s="32">
        <v>999.0</v>
      </c>
      <c r="M66" s="32">
        <f t="shared" si="3"/>
        <v>999</v>
      </c>
      <c r="N66" s="32" t="s">
        <v>376</v>
      </c>
      <c r="O66" s="32">
        <v>500.0</v>
      </c>
      <c r="P66" s="50" t="str">
        <f t="shared" si="4"/>
        <v>NOT-PASSED</v>
      </c>
      <c r="Q66" s="50" t="str">
        <f t="shared" si="5"/>
        <v>WA</v>
      </c>
    </row>
    <row r="67" ht="22.5" customHeight="1">
      <c r="A67" s="26">
        <v>45684.0</v>
      </c>
      <c r="B67" s="32" t="s">
        <v>366</v>
      </c>
      <c r="C67" s="191" t="str">
        <f t="array" ref="C67">_xlfn.XLOOKUP(B67, DB[samplingPoint], DB[samplingTag])</f>
        <v>V50-61(10)</v>
      </c>
      <c r="D67" s="33" t="s">
        <v>59</v>
      </c>
      <c r="E67" s="39" t="str">
        <f t="array" ref="E67">_xlfn.XLOOKUP($B67, DB[samplingPoint], DB[noLocation])</f>
        <v>WATER SYSTEM (B10)</v>
      </c>
      <c r="F67" s="40" t="str">
        <f t="array" ref="F67">_xlfn.XLOOKUP($B67, DB[samplingPoint], DB[building])</f>
        <v>Building 10</v>
      </c>
      <c r="G67" s="40" t="str">
        <f t="array" ref="G67">_xlfn.XLOOKUP($B67, DB[samplingPoint], DB[location])</f>
        <v>After Cartridge filter 5 µm (B10)</v>
      </c>
      <c r="H67" s="40" t="str">
        <f t="array" ref="H67">_xlfn.XLOOKUP($B67, DB[samplingPoint], DB[waterType])</f>
        <v>PRW</v>
      </c>
      <c r="I67" s="60">
        <f t="shared" si="1"/>
        <v>45685</v>
      </c>
      <c r="J67" s="192">
        <f t="shared" si="2"/>
        <v>45688</v>
      </c>
      <c r="K67" s="32">
        <v>999.0</v>
      </c>
      <c r="L67" s="32">
        <v>999.0</v>
      </c>
      <c r="M67" s="32">
        <f t="shared" si="3"/>
        <v>999</v>
      </c>
      <c r="N67" s="32" t="s">
        <v>376</v>
      </c>
      <c r="O67" s="32">
        <v>500.0</v>
      </c>
      <c r="P67" s="50" t="str">
        <f t="shared" si="4"/>
        <v>NOT-PASSED</v>
      </c>
      <c r="Q67" s="50" t="str">
        <f t="shared" si="5"/>
        <v>WA</v>
      </c>
    </row>
    <row r="68" ht="22.5" customHeight="1">
      <c r="A68" s="26">
        <v>45684.0</v>
      </c>
      <c r="B68" s="32" t="s">
        <v>380</v>
      </c>
      <c r="C68" s="191" t="str">
        <f t="array" ref="C68">_xlfn.XLOOKUP(B68, DB[samplingPoint], DB[samplingTag])</f>
        <v>SV113.01</v>
      </c>
      <c r="D68" s="33" t="s">
        <v>59</v>
      </c>
      <c r="E68" s="39" t="str">
        <f t="array" ref="E68">_xlfn.XLOOKUP($B68, DB[samplingPoint], DB[noLocation])</f>
        <v>WATER SYSTEM (B10)</v>
      </c>
      <c r="F68" s="40" t="str">
        <f t="array" ref="F68">_xlfn.XLOOKUP($B68, DB[samplingPoint], DB[building])</f>
        <v>Building 10</v>
      </c>
      <c r="G68" s="40" t="str">
        <f t="array" ref="G68">_xlfn.XLOOKUP($B68, DB[samplingPoint], DB[location])</f>
        <v>After Storage tank (B10)</v>
      </c>
      <c r="H68" s="40" t="str">
        <f t="array" ref="H68">_xlfn.XLOOKUP($B68, DB[samplingPoint], DB[waterType])</f>
        <v>PW</v>
      </c>
      <c r="I68" s="60">
        <f t="shared" si="1"/>
        <v>45685</v>
      </c>
      <c r="J68" s="192">
        <f t="shared" si="2"/>
        <v>45688</v>
      </c>
      <c r="K68" s="32">
        <v>0.0</v>
      </c>
      <c r="L68" s="32">
        <v>0.0</v>
      </c>
      <c r="M68" s="32">
        <f t="shared" si="3"/>
        <v>0</v>
      </c>
      <c r="N68" s="32" t="s">
        <v>376</v>
      </c>
      <c r="O68" s="32">
        <v>100.0</v>
      </c>
      <c r="P68" s="50" t="str">
        <f t="shared" si="4"/>
        <v>PASSED</v>
      </c>
      <c r="Q68" s="50" t="str">
        <f t="shared" si="5"/>
        <v>WA</v>
      </c>
    </row>
    <row r="69" ht="22.5" customHeight="1">
      <c r="A69" s="26">
        <v>45684.0</v>
      </c>
      <c r="B69" s="32" t="s">
        <v>385</v>
      </c>
      <c r="C69" s="191" t="str">
        <f t="array" ref="C69">_xlfn.XLOOKUP(B69, DB[samplingPoint], DB[samplingTag])</f>
        <v>SV115.02</v>
      </c>
      <c r="D69" s="33" t="s">
        <v>59</v>
      </c>
      <c r="E69" s="39" t="str">
        <f t="array" ref="E69">_xlfn.XLOOKUP($B69, DB[samplingPoint], DB[noLocation])</f>
        <v>WATER SYSTEM (B10)</v>
      </c>
      <c r="F69" s="40" t="str">
        <f t="array" ref="F69">_xlfn.XLOOKUP($B69, DB[samplingPoint], DB[building])</f>
        <v>Building 10</v>
      </c>
      <c r="G69" s="40" t="str">
        <f t="array" ref="G69">_xlfn.XLOOKUP($B69, DB[samplingPoint], DB[location])</f>
        <v>After UV (B10)</v>
      </c>
      <c r="H69" s="40" t="str">
        <f t="array" ref="H69">_xlfn.XLOOKUP($B69, DB[samplingPoint], DB[waterType])</f>
        <v>PW</v>
      </c>
      <c r="I69" s="60">
        <f t="shared" si="1"/>
        <v>45685</v>
      </c>
      <c r="J69" s="192">
        <f t="shared" si="2"/>
        <v>45688</v>
      </c>
      <c r="K69" s="32">
        <v>0.0</v>
      </c>
      <c r="L69" s="32">
        <v>0.0</v>
      </c>
      <c r="M69" s="32">
        <f t="shared" si="3"/>
        <v>0</v>
      </c>
      <c r="N69" s="32" t="s">
        <v>376</v>
      </c>
      <c r="O69" s="32">
        <v>100.0</v>
      </c>
      <c r="P69" s="50" t="str">
        <f t="shared" si="4"/>
        <v>PASSED</v>
      </c>
      <c r="Q69" s="50" t="str">
        <f t="shared" si="5"/>
        <v>WA</v>
      </c>
    </row>
    <row r="70" ht="22.5" customHeight="1">
      <c r="A70" s="26">
        <v>45684.0</v>
      </c>
      <c r="B70" s="32" t="s">
        <v>390</v>
      </c>
      <c r="C70" s="191" t="str">
        <f t="array" ref="C70">_xlfn.XLOOKUP(B70, DB[samplingPoint], DB[samplingTag])</f>
        <v>SV117.01</v>
      </c>
      <c r="D70" s="33" t="s">
        <v>59</v>
      </c>
      <c r="E70" s="39" t="str">
        <f t="array" ref="E70">_xlfn.XLOOKUP($B70, DB[samplingPoint], DB[noLocation])</f>
        <v>WATER SYSTEM (B10)</v>
      </c>
      <c r="F70" s="40" t="str">
        <f t="array" ref="F70">_xlfn.XLOOKUP($B70, DB[samplingPoint], DB[building])</f>
        <v>Building 10</v>
      </c>
      <c r="G70" s="40" t="str">
        <f t="array" ref="G70">_xlfn.XLOOKUP($B70, DB[samplingPoint], DB[location])</f>
        <v>Return loop (B10)</v>
      </c>
      <c r="H70" s="40" t="str">
        <f t="array" ref="H70">_xlfn.XLOOKUP($B70, DB[samplingPoint], DB[waterType])</f>
        <v>PW</v>
      </c>
      <c r="I70" s="60">
        <f t="shared" si="1"/>
        <v>45685</v>
      </c>
      <c r="J70" s="192">
        <f t="shared" si="2"/>
        <v>45688</v>
      </c>
      <c r="K70" s="32">
        <v>0.0</v>
      </c>
      <c r="L70" s="32">
        <v>0.0</v>
      </c>
      <c r="M70" s="32">
        <f t="shared" si="3"/>
        <v>0</v>
      </c>
      <c r="N70" s="32" t="s">
        <v>376</v>
      </c>
      <c r="O70" s="32">
        <v>100.0</v>
      </c>
      <c r="P70" s="50" t="str">
        <f t="shared" si="4"/>
        <v>PASSED</v>
      </c>
      <c r="Q70" s="50" t="str">
        <f t="shared" si="5"/>
        <v>WA</v>
      </c>
    </row>
    <row r="71" ht="22.5" customHeight="1">
      <c r="A71" s="26">
        <v>45691.0</v>
      </c>
      <c r="B71" s="32" t="s">
        <v>470</v>
      </c>
      <c r="C71" s="191" t="str">
        <f t="array" ref="C71">_xlfn.XLOOKUP(B71, DB[samplingPoint], DB[samplingTag])</f>
        <v>V50-61 (16)</v>
      </c>
      <c r="D71" s="33" t="s">
        <v>59</v>
      </c>
      <c r="E71" s="39" t="str">
        <f t="array" ref="E71">_xlfn.XLOOKUP($B71, DB[samplingPoint], DB[noLocation])</f>
        <v>WATER SYSTEM (B16)</v>
      </c>
      <c r="F71" s="40" t="str">
        <f t="array" ref="F71">_xlfn.XLOOKUP($B71, DB[samplingPoint], DB[building])</f>
        <v>Building 16</v>
      </c>
      <c r="G71" s="40" t="str">
        <f t="array" ref="G71">_xlfn.XLOOKUP($B71, DB[samplingPoint], DB[location])</f>
        <v>After Cartridge filter 5 µm (B16)</v>
      </c>
      <c r="H71" s="40" t="str">
        <f t="array" ref="H71">_xlfn.XLOOKUP($B71, DB[samplingPoint], DB[waterType])</f>
        <v>PRW</v>
      </c>
      <c r="I71" s="60">
        <f t="shared" si="1"/>
        <v>45692</v>
      </c>
      <c r="J71" s="192">
        <f t="shared" si="2"/>
        <v>45695</v>
      </c>
      <c r="K71" s="32">
        <v>999.0</v>
      </c>
      <c r="L71" s="32">
        <v>999.0</v>
      </c>
      <c r="M71" s="32">
        <f t="shared" si="3"/>
        <v>999</v>
      </c>
      <c r="N71" s="32" t="s">
        <v>376</v>
      </c>
      <c r="O71" s="32">
        <v>500.0</v>
      </c>
      <c r="P71" s="50" t="str">
        <f t="shared" si="4"/>
        <v>NOT-PASSED</v>
      </c>
      <c r="Q71" s="50" t="str">
        <f t="shared" si="5"/>
        <v>WA</v>
      </c>
    </row>
    <row r="72" ht="22.5" customHeight="1">
      <c r="A72" s="26">
        <v>45691.0</v>
      </c>
      <c r="B72" s="32" t="s">
        <v>987</v>
      </c>
      <c r="C72" s="191" t="str">
        <f t="array" ref="C72">_xlfn.XLOOKUP(B72, DB[samplingPoint], DB[samplingTag])</f>
        <v>#N/A</v>
      </c>
      <c r="D72" s="33" t="s">
        <v>59</v>
      </c>
      <c r="E72" s="39" t="s">
        <v>988</v>
      </c>
      <c r="F72" s="39" t="str">
        <f t="array" ref="F72">_xlfn.XLOOKUP($B72, DB[samplingPoint], DB[building])</f>
        <v>#N/A</v>
      </c>
      <c r="G72" s="39" t="s">
        <v>989</v>
      </c>
      <c r="H72" s="39" t="s">
        <v>5</v>
      </c>
      <c r="I72" s="60">
        <f t="shared" si="1"/>
        <v>45692</v>
      </c>
      <c r="J72" s="192">
        <f t="shared" si="2"/>
        <v>45695</v>
      </c>
      <c r="K72" s="32">
        <v>999.0</v>
      </c>
      <c r="L72" s="32">
        <v>999.0</v>
      </c>
      <c r="M72" s="32">
        <f t="shared" si="3"/>
        <v>999</v>
      </c>
      <c r="N72" s="32" t="s">
        <v>376</v>
      </c>
      <c r="O72" s="32">
        <v>500.0</v>
      </c>
      <c r="P72" s="50" t="str">
        <f t="shared" si="4"/>
        <v>NOT-PASSED</v>
      </c>
      <c r="Q72" s="50" t="str">
        <f t="shared" si="5"/>
        <v>V5</v>
      </c>
    </row>
    <row r="73" ht="22.5" customHeight="1">
      <c r="A73" s="26">
        <v>45691.0</v>
      </c>
      <c r="B73" s="32" t="s">
        <v>349</v>
      </c>
      <c r="C73" s="191" t="str">
        <f t="array" ref="C73">_xlfn.XLOOKUP(B73, DB[samplingPoint], DB[samplingTag])</f>
        <v>VB-05(10)</v>
      </c>
      <c r="D73" s="33" t="s">
        <v>59</v>
      </c>
      <c r="E73" s="39" t="str">
        <f t="array" ref="E73">_xlfn.XLOOKUP($B73, DB[samplingPoint], DB[noLocation])</f>
        <v>WATER SYSTEM (B10)</v>
      </c>
      <c r="F73" s="40" t="str">
        <f t="array" ref="F73">_xlfn.XLOOKUP($B73, DB[samplingPoint], DB[building])</f>
        <v>Building 10</v>
      </c>
      <c r="G73" s="40" t="str">
        <f t="array" ref="G73">_xlfn.XLOOKUP($B73, DB[samplingPoint], DB[location])</f>
        <v>After Chlorine circulation tank (B10)</v>
      </c>
      <c r="H73" s="40" t="str">
        <f t="array" ref="H73">_xlfn.XLOOKUP($B73, DB[samplingPoint], DB[waterType])</f>
        <v>PRW</v>
      </c>
      <c r="I73" s="60">
        <f t="shared" si="1"/>
        <v>45692</v>
      </c>
      <c r="J73" s="192">
        <f t="shared" si="2"/>
        <v>45695</v>
      </c>
      <c r="K73" s="32">
        <v>0.0</v>
      </c>
      <c r="L73" s="32">
        <v>0.0</v>
      </c>
      <c r="M73" s="32">
        <f t="shared" si="3"/>
        <v>0</v>
      </c>
      <c r="N73" s="32" t="s">
        <v>376</v>
      </c>
      <c r="O73" s="32">
        <v>500.0</v>
      </c>
      <c r="P73" s="50" t="str">
        <f t="shared" si="4"/>
        <v>PASSED</v>
      </c>
      <c r="Q73" s="50" t="str">
        <f t="shared" si="5"/>
        <v>WA</v>
      </c>
    </row>
    <row r="74" ht="22.5" customHeight="1">
      <c r="A74" s="26">
        <v>45691.0</v>
      </c>
      <c r="B74" s="32" t="s">
        <v>489</v>
      </c>
      <c r="C74" s="191" t="str">
        <f t="array" ref="C74">_xlfn.XLOOKUP(B74, DB[samplingPoint], DB[samplingTag])</f>
        <v>DV116.18</v>
      </c>
      <c r="D74" s="33" t="s">
        <v>59</v>
      </c>
      <c r="E74" s="39" t="str">
        <f t="array" ref="E74">_xlfn.XLOOKUP($B74, DB[samplingPoint], DB[noLocation])</f>
        <v>10-3-111</v>
      </c>
      <c r="F74" s="40" t="str">
        <f t="array" ref="F74">_xlfn.XLOOKUP($B74, DB[samplingPoint], DB[building])</f>
        <v>Building 10</v>
      </c>
      <c r="G74" s="40" t="str">
        <f t="array" ref="G74">_xlfn.XLOOKUP($B74, DB[samplingPoint], DB[location])</f>
        <v>WET GRANULATION-5</v>
      </c>
      <c r="H74" s="40" t="str">
        <f t="array" ref="H74">_xlfn.XLOOKUP($B74, DB[samplingPoint], DB[waterType])</f>
        <v>PW</v>
      </c>
      <c r="I74" s="60">
        <f t="shared" si="1"/>
        <v>45692</v>
      </c>
      <c r="J74" s="192">
        <f t="shared" si="2"/>
        <v>45695</v>
      </c>
      <c r="K74" s="32">
        <v>0.0</v>
      </c>
      <c r="L74" s="32">
        <v>0.0</v>
      </c>
      <c r="M74" s="32">
        <f t="shared" si="3"/>
        <v>0</v>
      </c>
      <c r="N74" s="32" t="s">
        <v>376</v>
      </c>
      <c r="O74" s="32">
        <v>100.0</v>
      </c>
      <c r="P74" s="50" t="str">
        <f t="shared" si="4"/>
        <v>PASSED</v>
      </c>
      <c r="Q74" s="50" t="str">
        <f t="shared" si="5"/>
        <v>10</v>
      </c>
    </row>
    <row r="75" ht="22.5" customHeight="1">
      <c r="A75" s="26">
        <v>45691.0</v>
      </c>
      <c r="B75" s="32" t="s">
        <v>485</v>
      </c>
      <c r="C75" s="191" t="str">
        <f t="array" ref="C75">_xlfn.XLOOKUP(B75, DB[samplingPoint], DB[samplingTag])</f>
        <v>DV116.16</v>
      </c>
      <c r="D75" s="33" t="s">
        <v>59</v>
      </c>
      <c r="E75" s="39" t="str">
        <f t="array" ref="E75">_xlfn.XLOOKUP($B75, DB[samplingPoint], DB[noLocation])</f>
        <v>10-3-107</v>
      </c>
      <c r="F75" s="40" t="str">
        <f t="array" ref="F75">_xlfn.XLOOKUP($B75, DB[samplingPoint], DB[building])</f>
        <v>Building 10</v>
      </c>
      <c r="G75" s="40" t="str">
        <f t="array" ref="G75">_xlfn.XLOOKUP($B75, DB[samplingPoint], DB[location])</f>
        <v>WET GRANULATION-2</v>
      </c>
      <c r="H75" s="40" t="str">
        <f t="array" ref="H75">_xlfn.XLOOKUP($B75, DB[samplingPoint], DB[waterType])</f>
        <v>PW</v>
      </c>
      <c r="I75" s="60">
        <f t="shared" si="1"/>
        <v>45692</v>
      </c>
      <c r="J75" s="192">
        <f t="shared" si="2"/>
        <v>45695</v>
      </c>
      <c r="K75" s="32">
        <v>0.0</v>
      </c>
      <c r="L75" s="32">
        <v>0.0</v>
      </c>
      <c r="M75" s="32">
        <f t="shared" si="3"/>
        <v>0</v>
      </c>
      <c r="N75" s="32" t="s">
        <v>376</v>
      </c>
      <c r="O75" s="32">
        <v>100.0</v>
      </c>
      <c r="P75" s="50" t="str">
        <f t="shared" si="4"/>
        <v>PASSED</v>
      </c>
      <c r="Q75" s="50" t="str">
        <f t="shared" si="5"/>
        <v>10</v>
      </c>
    </row>
    <row r="76" ht="22.5" customHeight="1">
      <c r="A76" s="26">
        <v>45691.0</v>
      </c>
      <c r="B76" s="32" t="s">
        <v>482</v>
      </c>
      <c r="C76" s="191" t="str">
        <f t="array" ref="C76">_xlfn.XLOOKUP(B76, DB[samplingPoint], DB[samplingTag])</f>
        <v>DV116.14</v>
      </c>
      <c r="D76" s="33" t="s">
        <v>59</v>
      </c>
      <c r="E76" s="39" t="str">
        <f t="array" ref="E76">_xlfn.XLOOKUP($B76, DB[samplingPoint], DB[noLocation])</f>
        <v>10-3-086</v>
      </c>
      <c r="F76" s="40" t="str">
        <f t="array" ref="F76">_xlfn.XLOOKUP($B76, DB[samplingPoint], DB[building])</f>
        <v>Building 10</v>
      </c>
      <c r="G76" s="40" t="str">
        <f t="array" ref="G76">_xlfn.XLOOKUP($B76, DB[samplingPoint], DB[location])</f>
        <v>TOOL WASHING</v>
      </c>
      <c r="H76" s="40" t="str">
        <f t="array" ref="H76">_xlfn.XLOOKUP($B76, DB[samplingPoint], DB[waterType])</f>
        <v>PW</v>
      </c>
      <c r="I76" s="60">
        <f t="shared" si="1"/>
        <v>45692</v>
      </c>
      <c r="J76" s="192">
        <f t="shared" si="2"/>
        <v>45695</v>
      </c>
      <c r="K76" s="32">
        <v>0.0</v>
      </c>
      <c r="L76" s="32">
        <v>0.0</v>
      </c>
      <c r="M76" s="32">
        <f t="shared" si="3"/>
        <v>0</v>
      </c>
      <c r="N76" s="32" t="s">
        <v>376</v>
      </c>
      <c r="O76" s="32">
        <v>100.0</v>
      </c>
      <c r="P76" s="50" t="str">
        <f t="shared" si="4"/>
        <v>PASSED</v>
      </c>
      <c r="Q76" s="50" t="str">
        <f t="shared" si="5"/>
        <v>10</v>
      </c>
    </row>
    <row r="77" ht="22.5" customHeight="1">
      <c r="A77" s="26">
        <v>45691.0</v>
      </c>
      <c r="B77" s="32" t="s">
        <v>490</v>
      </c>
      <c r="C77" s="191" t="str">
        <f t="array" ref="C77">_xlfn.XLOOKUP(B77, DB[samplingPoint], DB[samplingTag])</f>
        <v>SV116.09</v>
      </c>
      <c r="D77" s="33" t="s">
        <v>59</v>
      </c>
      <c r="E77" s="39" t="str">
        <f t="array" ref="E77">_xlfn.XLOOKUP($B77, DB[samplingPoint], DB[noLocation])</f>
        <v>10-3-078</v>
      </c>
      <c r="F77" s="40" t="str">
        <f t="array" ref="F77">_xlfn.XLOOKUP($B77, DB[samplingPoint], DB[building])</f>
        <v>Building 10</v>
      </c>
      <c r="G77" s="40" t="str">
        <f t="array" ref="G77">_xlfn.XLOOKUP($B77, DB[samplingPoint], DB[location])</f>
        <v>WASHING</v>
      </c>
      <c r="H77" s="40" t="str">
        <f t="array" ref="H77">_xlfn.XLOOKUP($B77, DB[samplingPoint], DB[waterType])</f>
        <v>PW</v>
      </c>
      <c r="I77" s="60">
        <f t="shared" si="1"/>
        <v>45692</v>
      </c>
      <c r="J77" s="192">
        <f t="shared" si="2"/>
        <v>45695</v>
      </c>
      <c r="K77" s="32">
        <v>0.0</v>
      </c>
      <c r="L77" s="32">
        <v>0.0</v>
      </c>
      <c r="M77" s="32">
        <f t="shared" si="3"/>
        <v>0</v>
      </c>
      <c r="N77" s="32" t="s">
        <v>376</v>
      </c>
      <c r="O77" s="32">
        <v>100.0</v>
      </c>
      <c r="P77" s="50" t="str">
        <f t="shared" si="4"/>
        <v>PASSED</v>
      </c>
      <c r="Q77" s="50" t="str">
        <f t="shared" si="5"/>
        <v>10</v>
      </c>
    </row>
    <row r="78" ht="22.5" customHeight="1">
      <c r="A78" s="26">
        <v>45691.0</v>
      </c>
      <c r="B78" s="32" t="s">
        <v>479</v>
      </c>
      <c r="C78" s="191" t="str">
        <f t="array" ref="C78">_xlfn.XLOOKUP(B78, DB[samplingPoint], DB[samplingTag])</f>
        <v>DV116.13</v>
      </c>
      <c r="D78" s="33" t="s">
        <v>59</v>
      </c>
      <c r="E78" s="39" t="str">
        <f t="array" ref="E78">_xlfn.XLOOKUP($B78, DB[samplingPoint], DB[noLocation])</f>
        <v>10-3-078</v>
      </c>
      <c r="F78" s="40" t="str">
        <f t="array" ref="F78">_xlfn.XLOOKUP($B78, DB[samplingPoint], DB[building])</f>
        <v>Building 10</v>
      </c>
      <c r="G78" s="40" t="str">
        <f t="array" ref="G78">_xlfn.XLOOKUP($B78, DB[samplingPoint], DB[location])</f>
        <v>WASHING</v>
      </c>
      <c r="H78" s="40" t="str">
        <f t="array" ref="H78">_xlfn.XLOOKUP($B78, DB[samplingPoint], DB[waterType])</f>
        <v>PW</v>
      </c>
      <c r="I78" s="60">
        <f t="shared" si="1"/>
        <v>45692</v>
      </c>
      <c r="J78" s="192">
        <f t="shared" si="2"/>
        <v>45695</v>
      </c>
      <c r="K78" s="32">
        <v>0.0</v>
      </c>
      <c r="L78" s="32">
        <v>0.0</v>
      </c>
      <c r="M78" s="32">
        <f t="shared" si="3"/>
        <v>0</v>
      </c>
      <c r="N78" s="32" t="s">
        <v>376</v>
      </c>
      <c r="O78" s="32">
        <v>100.0</v>
      </c>
      <c r="P78" s="50" t="str">
        <f t="shared" si="4"/>
        <v>PASSED</v>
      </c>
      <c r="Q78" s="50" t="str">
        <f t="shared" si="5"/>
        <v>10</v>
      </c>
    </row>
    <row r="79" ht="22.5" customHeight="1">
      <c r="A79" s="26">
        <v>45691.0</v>
      </c>
      <c r="B79" s="32" t="s">
        <v>492</v>
      </c>
      <c r="C79" s="191" t="str">
        <f t="array" ref="C79">_xlfn.XLOOKUP(B79, DB[samplingPoint], DB[samplingTag])</f>
        <v>SV116.11</v>
      </c>
      <c r="D79" s="33" t="s">
        <v>59</v>
      </c>
      <c r="E79" s="39" t="str">
        <f t="array" ref="E79">_xlfn.XLOOKUP($B79, DB[samplingPoint], DB[noLocation])</f>
        <v>10-3-107</v>
      </c>
      <c r="F79" s="40" t="str">
        <f t="array" ref="F79">_xlfn.XLOOKUP($B79, DB[samplingPoint], DB[building])</f>
        <v>Building 10</v>
      </c>
      <c r="G79" s="40" t="str">
        <f t="array" ref="G79">_xlfn.XLOOKUP($B79, DB[samplingPoint], DB[location])</f>
        <v>WET GRANULATION-2</v>
      </c>
      <c r="H79" s="40" t="str">
        <f t="array" ref="H79">_xlfn.XLOOKUP($B79, DB[samplingPoint], DB[waterType])</f>
        <v>PW</v>
      </c>
      <c r="I79" s="60">
        <f t="shared" si="1"/>
        <v>45692</v>
      </c>
      <c r="J79" s="192">
        <f t="shared" si="2"/>
        <v>45695</v>
      </c>
      <c r="K79" s="32">
        <v>0.0</v>
      </c>
      <c r="L79" s="32">
        <v>0.0</v>
      </c>
      <c r="M79" s="32">
        <f t="shared" si="3"/>
        <v>0</v>
      </c>
      <c r="N79" s="32" t="s">
        <v>376</v>
      </c>
      <c r="O79" s="32">
        <v>100.0</v>
      </c>
      <c r="P79" s="50" t="str">
        <f t="shared" si="4"/>
        <v>PASSED</v>
      </c>
      <c r="Q79" s="50" t="str">
        <f t="shared" si="5"/>
        <v>10</v>
      </c>
    </row>
    <row r="80" ht="22.5" customHeight="1">
      <c r="A80" s="26">
        <v>45691.0</v>
      </c>
      <c r="B80" s="32" t="s">
        <v>476</v>
      </c>
      <c r="C80" s="191" t="str">
        <f t="array" ref="C80">_xlfn.XLOOKUP(B80, DB[samplingPoint], DB[samplingTag])</f>
        <v>DV116.12</v>
      </c>
      <c r="D80" s="33" t="s">
        <v>59</v>
      </c>
      <c r="E80" s="39" t="str">
        <f t="array" ref="E80">_xlfn.XLOOKUP($B80, DB[samplingPoint], DB[noLocation])</f>
        <v>10-3-078</v>
      </c>
      <c r="F80" s="40" t="str">
        <f t="array" ref="F80">_xlfn.XLOOKUP($B80, DB[samplingPoint], DB[building])</f>
        <v>Building 10</v>
      </c>
      <c r="G80" s="40" t="str">
        <f t="array" ref="G80">_xlfn.XLOOKUP($B80, DB[samplingPoint], DB[location])</f>
        <v>WASHING</v>
      </c>
      <c r="H80" s="40" t="str">
        <f t="array" ref="H80">_xlfn.XLOOKUP($B80, DB[samplingPoint], DB[waterType])</f>
        <v>PW</v>
      </c>
      <c r="I80" s="60">
        <f t="shared" si="1"/>
        <v>45692</v>
      </c>
      <c r="J80" s="192">
        <f t="shared" si="2"/>
        <v>45695</v>
      </c>
      <c r="K80" s="32">
        <v>0.0</v>
      </c>
      <c r="L80" s="32">
        <v>0.0</v>
      </c>
      <c r="M80" s="32">
        <f t="shared" si="3"/>
        <v>0</v>
      </c>
      <c r="N80" s="32" t="s">
        <v>376</v>
      </c>
      <c r="O80" s="32">
        <v>100.0</v>
      </c>
      <c r="P80" s="50" t="str">
        <f t="shared" si="4"/>
        <v>PASSED</v>
      </c>
      <c r="Q80" s="50" t="str">
        <f t="shared" si="5"/>
        <v>10</v>
      </c>
    </row>
    <row r="81" ht="22.5" customHeight="1">
      <c r="A81" s="26">
        <v>45691.0</v>
      </c>
      <c r="B81" s="32" t="s">
        <v>119</v>
      </c>
      <c r="C81" s="191" t="str">
        <f t="array" ref="C81">_xlfn.XLOOKUP(B81, DB[samplingPoint], DB[samplingTag])</f>
        <v>DV116.15</v>
      </c>
      <c r="D81" s="33" t="s">
        <v>59</v>
      </c>
      <c r="E81" s="39" t="str">
        <f t="array" ref="E81">_xlfn.XLOOKUP($B81, DB[samplingPoint], DB[noLocation])</f>
        <v>10-3-104</v>
      </c>
      <c r="F81" s="40" t="str">
        <f t="array" ref="F81">_xlfn.XLOOKUP($B81, DB[samplingPoint], DB[building])</f>
        <v>Building 10</v>
      </c>
      <c r="G81" s="40" t="str">
        <f t="array" ref="G81">_xlfn.XLOOKUP($B81, DB[samplingPoint], DB[location])</f>
        <v>BINDER PREPARATION</v>
      </c>
      <c r="H81" s="40" t="str">
        <f t="array" ref="H81">_xlfn.XLOOKUP($B81, DB[samplingPoint], DB[waterType])</f>
        <v>PW</v>
      </c>
      <c r="I81" s="60">
        <f t="shared" si="1"/>
        <v>45692</v>
      </c>
      <c r="J81" s="192">
        <f t="shared" si="2"/>
        <v>45695</v>
      </c>
      <c r="K81" s="32">
        <v>0.0</v>
      </c>
      <c r="L81" s="32">
        <v>0.0</v>
      </c>
      <c r="M81" s="32">
        <f t="shared" si="3"/>
        <v>0</v>
      </c>
      <c r="N81" s="32" t="s">
        <v>376</v>
      </c>
      <c r="O81" s="32">
        <v>100.0</v>
      </c>
      <c r="P81" s="50" t="str">
        <f t="shared" si="4"/>
        <v>PASSED</v>
      </c>
      <c r="Q81" s="50" t="str">
        <f t="shared" si="5"/>
        <v>10</v>
      </c>
    </row>
    <row r="82" ht="22.5" customHeight="1">
      <c r="A82" s="26">
        <v>45691.0</v>
      </c>
      <c r="B82" s="32" t="s">
        <v>488</v>
      </c>
      <c r="C82" s="191" t="str">
        <f t="array" ref="C82">_xlfn.XLOOKUP(B82, DB[samplingPoint], DB[samplingTag])</f>
        <v>DV116.17</v>
      </c>
      <c r="D82" s="33" t="s">
        <v>59</v>
      </c>
      <c r="E82" s="39" t="str">
        <f t="array" ref="E82">_xlfn.XLOOKUP($B82, DB[samplingPoint], DB[noLocation])</f>
        <v>10-3-117</v>
      </c>
      <c r="F82" s="40" t="str">
        <f t="array" ref="F82">_xlfn.XLOOKUP($B82, DB[samplingPoint], DB[building])</f>
        <v>Building 10</v>
      </c>
      <c r="G82" s="40" t="str">
        <f t="array" ref="G82">_xlfn.XLOOKUP($B82, DB[samplingPoint], DB[location])</f>
        <v>IPQC-2</v>
      </c>
      <c r="H82" s="40" t="str">
        <f t="array" ref="H82">_xlfn.XLOOKUP($B82, DB[samplingPoint], DB[waterType])</f>
        <v>PW</v>
      </c>
      <c r="I82" s="60">
        <f t="shared" si="1"/>
        <v>45692</v>
      </c>
      <c r="J82" s="192">
        <f t="shared" si="2"/>
        <v>45695</v>
      </c>
      <c r="K82" s="32">
        <v>0.0</v>
      </c>
      <c r="L82" s="32">
        <v>0.0</v>
      </c>
      <c r="M82" s="32">
        <f t="shared" si="3"/>
        <v>0</v>
      </c>
      <c r="N82" s="32" t="s">
        <v>376</v>
      </c>
      <c r="O82" s="32">
        <v>100.0</v>
      </c>
      <c r="P82" s="50" t="str">
        <f t="shared" si="4"/>
        <v>PASSED</v>
      </c>
      <c r="Q82" s="50" t="str">
        <f t="shared" si="5"/>
        <v>10</v>
      </c>
    </row>
    <row r="83" ht="22.5" customHeight="1">
      <c r="A83" s="26">
        <v>45691.0</v>
      </c>
      <c r="B83" s="32" t="s">
        <v>498</v>
      </c>
      <c r="C83" s="191" t="str">
        <f t="array" ref="C83">_xlfn.XLOOKUP(B83, DB[samplingPoint], DB[samplingTag])</f>
        <v>SV116.02</v>
      </c>
      <c r="D83" s="33" t="s">
        <v>59</v>
      </c>
      <c r="E83" s="39" t="str">
        <f t="array" ref="E83">_xlfn.XLOOKUP($B83, DB[samplingPoint], DB[noLocation])</f>
        <v>10-2-037</v>
      </c>
      <c r="F83" s="40" t="str">
        <f t="array" ref="F83">_xlfn.XLOOKUP($B83, DB[samplingPoint], DB[building])</f>
        <v>Building 10</v>
      </c>
      <c r="G83" s="40" t="str">
        <f t="array" ref="G83">_xlfn.XLOOKUP($B83, DB[samplingPoint], DB[location])</f>
        <v>SKID FOR BIN WASHING-2</v>
      </c>
      <c r="H83" s="40" t="str">
        <f t="array" ref="H83">_xlfn.XLOOKUP($B83, DB[samplingPoint], DB[waterType])</f>
        <v>PW</v>
      </c>
      <c r="I83" s="60">
        <f t="shared" si="1"/>
        <v>45692</v>
      </c>
      <c r="J83" s="192">
        <f t="shared" si="2"/>
        <v>45695</v>
      </c>
      <c r="K83" s="32">
        <v>0.0</v>
      </c>
      <c r="L83" s="32">
        <v>0.0</v>
      </c>
      <c r="M83" s="32">
        <f t="shared" si="3"/>
        <v>0</v>
      </c>
      <c r="N83" s="32" t="s">
        <v>982</v>
      </c>
      <c r="O83" s="32">
        <v>100.0</v>
      </c>
      <c r="P83" s="50" t="str">
        <f t="shared" si="4"/>
        <v>PASSED</v>
      </c>
      <c r="Q83" s="50" t="str">
        <f t="shared" si="5"/>
        <v>10</v>
      </c>
    </row>
    <row r="84" ht="22.5" customHeight="1">
      <c r="A84" s="26">
        <v>45691.0</v>
      </c>
      <c r="B84" s="32" t="s">
        <v>498</v>
      </c>
      <c r="C84" s="191" t="str">
        <f t="array" ref="C84">_xlfn.XLOOKUP(B84, DB[samplingPoint], DB[samplingTag])</f>
        <v>SV116.02</v>
      </c>
      <c r="D84" s="33" t="s">
        <v>59</v>
      </c>
      <c r="E84" s="39" t="str">
        <f t="array" ref="E84">_xlfn.XLOOKUP($B84, DB[samplingPoint], DB[noLocation])</f>
        <v>10-2-037</v>
      </c>
      <c r="F84" s="40" t="str">
        <f t="array" ref="F84">_xlfn.XLOOKUP($B84, DB[samplingPoint], DB[building])</f>
        <v>Building 10</v>
      </c>
      <c r="G84" s="40" t="str">
        <f t="array" ref="G84">_xlfn.XLOOKUP($B84, DB[samplingPoint], DB[location])</f>
        <v>SKID FOR BIN WASHING-2</v>
      </c>
      <c r="H84" s="40" t="str">
        <f t="array" ref="H84">_xlfn.XLOOKUP($B84, DB[samplingPoint], DB[waterType])</f>
        <v>PW</v>
      </c>
      <c r="I84" s="60">
        <f t="shared" si="1"/>
        <v>45692</v>
      </c>
      <c r="J84" s="192">
        <f t="shared" si="2"/>
        <v>45695</v>
      </c>
      <c r="K84" s="32">
        <v>0.0</v>
      </c>
      <c r="L84" s="32">
        <v>0.0</v>
      </c>
      <c r="M84" s="32">
        <f t="shared" si="3"/>
        <v>0</v>
      </c>
      <c r="N84" s="32" t="s">
        <v>983</v>
      </c>
      <c r="O84" s="32">
        <v>100.0</v>
      </c>
      <c r="P84" s="50" t="str">
        <f t="shared" si="4"/>
        <v>PASSED</v>
      </c>
      <c r="Q84" s="50" t="str">
        <f t="shared" si="5"/>
        <v>10</v>
      </c>
    </row>
    <row r="85" ht="22.5" customHeight="1">
      <c r="A85" s="26">
        <v>45691.0</v>
      </c>
      <c r="B85" s="32" t="s">
        <v>579</v>
      </c>
      <c r="C85" s="39" t="str">
        <f t="array" ref="C85">_xlfn.XLOOKUP(B85, DB[samplingPoint], DB[samplingTag])</f>
        <v>V50-60(10)</v>
      </c>
      <c r="D85" s="33" t="s">
        <v>59</v>
      </c>
      <c r="E85" s="39" t="str">
        <f t="array" ref="E85">_xlfn.XLOOKUP($B85, DB[samplingPoint], DB[noLocation])</f>
        <v>WATER SYSTEM (B10)</v>
      </c>
      <c r="F85" s="40" t="str">
        <f t="array" ref="F85">_xlfn.XLOOKUP($B85, DB[samplingPoint], DB[building])</f>
        <v>Building 10</v>
      </c>
      <c r="G85" s="40" t="str">
        <f t="array" ref="G85">_xlfn.XLOOKUP($B85, DB[samplingPoint], DB[location])</f>
        <v>Before Cartridge filter 5 µm (B10)</v>
      </c>
      <c r="H85" s="40" t="str">
        <f t="array" ref="H85">_xlfn.XLOOKUP($B85, DB[samplingPoint], DB[waterType])</f>
        <v>PRW</v>
      </c>
      <c r="I85" s="60">
        <f t="shared" si="1"/>
        <v>45692</v>
      </c>
      <c r="J85" s="192">
        <f t="shared" si="2"/>
        <v>45695</v>
      </c>
      <c r="K85" s="32">
        <v>999.0</v>
      </c>
      <c r="L85" s="32">
        <v>999.0</v>
      </c>
      <c r="M85" s="32">
        <f t="shared" si="3"/>
        <v>999</v>
      </c>
      <c r="N85" s="32" t="s">
        <v>376</v>
      </c>
      <c r="O85" s="32">
        <v>500.0</v>
      </c>
      <c r="P85" s="50" t="str">
        <f t="shared" si="4"/>
        <v>NOT-PASSED</v>
      </c>
      <c r="Q85" s="50" t="str">
        <f t="shared" si="5"/>
        <v>WA</v>
      </c>
    </row>
    <row r="86" ht="22.5" customHeight="1">
      <c r="A86" s="26">
        <v>45691.0</v>
      </c>
      <c r="B86" s="32" t="s">
        <v>366</v>
      </c>
      <c r="C86" s="191" t="str">
        <f t="array" ref="C86">_xlfn.XLOOKUP(B86, DB[samplingPoint], DB[samplingTag])</f>
        <v>V50-61(10)</v>
      </c>
      <c r="D86" s="33" t="s">
        <v>59</v>
      </c>
      <c r="E86" s="39" t="str">
        <f t="array" ref="E86">_xlfn.XLOOKUP($B86, DB[samplingPoint], DB[noLocation])</f>
        <v>WATER SYSTEM (B10)</v>
      </c>
      <c r="F86" s="40" t="str">
        <f t="array" ref="F86">_xlfn.XLOOKUP($B86, DB[samplingPoint], DB[building])</f>
        <v>Building 10</v>
      </c>
      <c r="G86" s="40" t="str">
        <f t="array" ref="G86">_xlfn.XLOOKUP($B86, DB[samplingPoint], DB[location])</f>
        <v>After Cartridge filter 5 µm (B10)</v>
      </c>
      <c r="H86" s="40" t="str">
        <f t="array" ref="H86">_xlfn.XLOOKUP($B86, DB[samplingPoint], DB[waterType])</f>
        <v>PRW</v>
      </c>
      <c r="I86" s="60">
        <f t="shared" si="1"/>
        <v>45692</v>
      </c>
      <c r="J86" s="192">
        <f t="shared" si="2"/>
        <v>45695</v>
      </c>
      <c r="K86" s="32">
        <v>999.0</v>
      </c>
      <c r="L86" s="32">
        <v>999.0</v>
      </c>
      <c r="M86" s="32">
        <f t="shared" si="3"/>
        <v>999</v>
      </c>
      <c r="N86" s="32" t="s">
        <v>376</v>
      </c>
      <c r="O86" s="32">
        <v>500.0</v>
      </c>
      <c r="P86" s="50" t="str">
        <f t="shared" si="4"/>
        <v>NOT-PASSED</v>
      </c>
      <c r="Q86" s="50" t="str">
        <f t="shared" si="5"/>
        <v>WA</v>
      </c>
    </row>
    <row r="87" ht="22.5" customHeight="1">
      <c r="A87" s="26">
        <v>45691.0</v>
      </c>
      <c r="B87" s="32" t="s">
        <v>368</v>
      </c>
      <c r="C87" s="191" t="str">
        <f t="array" ref="C87">_xlfn.XLOOKUP(B87, DB[samplingPoint], DB[samplingTag])</f>
        <v>V50-11C(10)</v>
      </c>
      <c r="D87" s="33" t="s">
        <v>59</v>
      </c>
      <c r="E87" s="39" t="str">
        <f t="array" ref="E87">_xlfn.XLOOKUP($B87, DB[samplingPoint], DB[noLocation])</f>
        <v>WATER SYSTEM (B10)</v>
      </c>
      <c r="F87" s="40" t="str">
        <f t="array" ref="F87">_xlfn.XLOOKUP($B87, DB[samplingPoint], DB[building])</f>
        <v>Building 10</v>
      </c>
      <c r="G87" s="40" t="str">
        <f t="array" ref="G87">_xlfn.XLOOKUP($B87, DB[samplingPoint], DB[location])</f>
        <v>After RO (Before EDI) (B10)</v>
      </c>
      <c r="H87" s="40" t="str">
        <f t="array" ref="H87">_xlfn.XLOOKUP($B87, DB[samplingPoint], DB[waterType])</f>
        <v>RO water</v>
      </c>
      <c r="I87" s="60">
        <f t="shared" si="1"/>
        <v>45692</v>
      </c>
      <c r="J87" s="192">
        <f t="shared" si="2"/>
        <v>45695</v>
      </c>
      <c r="K87" s="32">
        <v>0.0</v>
      </c>
      <c r="L87" s="32">
        <v>0.0</v>
      </c>
      <c r="M87" s="32">
        <f t="shared" si="3"/>
        <v>0</v>
      </c>
      <c r="N87" s="32" t="s">
        <v>376</v>
      </c>
      <c r="O87" s="32">
        <v>500.0</v>
      </c>
      <c r="P87" s="50" t="str">
        <f t="shared" si="4"/>
        <v>PASSED</v>
      </c>
      <c r="Q87" s="50" t="str">
        <f t="shared" si="5"/>
        <v>WA</v>
      </c>
    </row>
    <row r="88" ht="22.5" customHeight="1">
      <c r="A88" s="26">
        <v>45691.0</v>
      </c>
      <c r="B88" s="32" t="s">
        <v>374</v>
      </c>
      <c r="C88" s="191" t="str">
        <f t="array" ref="C88">_xlfn.XLOOKUP(B88, DB[samplingPoint], DB[samplingTag])</f>
        <v>V50-39(10)</v>
      </c>
      <c r="D88" s="33" t="s">
        <v>59</v>
      </c>
      <c r="E88" s="39" t="str">
        <f t="array" ref="E88">_xlfn.XLOOKUP($B88, DB[samplingPoint], DB[noLocation])</f>
        <v>WATER SYSTEM (B10)</v>
      </c>
      <c r="F88" s="40" t="str">
        <f t="array" ref="F88">_xlfn.XLOOKUP($B88, DB[samplingPoint], DB[building])</f>
        <v>Building 10</v>
      </c>
      <c r="G88" s="40" t="str">
        <f t="array" ref="G88">_xlfn.XLOOKUP($B88, DB[samplingPoint], DB[location])</f>
        <v>After EDI (B10)</v>
      </c>
      <c r="H88" s="40" t="str">
        <f t="array" ref="H88">_xlfn.XLOOKUP($B88, DB[samplingPoint], DB[waterType])</f>
        <v>PW</v>
      </c>
      <c r="I88" s="60">
        <f t="shared" si="1"/>
        <v>45692</v>
      </c>
      <c r="J88" s="192">
        <f t="shared" si="2"/>
        <v>45695</v>
      </c>
      <c r="K88" s="32">
        <v>0.0</v>
      </c>
      <c r="L88" s="32">
        <v>0.0</v>
      </c>
      <c r="M88" s="32">
        <f t="shared" si="3"/>
        <v>0</v>
      </c>
      <c r="N88" s="32" t="s">
        <v>376</v>
      </c>
      <c r="O88" s="32">
        <v>100.0</v>
      </c>
      <c r="P88" s="50" t="str">
        <f t="shared" si="4"/>
        <v>PASSED</v>
      </c>
      <c r="Q88" s="50" t="str">
        <f t="shared" si="5"/>
        <v>WA</v>
      </c>
    </row>
    <row r="89" ht="22.5" customHeight="1">
      <c r="A89" s="26">
        <v>45698.0</v>
      </c>
      <c r="B89" s="32" t="s">
        <v>468</v>
      </c>
      <c r="C89" s="191" t="str">
        <f t="array" ref="C89">_xlfn.XLOOKUP(B89, DB[samplingPoint], DB[samplingTag])</f>
        <v>V50-39 (16)</v>
      </c>
      <c r="D89" s="33" t="s">
        <v>59</v>
      </c>
      <c r="E89" s="39" t="str">
        <f t="array" ref="E89">_xlfn.XLOOKUP($B89, DB[samplingPoint], DB[noLocation])</f>
        <v>WATER SYSTEM (B16)</v>
      </c>
      <c r="F89" s="40" t="str">
        <f t="array" ref="F89">_xlfn.XLOOKUP($B89, DB[samplingPoint], DB[building])</f>
        <v>Building 16</v>
      </c>
      <c r="G89" s="40" t="str">
        <f t="array" ref="G89">_xlfn.XLOOKUP($B89, DB[samplingPoint], DB[location])</f>
        <v>After EDI (B16)</v>
      </c>
      <c r="H89" s="40" t="str">
        <f t="array" ref="H89">_xlfn.XLOOKUP($B89, DB[samplingPoint], DB[waterType])</f>
        <v>PW</v>
      </c>
      <c r="I89" s="60">
        <f t="shared" si="1"/>
        <v>45699</v>
      </c>
      <c r="J89" s="192">
        <f t="shared" si="2"/>
        <v>45702</v>
      </c>
      <c r="K89" s="32">
        <v>0.0</v>
      </c>
      <c r="L89" s="32">
        <v>0.0</v>
      </c>
      <c r="M89" s="32">
        <f t="shared" si="3"/>
        <v>0</v>
      </c>
      <c r="N89" s="32" t="s">
        <v>376</v>
      </c>
      <c r="O89" s="32">
        <v>500.0</v>
      </c>
      <c r="P89" s="50" t="str">
        <f t="shared" si="4"/>
        <v>PASSED</v>
      </c>
      <c r="Q89" s="50" t="str">
        <f t="shared" si="5"/>
        <v>WA</v>
      </c>
    </row>
    <row r="90" ht="22.5" customHeight="1">
      <c r="A90" s="26">
        <v>45698.0</v>
      </c>
      <c r="B90" s="32" t="s">
        <v>467</v>
      </c>
      <c r="C90" s="191" t="str">
        <f t="array" ref="C90">_xlfn.XLOOKUP(B90, DB[samplingPoint], DB[samplingTag])</f>
        <v>SV123.01</v>
      </c>
      <c r="D90" s="33" t="s">
        <v>59</v>
      </c>
      <c r="E90" s="39" t="str">
        <f t="array" ref="E90">_xlfn.XLOOKUP($B90, DB[samplingPoint], DB[noLocation])</f>
        <v>WATER SYSTEM (B16)</v>
      </c>
      <c r="F90" s="40" t="str">
        <f t="array" ref="F90">_xlfn.XLOOKUP($B90, DB[samplingPoint], DB[building])</f>
        <v>Building 16</v>
      </c>
      <c r="G90" s="40" t="str">
        <f t="array" ref="G90">_xlfn.XLOOKUP($B90, DB[samplingPoint], DB[location])</f>
        <v>After Storage tank (B16)</v>
      </c>
      <c r="H90" s="40" t="str">
        <f t="array" ref="H90">_xlfn.XLOOKUP($B90, DB[samplingPoint], DB[waterType])</f>
        <v>PW</v>
      </c>
      <c r="I90" s="60">
        <f t="shared" si="1"/>
        <v>45699</v>
      </c>
      <c r="J90" s="192">
        <f t="shared" si="2"/>
        <v>45702</v>
      </c>
      <c r="K90" s="32">
        <v>0.0</v>
      </c>
      <c r="L90" s="32">
        <v>0.0</v>
      </c>
      <c r="M90" s="32">
        <f t="shared" si="3"/>
        <v>0</v>
      </c>
      <c r="N90" s="32" t="s">
        <v>376</v>
      </c>
      <c r="O90" s="32">
        <v>100.0</v>
      </c>
      <c r="P90" s="50" t="str">
        <f t="shared" si="4"/>
        <v>PASSED</v>
      </c>
      <c r="Q90" s="50" t="str">
        <f t="shared" si="5"/>
        <v>WA</v>
      </c>
    </row>
    <row r="91" ht="22.5" customHeight="1">
      <c r="A91" s="26">
        <v>45698.0</v>
      </c>
      <c r="B91" s="32" t="s">
        <v>844</v>
      </c>
      <c r="C91" s="191" t="str">
        <f t="array" ref="C91">_xlfn.XLOOKUP(B91, DB[samplingPoint], DB[samplingTag])</f>
        <v>SV125.01</v>
      </c>
      <c r="D91" s="33" t="s">
        <v>59</v>
      </c>
      <c r="E91" s="39" t="str">
        <f t="array" ref="E91">_xlfn.XLOOKUP($B91, DB[samplingPoint], DB[noLocation])</f>
        <v>WATER SYSTEM (B16)</v>
      </c>
      <c r="F91" s="40" t="str">
        <f t="array" ref="F91">_xlfn.XLOOKUP($B91, DB[samplingPoint], DB[building])</f>
        <v>Building 16</v>
      </c>
      <c r="G91" s="40" t="str">
        <f t="array" ref="G91">_xlfn.XLOOKUP($B91, DB[samplingPoint], DB[location])</f>
        <v>After Pump</v>
      </c>
      <c r="H91" s="40" t="str">
        <f t="array" ref="H91">_xlfn.XLOOKUP($B91, DB[samplingPoint], DB[waterType])</f>
        <v>PW</v>
      </c>
      <c r="I91" s="60">
        <f t="shared" si="1"/>
        <v>45699</v>
      </c>
      <c r="J91" s="192">
        <f t="shared" si="2"/>
        <v>45702</v>
      </c>
      <c r="K91" s="32">
        <v>0.0</v>
      </c>
      <c r="L91" s="32">
        <v>0.0</v>
      </c>
      <c r="M91" s="32">
        <f t="shared" si="3"/>
        <v>0</v>
      </c>
      <c r="N91" s="32" t="s">
        <v>376</v>
      </c>
      <c r="O91" s="32">
        <v>100.0</v>
      </c>
      <c r="P91" s="50" t="str">
        <f t="shared" si="4"/>
        <v>PASSED</v>
      </c>
      <c r="Q91" s="50" t="str">
        <f t="shared" si="5"/>
        <v>WA</v>
      </c>
    </row>
    <row r="92" ht="22.5" customHeight="1">
      <c r="A92" s="26">
        <v>45698.0</v>
      </c>
      <c r="B92" s="32" t="s">
        <v>349</v>
      </c>
      <c r="C92" s="191" t="str">
        <f t="array" ref="C92">_xlfn.XLOOKUP(B92, DB[samplingPoint], DB[samplingTag])</f>
        <v>VB-05(10)</v>
      </c>
      <c r="D92" s="33" t="s">
        <v>59</v>
      </c>
      <c r="E92" s="39" t="str">
        <f t="array" ref="E92">_xlfn.XLOOKUP($B92, DB[samplingPoint], DB[noLocation])</f>
        <v>WATER SYSTEM (B10)</v>
      </c>
      <c r="F92" s="40" t="str">
        <f t="array" ref="F92">_xlfn.XLOOKUP($B92, DB[samplingPoint], DB[building])</f>
        <v>Building 10</v>
      </c>
      <c r="G92" s="40" t="str">
        <f t="array" ref="G92">_xlfn.XLOOKUP($B92, DB[samplingPoint], DB[location])</f>
        <v>After Chlorine circulation tank (B10)</v>
      </c>
      <c r="H92" s="40" t="str">
        <f t="array" ref="H92">_xlfn.XLOOKUP($B92, DB[samplingPoint], DB[waterType])</f>
        <v>PRW</v>
      </c>
      <c r="I92" s="60">
        <f t="shared" si="1"/>
        <v>45699</v>
      </c>
      <c r="J92" s="192">
        <f t="shared" si="2"/>
        <v>45702</v>
      </c>
      <c r="K92" s="32">
        <v>0.0</v>
      </c>
      <c r="L92" s="32">
        <v>0.0</v>
      </c>
      <c r="M92" s="32">
        <f t="shared" si="3"/>
        <v>0</v>
      </c>
      <c r="N92" s="32" t="s">
        <v>376</v>
      </c>
      <c r="O92" s="32">
        <v>500.0</v>
      </c>
      <c r="P92" s="50" t="str">
        <f t="shared" si="4"/>
        <v>PASSED</v>
      </c>
      <c r="Q92" s="50" t="str">
        <f t="shared" si="5"/>
        <v>WA</v>
      </c>
    </row>
    <row r="93" ht="22.5" customHeight="1">
      <c r="A93" s="26">
        <v>45698.0</v>
      </c>
      <c r="B93" s="32" t="s">
        <v>498</v>
      </c>
      <c r="C93" s="191" t="str">
        <f t="array" ref="C93">_xlfn.XLOOKUP(B93, DB[samplingPoint], DB[samplingTag])</f>
        <v>SV116.02</v>
      </c>
      <c r="D93" s="33" t="s">
        <v>59</v>
      </c>
      <c r="E93" s="39" t="str">
        <f t="array" ref="E93">_xlfn.XLOOKUP($B93, DB[samplingPoint], DB[noLocation])</f>
        <v>10-2-037</v>
      </c>
      <c r="F93" s="40" t="str">
        <f t="array" ref="F93">_xlfn.XLOOKUP($B93, DB[samplingPoint], DB[building])</f>
        <v>Building 10</v>
      </c>
      <c r="G93" s="40" t="str">
        <f t="array" ref="G93">_xlfn.XLOOKUP($B93, DB[samplingPoint], DB[location])</f>
        <v>SKID FOR BIN WASHING-2</v>
      </c>
      <c r="H93" s="40" t="str">
        <f t="array" ref="H93">_xlfn.XLOOKUP($B93, DB[samplingPoint], DB[waterType])</f>
        <v>PW</v>
      </c>
      <c r="I93" s="60">
        <f t="shared" si="1"/>
        <v>45699</v>
      </c>
      <c r="J93" s="192">
        <f t="shared" si="2"/>
        <v>45702</v>
      </c>
      <c r="K93" s="32">
        <v>0.0</v>
      </c>
      <c r="L93" s="32">
        <v>0.0</v>
      </c>
      <c r="M93" s="32">
        <f t="shared" si="3"/>
        <v>0</v>
      </c>
      <c r="N93" s="32" t="s">
        <v>983</v>
      </c>
      <c r="O93" s="32">
        <v>100.0</v>
      </c>
      <c r="P93" s="50" t="str">
        <f t="shared" si="4"/>
        <v>PASSED</v>
      </c>
      <c r="Q93" s="50" t="str">
        <f t="shared" si="5"/>
        <v>10</v>
      </c>
    </row>
    <row r="94" ht="22.5" customHeight="1">
      <c r="A94" s="26">
        <v>45698.0</v>
      </c>
      <c r="B94" s="32" t="s">
        <v>498</v>
      </c>
      <c r="C94" s="191" t="str">
        <f t="array" ref="C94">_xlfn.XLOOKUP(B94, DB[samplingPoint], DB[samplingTag])</f>
        <v>SV116.02</v>
      </c>
      <c r="D94" s="33" t="s">
        <v>59</v>
      </c>
      <c r="E94" s="39" t="str">
        <f t="array" ref="E94">_xlfn.XLOOKUP($B94, DB[samplingPoint], DB[noLocation])</f>
        <v>10-2-037</v>
      </c>
      <c r="F94" s="40" t="str">
        <f t="array" ref="F94">_xlfn.XLOOKUP($B94, DB[samplingPoint], DB[building])</f>
        <v>Building 10</v>
      </c>
      <c r="G94" s="40" t="str">
        <f t="array" ref="G94">_xlfn.XLOOKUP($B94, DB[samplingPoint], DB[location])</f>
        <v>SKID FOR BIN WASHING-2</v>
      </c>
      <c r="H94" s="40" t="str">
        <f t="array" ref="H94">_xlfn.XLOOKUP($B94, DB[samplingPoint], DB[waterType])</f>
        <v>PW</v>
      </c>
      <c r="I94" s="60">
        <f t="shared" si="1"/>
        <v>45699</v>
      </c>
      <c r="J94" s="192">
        <f t="shared" si="2"/>
        <v>45702</v>
      </c>
      <c r="K94" s="32">
        <v>0.0</v>
      </c>
      <c r="L94" s="32">
        <v>0.0</v>
      </c>
      <c r="M94" s="32">
        <f t="shared" si="3"/>
        <v>0</v>
      </c>
      <c r="N94" s="32" t="s">
        <v>982</v>
      </c>
      <c r="O94" s="32">
        <v>100.0</v>
      </c>
      <c r="P94" s="50" t="str">
        <f t="shared" si="4"/>
        <v>PASSED</v>
      </c>
      <c r="Q94" s="50" t="str">
        <f t="shared" si="5"/>
        <v>10</v>
      </c>
    </row>
    <row r="95" ht="22.5" customHeight="1">
      <c r="A95" s="26">
        <v>45698.0</v>
      </c>
      <c r="B95" s="32" t="s">
        <v>579</v>
      </c>
      <c r="C95" s="39" t="str">
        <f t="array" ref="C95">_xlfn.XLOOKUP(B95, DB[samplingPoint], DB[samplingTag])</f>
        <v>V50-60(10)</v>
      </c>
      <c r="D95" s="33" t="s">
        <v>59</v>
      </c>
      <c r="E95" s="39" t="str">
        <f t="array" ref="E95">_xlfn.XLOOKUP($B95, DB[samplingPoint], DB[noLocation])</f>
        <v>WATER SYSTEM (B10)</v>
      </c>
      <c r="F95" s="40" t="str">
        <f t="array" ref="F95">_xlfn.XLOOKUP($B95, DB[samplingPoint], DB[building])</f>
        <v>Building 10</v>
      </c>
      <c r="G95" s="40" t="str">
        <f t="array" ref="G95">_xlfn.XLOOKUP($B95, DB[samplingPoint], DB[location])</f>
        <v>Before Cartridge filter 5 µm (B10)</v>
      </c>
      <c r="H95" s="40" t="str">
        <f t="array" ref="H95">_xlfn.XLOOKUP($B95, DB[samplingPoint], DB[waterType])</f>
        <v>PRW</v>
      </c>
      <c r="I95" s="60">
        <f t="shared" si="1"/>
        <v>45699</v>
      </c>
      <c r="J95" s="192">
        <f t="shared" si="2"/>
        <v>45702</v>
      </c>
      <c r="K95" s="32">
        <v>69.0</v>
      </c>
      <c r="L95" s="32">
        <v>78.0</v>
      </c>
      <c r="M95" s="32">
        <f t="shared" si="3"/>
        <v>74</v>
      </c>
      <c r="N95" s="32" t="s">
        <v>376</v>
      </c>
      <c r="O95" s="32">
        <v>500.0</v>
      </c>
      <c r="P95" s="50" t="str">
        <f t="shared" si="4"/>
        <v>PASSED</v>
      </c>
      <c r="Q95" s="50" t="str">
        <f t="shared" si="5"/>
        <v>WA</v>
      </c>
    </row>
    <row r="96" ht="22.5" customHeight="1">
      <c r="A96" s="26">
        <v>45698.0</v>
      </c>
      <c r="B96" s="32" t="s">
        <v>423</v>
      </c>
      <c r="C96" s="191" t="str">
        <f t="array" ref="C96">_xlfn.XLOOKUP(B96, DB[samplingPoint], DB[samplingTag])</f>
        <v>SV116.12</v>
      </c>
      <c r="D96" s="33" t="s">
        <v>59</v>
      </c>
      <c r="E96" s="39" t="str">
        <f t="array" ref="E96">_xlfn.XLOOKUP($B96, DB[samplingPoint], DB[noLocation])</f>
        <v>10-3-144</v>
      </c>
      <c r="F96" s="40" t="str">
        <f t="array" ref="F96">_xlfn.XLOOKUP($B96, DB[samplingPoint], DB[building])</f>
        <v>Building 10</v>
      </c>
      <c r="G96" s="40" t="str">
        <f t="array" ref="G96">_xlfn.XLOOKUP($B96, DB[samplingPoint], DB[location])</f>
        <v>COATING-P</v>
      </c>
      <c r="H96" s="40" t="str">
        <f t="array" ref="H96">_xlfn.XLOOKUP($B96, DB[samplingPoint], DB[waterType])</f>
        <v>PW</v>
      </c>
      <c r="I96" s="60">
        <f t="shared" si="1"/>
        <v>45699</v>
      </c>
      <c r="J96" s="192">
        <f t="shared" si="2"/>
        <v>45702</v>
      </c>
      <c r="K96" s="32">
        <v>0.0</v>
      </c>
      <c r="L96" s="32">
        <v>0.0</v>
      </c>
      <c r="M96" s="32">
        <f t="shared" si="3"/>
        <v>0</v>
      </c>
      <c r="N96" s="32" t="s">
        <v>376</v>
      </c>
      <c r="O96" s="32">
        <v>100.0</v>
      </c>
      <c r="P96" s="50" t="str">
        <f t="shared" si="4"/>
        <v>PASSED</v>
      </c>
      <c r="Q96" s="50" t="str">
        <f t="shared" si="5"/>
        <v>10</v>
      </c>
    </row>
    <row r="97" ht="22.5" customHeight="1">
      <c r="A97" s="26">
        <v>45698.0</v>
      </c>
      <c r="B97" s="32" t="s">
        <v>414</v>
      </c>
      <c r="C97" s="191" t="str">
        <f t="array" ref="C97">_xlfn.XLOOKUP(B97, DB[samplingPoint], DB[samplingTag])</f>
        <v>SV116.13</v>
      </c>
      <c r="D97" s="33" t="s">
        <v>59</v>
      </c>
      <c r="E97" s="39" t="str">
        <f t="array" ref="E97">_xlfn.XLOOKUP($B97, DB[samplingPoint], DB[noLocation])</f>
        <v>10-3-152</v>
      </c>
      <c r="F97" s="40" t="str">
        <f t="array" ref="F97">_xlfn.XLOOKUP($B97, DB[samplingPoint], DB[building])</f>
        <v>Building 10</v>
      </c>
      <c r="G97" s="40" t="str">
        <f t="array" ref="G97">_xlfn.XLOOKUP($B97, DB[samplingPoint], DB[location])</f>
        <v>WASHING-P</v>
      </c>
      <c r="H97" s="40" t="str">
        <f t="array" ref="H97">_xlfn.XLOOKUP($B97, DB[samplingPoint], DB[waterType])</f>
        <v>PW</v>
      </c>
      <c r="I97" s="60">
        <f t="shared" si="1"/>
        <v>45699</v>
      </c>
      <c r="J97" s="192">
        <f t="shared" si="2"/>
        <v>45702</v>
      </c>
      <c r="K97" s="32">
        <v>0.0</v>
      </c>
      <c r="L97" s="32">
        <v>0.0</v>
      </c>
      <c r="M97" s="32">
        <f t="shared" si="3"/>
        <v>0</v>
      </c>
      <c r="N97" s="32" t="s">
        <v>376</v>
      </c>
      <c r="O97" s="32">
        <v>100.0</v>
      </c>
      <c r="P97" s="50" t="str">
        <f t="shared" si="4"/>
        <v>PASSED</v>
      </c>
      <c r="Q97" s="50" t="str">
        <f t="shared" si="5"/>
        <v>10</v>
      </c>
    </row>
    <row r="98" ht="22.5" customHeight="1">
      <c r="A98" s="26">
        <v>45698.0</v>
      </c>
      <c r="B98" s="32" t="s">
        <v>428</v>
      </c>
      <c r="C98" s="191" t="str">
        <f t="array" ref="C98">_xlfn.XLOOKUP(B98, DB[samplingPoint], DB[samplingTag])</f>
        <v>DV116.01</v>
      </c>
      <c r="D98" s="33" t="s">
        <v>59</v>
      </c>
      <c r="E98" s="39" t="str">
        <f t="array" ref="E98">_xlfn.XLOOKUP($B98, DB[samplingPoint], DB[noLocation])</f>
        <v>10-1-057</v>
      </c>
      <c r="F98" s="40" t="str">
        <f t="array" ref="F98">_xlfn.XLOOKUP($B98, DB[samplingPoint], DB[building])</f>
        <v>Building 10</v>
      </c>
      <c r="G98" s="40" t="str">
        <f t="array" ref="G98">_xlfn.XLOOKUP($B98, DB[samplingPoint], DB[location])</f>
        <v>WASHING-P</v>
      </c>
      <c r="H98" s="40" t="str">
        <f t="array" ref="H98">_xlfn.XLOOKUP($B98, DB[samplingPoint], DB[waterType])</f>
        <v>PW</v>
      </c>
      <c r="I98" s="60">
        <f t="shared" si="1"/>
        <v>45699</v>
      </c>
      <c r="J98" s="192">
        <f t="shared" si="2"/>
        <v>45702</v>
      </c>
      <c r="K98" s="32">
        <v>0.0</v>
      </c>
      <c r="L98" s="32">
        <v>0.0</v>
      </c>
      <c r="M98" s="32">
        <f t="shared" si="3"/>
        <v>0</v>
      </c>
      <c r="N98" s="32" t="s">
        <v>376</v>
      </c>
      <c r="O98" s="32">
        <v>100.0</v>
      </c>
      <c r="P98" s="50" t="str">
        <f t="shared" si="4"/>
        <v>PASSED</v>
      </c>
      <c r="Q98" s="50" t="str">
        <f t="shared" si="5"/>
        <v>10</v>
      </c>
    </row>
    <row r="99" ht="22.5" customHeight="1">
      <c r="A99" s="26">
        <v>45698.0</v>
      </c>
      <c r="B99" s="32" t="s">
        <v>425</v>
      </c>
      <c r="C99" s="191" t="str">
        <f t="array" ref="C99">_xlfn.XLOOKUP(B99, DB[samplingPoint], DB[samplingTag])</f>
        <v>DV116.02</v>
      </c>
      <c r="D99" s="33" t="s">
        <v>59</v>
      </c>
      <c r="E99" s="39" t="str">
        <f t="array" ref="E99">_xlfn.XLOOKUP($B99, DB[samplingPoint], DB[noLocation])</f>
        <v>10-1-115</v>
      </c>
      <c r="F99" s="40" t="str">
        <f t="array" ref="F99">_xlfn.XLOOKUP($B99, DB[samplingPoint], DB[building])</f>
        <v>Building 10</v>
      </c>
      <c r="G99" s="40" t="str">
        <f t="array" ref="G99">_xlfn.XLOOKUP($B99, DB[samplingPoint], DB[location])</f>
        <v>WASHING</v>
      </c>
      <c r="H99" s="40" t="str">
        <f t="array" ref="H99">_xlfn.XLOOKUP($B99, DB[samplingPoint], DB[waterType])</f>
        <v>PW</v>
      </c>
      <c r="I99" s="60">
        <f t="shared" si="1"/>
        <v>45699</v>
      </c>
      <c r="J99" s="192">
        <f t="shared" si="2"/>
        <v>45702</v>
      </c>
      <c r="K99" s="32">
        <v>0.0</v>
      </c>
      <c r="L99" s="32">
        <v>0.0</v>
      </c>
      <c r="M99" s="32">
        <f t="shared" si="3"/>
        <v>0</v>
      </c>
      <c r="N99" s="32" t="s">
        <v>376</v>
      </c>
      <c r="O99" s="32">
        <v>100.0</v>
      </c>
      <c r="P99" s="50" t="str">
        <f t="shared" si="4"/>
        <v>PASSED</v>
      </c>
      <c r="Q99" s="50" t="str">
        <f t="shared" si="5"/>
        <v>10</v>
      </c>
    </row>
    <row r="100" ht="22.5" customHeight="1">
      <c r="A100" s="26">
        <v>45698.0</v>
      </c>
      <c r="B100" s="32" t="s">
        <v>421</v>
      </c>
      <c r="C100" s="191" t="str">
        <f t="array" ref="C100">_xlfn.XLOOKUP(B100, DB[samplingPoint], DB[samplingTag])</f>
        <v>DV116.19</v>
      </c>
      <c r="D100" s="33" t="s">
        <v>59</v>
      </c>
      <c r="E100" s="39" t="str">
        <f t="array" ref="E100">_xlfn.XLOOKUP($B100, DB[samplingPoint], DB[noLocation])</f>
        <v>10-3-143</v>
      </c>
      <c r="F100" s="40" t="str">
        <f t="array" ref="F100">_xlfn.XLOOKUP($B100, DB[samplingPoint], DB[building])</f>
        <v>Building 10</v>
      </c>
      <c r="G100" s="40" t="str">
        <f t="array" ref="G100">_xlfn.XLOOKUP($B100, DB[samplingPoint], DB[location])</f>
        <v>COATING SOLUTION PREP.-P</v>
      </c>
      <c r="H100" s="40" t="str">
        <f t="array" ref="H100">_xlfn.XLOOKUP($B100, DB[samplingPoint], DB[waterType])</f>
        <v>PW</v>
      </c>
      <c r="I100" s="60">
        <f t="shared" si="1"/>
        <v>45699</v>
      </c>
      <c r="J100" s="192">
        <f t="shared" si="2"/>
        <v>45702</v>
      </c>
      <c r="K100" s="32">
        <v>0.0</v>
      </c>
      <c r="L100" s="32">
        <v>0.0</v>
      </c>
      <c r="M100" s="32">
        <f t="shared" si="3"/>
        <v>0</v>
      </c>
      <c r="N100" s="32" t="s">
        <v>376</v>
      </c>
      <c r="O100" s="32">
        <v>100.0</v>
      </c>
      <c r="P100" s="50" t="str">
        <f t="shared" si="4"/>
        <v>PASSED</v>
      </c>
      <c r="Q100" s="50" t="str">
        <f t="shared" si="5"/>
        <v>10</v>
      </c>
    </row>
    <row r="101" ht="22.5" customHeight="1">
      <c r="A101" s="26">
        <v>45698.0</v>
      </c>
      <c r="B101" s="32" t="s">
        <v>417</v>
      </c>
      <c r="C101" s="191" t="str">
        <f t="array" ref="C101">_xlfn.XLOOKUP(B101, DB[samplingPoint], DB[samplingTag])</f>
        <v>DV116.20</v>
      </c>
      <c r="D101" s="33" t="s">
        <v>59</v>
      </c>
      <c r="E101" s="39" t="str">
        <f t="array" ref="E101">_xlfn.XLOOKUP($B101, DB[samplingPoint], DB[noLocation])</f>
        <v>10-3-149</v>
      </c>
      <c r="F101" s="40" t="str">
        <f t="array" ref="F101">_xlfn.XLOOKUP($B101, DB[samplingPoint], DB[building])</f>
        <v>Building 10</v>
      </c>
      <c r="G101" s="40" t="str">
        <f t="array" ref="G101">_xlfn.XLOOKUP($B101, DB[samplingPoint], DB[location])</f>
        <v>IPQC-1-P</v>
      </c>
      <c r="H101" s="40" t="str">
        <f t="array" ref="H101">_xlfn.XLOOKUP($B101, DB[samplingPoint], DB[waterType])</f>
        <v>PW</v>
      </c>
      <c r="I101" s="60">
        <f t="shared" si="1"/>
        <v>45699</v>
      </c>
      <c r="J101" s="192">
        <f t="shared" si="2"/>
        <v>45702</v>
      </c>
      <c r="K101" s="32">
        <v>0.0</v>
      </c>
      <c r="L101" s="32">
        <v>0.0</v>
      </c>
      <c r="M101" s="32">
        <f t="shared" si="3"/>
        <v>0</v>
      </c>
      <c r="N101" s="32" t="s">
        <v>376</v>
      </c>
      <c r="O101" s="32">
        <v>100.0</v>
      </c>
      <c r="P101" s="50" t="str">
        <f t="shared" si="4"/>
        <v>PASSED</v>
      </c>
      <c r="Q101" s="50" t="str">
        <f t="shared" si="5"/>
        <v>10</v>
      </c>
    </row>
    <row r="102" ht="22.5" customHeight="1">
      <c r="A102" s="26">
        <v>45698.0</v>
      </c>
      <c r="B102" s="32" t="s">
        <v>406</v>
      </c>
      <c r="C102" s="191" t="str">
        <f t="array" ref="C102">_xlfn.XLOOKUP(B102, DB[samplingPoint], DB[samplingTag])</f>
        <v>DV116.21</v>
      </c>
      <c r="D102" s="33" t="s">
        <v>59</v>
      </c>
      <c r="E102" s="39" t="str">
        <f t="array" ref="E102">_xlfn.XLOOKUP($B102, DB[samplingPoint], DB[noLocation])</f>
        <v>10-3-152</v>
      </c>
      <c r="F102" s="40" t="str">
        <f t="array" ref="F102">_xlfn.XLOOKUP($B102, DB[samplingPoint], DB[building])</f>
        <v>Building 10</v>
      </c>
      <c r="G102" s="40" t="str">
        <f t="array" ref="G102">_xlfn.XLOOKUP($B102, DB[samplingPoint], DB[location])</f>
        <v>WASHING-P</v>
      </c>
      <c r="H102" s="40" t="str">
        <f t="array" ref="H102">_xlfn.XLOOKUP($B102, DB[samplingPoint], DB[waterType])</f>
        <v>PW</v>
      </c>
      <c r="I102" s="60">
        <f t="shared" si="1"/>
        <v>45699</v>
      </c>
      <c r="J102" s="192">
        <f t="shared" si="2"/>
        <v>45702</v>
      </c>
      <c r="K102" s="32">
        <v>0.0</v>
      </c>
      <c r="L102" s="32">
        <v>0.0</v>
      </c>
      <c r="M102" s="32">
        <f t="shared" si="3"/>
        <v>0</v>
      </c>
      <c r="N102" s="32" t="s">
        <v>376</v>
      </c>
      <c r="O102" s="32">
        <v>100.0</v>
      </c>
      <c r="P102" s="50" t="str">
        <f t="shared" si="4"/>
        <v>PASSED</v>
      </c>
      <c r="Q102" s="50" t="str">
        <f t="shared" si="5"/>
        <v>10</v>
      </c>
    </row>
    <row r="103" ht="22.5" customHeight="1">
      <c r="A103" s="26">
        <v>45698.0</v>
      </c>
      <c r="B103" s="32" t="s">
        <v>410</v>
      </c>
      <c r="C103" s="191" t="str">
        <f t="array" ref="C103">_xlfn.XLOOKUP(B103, DB[samplingPoint], DB[samplingTag])</f>
        <v>DV116.22</v>
      </c>
      <c r="D103" s="33" t="s">
        <v>59</v>
      </c>
      <c r="E103" s="39" t="str">
        <f t="array" ref="E103">_xlfn.XLOOKUP($B103, DB[samplingPoint], DB[noLocation])</f>
        <v>10-3-152</v>
      </c>
      <c r="F103" s="40" t="str">
        <f t="array" ref="F103">_xlfn.XLOOKUP($B103, DB[samplingPoint], DB[building])</f>
        <v>Building 10</v>
      </c>
      <c r="G103" s="40" t="str">
        <f t="array" ref="G103">_xlfn.XLOOKUP($B103, DB[samplingPoint], DB[location])</f>
        <v>WASHING-P</v>
      </c>
      <c r="H103" s="40" t="str">
        <f t="array" ref="H103">_xlfn.XLOOKUP($B103, DB[samplingPoint], DB[waterType])</f>
        <v>PW</v>
      </c>
      <c r="I103" s="60">
        <f t="shared" si="1"/>
        <v>45699</v>
      </c>
      <c r="J103" s="192">
        <f t="shared" si="2"/>
        <v>45702</v>
      </c>
      <c r="K103" s="32">
        <v>0.0</v>
      </c>
      <c r="L103" s="32">
        <v>0.0</v>
      </c>
      <c r="M103" s="32">
        <f t="shared" si="3"/>
        <v>0</v>
      </c>
      <c r="N103" s="32" t="s">
        <v>376</v>
      </c>
      <c r="O103" s="32">
        <v>100.0</v>
      </c>
      <c r="P103" s="50" t="str">
        <f t="shared" si="4"/>
        <v>PASSED</v>
      </c>
      <c r="Q103" s="50" t="str">
        <f t="shared" si="5"/>
        <v>10</v>
      </c>
    </row>
    <row r="104" ht="22.5" customHeight="1">
      <c r="A104" s="26">
        <v>45698.0</v>
      </c>
      <c r="B104" s="32" t="s">
        <v>401</v>
      </c>
      <c r="C104" s="191" t="str">
        <f t="array" ref="C104">_xlfn.XLOOKUP(B104, DB[samplingPoint], DB[samplingTag])</f>
        <v>DV116.23</v>
      </c>
      <c r="D104" s="33" t="s">
        <v>59</v>
      </c>
      <c r="E104" s="39" t="str">
        <f t="array" ref="E104">_xlfn.XLOOKUP($B104, DB[samplingPoint], DB[noLocation])</f>
        <v>10-3-159</v>
      </c>
      <c r="F104" s="40" t="str">
        <f t="array" ref="F104">_xlfn.XLOOKUP($B104, DB[samplingPoint], DB[building])</f>
        <v>Building 10</v>
      </c>
      <c r="G104" s="40" t="str">
        <f t="array" ref="G104">_xlfn.XLOOKUP($B104, DB[samplingPoint], DB[location])</f>
        <v>BINDER PREPARATION-P</v>
      </c>
      <c r="H104" s="40" t="str">
        <f t="array" ref="H104">_xlfn.XLOOKUP($B104, DB[samplingPoint], DB[waterType])</f>
        <v>PW</v>
      </c>
      <c r="I104" s="60">
        <f t="shared" si="1"/>
        <v>45699</v>
      </c>
      <c r="J104" s="192">
        <f t="shared" si="2"/>
        <v>45702</v>
      </c>
      <c r="K104" s="32">
        <v>0.0</v>
      </c>
      <c r="L104" s="32">
        <v>0.0</v>
      </c>
      <c r="M104" s="32">
        <f t="shared" si="3"/>
        <v>0</v>
      </c>
      <c r="N104" s="32" t="s">
        <v>376</v>
      </c>
      <c r="O104" s="32">
        <v>100.0</v>
      </c>
      <c r="P104" s="50" t="str">
        <f t="shared" si="4"/>
        <v>PASSED</v>
      </c>
      <c r="Q104" s="50" t="str">
        <f t="shared" si="5"/>
        <v>10</v>
      </c>
    </row>
    <row r="105" ht="22.5" customHeight="1">
      <c r="A105" s="26">
        <v>45698.0</v>
      </c>
      <c r="B105" s="32" t="s">
        <v>398</v>
      </c>
      <c r="C105" s="191" t="str">
        <f t="array" ref="C105">_xlfn.XLOOKUP(B105, DB[samplingPoint], DB[samplingTag])</f>
        <v>DV116.24</v>
      </c>
      <c r="D105" s="33" t="s">
        <v>59</v>
      </c>
      <c r="E105" s="39" t="str">
        <f t="array" ref="E105">_xlfn.XLOOKUP($B105, DB[samplingPoint], DB[noLocation])</f>
        <v>10-3-163</v>
      </c>
      <c r="F105" s="40" t="str">
        <f t="array" ref="F105">_xlfn.XLOOKUP($B105, DB[samplingPoint], DB[building])</f>
        <v>Building 10</v>
      </c>
      <c r="G105" s="40" t="str">
        <f t="array" ref="G105">_xlfn.XLOOKUP($B105, DB[samplingPoint], DB[location])</f>
        <v>WET GRANULATION 1-P</v>
      </c>
      <c r="H105" s="40" t="str">
        <f t="array" ref="H105">_xlfn.XLOOKUP($B105, DB[samplingPoint], DB[waterType])</f>
        <v>PW</v>
      </c>
      <c r="I105" s="60">
        <f t="shared" si="1"/>
        <v>45699</v>
      </c>
      <c r="J105" s="192">
        <f t="shared" si="2"/>
        <v>45702</v>
      </c>
      <c r="K105" s="32">
        <v>0.0</v>
      </c>
      <c r="L105" s="32">
        <v>0.0</v>
      </c>
      <c r="M105" s="32">
        <f t="shared" si="3"/>
        <v>0</v>
      </c>
      <c r="N105" s="32" t="s">
        <v>376</v>
      </c>
      <c r="O105" s="32">
        <v>100.0</v>
      </c>
      <c r="P105" s="50" t="str">
        <f t="shared" si="4"/>
        <v>PASSED</v>
      </c>
      <c r="Q105" s="50" t="str">
        <f t="shared" si="5"/>
        <v>10</v>
      </c>
    </row>
    <row r="106" ht="22.5" customHeight="1">
      <c r="A106" s="26">
        <v>45698.0</v>
      </c>
      <c r="B106" s="32" t="s">
        <v>394</v>
      </c>
      <c r="C106" s="191" t="str">
        <f t="array" ref="C106">_xlfn.XLOOKUP(B106, DB[samplingPoint], DB[samplingTag])</f>
        <v>DV116.25</v>
      </c>
      <c r="D106" s="33" t="s">
        <v>59</v>
      </c>
      <c r="E106" s="39" t="str">
        <f t="array" ref="E106">_xlfn.XLOOKUP($B106, DB[samplingPoint], DB[noLocation])</f>
        <v>10-3-171</v>
      </c>
      <c r="F106" s="40" t="str">
        <f t="array" ref="F106">_xlfn.XLOOKUP($B106, DB[samplingPoint], DB[building])</f>
        <v>Building 10</v>
      </c>
      <c r="G106" s="40" t="str">
        <f t="array" ref="G106">_xlfn.XLOOKUP($B106, DB[samplingPoint], DB[location])</f>
        <v>TOOL WASHING-P</v>
      </c>
      <c r="H106" s="40" t="str">
        <f t="array" ref="H106">_xlfn.XLOOKUP($B106, DB[samplingPoint], DB[waterType])</f>
        <v>PW</v>
      </c>
      <c r="I106" s="60">
        <f t="shared" si="1"/>
        <v>45699</v>
      </c>
      <c r="J106" s="192">
        <f t="shared" si="2"/>
        <v>45702</v>
      </c>
      <c r="K106" s="32">
        <v>0.0</v>
      </c>
      <c r="L106" s="32">
        <v>0.0</v>
      </c>
      <c r="M106" s="32">
        <f t="shared" si="3"/>
        <v>0</v>
      </c>
      <c r="N106" s="32" t="s">
        <v>376</v>
      </c>
      <c r="O106" s="32">
        <v>100.0</v>
      </c>
      <c r="P106" s="50" t="str">
        <f t="shared" si="4"/>
        <v>PASSED</v>
      </c>
      <c r="Q106" s="50" t="str">
        <f t="shared" si="5"/>
        <v>10</v>
      </c>
    </row>
    <row r="107" ht="22.5" customHeight="1">
      <c r="A107" s="26">
        <v>45698.0</v>
      </c>
      <c r="B107" s="32" t="s">
        <v>366</v>
      </c>
      <c r="C107" s="191" t="str">
        <f t="array" ref="C107">_xlfn.XLOOKUP(B107, DB[samplingPoint], DB[samplingTag])</f>
        <v>V50-61(10)</v>
      </c>
      <c r="D107" s="33" t="s">
        <v>59</v>
      </c>
      <c r="E107" s="39" t="str">
        <f t="array" ref="E107">_xlfn.XLOOKUP($B107, DB[samplingPoint], DB[noLocation])</f>
        <v>WATER SYSTEM (B10)</v>
      </c>
      <c r="F107" s="40" t="str">
        <f t="array" ref="F107">_xlfn.XLOOKUP($B107, DB[samplingPoint], DB[building])</f>
        <v>Building 10</v>
      </c>
      <c r="G107" s="40" t="str">
        <f t="array" ref="G107">_xlfn.XLOOKUP($B107, DB[samplingPoint], DB[location])</f>
        <v>After Cartridge filter 5 µm (B10)</v>
      </c>
      <c r="H107" s="40" t="str">
        <f t="array" ref="H107">_xlfn.XLOOKUP($B107, DB[samplingPoint], DB[waterType])</f>
        <v>PRW</v>
      </c>
      <c r="I107" s="60">
        <f t="shared" si="1"/>
        <v>45699</v>
      </c>
      <c r="J107" s="192">
        <f t="shared" si="2"/>
        <v>45702</v>
      </c>
      <c r="K107" s="32">
        <v>118.0</v>
      </c>
      <c r="L107" s="32">
        <v>131.0</v>
      </c>
      <c r="M107" s="32">
        <f t="shared" si="3"/>
        <v>125</v>
      </c>
      <c r="N107" s="32" t="s">
        <v>376</v>
      </c>
      <c r="O107" s="32">
        <v>500.0</v>
      </c>
      <c r="P107" s="50" t="str">
        <f t="shared" si="4"/>
        <v>PASSED</v>
      </c>
      <c r="Q107" s="50" t="str">
        <f t="shared" si="5"/>
        <v>WA</v>
      </c>
    </row>
    <row r="108" ht="22.5" customHeight="1">
      <c r="A108" s="26">
        <v>45698.0</v>
      </c>
      <c r="B108" s="32" t="s">
        <v>380</v>
      </c>
      <c r="C108" s="191" t="str">
        <f t="array" ref="C108">_xlfn.XLOOKUP(B108, DB[samplingPoint], DB[samplingTag])</f>
        <v>SV113.01</v>
      </c>
      <c r="D108" s="33" t="s">
        <v>59</v>
      </c>
      <c r="E108" s="39" t="str">
        <f t="array" ref="E108">_xlfn.XLOOKUP($B108, DB[samplingPoint], DB[noLocation])</f>
        <v>WATER SYSTEM (B10)</v>
      </c>
      <c r="F108" s="40" t="str">
        <f t="array" ref="F108">_xlfn.XLOOKUP($B108, DB[samplingPoint], DB[building])</f>
        <v>Building 10</v>
      </c>
      <c r="G108" s="40" t="str">
        <f t="array" ref="G108">_xlfn.XLOOKUP($B108, DB[samplingPoint], DB[location])</f>
        <v>After Storage tank (B10)</v>
      </c>
      <c r="H108" s="40" t="str">
        <f t="array" ref="H108">_xlfn.XLOOKUP($B108, DB[samplingPoint], DB[waterType])</f>
        <v>PW</v>
      </c>
      <c r="I108" s="60">
        <f t="shared" si="1"/>
        <v>45699</v>
      </c>
      <c r="J108" s="192">
        <f t="shared" si="2"/>
        <v>45702</v>
      </c>
      <c r="K108" s="32">
        <v>0.0</v>
      </c>
      <c r="L108" s="32">
        <v>0.0</v>
      </c>
      <c r="M108" s="32">
        <f t="shared" si="3"/>
        <v>0</v>
      </c>
      <c r="N108" s="32" t="s">
        <v>376</v>
      </c>
      <c r="O108" s="32">
        <v>100.0</v>
      </c>
      <c r="P108" s="50" t="str">
        <f t="shared" si="4"/>
        <v>PASSED</v>
      </c>
      <c r="Q108" s="50" t="str">
        <f t="shared" si="5"/>
        <v>WA</v>
      </c>
    </row>
    <row r="109" ht="22.5" customHeight="1">
      <c r="A109" s="26">
        <v>45698.0</v>
      </c>
      <c r="B109" s="32" t="s">
        <v>385</v>
      </c>
      <c r="C109" s="191" t="str">
        <f t="array" ref="C109">_xlfn.XLOOKUP(B109, DB[samplingPoint], DB[samplingTag])</f>
        <v>SV115.02</v>
      </c>
      <c r="D109" s="33" t="s">
        <v>59</v>
      </c>
      <c r="E109" s="39" t="str">
        <f t="array" ref="E109">_xlfn.XLOOKUP($B109, DB[samplingPoint], DB[noLocation])</f>
        <v>WATER SYSTEM (B10)</v>
      </c>
      <c r="F109" s="40" t="str">
        <f t="array" ref="F109">_xlfn.XLOOKUP($B109, DB[samplingPoint], DB[building])</f>
        <v>Building 10</v>
      </c>
      <c r="G109" s="40" t="str">
        <f t="array" ref="G109">_xlfn.XLOOKUP($B109, DB[samplingPoint], DB[location])</f>
        <v>After UV (B10)</v>
      </c>
      <c r="H109" s="40" t="str">
        <f t="array" ref="H109">_xlfn.XLOOKUP($B109, DB[samplingPoint], DB[waterType])</f>
        <v>PW</v>
      </c>
      <c r="I109" s="60">
        <f t="shared" si="1"/>
        <v>45699</v>
      </c>
      <c r="J109" s="192">
        <f t="shared" si="2"/>
        <v>45702</v>
      </c>
      <c r="K109" s="32">
        <v>0.0</v>
      </c>
      <c r="L109" s="32">
        <v>0.0</v>
      </c>
      <c r="M109" s="32">
        <f t="shared" si="3"/>
        <v>0</v>
      </c>
      <c r="N109" s="32" t="s">
        <v>376</v>
      </c>
      <c r="O109" s="32">
        <v>100.0</v>
      </c>
      <c r="P109" s="50" t="str">
        <f t="shared" si="4"/>
        <v>PASSED</v>
      </c>
      <c r="Q109" s="50" t="str">
        <f t="shared" si="5"/>
        <v>WA</v>
      </c>
    </row>
    <row r="110" ht="22.5" customHeight="1">
      <c r="A110" s="26">
        <v>45698.0</v>
      </c>
      <c r="B110" s="32" t="s">
        <v>390</v>
      </c>
      <c r="C110" s="191" t="str">
        <f t="array" ref="C110">_xlfn.XLOOKUP(B110, DB[samplingPoint], DB[samplingTag])</f>
        <v>SV117.01</v>
      </c>
      <c r="D110" s="33" t="s">
        <v>59</v>
      </c>
      <c r="E110" s="39" t="str">
        <f t="array" ref="E110">_xlfn.XLOOKUP($B110, DB[samplingPoint], DB[noLocation])</f>
        <v>WATER SYSTEM (B10)</v>
      </c>
      <c r="F110" s="40" t="str">
        <f t="array" ref="F110">_xlfn.XLOOKUP($B110, DB[samplingPoint], DB[building])</f>
        <v>Building 10</v>
      </c>
      <c r="G110" s="40" t="str">
        <f t="array" ref="G110">_xlfn.XLOOKUP($B110, DB[samplingPoint], DB[location])</f>
        <v>Return loop (B10)</v>
      </c>
      <c r="H110" s="40" t="str">
        <f t="array" ref="H110">_xlfn.XLOOKUP($B110, DB[samplingPoint], DB[waterType])</f>
        <v>PW</v>
      </c>
      <c r="I110" s="60">
        <f t="shared" si="1"/>
        <v>45699</v>
      </c>
      <c r="J110" s="192">
        <f t="shared" si="2"/>
        <v>45702</v>
      </c>
      <c r="K110" s="32">
        <v>13.0</v>
      </c>
      <c r="L110" s="32">
        <v>8.0</v>
      </c>
      <c r="M110" s="32">
        <f t="shared" si="3"/>
        <v>11</v>
      </c>
      <c r="N110" s="32" t="s">
        <v>376</v>
      </c>
      <c r="O110" s="32">
        <v>100.0</v>
      </c>
      <c r="P110" s="50" t="str">
        <f t="shared" si="4"/>
        <v>PASSED</v>
      </c>
      <c r="Q110" s="50" t="str">
        <f t="shared" si="5"/>
        <v>WA</v>
      </c>
    </row>
    <row r="111" ht="22.5" customHeight="1">
      <c r="A111" s="26">
        <v>45705.0</v>
      </c>
      <c r="B111" s="32" t="s">
        <v>349</v>
      </c>
      <c r="C111" s="191" t="str">
        <f t="array" ref="C111">_xlfn.XLOOKUP(B111, DB[samplingPoint], DB[samplingTag])</f>
        <v>VB-05(10)</v>
      </c>
      <c r="D111" s="33" t="s">
        <v>59</v>
      </c>
      <c r="E111" s="39" t="str">
        <f t="array" ref="E111">_xlfn.XLOOKUP($B111, DB[samplingPoint], DB[noLocation])</f>
        <v>WATER SYSTEM (B10)</v>
      </c>
      <c r="F111" s="40" t="str">
        <f t="array" ref="F111">_xlfn.XLOOKUP($B111, DB[samplingPoint], DB[building])</f>
        <v>Building 10</v>
      </c>
      <c r="G111" s="40" t="str">
        <f t="array" ref="G111">_xlfn.XLOOKUP($B111, DB[samplingPoint], DB[location])</f>
        <v>After Chlorine circulation tank (B10)</v>
      </c>
      <c r="H111" s="40" t="str">
        <f t="array" ref="H111">_xlfn.XLOOKUP($B111, DB[samplingPoint], DB[waterType])</f>
        <v>PRW</v>
      </c>
      <c r="I111" s="60">
        <f t="shared" si="1"/>
        <v>45706</v>
      </c>
      <c r="J111" s="192">
        <f t="shared" si="2"/>
        <v>45709</v>
      </c>
      <c r="K111" s="32">
        <v>1.0</v>
      </c>
      <c r="L111" s="32">
        <v>0.0</v>
      </c>
      <c r="M111" s="32">
        <f t="shared" si="3"/>
        <v>1</v>
      </c>
      <c r="N111" s="32" t="s">
        <v>376</v>
      </c>
      <c r="O111" s="32">
        <v>500.0</v>
      </c>
      <c r="P111" s="50" t="str">
        <f t="shared" si="4"/>
        <v>PASSED</v>
      </c>
      <c r="Q111" s="50" t="str">
        <f t="shared" si="5"/>
        <v>WA</v>
      </c>
    </row>
    <row r="112" ht="22.5" customHeight="1">
      <c r="A112" s="26">
        <v>45705.0</v>
      </c>
      <c r="B112" s="32" t="s">
        <v>579</v>
      </c>
      <c r="C112" s="39" t="str">
        <f t="array" ref="C112">_xlfn.XLOOKUP(B112, DB[samplingPoint], DB[samplingTag])</f>
        <v>V50-60(10)</v>
      </c>
      <c r="D112" s="33" t="s">
        <v>59</v>
      </c>
      <c r="E112" s="39" t="str">
        <f t="array" ref="E112">_xlfn.XLOOKUP($B112, DB[samplingPoint], DB[noLocation])</f>
        <v>WATER SYSTEM (B10)</v>
      </c>
      <c r="F112" s="40" t="str">
        <f t="array" ref="F112">_xlfn.XLOOKUP($B112, DB[samplingPoint], DB[building])</f>
        <v>Building 10</v>
      </c>
      <c r="G112" s="40" t="str">
        <f t="array" ref="G112">_xlfn.XLOOKUP($B112, DB[samplingPoint], DB[location])</f>
        <v>Before Cartridge filter 5 µm (B10)</v>
      </c>
      <c r="H112" s="40" t="str">
        <f t="array" ref="H112">_xlfn.XLOOKUP($B112, DB[samplingPoint], DB[waterType])</f>
        <v>PRW</v>
      </c>
      <c r="I112" s="60">
        <f t="shared" si="1"/>
        <v>45706</v>
      </c>
      <c r="J112" s="192">
        <f t="shared" si="2"/>
        <v>45709</v>
      </c>
      <c r="K112" s="32">
        <v>264.0</v>
      </c>
      <c r="L112" s="32">
        <v>21.0</v>
      </c>
      <c r="M112" s="32">
        <f t="shared" si="3"/>
        <v>143</v>
      </c>
      <c r="N112" s="32" t="s">
        <v>376</v>
      </c>
      <c r="O112" s="32">
        <v>500.0</v>
      </c>
      <c r="P112" s="50" t="str">
        <f t="shared" si="4"/>
        <v>PASSED</v>
      </c>
      <c r="Q112" s="50" t="str">
        <f t="shared" si="5"/>
        <v>WA</v>
      </c>
    </row>
    <row r="113" ht="22.5" customHeight="1">
      <c r="A113" s="26">
        <v>45705.0</v>
      </c>
      <c r="B113" s="32" t="s">
        <v>536</v>
      </c>
      <c r="C113" s="191" t="str">
        <f t="array" ref="C113">_xlfn.XLOOKUP(B113, DB[samplingPoint], DB[samplingTag])</f>
        <v>SV116.05</v>
      </c>
      <c r="D113" s="33" t="s">
        <v>59</v>
      </c>
      <c r="E113" s="39" t="str">
        <f t="array" ref="E113">_xlfn.XLOOKUP($B113, DB[samplingPoint], DB[noLocation])</f>
        <v>10-3-062</v>
      </c>
      <c r="F113" s="40" t="str">
        <f t="array" ref="F113">_xlfn.XLOOKUP($B113, DB[samplingPoint], DB[building])</f>
        <v>Building 10</v>
      </c>
      <c r="G113" s="40" t="str">
        <f t="array" ref="G113">_xlfn.XLOOKUP($B113, DB[samplingPoint], DB[location])</f>
        <v>COATING ROOM-3</v>
      </c>
      <c r="H113" s="40" t="str">
        <f t="array" ref="H113">_xlfn.XLOOKUP($B113, DB[samplingPoint], DB[waterType])</f>
        <v>PW</v>
      </c>
      <c r="I113" s="60">
        <f t="shared" si="1"/>
        <v>45706</v>
      </c>
      <c r="J113" s="192">
        <f t="shared" si="2"/>
        <v>45709</v>
      </c>
      <c r="K113" s="32">
        <v>0.0</v>
      </c>
      <c r="L113" s="32">
        <v>0.0</v>
      </c>
      <c r="M113" s="32">
        <f t="shared" si="3"/>
        <v>0</v>
      </c>
      <c r="N113" s="32" t="s">
        <v>376</v>
      </c>
      <c r="O113" s="32">
        <v>100.0</v>
      </c>
      <c r="P113" s="50" t="str">
        <f t="shared" si="4"/>
        <v>PASSED</v>
      </c>
      <c r="Q113" s="50" t="str">
        <f t="shared" si="5"/>
        <v>10</v>
      </c>
    </row>
    <row r="114" ht="22.5" customHeight="1">
      <c r="A114" s="26">
        <v>45705.0</v>
      </c>
      <c r="B114" s="32" t="s">
        <v>535</v>
      </c>
      <c r="C114" s="191" t="str">
        <f t="array" ref="C114">_xlfn.XLOOKUP(B114, DB[samplingPoint], DB[samplingTag])</f>
        <v>SV116.04</v>
      </c>
      <c r="D114" s="33" t="s">
        <v>59</v>
      </c>
      <c r="E114" s="39" t="str">
        <f t="array" ref="E114">_xlfn.XLOOKUP($B114, DB[samplingPoint], DB[noLocation])</f>
        <v>10-3-061</v>
      </c>
      <c r="F114" s="40" t="str">
        <f t="array" ref="F114">_xlfn.XLOOKUP($B114, DB[samplingPoint], DB[building])</f>
        <v>Building 10</v>
      </c>
      <c r="G114" s="40" t="str">
        <f t="array" ref="G114">_xlfn.XLOOKUP($B114, DB[samplingPoint], DB[location])</f>
        <v>COATING ROOM-2</v>
      </c>
      <c r="H114" s="40" t="str">
        <f t="array" ref="H114">_xlfn.XLOOKUP($B114, DB[samplingPoint], DB[waterType])</f>
        <v>PW</v>
      </c>
      <c r="I114" s="60">
        <f t="shared" si="1"/>
        <v>45706</v>
      </c>
      <c r="J114" s="192">
        <f t="shared" si="2"/>
        <v>45709</v>
      </c>
      <c r="K114" s="32">
        <v>0.0</v>
      </c>
      <c r="L114" s="32">
        <v>0.0</v>
      </c>
      <c r="M114" s="32">
        <f t="shared" si="3"/>
        <v>0</v>
      </c>
      <c r="N114" s="32" t="s">
        <v>376</v>
      </c>
      <c r="O114" s="32">
        <v>100.0</v>
      </c>
      <c r="P114" s="50" t="str">
        <f t="shared" si="4"/>
        <v>PASSED</v>
      </c>
      <c r="Q114" s="50" t="str">
        <f t="shared" si="5"/>
        <v>10</v>
      </c>
    </row>
    <row r="115" ht="22.5" customHeight="1">
      <c r="A115" s="26">
        <v>45705.0</v>
      </c>
      <c r="B115" s="32" t="s">
        <v>529</v>
      </c>
      <c r="C115" s="191" t="str">
        <f t="array" ref="C115">_xlfn.XLOOKUP(B115, DB[samplingPoint], DB[samplingTag])</f>
        <v>DV116.09</v>
      </c>
      <c r="D115" s="33" t="s">
        <v>59</v>
      </c>
      <c r="E115" s="39" t="str">
        <f t="array" ref="E115">_xlfn.XLOOKUP($B115, DB[samplingPoint], DB[noLocation])</f>
        <v>10-3-060</v>
      </c>
      <c r="F115" s="40" t="str">
        <f t="array" ref="F115">_xlfn.XLOOKUP($B115, DB[samplingPoint], DB[building])</f>
        <v>Building 10</v>
      </c>
      <c r="G115" s="40" t="str">
        <f t="array" ref="G115">_xlfn.XLOOKUP($B115, DB[samplingPoint], DB[location])</f>
        <v>COATING SOLUTION PREP.-2</v>
      </c>
      <c r="H115" s="40" t="str">
        <f t="array" ref="H115">_xlfn.XLOOKUP($B115, DB[samplingPoint], DB[waterType])</f>
        <v>PW</v>
      </c>
      <c r="I115" s="60">
        <f t="shared" si="1"/>
        <v>45706</v>
      </c>
      <c r="J115" s="192">
        <f t="shared" si="2"/>
        <v>45709</v>
      </c>
      <c r="K115" s="32">
        <v>0.0</v>
      </c>
      <c r="L115" s="32">
        <v>0.0</v>
      </c>
      <c r="M115" s="32">
        <f t="shared" si="3"/>
        <v>0</v>
      </c>
      <c r="N115" s="32" t="s">
        <v>376</v>
      </c>
      <c r="O115" s="32">
        <v>100.0</v>
      </c>
      <c r="P115" s="50" t="str">
        <f t="shared" si="4"/>
        <v>PASSED</v>
      </c>
      <c r="Q115" s="50" t="str">
        <f t="shared" si="5"/>
        <v>10</v>
      </c>
    </row>
    <row r="116" ht="22.5" customHeight="1">
      <c r="A116" s="26">
        <v>45705.0</v>
      </c>
      <c r="B116" s="32" t="s">
        <v>528</v>
      </c>
      <c r="C116" s="191" t="str">
        <f t="array" ref="C116">_xlfn.XLOOKUP(B116, DB[samplingPoint], DB[samplingTag])</f>
        <v>DV116.08</v>
      </c>
      <c r="D116" s="33" t="s">
        <v>59</v>
      </c>
      <c r="E116" s="39" t="str">
        <f t="array" ref="E116">_xlfn.XLOOKUP($B116, DB[samplingPoint], DB[noLocation])</f>
        <v>10-3-059</v>
      </c>
      <c r="F116" s="40" t="str">
        <f t="array" ref="F116">_xlfn.XLOOKUP($B116, DB[samplingPoint], DB[building])</f>
        <v>Building 10</v>
      </c>
      <c r="G116" s="40" t="str">
        <f t="array" ref="G116">_xlfn.XLOOKUP($B116, DB[samplingPoint], DB[location])</f>
        <v>COATING SOLUTION PREP.-1</v>
      </c>
      <c r="H116" s="40" t="str">
        <f t="array" ref="H116">_xlfn.XLOOKUP($B116, DB[samplingPoint], DB[waterType])</f>
        <v>PW</v>
      </c>
      <c r="I116" s="60">
        <f t="shared" si="1"/>
        <v>45706</v>
      </c>
      <c r="J116" s="192">
        <f t="shared" si="2"/>
        <v>45709</v>
      </c>
      <c r="K116" s="32">
        <v>0.0</v>
      </c>
      <c r="L116" s="32">
        <v>0.0</v>
      </c>
      <c r="M116" s="32">
        <f t="shared" si="3"/>
        <v>0</v>
      </c>
      <c r="N116" s="32" t="s">
        <v>376</v>
      </c>
      <c r="O116" s="32">
        <v>100.0</v>
      </c>
      <c r="P116" s="50" t="str">
        <f t="shared" si="4"/>
        <v>PASSED</v>
      </c>
      <c r="Q116" s="50" t="str">
        <f t="shared" si="5"/>
        <v>10</v>
      </c>
    </row>
    <row r="117" ht="22.5" customHeight="1">
      <c r="A117" s="26">
        <v>45705.0</v>
      </c>
      <c r="B117" s="32" t="s">
        <v>534</v>
      </c>
      <c r="C117" s="191" t="str">
        <f t="array" ref="C117">_xlfn.XLOOKUP(B117, DB[samplingPoint], DB[samplingTag])</f>
        <v>SV116.03</v>
      </c>
      <c r="D117" s="33" t="s">
        <v>59</v>
      </c>
      <c r="E117" s="39" t="str">
        <f t="array" ref="E117">_xlfn.XLOOKUP($B117, DB[samplingPoint], DB[noLocation])</f>
        <v>10-3-058</v>
      </c>
      <c r="F117" s="40" t="str">
        <f t="array" ref="F117">_xlfn.XLOOKUP($B117, DB[samplingPoint], DB[building])</f>
        <v>Building 10</v>
      </c>
      <c r="G117" s="40" t="str">
        <f t="array" ref="G117">_xlfn.XLOOKUP($B117, DB[samplingPoint], DB[location])</f>
        <v>COATING ROOM-1</v>
      </c>
      <c r="H117" s="40" t="str">
        <f t="array" ref="H117">_xlfn.XLOOKUP($B117, DB[samplingPoint], DB[waterType])</f>
        <v>PW</v>
      </c>
      <c r="I117" s="60">
        <f t="shared" si="1"/>
        <v>45706</v>
      </c>
      <c r="J117" s="192">
        <f t="shared" si="2"/>
        <v>45709</v>
      </c>
      <c r="K117" s="32">
        <v>0.0</v>
      </c>
      <c r="L117" s="32">
        <v>0.0</v>
      </c>
      <c r="M117" s="32">
        <f t="shared" si="3"/>
        <v>0</v>
      </c>
      <c r="N117" s="32" t="s">
        <v>376</v>
      </c>
      <c r="O117" s="32">
        <v>100.0</v>
      </c>
      <c r="P117" s="50" t="str">
        <f t="shared" si="4"/>
        <v>PASSED</v>
      </c>
      <c r="Q117" s="50" t="str">
        <f t="shared" si="5"/>
        <v>10</v>
      </c>
    </row>
    <row r="118" ht="22.5" customHeight="1">
      <c r="A118" s="26">
        <v>45705.0</v>
      </c>
      <c r="B118" s="32" t="s">
        <v>541</v>
      </c>
      <c r="C118" s="191" t="str">
        <f t="array" ref="C118">_xlfn.XLOOKUP(B118, DB[samplingPoint], DB[samplingTag])</f>
        <v>SV116.08</v>
      </c>
      <c r="D118" s="33" t="s">
        <v>59</v>
      </c>
      <c r="E118" s="39" t="str">
        <f t="array" ref="E118">_xlfn.XLOOKUP($B118, DB[samplingPoint], DB[noLocation])</f>
        <v>10-3-067</v>
      </c>
      <c r="F118" s="40" t="str">
        <f t="array" ref="F118">_xlfn.XLOOKUP($B118, DB[samplingPoint], DB[building])</f>
        <v>Building 10</v>
      </c>
      <c r="G118" s="40" t="str">
        <f t="array" ref="G118">_xlfn.XLOOKUP($B118, DB[samplingPoint], DB[location])</f>
        <v>COATING ROOM-6</v>
      </c>
      <c r="H118" s="40" t="str">
        <f t="array" ref="H118">_xlfn.XLOOKUP($B118, DB[samplingPoint], DB[waterType])</f>
        <v>PW</v>
      </c>
      <c r="I118" s="60">
        <f t="shared" si="1"/>
        <v>45706</v>
      </c>
      <c r="J118" s="192">
        <f t="shared" si="2"/>
        <v>45709</v>
      </c>
      <c r="K118" s="32">
        <v>0.0</v>
      </c>
      <c r="L118" s="32">
        <v>0.0</v>
      </c>
      <c r="M118" s="32">
        <f t="shared" si="3"/>
        <v>0</v>
      </c>
      <c r="N118" s="32" t="s">
        <v>376</v>
      </c>
      <c r="O118" s="32">
        <v>100.0</v>
      </c>
      <c r="P118" s="50" t="str">
        <f t="shared" si="4"/>
        <v>PASSED</v>
      </c>
      <c r="Q118" s="50" t="str">
        <f t="shared" si="5"/>
        <v>10</v>
      </c>
    </row>
    <row r="119" ht="22.5" customHeight="1">
      <c r="A119" s="26">
        <v>45705.0</v>
      </c>
      <c r="B119" s="32" t="s">
        <v>532</v>
      </c>
      <c r="C119" s="191" t="str">
        <f t="array" ref="C119">_xlfn.XLOOKUP(B119, DB[samplingPoint], DB[samplingTag])</f>
        <v>DV116.11</v>
      </c>
      <c r="D119" s="33" t="s">
        <v>59</v>
      </c>
      <c r="E119" s="39" t="str">
        <f t="array" ref="E119">_xlfn.XLOOKUP($B119, DB[samplingPoint], DB[noLocation])</f>
        <v>10-3-066</v>
      </c>
      <c r="F119" s="40" t="str">
        <f t="array" ref="F119">_xlfn.XLOOKUP($B119, DB[samplingPoint], DB[building])</f>
        <v>Building 10</v>
      </c>
      <c r="G119" s="40" t="str">
        <f t="array" ref="G119">_xlfn.XLOOKUP($B119, DB[samplingPoint], DB[location])</f>
        <v>COATING SOLUTION PREP.-4</v>
      </c>
      <c r="H119" s="40" t="str">
        <f t="array" ref="H119">_xlfn.XLOOKUP($B119, DB[samplingPoint], DB[waterType])</f>
        <v>PW</v>
      </c>
      <c r="I119" s="60">
        <f t="shared" si="1"/>
        <v>45706</v>
      </c>
      <c r="J119" s="192">
        <f t="shared" si="2"/>
        <v>45709</v>
      </c>
      <c r="K119" s="32">
        <v>0.0</v>
      </c>
      <c r="L119" s="32">
        <v>0.0</v>
      </c>
      <c r="M119" s="32">
        <f t="shared" si="3"/>
        <v>0</v>
      </c>
      <c r="N119" s="32" t="s">
        <v>376</v>
      </c>
      <c r="O119" s="32">
        <v>100.0</v>
      </c>
      <c r="P119" s="50" t="str">
        <f t="shared" si="4"/>
        <v>PASSED</v>
      </c>
      <c r="Q119" s="50" t="str">
        <f t="shared" si="5"/>
        <v>10</v>
      </c>
    </row>
    <row r="120" ht="22.5" customHeight="1">
      <c r="A120" s="26">
        <v>45705.0</v>
      </c>
      <c r="B120" s="32" t="s">
        <v>531</v>
      </c>
      <c r="C120" s="191" t="str">
        <f t="array" ref="C120">_xlfn.XLOOKUP(B120, DB[samplingPoint], DB[samplingTag])</f>
        <v>DV116.10</v>
      </c>
      <c r="D120" s="33" t="s">
        <v>59</v>
      </c>
      <c r="E120" s="39" t="str">
        <f t="array" ref="E120">_xlfn.XLOOKUP($B120, DB[samplingPoint], DB[noLocation])</f>
        <v>10-3-065</v>
      </c>
      <c r="F120" s="40" t="str">
        <f t="array" ref="F120">_xlfn.XLOOKUP($B120, DB[samplingPoint], DB[building])</f>
        <v>Building 10</v>
      </c>
      <c r="G120" s="40" t="str">
        <f t="array" ref="G120">_xlfn.XLOOKUP($B120, DB[samplingPoint], DB[location])</f>
        <v>COATING SOLUTION PREP.-3</v>
      </c>
      <c r="H120" s="40" t="str">
        <f t="array" ref="H120">_xlfn.XLOOKUP($B120, DB[samplingPoint], DB[waterType])</f>
        <v>PW</v>
      </c>
      <c r="I120" s="60">
        <f t="shared" si="1"/>
        <v>45706</v>
      </c>
      <c r="J120" s="192">
        <f t="shared" si="2"/>
        <v>45709</v>
      </c>
      <c r="K120" s="32">
        <v>0.0</v>
      </c>
      <c r="L120" s="32">
        <v>0.0</v>
      </c>
      <c r="M120" s="32">
        <f t="shared" si="3"/>
        <v>0</v>
      </c>
      <c r="N120" s="32" t="s">
        <v>376</v>
      </c>
      <c r="O120" s="32">
        <v>100.0</v>
      </c>
      <c r="P120" s="50" t="str">
        <f t="shared" si="4"/>
        <v>PASSED</v>
      </c>
      <c r="Q120" s="50" t="str">
        <f t="shared" si="5"/>
        <v>10</v>
      </c>
    </row>
    <row r="121" ht="22.5" customHeight="1">
      <c r="A121" s="26">
        <v>45705.0</v>
      </c>
      <c r="B121" s="32" t="s">
        <v>539</v>
      </c>
      <c r="C121" s="191" t="str">
        <f t="array" ref="C121">_xlfn.XLOOKUP(B121, DB[samplingPoint], DB[samplingTag])</f>
        <v>SV116.07</v>
      </c>
      <c r="D121" s="33" t="s">
        <v>59</v>
      </c>
      <c r="E121" s="39" t="str">
        <f t="array" ref="E121">_xlfn.XLOOKUP($B121, DB[samplingPoint], DB[noLocation])</f>
        <v>10-3-064</v>
      </c>
      <c r="F121" s="40" t="str">
        <f t="array" ref="F121">_xlfn.XLOOKUP($B121, DB[samplingPoint], DB[building])</f>
        <v>Building 10</v>
      </c>
      <c r="G121" s="40" t="str">
        <f t="array" ref="G121">_xlfn.XLOOKUP($B121, DB[samplingPoint], DB[location])</f>
        <v>COATING ROOM-5</v>
      </c>
      <c r="H121" s="40" t="str">
        <f t="array" ref="H121">_xlfn.XLOOKUP($B121, DB[samplingPoint], DB[waterType])</f>
        <v>PW</v>
      </c>
      <c r="I121" s="60">
        <f t="shared" si="1"/>
        <v>45706</v>
      </c>
      <c r="J121" s="192">
        <f t="shared" si="2"/>
        <v>45709</v>
      </c>
      <c r="K121" s="32">
        <v>0.0</v>
      </c>
      <c r="L121" s="32">
        <v>0.0</v>
      </c>
      <c r="M121" s="32">
        <f t="shared" si="3"/>
        <v>0</v>
      </c>
      <c r="N121" s="32" t="s">
        <v>376</v>
      </c>
      <c r="O121" s="32">
        <v>100.0</v>
      </c>
      <c r="P121" s="50" t="str">
        <f t="shared" si="4"/>
        <v>PASSED</v>
      </c>
      <c r="Q121" s="50" t="str">
        <f t="shared" si="5"/>
        <v>10</v>
      </c>
    </row>
    <row r="122" ht="22.5" customHeight="1">
      <c r="A122" s="26">
        <v>45705.0</v>
      </c>
      <c r="B122" s="32" t="s">
        <v>538</v>
      </c>
      <c r="C122" s="191" t="str">
        <f t="array" ref="C122">_xlfn.XLOOKUP(B122, DB[samplingPoint], DB[samplingTag])</f>
        <v>SV116.06</v>
      </c>
      <c r="D122" s="33" t="s">
        <v>59</v>
      </c>
      <c r="E122" s="39" t="str">
        <f t="array" ref="E122">_xlfn.XLOOKUP($B122, DB[samplingPoint], DB[noLocation])</f>
        <v>10-3-063</v>
      </c>
      <c r="F122" s="40" t="str">
        <f t="array" ref="F122">_xlfn.XLOOKUP($B122, DB[samplingPoint], DB[building])</f>
        <v>Building 10</v>
      </c>
      <c r="G122" s="40" t="str">
        <f t="array" ref="G122">_xlfn.XLOOKUP($B122, DB[samplingPoint], DB[location])</f>
        <v>COATING ROOM-4</v>
      </c>
      <c r="H122" s="40" t="str">
        <f t="array" ref="H122">_xlfn.XLOOKUP($B122, DB[samplingPoint], DB[waterType])</f>
        <v>PW</v>
      </c>
      <c r="I122" s="60">
        <f t="shared" si="1"/>
        <v>45706</v>
      </c>
      <c r="J122" s="192">
        <f t="shared" si="2"/>
        <v>45709</v>
      </c>
      <c r="K122" s="32">
        <v>0.0</v>
      </c>
      <c r="L122" s="32">
        <v>0.0</v>
      </c>
      <c r="M122" s="32">
        <f t="shared" si="3"/>
        <v>0</v>
      </c>
      <c r="N122" s="32" t="s">
        <v>376</v>
      </c>
      <c r="O122" s="32">
        <v>100.0</v>
      </c>
      <c r="P122" s="50" t="str">
        <f t="shared" si="4"/>
        <v>PASSED</v>
      </c>
      <c r="Q122" s="50" t="str">
        <f t="shared" si="5"/>
        <v>10</v>
      </c>
    </row>
    <row r="123" ht="22.5" customHeight="1">
      <c r="A123" s="26">
        <v>45705.0</v>
      </c>
      <c r="B123" s="32" t="s">
        <v>520</v>
      </c>
      <c r="C123" s="191" t="str">
        <f t="array" ref="C123">_xlfn.XLOOKUP(B123, DB[samplingPoint], DB[samplingTag])</f>
        <v>DV116.03</v>
      </c>
      <c r="D123" s="33" t="s">
        <v>59</v>
      </c>
      <c r="E123" s="39" t="str">
        <f t="array" ref="E123">_xlfn.XLOOKUP($B123, DB[samplingPoint], DB[noLocation])</f>
        <v>10-2-034</v>
      </c>
      <c r="F123" s="40" t="str">
        <f t="array" ref="F123">_xlfn.XLOOKUP($B123, DB[samplingPoint], DB[building])</f>
        <v>Building 10</v>
      </c>
      <c r="G123" s="40" t="str">
        <f t="array" ref="G123">_xlfn.XLOOKUP($B123, DB[samplingPoint], DB[location])</f>
        <v>SAMPLE PREPARATION</v>
      </c>
      <c r="H123" s="40" t="str">
        <f t="array" ref="H123">_xlfn.XLOOKUP($B123, DB[samplingPoint], DB[waterType])</f>
        <v>PW</v>
      </c>
      <c r="I123" s="60">
        <f t="shared" si="1"/>
        <v>45706</v>
      </c>
      <c r="J123" s="192">
        <f t="shared" si="2"/>
        <v>45709</v>
      </c>
      <c r="K123" s="32">
        <v>0.0</v>
      </c>
      <c r="L123" s="32">
        <v>0.0</v>
      </c>
      <c r="M123" s="32">
        <f t="shared" si="3"/>
        <v>0</v>
      </c>
      <c r="N123" s="32" t="s">
        <v>376</v>
      </c>
      <c r="O123" s="32">
        <v>100.0</v>
      </c>
      <c r="P123" s="50" t="str">
        <f t="shared" si="4"/>
        <v>PASSED</v>
      </c>
      <c r="Q123" s="50" t="str">
        <f t="shared" si="5"/>
        <v>10</v>
      </c>
    </row>
    <row r="124" ht="22.5" customHeight="1">
      <c r="A124" s="26">
        <v>45705.0</v>
      </c>
      <c r="B124" s="32" t="s">
        <v>526</v>
      </c>
      <c r="C124" s="191" t="str">
        <f t="array" ref="C124">_xlfn.XLOOKUP(B124, DB[samplingPoint], DB[samplingTag])</f>
        <v>DV116.06</v>
      </c>
      <c r="D124" s="33" t="s">
        <v>59</v>
      </c>
      <c r="E124" s="39" t="str">
        <f t="array" ref="E124">_xlfn.XLOOKUP($B124, DB[samplingPoint], DB[noLocation])</f>
        <v>10-2-034</v>
      </c>
      <c r="F124" s="40" t="str">
        <f t="array" ref="F124">_xlfn.XLOOKUP($B124, DB[samplingPoint], DB[building])</f>
        <v>Building 10</v>
      </c>
      <c r="G124" s="40" t="str">
        <f t="array" ref="G124">_xlfn.XLOOKUP($B124, DB[samplingPoint], DB[location])</f>
        <v>SAMPLE PREPARATION</v>
      </c>
      <c r="H124" s="40" t="str">
        <f t="array" ref="H124">_xlfn.XLOOKUP($B124, DB[samplingPoint], DB[waterType])</f>
        <v>PW</v>
      </c>
      <c r="I124" s="60">
        <f t="shared" si="1"/>
        <v>45706</v>
      </c>
      <c r="J124" s="192">
        <f t="shared" si="2"/>
        <v>45709</v>
      </c>
      <c r="K124" s="32">
        <v>0.0</v>
      </c>
      <c r="L124" s="32">
        <v>0.0</v>
      </c>
      <c r="M124" s="32">
        <f t="shared" si="3"/>
        <v>0</v>
      </c>
      <c r="N124" s="32" t="s">
        <v>376</v>
      </c>
      <c r="O124" s="32">
        <v>100.0</v>
      </c>
      <c r="P124" s="50" t="str">
        <f t="shared" si="4"/>
        <v>PASSED</v>
      </c>
      <c r="Q124" s="50" t="str">
        <f t="shared" si="5"/>
        <v>10</v>
      </c>
    </row>
    <row r="125" ht="22.5" customHeight="1">
      <c r="A125" s="26">
        <v>45705.0</v>
      </c>
      <c r="B125" s="32" t="s">
        <v>527</v>
      </c>
      <c r="C125" s="191" t="str">
        <f t="array" ref="C125">_xlfn.XLOOKUP(B125, DB[samplingPoint], DB[samplingTag])</f>
        <v>DV116.07</v>
      </c>
      <c r="D125" s="33" t="s">
        <v>59</v>
      </c>
      <c r="E125" s="39" t="str">
        <f t="array" ref="E125">_xlfn.XLOOKUP($B125, DB[samplingPoint], DB[noLocation])</f>
        <v>10-2-032</v>
      </c>
      <c r="F125" s="40" t="str">
        <f t="array" ref="F125">_xlfn.XLOOKUP($B125, DB[samplingPoint], DB[building])</f>
        <v>Building 10</v>
      </c>
      <c r="G125" s="40" t="str">
        <f t="array" ref="G125">_xlfn.XLOOKUP($B125, DB[samplingPoint], DB[location])</f>
        <v>GLASS-WARE WASHING</v>
      </c>
      <c r="H125" s="40" t="str">
        <f t="array" ref="H125">_xlfn.XLOOKUP($B125, DB[samplingPoint], DB[waterType])</f>
        <v>PW</v>
      </c>
      <c r="I125" s="60">
        <f t="shared" si="1"/>
        <v>45706</v>
      </c>
      <c r="J125" s="192">
        <f t="shared" si="2"/>
        <v>45709</v>
      </c>
      <c r="K125" s="32">
        <v>0.0</v>
      </c>
      <c r="L125" s="32">
        <v>0.0</v>
      </c>
      <c r="M125" s="32">
        <f t="shared" si="3"/>
        <v>0</v>
      </c>
      <c r="N125" s="32" t="s">
        <v>376</v>
      </c>
      <c r="O125" s="32">
        <v>100.0</v>
      </c>
      <c r="P125" s="50" t="str">
        <f t="shared" si="4"/>
        <v>PASSED</v>
      </c>
      <c r="Q125" s="50" t="str">
        <f t="shared" si="5"/>
        <v>10</v>
      </c>
    </row>
    <row r="126" ht="22.5" customHeight="1">
      <c r="A126" s="26">
        <v>45705.0</v>
      </c>
      <c r="B126" s="32" t="s">
        <v>524</v>
      </c>
      <c r="C126" s="191" t="str">
        <f t="array" ref="C126">_xlfn.XLOOKUP(B126, DB[samplingPoint], DB[samplingTag])</f>
        <v>DV116.05</v>
      </c>
      <c r="D126" s="33" t="s">
        <v>59</v>
      </c>
      <c r="E126" s="39" t="str">
        <f t="array" ref="E126">_xlfn.XLOOKUP($B126, DB[samplingPoint], DB[noLocation])</f>
        <v>10-2-032</v>
      </c>
      <c r="F126" s="40" t="str">
        <f t="array" ref="F126">_xlfn.XLOOKUP($B126, DB[samplingPoint], DB[building])</f>
        <v>Building 10</v>
      </c>
      <c r="G126" s="40" t="str">
        <f t="array" ref="G126">_xlfn.XLOOKUP($B126, DB[samplingPoint], DB[location])</f>
        <v>GLASS-WARE WASHING</v>
      </c>
      <c r="H126" s="40" t="str">
        <f t="array" ref="H126">_xlfn.XLOOKUP($B126, DB[samplingPoint], DB[waterType])</f>
        <v>PW</v>
      </c>
      <c r="I126" s="60">
        <f t="shared" si="1"/>
        <v>45706</v>
      </c>
      <c r="J126" s="192">
        <f t="shared" si="2"/>
        <v>45709</v>
      </c>
      <c r="K126" s="32">
        <v>0.0</v>
      </c>
      <c r="L126" s="32">
        <v>0.0</v>
      </c>
      <c r="M126" s="32">
        <f t="shared" si="3"/>
        <v>0</v>
      </c>
      <c r="N126" s="32" t="s">
        <v>376</v>
      </c>
      <c r="O126" s="32">
        <v>100.0</v>
      </c>
      <c r="P126" s="50" t="str">
        <f t="shared" si="4"/>
        <v>PASSED</v>
      </c>
      <c r="Q126" s="50" t="str">
        <f t="shared" si="5"/>
        <v>10</v>
      </c>
    </row>
    <row r="127" ht="22.5" customHeight="1">
      <c r="A127" s="26">
        <v>45705.0</v>
      </c>
      <c r="B127" s="32" t="s">
        <v>522</v>
      </c>
      <c r="C127" s="191" t="str">
        <f t="array" ref="C127">_xlfn.XLOOKUP(B127, DB[samplingPoint], DB[samplingTag])</f>
        <v>DV116.04</v>
      </c>
      <c r="D127" s="33" t="s">
        <v>59</v>
      </c>
      <c r="E127" s="39" t="str">
        <f t="array" ref="E127">_xlfn.XLOOKUP($B127, DB[samplingPoint], DB[noLocation])</f>
        <v>10-2-037</v>
      </c>
      <c r="F127" s="40" t="str">
        <f t="array" ref="F127">_xlfn.XLOOKUP($B127, DB[samplingPoint], DB[building])</f>
        <v>Building 10</v>
      </c>
      <c r="G127" s="40" t="str">
        <f t="array" ref="G127">_xlfn.XLOOKUP($B127, DB[samplingPoint], DB[location])</f>
        <v>SKID FOR BIN WASHING-1</v>
      </c>
      <c r="H127" s="40" t="str">
        <f t="array" ref="H127">_xlfn.XLOOKUP($B127, DB[samplingPoint], DB[waterType])</f>
        <v>PW</v>
      </c>
      <c r="I127" s="60">
        <f t="shared" si="1"/>
        <v>45706</v>
      </c>
      <c r="J127" s="192">
        <f t="shared" si="2"/>
        <v>45709</v>
      </c>
      <c r="K127" s="32">
        <v>0.0</v>
      </c>
      <c r="L127" s="32">
        <v>0.0</v>
      </c>
      <c r="M127" s="32">
        <f t="shared" si="3"/>
        <v>0</v>
      </c>
      <c r="N127" s="32" t="s">
        <v>376</v>
      </c>
      <c r="O127" s="32">
        <v>100.0</v>
      </c>
      <c r="P127" s="50" t="str">
        <f t="shared" si="4"/>
        <v>PASSED</v>
      </c>
      <c r="Q127" s="50" t="str">
        <f t="shared" si="5"/>
        <v>10</v>
      </c>
    </row>
    <row r="128" ht="22.5" customHeight="1">
      <c r="A128" s="26">
        <v>45705.0</v>
      </c>
      <c r="B128" s="32" t="s">
        <v>431</v>
      </c>
      <c r="C128" s="191" t="str">
        <f t="array" ref="C128">_xlfn.XLOOKUP(B128, DB[samplingPoint], DB[samplingTag])</f>
        <v>SV-14</v>
      </c>
      <c r="D128" s="33" t="s">
        <v>59</v>
      </c>
      <c r="E128" s="39" t="str">
        <f t="array" ref="E128">_xlfn.XLOOKUP($B128, DB[samplingPoint], DB[noLocation])</f>
        <v>PROCESS WATER (B19)</v>
      </c>
      <c r="F128" s="40" t="str">
        <f t="array" ref="F128">_xlfn.XLOOKUP($B128, DB[samplingPoint], DB[building])</f>
        <v>Building 19</v>
      </c>
      <c r="G128" s="40" t="str">
        <f t="array" ref="G128">_xlfn.XLOOKUP($B128, DB[samplingPoint], DB[location])</f>
        <v>AFTER RO SYSTEM NO.12 SV14</v>
      </c>
      <c r="H128" s="40" t="str">
        <f t="array" ref="H128">_xlfn.XLOOKUP($B128, DB[samplingPoint], DB[waterType])</f>
        <v>PRW</v>
      </c>
      <c r="I128" s="60">
        <f t="shared" si="1"/>
        <v>45706</v>
      </c>
      <c r="J128" s="192">
        <f t="shared" si="2"/>
        <v>45709</v>
      </c>
      <c r="K128" s="32">
        <v>1.0</v>
      </c>
      <c r="L128" s="32">
        <v>0.0</v>
      </c>
      <c r="M128" s="32">
        <f t="shared" si="3"/>
        <v>1</v>
      </c>
      <c r="N128" s="32" t="s">
        <v>376</v>
      </c>
      <c r="O128" s="32">
        <v>500.0</v>
      </c>
      <c r="P128" s="50" t="str">
        <f t="shared" si="4"/>
        <v>PASSED</v>
      </c>
      <c r="Q128" s="50" t="str">
        <f t="shared" si="5"/>
        <v>PR</v>
      </c>
    </row>
    <row r="129" ht="22.5" customHeight="1">
      <c r="A129" s="26">
        <v>45705.0</v>
      </c>
      <c r="B129" s="32" t="s">
        <v>498</v>
      </c>
      <c r="C129" s="191" t="str">
        <f t="array" ref="C129">_xlfn.XLOOKUP(B129, DB[samplingPoint], DB[samplingTag])</f>
        <v>SV116.02</v>
      </c>
      <c r="D129" s="33" t="s">
        <v>59</v>
      </c>
      <c r="E129" s="39" t="str">
        <f t="array" ref="E129">_xlfn.XLOOKUP($B129, DB[samplingPoint], DB[noLocation])</f>
        <v>10-2-037</v>
      </c>
      <c r="F129" s="40" t="str">
        <f t="array" ref="F129">_xlfn.XLOOKUP($B129, DB[samplingPoint], DB[building])</f>
        <v>Building 10</v>
      </c>
      <c r="G129" s="40" t="str">
        <f t="array" ref="G129">_xlfn.XLOOKUP($B129, DB[samplingPoint], DB[location])</f>
        <v>SKID FOR BIN WASHING-2</v>
      </c>
      <c r="H129" s="40" t="str">
        <f t="array" ref="H129">_xlfn.XLOOKUP($B129, DB[samplingPoint], DB[waterType])</f>
        <v>PW</v>
      </c>
      <c r="I129" s="60">
        <f t="shared" si="1"/>
        <v>45706</v>
      </c>
      <c r="J129" s="192">
        <f t="shared" si="2"/>
        <v>45709</v>
      </c>
      <c r="K129" s="32">
        <v>0.0</v>
      </c>
      <c r="L129" s="32">
        <v>0.0</v>
      </c>
      <c r="M129" s="32">
        <f t="shared" si="3"/>
        <v>0</v>
      </c>
      <c r="N129" s="32" t="s">
        <v>983</v>
      </c>
      <c r="O129" s="32">
        <v>100.0</v>
      </c>
      <c r="P129" s="50" t="str">
        <f t="shared" si="4"/>
        <v>PASSED</v>
      </c>
      <c r="Q129" s="50" t="str">
        <f t="shared" si="5"/>
        <v>10</v>
      </c>
    </row>
    <row r="130" ht="22.5" customHeight="1">
      <c r="A130" s="26">
        <v>45705.0</v>
      </c>
      <c r="B130" s="32" t="s">
        <v>498</v>
      </c>
      <c r="C130" s="191" t="str">
        <f t="array" ref="C130">_xlfn.XLOOKUP(B130, DB[samplingPoint], DB[samplingTag])</f>
        <v>SV116.02</v>
      </c>
      <c r="D130" s="33" t="s">
        <v>59</v>
      </c>
      <c r="E130" s="39" t="str">
        <f t="array" ref="E130">_xlfn.XLOOKUP($B130, DB[samplingPoint], DB[noLocation])</f>
        <v>10-2-037</v>
      </c>
      <c r="F130" s="40" t="str">
        <f t="array" ref="F130">_xlfn.XLOOKUP($B130, DB[samplingPoint], DB[building])</f>
        <v>Building 10</v>
      </c>
      <c r="G130" s="40" t="str">
        <f t="array" ref="G130">_xlfn.XLOOKUP($B130, DB[samplingPoint], DB[location])</f>
        <v>SKID FOR BIN WASHING-2</v>
      </c>
      <c r="H130" s="40" t="str">
        <f t="array" ref="H130">_xlfn.XLOOKUP($B130, DB[samplingPoint], DB[waterType])</f>
        <v>PW</v>
      </c>
      <c r="I130" s="60">
        <f t="shared" si="1"/>
        <v>45706</v>
      </c>
      <c r="J130" s="192">
        <f t="shared" si="2"/>
        <v>45709</v>
      </c>
      <c r="K130" s="32">
        <v>0.0</v>
      </c>
      <c r="L130" s="32">
        <v>0.0</v>
      </c>
      <c r="M130" s="32">
        <f t="shared" si="3"/>
        <v>0</v>
      </c>
      <c r="N130" s="32" t="s">
        <v>982</v>
      </c>
      <c r="O130" s="32">
        <v>100.0</v>
      </c>
      <c r="P130" s="50" t="str">
        <f t="shared" si="4"/>
        <v>PASSED</v>
      </c>
      <c r="Q130" s="50" t="str">
        <f t="shared" si="5"/>
        <v>10</v>
      </c>
    </row>
    <row r="131" ht="22.5" customHeight="1">
      <c r="A131" s="26">
        <v>45705.0</v>
      </c>
      <c r="B131" s="32" t="s">
        <v>366</v>
      </c>
      <c r="C131" s="191" t="str">
        <f t="array" ref="C131">_xlfn.XLOOKUP(B131, DB[samplingPoint], DB[samplingTag])</f>
        <v>V50-61(10)</v>
      </c>
      <c r="D131" s="33" t="s">
        <v>59</v>
      </c>
      <c r="E131" s="39" t="str">
        <f t="array" ref="E131">_xlfn.XLOOKUP($B131, DB[samplingPoint], DB[noLocation])</f>
        <v>WATER SYSTEM (B10)</v>
      </c>
      <c r="F131" s="40" t="str">
        <f t="array" ref="F131">_xlfn.XLOOKUP($B131, DB[samplingPoint], DB[building])</f>
        <v>Building 10</v>
      </c>
      <c r="G131" s="40" t="str">
        <f t="array" ref="G131">_xlfn.XLOOKUP($B131, DB[samplingPoint], DB[location])</f>
        <v>After Cartridge filter 5 µm (B10)</v>
      </c>
      <c r="H131" s="40" t="str">
        <f t="array" ref="H131">_xlfn.XLOOKUP($B131, DB[samplingPoint], DB[waterType])</f>
        <v>PRW</v>
      </c>
      <c r="I131" s="60">
        <f t="shared" si="1"/>
        <v>45706</v>
      </c>
      <c r="J131" s="192">
        <f t="shared" si="2"/>
        <v>45709</v>
      </c>
      <c r="K131" s="32">
        <v>47.0</v>
      </c>
      <c r="L131" s="32">
        <v>67.0</v>
      </c>
      <c r="M131" s="32">
        <f t="shared" si="3"/>
        <v>57</v>
      </c>
      <c r="N131" s="32" t="s">
        <v>376</v>
      </c>
      <c r="O131" s="32">
        <v>500.0</v>
      </c>
      <c r="P131" s="50" t="str">
        <f t="shared" si="4"/>
        <v>PASSED</v>
      </c>
      <c r="Q131" s="50" t="str">
        <f t="shared" si="5"/>
        <v>WA</v>
      </c>
    </row>
    <row r="132" ht="22.5" customHeight="1">
      <c r="A132" s="26">
        <v>45705.0</v>
      </c>
      <c r="B132" s="32" t="s">
        <v>368</v>
      </c>
      <c r="C132" s="191" t="str">
        <f t="array" ref="C132">_xlfn.XLOOKUP(B132, DB[samplingPoint], DB[samplingTag])</f>
        <v>V50-11C(10)</v>
      </c>
      <c r="D132" s="33" t="s">
        <v>59</v>
      </c>
      <c r="E132" s="39" t="str">
        <f t="array" ref="E132">_xlfn.XLOOKUP($B132, DB[samplingPoint], DB[noLocation])</f>
        <v>WATER SYSTEM (B10)</v>
      </c>
      <c r="F132" s="40" t="str">
        <f t="array" ref="F132">_xlfn.XLOOKUP($B132, DB[samplingPoint], DB[building])</f>
        <v>Building 10</v>
      </c>
      <c r="G132" s="40" t="str">
        <f t="array" ref="G132">_xlfn.XLOOKUP($B132, DB[samplingPoint], DB[location])</f>
        <v>After RO (Before EDI) (B10)</v>
      </c>
      <c r="H132" s="40" t="str">
        <f t="array" ref="H132">_xlfn.XLOOKUP($B132, DB[samplingPoint], DB[waterType])</f>
        <v>RO water</v>
      </c>
      <c r="I132" s="60">
        <f t="shared" si="1"/>
        <v>45706</v>
      </c>
      <c r="J132" s="192">
        <f t="shared" si="2"/>
        <v>45709</v>
      </c>
      <c r="K132" s="32">
        <v>0.0</v>
      </c>
      <c r="L132" s="32">
        <v>0.0</v>
      </c>
      <c r="M132" s="32">
        <f t="shared" si="3"/>
        <v>0</v>
      </c>
      <c r="N132" s="32" t="s">
        <v>376</v>
      </c>
      <c r="O132" s="32">
        <v>500.0</v>
      </c>
      <c r="P132" s="50" t="str">
        <f t="shared" si="4"/>
        <v>PASSED</v>
      </c>
      <c r="Q132" s="50" t="str">
        <f t="shared" si="5"/>
        <v>WA</v>
      </c>
    </row>
    <row r="133" ht="22.5" customHeight="1">
      <c r="A133" s="26">
        <v>45705.0</v>
      </c>
      <c r="B133" s="32" t="s">
        <v>374</v>
      </c>
      <c r="C133" s="191" t="str">
        <f t="array" ref="C133">_xlfn.XLOOKUP(B133, DB[samplingPoint], DB[samplingTag])</f>
        <v>V50-39(10)</v>
      </c>
      <c r="D133" s="33" t="s">
        <v>59</v>
      </c>
      <c r="E133" s="39" t="str">
        <f t="array" ref="E133">_xlfn.XLOOKUP($B133, DB[samplingPoint], DB[noLocation])</f>
        <v>WATER SYSTEM (B10)</v>
      </c>
      <c r="F133" s="40" t="str">
        <f t="array" ref="F133">_xlfn.XLOOKUP($B133, DB[samplingPoint], DB[building])</f>
        <v>Building 10</v>
      </c>
      <c r="G133" s="40" t="str">
        <f t="array" ref="G133">_xlfn.XLOOKUP($B133, DB[samplingPoint], DB[location])</f>
        <v>After EDI (B10)</v>
      </c>
      <c r="H133" s="40" t="str">
        <f t="array" ref="H133">_xlfn.XLOOKUP($B133, DB[samplingPoint], DB[waterType])</f>
        <v>PW</v>
      </c>
      <c r="I133" s="60">
        <f t="shared" si="1"/>
        <v>45706</v>
      </c>
      <c r="J133" s="192">
        <f t="shared" si="2"/>
        <v>45709</v>
      </c>
      <c r="K133" s="32">
        <v>0.0</v>
      </c>
      <c r="L133" s="32">
        <v>0.0</v>
      </c>
      <c r="M133" s="32">
        <f t="shared" si="3"/>
        <v>0</v>
      </c>
      <c r="N133" s="32" t="s">
        <v>376</v>
      </c>
      <c r="O133" s="32">
        <v>100.0</v>
      </c>
      <c r="P133" s="50" t="str">
        <f t="shared" si="4"/>
        <v>PASSED</v>
      </c>
      <c r="Q133" s="50" t="str">
        <f t="shared" si="5"/>
        <v>WA</v>
      </c>
    </row>
    <row r="134" ht="22.5" customHeight="1">
      <c r="A134" s="26">
        <v>45716.0</v>
      </c>
      <c r="B134" s="32" t="s">
        <v>579</v>
      </c>
      <c r="C134" s="39" t="str">
        <f t="array" ref="C134">_xlfn.XLOOKUP(B134, DB[samplingPoint], DB[samplingTag])</f>
        <v>V50-60(10)</v>
      </c>
      <c r="D134" s="33" t="s">
        <v>59</v>
      </c>
      <c r="E134" s="39" t="str">
        <f t="array" ref="E134">_xlfn.XLOOKUP($B134, DB[samplingPoint], DB[noLocation])</f>
        <v>WATER SYSTEM (B10)</v>
      </c>
      <c r="F134" s="40" t="str">
        <f t="array" ref="F134">_xlfn.XLOOKUP($B134, DB[samplingPoint], DB[building])</f>
        <v>Building 10</v>
      </c>
      <c r="G134" s="40" t="str">
        <f t="array" ref="G134">_xlfn.XLOOKUP($B134, DB[samplingPoint], DB[location])</f>
        <v>Before Cartridge filter 5 µm (B10)</v>
      </c>
      <c r="H134" s="40" t="str">
        <f t="array" ref="H134">_xlfn.XLOOKUP($B134, DB[samplingPoint], DB[waterType])</f>
        <v>PRW</v>
      </c>
      <c r="I134" s="60">
        <f t="shared" si="1"/>
        <v>45717</v>
      </c>
      <c r="J134" s="192">
        <f t="shared" si="2"/>
        <v>45720</v>
      </c>
      <c r="K134" s="32">
        <v>1.0</v>
      </c>
      <c r="L134" s="32">
        <v>1.0</v>
      </c>
      <c r="M134" s="32">
        <f t="shared" si="3"/>
        <v>1</v>
      </c>
      <c r="N134" s="32" t="s">
        <v>376</v>
      </c>
      <c r="O134" s="32">
        <v>500.0</v>
      </c>
      <c r="P134" s="50" t="str">
        <f t="shared" si="4"/>
        <v>PASSED</v>
      </c>
      <c r="Q134" s="50" t="str">
        <f t="shared" si="5"/>
        <v>WA</v>
      </c>
    </row>
    <row r="135" ht="22.5" customHeight="1">
      <c r="A135" s="26">
        <v>45716.0</v>
      </c>
      <c r="B135" s="32" t="s">
        <v>366</v>
      </c>
      <c r="C135" s="191" t="str">
        <f t="array" ref="C135">_xlfn.XLOOKUP(B135, DB[samplingPoint], DB[samplingTag])</f>
        <v>V50-61(10)</v>
      </c>
      <c r="D135" s="33" t="s">
        <v>59</v>
      </c>
      <c r="E135" s="39" t="str">
        <f t="array" ref="E135">_xlfn.XLOOKUP($B135, DB[samplingPoint], DB[noLocation])</f>
        <v>WATER SYSTEM (B10)</v>
      </c>
      <c r="F135" s="40" t="str">
        <f t="array" ref="F135">_xlfn.XLOOKUP($B135, DB[samplingPoint], DB[building])</f>
        <v>Building 10</v>
      </c>
      <c r="G135" s="40" t="str">
        <f t="array" ref="G135">_xlfn.XLOOKUP($B135, DB[samplingPoint], DB[location])</f>
        <v>After Cartridge filter 5 µm (B10)</v>
      </c>
      <c r="H135" s="40" t="str">
        <f t="array" ref="H135">_xlfn.XLOOKUP($B135, DB[samplingPoint], DB[waterType])</f>
        <v>PRW</v>
      </c>
      <c r="I135" s="60">
        <f t="shared" si="1"/>
        <v>45717</v>
      </c>
      <c r="J135" s="192">
        <f t="shared" si="2"/>
        <v>45720</v>
      </c>
      <c r="K135" s="32">
        <v>115.0</v>
      </c>
      <c r="L135" s="32">
        <v>82.0</v>
      </c>
      <c r="M135" s="32">
        <f t="shared" si="3"/>
        <v>99</v>
      </c>
      <c r="N135" s="32" t="s">
        <v>376</v>
      </c>
      <c r="O135" s="32">
        <v>500.0</v>
      </c>
      <c r="P135" s="50" t="str">
        <f t="shared" si="4"/>
        <v>PASSED</v>
      </c>
      <c r="Q135" s="50" t="str">
        <f t="shared" si="5"/>
        <v>WA</v>
      </c>
    </row>
    <row r="136" ht="22.5" customHeight="1">
      <c r="A136" s="26">
        <v>45716.0</v>
      </c>
      <c r="B136" s="32" t="s">
        <v>502</v>
      </c>
      <c r="C136" s="191" t="str">
        <f t="array" ref="C136">_xlfn.XLOOKUP(B136, DB[samplingPoint], DB[samplingTag])</f>
        <v>DV116.26</v>
      </c>
      <c r="D136" s="33" t="s">
        <v>59</v>
      </c>
      <c r="E136" s="39" t="str">
        <f t="array" ref="E136">_xlfn.XLOOKUP($B136, DB[samplingPoint], DB[noLocation])</f>
        <v>10-4-015</v>
      </c>
      <c r="F136" s="40" t="str">
        <f t="array" ref="F136">_xlfn.XLOOKUP($B136, DB[samplingPoint], DB[building])</f>
        <v>Building 10</v>
      </c>
      <c r="G136" s="40" t="str">
        <f t="array" ref="G136">_xlfn.XLOOKUP($B136, DB[samplingPoint], DB[location])</f>
        <v>WATER SYSTEM ROOM</v>
      </c>
      <c r="H136" s="40" t="str">
        <f t="array" ref="H136">_xlfn.XLOOKUP($B136, DB[samplingPoint], DB[waterType])</f>
        <v>PW</v>
      </c>
      <c r="I136" s="60">
        <f t="shared" si="1"/>
        <v>45717</v>
      </c>
      <c r="J136" s="192">
        <f t="shared" si="2"/>
        <v>45720</v>
      </c>
      <c r="K136" s="32">
        <v>0.0</v>
      </c>
      <c r="L136" s="32">
        <v>0.0</v>
      </c>
      <c r="M136" s="32">
        <f t="shared" si="3"/>
        <v>0</v>
      </c>
      <c r="N136" s="32" t="s">
        <v>376</v>
      </c>
      <c r="O136" s="32">
        <v>100.0</v>
      </c>
      <c r="P136" s="50" t="str">
        <f t="shared" si="4"/>
        <v>PASSED</v>
      </c>
      <c r="Q136" s="50" t="str">
        <f t="shared" si="5"/>
        <v>10</v>
      </c>
    </row>
    <row r="137" ht="22.5" customHeight="1">
      <c r="A137" s="26">
        <v>45716.0</v>
      </c>
      <c r="B137" s="32" t="s">
        <v>491</v>
      </c>
      <c r="C137" s="191" t="str">
        <f t="array" ref="C137">_xlfn.XLOOKUP(B137, DB[samplingPoint], DB[samplingTag])</f>
        <v>SV116.15</v>
      </c>
      <c r="D137" s="33" t="s">
        <v>59</v>
      </c>
      <c r="E137" s="39" t="str">
        <f t="array" ref="E137">_xlfn.XLOOKUP($B137, DB[samplingPoint], DB[noLocation])</f>
        <v>10-4-012</v>
      </c>
      <c r="F137" s="40" t="str">
        <f t="array" ref="F137">_xlfn.XLOOKUP($B137, DB[samplingPoint], DB[building])</f>
        <v>Building 10</v>
      </c>
      <c r="G137" s="40" t="str">
        <f t="array" ref="G137">_xlfn.XLOOKUP($B137, DB[samplingPoint], DB[location])</f>
        <v>CIP SKID-1 FOR BIN WASHING-1</v>
      </c>
      <c r="H137" s="40" t="str">
        <f t="array" ref="H137">_xlfn.XLOOKUP($B137, DB[samplingPoint], DB[waterType])</f>
        <v>PW</v>
      </c>
      <c r="I137" s="60">
        <f t="shared" si="1"/>
        <v>45717</v>
      </c>
      <c r="J137" s="192">
        <f t="shared" si="2"/>
        <v>45720</v>
      </c>
      <c r="K137" s="32">
        <v>0.0</v>
      </c>
      <c r="L137" s="32">
        <v>0.0</v>
      </c>
      <c r="M137" s="32">
        <f t="shared" si="3"/>
        <v>0</v>
      </c>
      <c r="N137" s="32" t="s">
        <v>376</v>
      </c>
      <c r="O137" s="32">
        <v>100.0</v>
      </c>
      <c r="P137" s="50" t="str">
        <f t="shared" si="4"/>
        <v>PASSED</v>
      </c>
      <c r="Q137" s="50" t="str">
        <f t="shared" si="5"/>
        <v>10</v>
      </c>
    </row>
    <row r="138" ht="22.5" customHeight="1">
      <c r="A138" s="26">
        <v>45716.0</v>
      </c>
      <c r="B138" s="32" t="s">
        <v>493</v>
      </c>
      <c r="C138" s="191" t="str">
        <f t="array" ref="C138">_xlfn.XLOOKUP(B138, DB[samplingPoint], DB[samplingTag])</f>
        <v>SV116.16</v>
      </c>
      <c r="D138" s="33" t="s">
        <v>59</v>
      </c>
      <c r="E138" s="39" t="str">
        <f t="array" ref="E138">_xlfn.XLOOKUP($B138, DB[samplingPoint], DB[noLocation])</f>
        <v>10-4-012</v>
      </c>
      <c r="F138" s="40" t="str">
        <f t="array" ref="F138">_xlfn.XLOOKUP($B138, DB[samplingPoint], DB[building])</f>
        <v>Building 10</v>
      </c>
      <c r="G138" s="40" t="str">
        <f t="array" ref="G138">_xlfn.XLOOKUP($B138, DB[samplingPoint], DB[location])</f>
        <v>WIP SKID-3 FOR GRANULATION POTENT</v>
      </c>
      <c r="H138" s="40" t="str">
        <f t="array" ref="H138">_xlfn.XLOOKUP($B138, DB[samplingPoint], DB[waterType])</f>
        <v>PW</v>
      </c>
      <c r="I138" s="60">
        <f t="shared" si="1"/>
        <v>45717</v>
      </c>
      <c r="J138" s="192">
        <f t="shared" si="2"/>
        <v>45720</v>
      </c>
      <c r="K138" s="32">
        <v>0.0</v>
      </c>
      <c r="L138" s="32">
        <v>0.0</v>
      </c>
      <c r="M138" s="32">
        <f t="shared" si="3"/>
        <v>0</v>
      </c>
      <c r="N138" s="32" t="s">
        <v>376</v>
      </c>
      <c r="O138" s="32">
        <v>100.0</v>
      </c>
      <c r="P138" s="50" t="str">
        <f t="shared" si="4"/>
        <v>PASSED</v>
      </c>
      <c r="Q138" s="50" t="str">
        <f t="shared" si="5"/>
        <v>10</v>
      </c>
    </row>
    <row r="139" ht="22.5" customHeight="1">
      <c r="A139" s="26">
        <v>45716.0</v>
      </c>
      <c r="B139" s="32" t="s">
        <v>494</v>
      </c>
      <c r="C139" s="191" t="str">
        <f t="array" ref="C139">_xlfn.XLOOKUP(B139, DB[samplingPoint], DB[samplingTag])</f>
        <v>SV116.17</v>
      </c>
      <c r="D139" s="33" t="s">
        <v>59</v>
      </c>
      <c r="E139" s="39" t="str">
        <f t="array" ref="E139">_xlfn.XLOOKUP($B139, DB[samplingPoint], DB[noLocation])</f>
        <v>10-4-012</v>
      </c>
      <c r="F139" s="40" t="str">
        <f t="array" ref="F139">_xlfn.XLOOKUP($B139, DB[samplingPoint], DB[building])</f>
        <v>Building 10</v>
      </c>
      <c r="G139" s="40" t="str">
        <f t="array" ref="G139">_xlfn.XLOOKUP($B139, DB[samplingPoint], DB[location])</f>
        <v>CIP SKID-2 FOR BIN WASHING-1</v>
      </c>
      <c r="H139" s="40" t="str">
        <f t="array" ref="H139">_xlfn.XLOOKUP($B139, DB[samplingPoint], DB[waterType])</f>
        <v>PW</v>
      </c>
      <c r="I139" s="60">
        <f t="shared" si="1"/>
        <v>45717</v>
      </c>
      <c r="J139" s="192">
        <f t="shared" si="2"/>
        <v>45720</v>
      </c>
      <c r="K139" s="32">
        <v>0.0</v>
      </c>
      <c r="L139" s="32">
        <v>0.0</v>
      </c>
      <c r="M139" s="32">
        <f t="shared" si="3"/>
        <v>0</v>
      </c>
      <c r="N139" s="32" t="s">
        <v>376</v>
      </c>
      <c r="O139" s="32">
        <v>100.0</v>
      </c>
      <c r="P139" s="50" t="str">
        <f t="shared" si="4"/>
        <v>PASSED</v>
      </c>
      <c r="Q139" s="50" t="str">
        <f t="shared" si="5"/>
        <v>10</v>
      </c>
    </row>
    <row r="140" ht="22.5" customHeight="1">
      <c r="A140" s="26">
        <v>45716.0</v>
      </c>
      <c r="B140" s="32" t="s">
        <v>495</v>
      </c>
      <c r="C140" s="191" t="str">
        <f t="array" ref="C140">_xlfn.XLOOKUP(B140, DB[samplingPoint], DB[samplingTag])</f>
        <v>SV116.18</v>
      </c>
      <c r="D140" s="33" t="s">
        <v>59</v>
      </c>
      <c r="E140" s="39" t="str">
        <f t="array" ref="E140">_xlfn.XLOOKUP($B140, DB[samplingPoint], DB[noLocation])</f>
        <v>10-4-012</v>
      </c>
      <c r="F140" s="40" t="str">
        <f t="array" ref="F140">_xlfn.XLOOKUP($B140, DB[samplingPoint], DB[building])</f>
        <v>Building 10</v>
      </c>
      <c r="G140" s="40" t="str">
        <f t="array" ref="G140">_xlfn.XLOOKUP($B140, DB[samplingPoint], DB[location])</f>
        <v>WIP SKID-1 FOR GRANULATION NON POTENT</v>
      </c>
      <c r="H140" s="40" t="str">
        <f t="array" ref="H140">_xlfn.XLOOKUP($B140, DB[samplingPoint], DB[waterType])</f>
        <v>PW</v>
      </c>
      <c r="I140" s="60">
        <f t="shared" si="1"/>
        <v>45717</v>
      </c>
      <c r="J140" s="192">
        <f t="shared" si="2"/>
        <v>45720</v>
      </c>
      <c r="K140" s="32">
        <v>0.0</v>
      </c>
      <c r="L140" s="32">
        <v>0.0</v>
      </c>
      <c r="M140" s="32">
        <f t="shared" si="3"/>
        <v>0</v>
      </c>
      <c r="N140" s="32" t="s">
        <v>376</v>
      </c>
      <c r="O140" s="32">
        <v>100.0</v>
      </c>
      <c r="P140" s="50" t="str">
        <f t="shared" si="4"/>
        <v>PASSED</v>
      </c>
      <c r="Q140" s="50" t="str">
        <f t="shared" si="5"/>
        <v>10</v>
      </c>
    </row>
    <row r="141" ht="22.5" customHeight="1">
      <c r="A141" s="26">
        <v>45716.0</v>
      </c>
      <c r="B141" s="32" t="s">
        <v>496</v>
      </c>
      <c r="C141" s="191" t="str">
        <f t="array" ref="C141">_xlfn.XLOOKUP(B141, DB[samplingPoint], DB[samplingTag])</f>
        <v>SV116.19</v>
      </c>
      <c r="D141" s="33" t="s">
        <v>59</v>
      </c>
      <c r="E141" s="39" t="str">
        <f t="array" ref="E141">_xlfn.XLOOKUP($B141, DB[samplingPoint], DB[noLocation])</f>
        <v>10-4-012</v>
      </c>
      <c r="F141" s="40" t="str">
        <f t="array" ref="F141">_xlfn.XLOOKUP($B141, DB[samplingPoint], DB[building])</f>
        <v>Building 10</v>
      </c>
      <c r="G141" s="40" t="str">
        <f t="array" ref="G141">_xlfn.XLOOKUP($B141, DB[samplingPoint], DB[location])</f>
        <v>WIP SKID-2 FOR GRANULATION NON POTENT</v>
      </c>
      <c r="H141" s="40" t="str">
        <f t="array" ref="H141">_xlfn.XLOOKUP($B141, DB[samplingPoint], DB[waterType])</f>
        <v>PW</v>
      </c>
      <c r="I141" s="60">
        <f t="shared" si="1"/>
        <v>45717</v>
      </c>
      <c r="J141" s="192">
        <f t="shared" si="2"/>
        <v>45720</v>
      </c>
      <c r="K141" s="32">
        <v>0.0</v>
      </c>
      <c r="L141" s="32">
        <v>0.0</v>
      </c>
      <c r="M141" s="32">
        <f t="shared" si="3"/>
        <v>0</v>
      </c>
      <c r="N141" s="32" t="s">
        <v>376</v>
      </c>
      <c r="O141" s="32">
        <v>100.0</v>
      </c>
      <c r="P141" s="50" t="str">
        <f t="shared" si="4"/>
        <v>PASSED</v>
      </c>
      <c r="Q141" s="50" t="str">
        <f t="shared" si="5"/>
        <v>10</v>
      </c>
    </row>
    <row r="142" ht="22.5" customHeight="1">
      <c r="A142" s="26">
        <v>45716.0</v>
      </c>
      <c r="B142" s="32" t="s">
        <v>499</v>
      </c>
      <c r="C142" s="191" t="str">
        <f t="array" ref="C142">_xlfn.XLOOKUP(B142, DB[samplingPoint], DB[samplingTag])</f>
        <v>SV116.01</v>
      </c>
      <c r="D142" s="33" t="s">
        <v>59</v>
      </c>
      <c r="E142" s="39" t="str">
        <f t="array" ref="E142">_xlfn.XLOOKUP($B142, DB[samplingPoint], DB[noLocation])</f>
        <v>10-2-021</v>
      </c>
      <c r="F142" s="40" t="str">
        <f t="array" ref="F142">_xlfn.XLOOKUP($B142, DB[samplingPoint], DB[building])</f>
        <v>Building 10</v>
      </c>
      <c r="G142" s="40" t="str">
        <f t="array" ref="G142">_xlfn.XLOOKUP($B142, DB[samplingPoint], DB[location])</f>
        <v>INSTRUMENT-1</v>
      </c>
      <c r="H142" s="40" t="str">
        <f t="array" ref="H142">_xlfn.XLOOKUP($B142, DB[samplingPoint], DB[waterType])</f>
        <v>PW</v>
      </c>
      <c r="I142" s="60">
        <f t="shared" si="1"/>
        <v>45717</v>
      </c>
      <c r="J142" s="192">
        <f t="shared" si="2"/>
        <v>45720</v>
      </c>
      <c r="K142" s="32">
        <v>0.0</v>
      </c>
      <c r="L142" s="32">
        <v>0.0</v>
      </c>
      <c r="M142" s="32">
        <f t="shared" si="3"/>
        <v>0</v>
      </c>
      <c r="N142" s="32" t="s">
        <v>376</v>
      </c>
      <c r="O142" s="32">
        <v>100.0</v>
      </c>
      <c r="P142" s="50" t="str">
        <f t="shared" si="4"/>
        <v>PASSED</v>
      </c>
      <c r="Q142" s="50" t="str">
        <f t="shared" si="5"/>
        <v>10</v>
      </c>
    </row>
    <row r="143" ht="22.5" customHeight="1">
      <c r="A143" s="26">
        <v>45716.0</v>
      </c>
      <c r="B143" s="32" t="s">
        <v>498</v>
      </c>
      <c r="C143" s="191" t="str">
        <f t="array" ref="C143">_xlfn.XLOOKUP(B143, DB[samplingPoint], DB[samplingTag])</f>
        <v>SV116.02</v>
      </c>
      <c r="D143" s="33" t="s">
        <v>59</v>
      </c>
      <c r="E143" s="39" t="str">
        <f t="array" ref="E143">_xlfn.XLOOKUP($B143, DB[samplingPoint], DB[noLocation])</f>
        <v>10-2-037</v>
      </c>
      <c r="F143" s="40" t="str">
        <f t="array" ref="F143">_xlfn.XLOOKUP($B143, DB[samplingPoint], DB[building])</f>
        <v>Building 10</v>
      </c>
      <c r="G143" s="40" t="str">
        <f t="array" ref="G143">_xlfn.XLOOKUP($B143, DB[samplingPoint], DB[location])</f>
        <v>SKID FOR BIN WASHING-2</v>
      </c>
      <c r="H143" s="40" t="str">
        <f t="array" ref="H143">_xlfn.XLOOKUP($B143, DB[samplingPoint], DB[waterType])</f>
        <v>PW</v>
      </c>
      <c r="I143" s="60">
        <f t="shared" si="1"/>
        <v>45717</v>
      </c>
      <c r="J143" s="192">
        <f t="shared" si="2"/>
        <v>45720</v>
      </c>
      <c r="K143" s="32">
        <v>0.0</v>
      </c>
      <c r="L143" s="32">
        <v>0.0</v>
      </c>
      <c r="M143" s="32">
        <f t="shared" si="3"/>
        <v>0</v>
      </c>
      <c r="N143" s="32" t="s">
        <v>983</v>
      </c>
      <c r="O143" s="32">
        <v>100.0</v>
      </c>
      <c r="P143" s="50" t="str">
        <f t="shared" si="4"/>
        <v>PASSED</v>
      </c>
      <c r="Q143" s="50" t="str">
        <f t="shared" si="5"/>
        <v>10</v>
      </c>
    </row>
    <row r="144" ht="22.5" customHeight="1">
      <c r="A144" s="26">
        <v>45716.0</v>
      </c>
      <c r="B144" s="32" t="s">
        <v>498</v>
      </c>
      <c r="C144" s="191" t="str">
        <f t="array" ref="C144">_xlfn.XLOOKUP(B144, DB[samplingPoint], DB[samplingTag])</f>
        <v>SV116.02</v>
      </c>
      <c r="D144" s="33" t="s">
        <v>59</v>
      </c>
      <c r="E144" s="39" t="str">
        <f t="array" ref="E144">_xlfn.XLOOKUP($B144, DB[samplingPoint], DB[noLocation])</f>
        <v>10-2-037</v>
      </c>
      <c r="F144" s="40" t="str">
        <f t="array" ref="F144">_xlfn.XLOOKUP($B144, DB[samplingPoint], DB[building])</f>
        <v>Building 10</v>
      </c>
      <c r="G144" s="40" t="str">
        <f t="array" ref="G144">_xlfn.XLOOKUP($B144, DB[samplingPoint], DB[location])</f>
        <v>SKID FOR BIN WASHING-2</v>
      </c>
      <c r="H144" s="40" t="str">
        <f t="array" ref="H144">_xlfn.XLOOKUP($B144, DB[samplingPoint], DB[waterType])</f>
        <v>PW</v>
      </c>
      <c r="I144" s="60">
        <f t="shared" si="1"/>
        <v>45717</v>
      </c>
      <c r="J144" s="192">
        <f t="shared" si="2"/>
        <v>45720</v>
      </c>
      <c r="K144" s="32">
        <v>0.0</v>
      </c>
      <c r="L144" s="32">
        <v>0.0</v>
      </c>
      <c r="M144" s="32">
        <f t="shared" si="3"/>
        <v>0</v>
      </c>
      <c r="N144" s="32" t="s">
        <v>982</v>
      </c>
      <c r="O144" s="32">
        <v>100.0</v>
      </c>
      <c r="P144" s="50" t="str">
        <f t="shared" si="4"/>
        <v>PASSED</v>
      </c>
      <c r="Q144" s="50" t="str">
        <f t="shared" si="5"/>
        <v>10</v>
      </c>
    </row>
    <row r="145" ht="22.5" customHeight="1">
      <c r="A145" s="26">
        <v>45716.0</v>
      </c>
      <c r="B145" s="32" t="s">
        <v>380</v>
      </c>
      <c r="C145" s="191" t="str">
        <f t="array" ref="C145">_xlfn.XLOOKUP(B145, DB[samplingPoint], DB[samplingTag])</f>
        <v>SV113.01</v>
      </c>
      <c r="D145" s="33" t="s">
        <v>59</v>
      </c>
      <c r="E145" s="39" t="str">
        <f t="array" ref="E145">_xlfn.XLOOKUP($B145, DB[samplingPoint], DB[noLocation])</f>
        <v>WATER SYSTEM (B10)</v>
      </c>
      <c r="F145" s="40" t="str">
        <f t="array" ref="F145">_xlfn.XLOOKUP($B145, DB[samplingPoint], DB[building])</f>
        <v>Building 10</v>
      </c>
      <c r="G145" s="40" t="str">
        <f t="array" ref="G145">_xlfn.XLOOKUP($B145, DB[samplingPoint], DB[location])</f>
        <v>After Storage tank (B10)</v>
      </c>
      <c r="H145" s="40" t="str">
        <f t="array" ref="H145">_xlfn.XLOOKUP($B145, DB[samplingPoint], DB[waterType])</f>
        <v>PW</v>
      </c>
      <c r="I145" s="60">
        <f t="shared" si="1"/>
        <v>45717</v>
      </c>
      <c r="J145" s="192">
        <f t="shared" si="2"/>
        <v>45720</v>
      </c>
      <c r="K145" s="32">
        <v>0.0</v>
      </c>
      <c r="L145" s="32">
        <v>0.0</v>
      </c>
      <c r="M145" s="32">
        <f t="shared" si="3"/>
        <v>0</v>
      </c>
      <c r="N145" s="32" t="s">
        <v>376</v>
      </c>
      <c r="O145" s="32">
        <v>100.0</v>
      </c>
      <c r="P145" s="50" t="str">
        <f t="shared" si="4"/>
        <v>PASSED</v>
      </c>
      <c r="Q145" s="50" t="str">
        <f t="shared" si="5"/>
        <v>WA</v>
      </c>
    </row>
    <row r="146" ht="22.5" customHeight="1">
      <c r="A146" s="26">
        <v>45716.0</v>
      </c>
      <c r="B146" s="32" t="s">
        <v>385</v>
      </c>
      <c r="C146" s="191" t="str">
        <f t="array" ref="C146">_xlfn.XLOOKUP(B146, DB[samplingPoint], DB[samplingTag])</f>
        <v>SV115.02</v>
      </c>
      <c r="D146" s="33" t="s">
        <v>59</v>
      </c>
      <c r="E146" s="39" t="str">
        <f t="array" ref="E146">_xlfn.XLOOKUP($B146, DB[samplingPoint], DB[noLocation])</f>
        <v>WATER SYSTEM (B10)</v>
      </c>
      <c r="F146" s="40" t="str">
        <f t="array" ref="F146">_xlfn.XLOOKUP($B146, DB[samplingPoint], DB[building])</f>
        <v>Building 10</v>
      </c>
      <c r="G146" s="40" t="str">
        <f t="array" ref="G146">_xlfn.XLOOKUP($B146, DB[samplingPoint], DB[location])</f>
        <v>After UV (B10)</v>
      </c>
      <c r="H146" s="40" t="str">
        <f t="array" ref="H146">_xlfn.XLOOKUP($B146, DB[samplingPoint], DB[waterType])</f>
        <v>PW</v>
      </c>
      <c r="I146" s="60">
        <f t="shared" si="1"/>
        <v>45717</v>
      </c>
      <c r="J146" s="192">
        <f t="shared" si="2"/>
        <v>45720</v>
      </c>
      <c r="K146" s="32">
        <v>0.0</v>
      </c>
      <c r="L146" s="32">
        <v>0.0</v>
      </c>
      <c r="M146" s="32">
        <f t="shared" si="3"/>
        <v>0</v>
      </c>
      <c r="N146" s="32" t="s">
        <v>376</v>
      </c>
      <c r="O146" s="32">
        <v>100.0</v>
      </c>
      <c r="P146" s="50" t="str">
        <f t="shared" si="4"/>
        <v>PASSED</v>
      </c>
      <c r="Q146" s="50" t="str">
        <f t="shared" si="5"/>
        <v>WA</v>
      </c>
    </row>
    <row r="147" ht="22.5" customHeight="1">
      <c r="A147" s="26">
        <v>45716.0</v>
      </c>
      <c r="B147" s="32" t="s">
        <v>390</v>
      </c>
      <c r="C147" s="191" t="str">
        <f t="array" ref="C147">_xlfn.XLOOKUP(B147, DB[samplingPoint], DB[samplingTag])</f>
        <v>SV117.01</v>
      </c>
      <c r="D147" s="33" t="s">
        <v>59</v>
      </c>
      <c r="E147" s="39" t="str">
        <f t="array" ref="E147">_xlfn.XLOOKUP($B147, DB[samplingPoint], DB[noLocation])</f>
        <v>WATER SYSTEM (B10)</v>
      </c>
      <c r="F147" s="40" t="str">
        <f t="array" ref="F147">_xlfn.XLOOKUP($B147, DB[samplingPoint], DB[building])</f>
        <v>Building 10</v>
      </c>
      <c r="G147" s="40" t="str">
        <f t="array" ref="G147">_xlfn.XLOOKUP($B147, DB[samplingPoint], DB[location])</f>
        <v>Return loop (B10)</v>
      </c>
      <c r="H147" s="40" t="str">
        <f t="array" ref="H147">_xlfn.XLOOKUP($B147, DB[samplingPoint], DB[waterType])</f>
        <v>PW</v>
      </c>
      <c r="I147" s="60">
        <f t="shared" si="1"/>
        <v>45717</v>
      </c>
      <c r="J147" s="192">
        <f t="shared" si="2"/>
        <v>45720</v>
      </c>
      <c r="K147" s="32">
        <v>0.0</v>
      </c>
      <c r="L147" s="32">
        <v>0.0</v>
      </c>
      <c r="M147" s="32">
        <f t="shared" si="3"/>
        <v>0</v>
      </c>
      <c r="N147" s="32" t="s">
        <v>376</v>
      </c>
      <c r="O147" s="32">
        <v>100.0</v>
      </c>
      <c r="P147" s="50" t="str">
        <f t="shared" si="4"/>
        <v>PASSED</v>
      </c>
      <c r="Q147" s="50" t="str">
        <f t="shared" si="5"/>
        <v>WA</v>
      </c>
    </row>
    <row r="148" ht="22.5" customHeight="1">
      <c r="A148" s="26">
        <v>45719.0</v>
      </c>
      <c r="B148" s="32" t="s">
        <v>349</v>
      </c>
      <c r="C148" s="191" t="str">
        <f t="array" ref="C148">_xlfn.XLOOKUP(B148, DB[samplingPoint], DB[samplingTag])</f>
        <v>VB-05(10)</v>
      </c>
      <c r="D148" s="33" t="s">
        <v>59</v>
      </c>
      <c r="E148" s="39" t="str">
        <f t="array" ref="E148">_xlfn.XLOOKUP($B148, DB[samplingPoint], DB[noLocation])</f>
        <v>WATER SYSTEM (B10)</v>
      </c>
      <c r="F148" s="40" t="str">
        <f t="array" ref="F148">_xlfn.XLOOKUP($B148, DB[samplingPoint], DB[building])</f>
        <v>Building 10</v>
      </c>
      <c r="G148" s="40" t="str">
        <f t="array" ref="G148">_xlfn.XLOOKUP($B148, DB[samplingPoint], DB[location])</f>
        <v>After Chlorine circulation tank (B10)</v>
      </c>
      <c r="H148" s="40" t="str">
        <f t="array" ref="H148">_xlfn.XLOOKUP($B148, DB[samplingPoint], DB[waterType])</f>
        <v>PRW</v>
      </c>
      <c r="I148" s="60">
        <f t="shared" si="1"/>
        <v>45720</v>
      </c>
      <c r="J148" s="192">
        <f t="shared" si="2"/>
        <v>45723</v>
      </c>
      <c r="K148" s="32">
        <v>10.0</v>
      </c>
      <c r="L148" s="32">
        <v>7.0</v>
      </c>
      <c r="M148" s="32">
        <f t="shared" si="3"/>
        <v>9</v>
      </c>
      <c r="N148" s="32" t="s">
        <v>376</v>
      </c>
      <c r="O148" s="32">
        <v>500.0</v>
      </c>
      <c r="P148" s="50" t="str">
        <f t="shared" si="4"/>
        <v>PASSED</v>
      </c>
      <c r="Q148" s="50" t="str">
        <f t="shared" si="5"/>
        <v>WA</v>
      </c>
    </row>
    <row r="149" ht="22.5" customHeight="1">
      <c r="A149" s="26">
        <v>45719.0</v>
      </c>
      <c r="B149" s="32" t="s">
        <v>366</v>
      </c>
      <c r="C149" s="191" t="str">
        <f t="array" ref="C149">_xlfn.XLOOKUP(B149, DB[samplingPoint], DB[samplingTag])</f>
        <v>V50-61(10)</v>
      </c>
      <c r="D149" s="33" t="s">
        <v>59</v>
      </c>
      <c r="E149" s="39" t="str">
        <f t="array" ref="E149">_xlfn.XLOOKUP($B149, DB[samplingPoint], DB[noLocation])</f>
        <v>WATER SYSTEM (B10)</v>
      </c>
      <c r="F149" s="40" t="str">
        <f t="array" ref="F149">_xlfn.XLOOKUP($B149, DB[samplingPoint], DB[building])</f>
        <v>Building 10</v>
      </c>
      <c r="G149" s="40" t="str">
        <f t="array" ref="G149">_xlfn.XLOOKUP($B149, DB[samplingPoint], DB[location])</f>
        <v>After Cartridge filter 5 µm (B10)</v>
      </c>
      <c r="H149" s="40" t="str">
        <f t="array" ref="H149">_xlfn.XLOOKUP($B149, DB[samplingPoint], DB[waterType])</f>
        <v>PRW</v>
      </c>
      <c r="I149" s="60">
        <f t="shared" si="1"/>
        <v>45720</v>
      </c>
      <c r="J149" s="192">
        <f t="shared" si="2"/>
        <v>45723</v>
      </c>
      <c r="K149" s="32">
        <v>72.0</v>
      </c>
      <c r="L149" s="32">
        <v>74.0</v>
      </c>
      <c r="M149" s="32">
        <f t="shared" si="3"/>
        <v>73</v>
      </c>
      <c r="N149" s="32" t="s">
        <v>376</v>
      </c>
      <c r="O149" s="32">
        <v>500.0</v>
      </c>
      <c r="P149" s="50" t="str">
        <f t="shared" si="4"/>
        <v>PASSED</v>
      </c>
      <c r="Q149" s="50" t="str">
        <f t="shared" si="5"/>
        <v>WA</v>
      </c>
    </row>
    <row r="150" ht="22.5" customHeight="1">
      <c r="A150" s="26">
        <v>45719.0</v>
      </c>
      <c r="B150" s="32" t="s">
        <v>488</v>
      </c>
      <c r="C150" s="191" t="str">
        <f t="array" ref="C150">_xlfn.XLOOKUP(B150, DB[samplingPoint], DB[samplingTag])</f>
        <v>DV116.17</v>
      </c>
      <c r="D150" s="33" t="s">
        <v>59</v>
      </c>
      <c r="E150" s="39" t="str">
        <f t="array" ref="E150">_xlfn.XLOOKUP($B150, DB[samplingPoint], DB[noLocation])</f>
        <v>10-3-117</v>
      </c>
      <c r="F150" s="40" t="str">
        <f t="array" ref="F150">_xlfn.XLOOKUP($B150, DB[samplingPoint], DB[building])</f>
        <v>Building 10</v>
      </c>
      <c r="G150" s="40" t="str">
        <f t="array" ref="G150">_xlfn.XLOOKUP($B150, DB[samplingPoint], DB[location])</f>
        <v>IPQC-2</v>
      </c>
      <c r="H150" s="40" t="str">
        <f t="array" ref="H150">_xlfn.XLOOKUP($B150, DB[samplingPoint], DB[waterType])</f>
        <v>PW</v>
      </c>
      <c r="I150" s="60">
        <f t="shared" si="1"/>
        <v>45720</v>
      </c>
      <c r="J150" s="192">
        <f t="shared" si="2"/>
        <v>45723</v>
      </c>
      <c r="K150" s="32">
        <v>0.0</v>
      </c>
      <c r="L150" s="32">
        <v>0.0</v>
      </c>
      <c r="M150" s="32">
        <f t="shared" si="3"/>
        <v>0</v>
      </c>
      <c r="N150" s="32" t="s">
        <v>376</v>
      </c>
      <c r="O150" s="32">
        <v>100.0</v>
      </c>
      <c r="P150" s="50" t="str">
        <f t="shared" si="4"/>
        <v>PASSED</v>
      </c>
      <c r="Q150" s="50" t="str">
        <f t="shared" si="5"/>
        <v>10</v>
      </c>
    </row>
    <row r="151" ht="22.5" customHeight="1">
      <c r="A151" s="26">
        <v>45719.0</v>
      </c>
      <c r="B151" s="32" t="s">
        <v>482</v>
      </c>
      <c r="C151" s="191" t="str">
        <f t="array" ref="C151">_xlfn.XLOOKUP(B151, DB[samplingPoint], DB[samplingTag])</f>
        <v>DV116.14</v>
      </c>
      <c r="D151" s="33" t="s">
        <v>59</v>
      </c>
      <c r="E151" s="39" t="str">
        <f t="array" ref="E151">_xlfn.XLOOKUP($B151, DB[samplingPoint], DB[noLocation])</f>
        <v>10-3-086</v>
      </c>
      <c r="F151" s="40" t="str">
        <f t="array" ref="F151">_xlfn.XLOOKUP($B151, DB[samplingPoint], DB[building])</f>
        <v>Building 10</v>
      </c>
      <c r="G151" s="40" t="str">
        <f t="array" ref="G151">_xlfn.XLOOKUP($B151, DB[samplingPoint], DB[location])</f>
        <v>TOOL WASHING</v>
      </c>
      <c r="H151" s="40" t="str">
        <f t="array" ref="H151">_xlfn.XLOOKUP($B151, DB[samplingPoint], DB[waterType])</f>
        <v>PW</v>
      </c>
      <c r="I151" s="60">
        <f t="shared" si="1"/>
        <v>45720</v>
      </c>
      <c r="J151" s="192">
        <f t="shared" si="2"/>
        <v>45723</v>
      </c>
      <c r="K151" s="32">
        <v>0.0</v>
      </c>
      <c r="L151" s="32">
        <v>0.0</v>
      </c>
      <c r="M151" s="32">
        <f t="shared" si="3"/>
        <v>0</v>
      </c>
      <c r="N151" s="32" t="s">
        <v>376</v>
      </c>
      <c r="O151" s="32">
        <v>100.0</v>
      </c>
      <c r="P151" s="50" t="str">
        <f t="shared" si="4"/>
        <v>PASSED</v>
      </c>
      <c r="Q151" s="50" t="str">
        <f t="shared" si="5"/>
        <v>10</v>
      </c>
    </row>
    <row r="152" ht="22.5" customHeight="1">
      <c r="A152" s="26">
        <v>45719.0</v>
      </c>
      <c r="B152" s="32" t="s">
        <v>476</v>
      </c>
      <c r="C152" s="191" t="str">
        <f t="array" ref="C152">_xlfn.XLOOKUP(B152, DB[samplingPoint], DB[samplingTag])</f>
        <v>DV116.12</v>
      </c>
      <c r="D152" s="33" t="s">
        <v>59</v>
      </c>
      <c r="E152" s="39" t="str">
        <f t="array" ref="E152">_xlfn.XLOOKUP($B152, DB[samplingPoint], DB[noLocation])</f>
        <v>10-3-078</v>
      </c>
      <c r="F152" s="40" t="str">
        <f t="array" ref="F152">_xlfn.XLOOKUP($B152, DB[samplingPoint], DB[building])</f>
        <v>Building 10</v>
      </c>
      <c r="G152" s="40" t="str">
        <f t="array" ref="G152">_xlfn.XLOOKUP($B152, DB[samplingPoint], DB[location])</f>
        <v>WASHING</v>
      </c>
      <c r="H152" s="40" t="str">
        <f t="array" ref="H152">_xlfn.XLOOKUP($B152, DB[samplingPoint], DB[waterType])</f>
        <v>PW</v>
      </c>
      <c r="I152" s="60">
        <f t="shared" si="1"/>
        <v>45720</v>
      </c>
      <c r="J152" s="192">
        <f t="shared" si="2"/>
        <v>45723</v>
      </c>
      <c r="K152" s="32">
        <v>0.0</v>
      </c>
      <c r="L152" s="32">
        <v>0.0</v>
      </c>
      <c r="M152" s="32">
        <f t="shared" si="3"/>
        <v>0</v>
      </c>
      <c r="N152" s="32" t="s">
        <v>376</v>
      </c>
      <c r="O152" s="32">
        <v>100.0</v>
      </c>
      <c r="P152" s="50" t="str">
        <f t="shared" si="4"/>
        <v>PASSED</v>
      </c>
      <c r="Q152" s="50" t="str">
        <f t="shared" si="5"/>
        <v>10</v>
      </c>
    </row>
    <row r="153" ht="22.5" customHeight="1">
      <c r="A153" s="26">
        <v>45719.0</v>
      </c>
      <c r="B153" s="32" t="s">
        <v>479</v>
      </c>
      <c r="C153" s="191" t="str">
        <f t="array" ref="C153">_xlfn.XLOOKUP(B153, DB[samplingPoint], DB[samplingTag])</f>
        <v>DV116.13</v>
      </c>
      <c r="D153" s="33" t="s">
        <v>59</v>
      </c>
      <c r="E153" s="39" t="str">
        <f t="array" ref="E153">_xlfn.XLOOKUP($B153, DB[samplingPoint], DB[noLocation])</f>
        <v>10-3-078</v>
      </c>
      <c r="F153" s="40" t="str">
        <f t="array" ref="F153">_xlfn.XLOOKUP($B153, DB[samplingPoint], DB[building])</f>
        <v>Building 10</v>
      </c>
      <c r="G153" s="40" t="str">
        <f t="array" ref="G153">_xlfn.XLOOKUP($B153, DB[samplingPoint], DB[location])</f>
        <v>WASHING</v>
      </c>
      <c r="H153" s="40" t="str">
        <f t="array" ref="H153">_xlfn.XLOOKUP($B153, DB[samplingPoint], DB[waterType])</f>
        <v>PW</v>
      </c>
      <c r="I153" s="60">
        <f t="shared" si="1"/>
        <v>45720</v>
      </c>
      <c r="J153" s="192">
        <f t="shared" si="2"/>
        <v>45723</v>
      </c>
      <c r="K153" s="32">
        <v>0.0</v>
      </c>
      <c r="L153" s="32">
        <v>0.0</v>
      </c>
      <c r="M153" s="32">
        <f t="shared" si="3"/>
        <v>0</v>
      </c>
      <c r="N153" s="32" t="s">
        <v>376</v>
      </c>
      <c r="O153" s="32">
        <v>100.0</v>
      </c>
      <c r="P153" s="50" t="str">
        <f t="shared" si="4"/>
        <v>PASSED</v>
      </c>
      <c r="Q153" s="50" t="str">
        <f t="shared" si="5"/>
        <v>10</v>
      </c>
    </row>
    <row r="154" ht="22.5" customHeight="1">
      <c r="A154" s="26">
        <v>45719.0</v>
      </c>
      <c r="B154" s="32" t="s">
        <v>492</v>
      </c>
      <c r="C154" s="191" t="str">
        <f t="array" ref="C154">_xlfn.XLOOKUP(B154, DB[samplingPoint], DB[samplingTag])</f>
        <v>SV116.11</v>
      </c>
      <c r="D154" s="33" t="s">
        <v>59</v>
      </c>
      <c r="E154" s="39" t="str">
        <f t="array" ref="E154">_xlfn.XLOOKUP($B154, DB[samplingPoint], DB[noLocation])</f>
        <v>10-3-107</v>
      </c>
      <c r="F154" s="40" t="str">
        <f t="array" ref="F154">_xlfn.XLOOKUP($B154, DB[samplingPoint], DB[building])</f>
        <v>Building 10</v>
      </c>
      <c r="G154" s="40" t="str">
        <f t="array" ref="G154">_xlfn.XLOOKUP($B154, DB[samplingPoint], DB[location])</f>
        <v>WET GRANULATION-2</v>
      </c>
      <c r="H154" s="40" t="str">
        <f t="array" ref="H154">_xlfn.XLOOKUP($B154, DB[samplingPoint], DB[waterType])</f>
        <v>PW</v>
      </c>
      <c r="I154" s="60">
        <f t="shared" si="1"/>
        <v>45720</v>
      </c>
      <c r="J154" s="192">
        <f t="shared" si="2"/>
        <v>45723</v>
      </c>
      <c r="K154" s="32">
        <v>0.0</v>
      </c>
      <c r="L154" s="32">
        <v>0.0</v>
      </c>
      <c r="M154" s="32">
        <f t="shared" si="3"/>
        <v>0</v>
      </c>
      <c r="N154" s="32" t="s">
        <v>376</v>
      </c>
      <c r="O154" s="32">
        <v>100.0</v>
      </c>
      <c r="P154" s="50" t="str">
        <f t="shared" si="4"/>
        <v>PASSED</v>
      </c>
      <c r="Q154" s="50" t="str">
        <f t="shared" si="5"/>
        <v>10</v>
      </c>
    </row>
    <row r="155" ht="22.5" customHeight="1">
      <c r="A155" s="26">
        <v>45719.0</v>
      </c>
      <c r="B155" s="32" t="s">
        <v>489</v>
      </c>
      <c r="C155" s="191" t="str">
        <f t="array" ref="C155">_xlfn.XLOOKUP(B155, DB[samplingPoint], DB[samplingTag])</f>
        <v>DV116.18</v>
      </c>
      <c r="D155" s="33" t="s">
        <v>59</v>
      </c>
      <c r="E155" s="39" t="str">
        <f t="array" ref="E155">_xlfn.XLOOKUP($B155, DB[samplingPoint], DB[noLocation])</f>
        <v>10-3-111</v>
      </c>
      <c r="F155" s="40" t="str">
        <f t="array" ref="F155">_xlfn.XLOOKUP($B155, DB[samplingPoint], DB[building])</f>
        <v>Building 10</v>
      </c>
      <c r="G155" s="40" t="str">
        <f t="array" ref="G155">_xlfn.XLOOKUP($B155, DB[samplingPoint], DB[location])</f>
        <v>WET GRANULATION-5</v>
      </c>
      <c r="H155" s="40" t="str">
        <f t="array" ref="H155">_xlfn.XLOOKUP($B155, DB[samplingPoint], DB[waterType])</f>
        <v>PW</v>
      </c>
      <c r="I155" s="60">
        <f t="shared" si="1"/>
        <v>45720</v>
      </c>
      <c r="J155" s="192">
        <f t="shared" si="2"/>
        <v>45723</v>
      </c>
      <c r="K155" s="32">
        <v>0.0</v>
      </c>
      <c r="L155" s="32">
        <v>0.0</v>
      </c>
      <c r="M155" s="32">
        <f t="shared" si="3"/>
        <v>0</v>
      </c>
      <c r="N155" s="32" t="s">
        <v>376</v>
      </c>
      <c r="O155" s="32">
        <v>100.0</v>
      </c>
      <c r="P155" s="50" t="str">
        <f t="shared" si="4"/>
        <v>PASSED</v>
      </c>
      <c r="Q155" s="50" t="str">
        <f t="shared" si="5"/>
        <v>10</v>
      </c>
    </row>
    <row r="156" ht="22.5" customHeight="1">
      <c r="A156" s="26">
        <v>45719.0</v>
      </c>
      <c r="B156" s="32" t="s">
        <v>485</v>
      </c>
      <c r="C156" s="191" t="str">
        <f t="array" ref="C156">_xlfn.XLOOKUP(B156, DB[samplingPoint], DB[samplingTag])</f>
        <v>DV116.16</v>
      </c>
      <c r="D156" s="33" t="s">
        <v>59</v>
      </c>
      <c r="E156" s="39" t="str">
        <f t="array" ref="E156">_xlfn.XLOOKUP($B156, DB[samplingPoint], DB[noLocation])</f>
        <v>10-3-107</v>
      </c>
      <c r="F156" s="40" t="str">
        <f t="array" ref="F156">_xlfn.XLOOKUP($B156, DB[samplingPoint], DB[building])</f>
        <v>Building 10</v>
      </c>
      <c r="G156" s="40" t="str">
        <f t="array" ref="G156">_xlfn.XLOOKUP($B156, DB[samplingPoint], DB[location])</f>
        <v>WET GRANULATION-2</v>
      </c>
      <c r="H156" s="40" t="str">
        <f t="array" ref="H156">_xlfn.XLOOKUP($B156, DB[samplingPoint], DB[waterType])</f>
        <v>PW</v>
      </c>
      <c r="I156" s="60">
        <f t="shared" si="1"/>
        <v>45720</v>
      </c>
      <c r="J156" s="192">
        <f t="shared" si="2"/>
        <v>45723</v>
      </c>
      <c r="K156" s="32">
        <v>0.0</v>
      </c>
      <c r="L156" s="32">
        <v>0.0</v>
      </c>
      <c r="M156" s="32">
        <f t="shared" si="3"/>
        <v>0</v>
      </c>
      <c r="N156" s="32" t="s">
        <v>376</v>
      </c>
      <c r="O156" s="32">
        <v>100.0</v>
      </c>
      <c r="P156" s="50" t="str">
        <f t="shared" si="4"/>
        <v>PASSED</v>
      </c>
      <c r="Q156" s="50" t="str">
        <f t="shared" si="5"/>
        <v>10</v>
      </c>
    </row>
    <row r="157" ht="22.5" customHeight="1">
      <c r="A157" s="26">
        <v>45719.0</v>
      </c>
      <c r="B157" s="32" t="s">
        <v>490</v>
      </c>
      <c r="C157" s="191" t="str">
        <f t="array" ref="C157">_xlfn.XLOOKUP(B157, DB[samplingPoint], DB[samplingTag])</f>
        <v>SV116.09</v>
      </c>
      <c r="D157" s="33" t="s">
        <v>59</v>
      </c>
      <c r="E157" s="39" t="str">
        <f t="array" ref="E157">_xlfn.XLOOKUP($B157, DB[samplingPoint], DB[noLocation])</f>
        <v>10-3-078</v>
      </c>
      <c r="F157" s="40" t="str">
        <f t="array" ref="F157">_xlfn.XLOOKUP($B157, DB[samplingPoint], DB[building])</f>
        <v>Building 10</v>
      </c>
      <c r="G157" s="40" t="str">
        <f t="array" ref="G157">_xlfn.XLOOKUP($B157, DB[samplingPoint], DB[location])</f>
        <v>WASHING</v>
      </c>
      <c r="H157" s="40" t="str">
        <f t="array" ref="H157">_xlfn.XLOOKUP($B157, DB[samplingPoint], DB[waterType])</f>
        <v>PW</v>
      </c>
      <c r="I157" s="60">
        <f t="shared" si="1"/>
        <v>45720</v>
      </c>
      <c r="J157" s="192">
        <f t="shared" si="2"/>
        <v>45723</v>
      </c>
      <c r="K157" s="32">
        <v>0.0</v>
      </c>
      <c r="L157" s="32">
        <v>0.0</v>
      </c>
      <c r="M157" s="32">
        <f t="shared" si="3"/>
        <v>0</v>
      </c>
      <c r="N157" s="32" t="s">
        <v>376</v>
      </c>
      <c r="O157" s="32">
        <v>100.0</v>
      </c>
      <c r="P157" s="50" t="str">
        <f t="shared" si="4"/>
        <v>PASSED</v>
      </c>
      <c r="Q157" s="50" t="str">
        <f t="shared" si="5"/>
        <v>10</v>
      </c>
    </row>
    <row r="158" ht="22.5" customHeight="1">
      <c r="A158" s="26">
        <v>45719.0</v>
      </c>
      <c r="B158" s="32" t="s">
        <v>119</v>
      </c>
      <c r="C158" s="191" t="str">
        <f t="array" ref="C158">_xlfn.XLOOKUP(B158, DB[samplingPoint], DB[samplingTag])</f>
        <v>DV116.15</v>
      </c>
      <c r="D158" s="33" t="s">
        <v>59</v>
      </c>
      <c r="E158" s="39" t="str">
        <f t="array" ref="E158">_xlfn.XLOOKUP($B158, DB[samplingPoint], DB[noLocation])</f>
        <v>10-3-104</v>
      </c>
      <c r="F158" s="40" t="str">
        <f t="array" ref="F158">_xlfn.XLOOKUP($B158, DB[samplingPoint], DB[building])</f>
        <v>Building 10</v>
      </c>
      <c r="G158" s="40" t="str">
        <f t="array" ref="G158">_xlfn.XLOOKUP($B158, DB[samplingPoint], DB[location])</f>
        <v>BINDER PREPARATION</v>
      </c>
      <c r="H158" s="40" t="str">
        <f t="array" ref="H158">_xlfn.XLOOKUP($B158, DB[samplingPoint], DB[waterType])</f>
        <v>PW</v>
      </c>
      <c r="I158" s="60">
        <f t="shared" si="1"/>
        <v>45720</v>
      </c>
      <c r="J158" s="192">
        <f t="shared" si="2"/>
        <v>45723</v>
      </c>
      <c r="K158" s="32">
        <v>0.0</v>
      </c>
      <c r="L158" s="32">
        <v>0.0</v>
      </c>
      <c r="M158" s="32">
        <f t="shared" si="3"/>
        <v>0</v>
      </c>
      <c r="N158" s="32" t="s">
        <v>376</v>
      </c>
      <c r="O158" s="32">
        <v>100.0</v>
      </c>
      <c r="P158" s="50" t="str">
        <f t="shared" si="4"/>
        <v>PASSED</v>
      </c>
      <c r="Q158" s="50" t="str">
        <f t="shared" si="5"/>
        <v>10</v>
      </c>
    </row>
    <row r="159" ht="22.5" customHeight="1">
      <c r="A159" s="26">
        <v>45719.0</v>
      </c>
      <c r="B159" s="32" t="s">
        <v>498</v>
      </c>
      <c r="C159" s="191" t="str">
        <f t="array" ref="C159">_xlfn.XLOOKUP(B159, DB[samplingPoint], DB[samplingTag])</f>
        <v>SV116.02</v>
      </c>
      <c r="D159" s="33" t="s">
        <v>59</v>
      </c>
      <c r="E159" s="39" t="str">
        <f t="array" ref="E159">_xlfn.XLOOKUP($B159, DB[samplingPoint], DB[noLocation])</f>
        <v>10-2-037</v>
      </c>
      <c r="F159" s="40" t="str">
        <f t="array" ref="F159">_xlfn.XLOOKUP($B159, DB[samplingPoint], DB[building])</f>
        <v>Building 10</v>
      </c>
      <c r="G159" s="40" t="str">
        <f t="array" ref="G159">_xlfn.XLOOKUP($B159, DB[samplingPoint], DB[location])</f>
        <v>SKID FOR BIN WASHING-2</v>
      </c>
      <c r="H159" s="40" t="str">
        <f t="array" ref="H159">_xlfn.XLOOKUP($B159, DB[samplingPoint], DB[waterType])</f>
        <v>PW</v>
      </c>
      <c r="I159" s="60">
        <f t="shared" si="1"/>
        <v>45720</v>
      </c>
      <c r="J159" s="192">
        <f t="shared" si="2"/>
        <v>45723</v>
      </c>
      <c r="K159" s="32">
        <v>0.0</v>
      </c>
      <c r="L159" s="32">
        <v>0.0</v>
      </c>
      <c r="M159" s="32">
        <f t="shared" si="3"/>
        <v>0</v>
      </c>
      <c r="N159" s="32" t="s">
        <v>983</v>
      </c>
      <c r="O159" s="32">
        <v>100.0</v>
      </c>
      <c r="P159" s="50" t="s">
        <v>999</v>
      </c>
      <c r="Q159" s="50" t="str">
        <f t="shared" si="5"/>
        <v>10</v>
      </c>
    </row>
    <row r="160" ht="22.5" customHeight="1">
      <c r="A160" s="26">
        <v>45719.0</v>
      </c>
      <c r="B160" s="32" t="s">
        <v>498</v>
      </c>
      <c r="C160" s="191" t="str">
        <f t="array" ref="C160">_xlfn.XLOOKUP(B160, DB[samplingPoint], DB[samplingTag])</f>
        <v>SV116.02</v>
      </c>
      <c r="D160" s="33" t="s">
        <v>59</v>
      </c>
      <c r="E160" s="39" t="str">
        <f t="array" ref="E160">_xlfn.XLOOKUP($B160, DB[samplingPoint], DB[noLocation])</f>
        <v>10-2-037</v>
      </c>
      <c r="F160" s="40" t="str">
        <f t="array" ref="F160">_xlfn.XLOOKUP($B160, DB[samplingPoint], DB[building])</f>
        <v>Building 10</v>
      </c>
      <c r="G160" s="40" t="str">
        <f t="array" ref="G160">_xlfn.XLOOKUP($B160, DB[samplingPoint], DB[location])</f>
        <v>SKID FOR BIN WASHING-2</v>
      </c>
      <c r="H160" s="40" t="str">
        <f t="array" ref="H160">_xlfn.XLOOKUP($B160, DB[samplingPoint], DB[waterType])</f>
        <v>PW</v>
      </c>
      <c r="I160" s="60">
        <f t="shared" si="1"/>
        <v>45720</v>
      </c>
      <c r="J160" s="192">
        <f t="shared" si="2"/>
        <v>45723</v>
      </c>
      <c r="K160" s="32">
        <v>0.0</v>
      </c>
      <c r="L160" s="32">
        <v>0.0</v>
      </c>
      <c r="M160" s="32">
        <f t="shared" si="3"/>
        <v>0</v>
      </c>
      <c r="N160" s="32" t="s">
        <v>982</v>
      </c>
      <c r="O160" s="32">
        <v>100.0</v>
      </c>
      <c r="P160" s="50" t="str">
        <f t="shared" ref="P160:P1193" si="6">iferror(ifs($M160&gt;O160, "NOT-PASSED", M160&lt;=O160, "PASSED"), "NA")</f>
        <v>PASSED</v>
      </c>
      <c r="Q160" s="50" t="str">
        <f t="shared" si="5"/>
        <v>10</v>
      </c>
    </row>
    <row r="161" ht="22.5" customHeight="1">
      <c r="A161" s="26">
        <v>45719.0</v>
      </c>
      <c r="B161" s="32" t="s">
        <v>368</v>
      </c>
      <c r="C161" s="191" t="str">
        <f t="array" ref="C161">_xlfn.XLOOKUP(B161, DB[samplingPoint], DB[samplingTag])</f>
        <v>V50-11C(10)</v>
      </c>
      <c r="D161" s="33" t="s">
        <v>59</v>
      </c>
      <c r="E161" s="39" t="str">
        <f t="array" ref="E161">_xlfn.XLOOKUP($B161, DB[samplingPoint], DB[noLocation])</f>
        <v>WATER SYSTEM (B10)</v>
      </c>
      <c r="F161" s="40" t="str">
        <f t="array" ref="F161">_xlfn.XLOOKUP($B161, DB[samplingPoint], DB[building])</f>
        <v>Building 10</v>
      </c>
      <c r="G161" s="40" t="str">
        <f t="array" ref="G161">_xlfn.XLOOKUP($B161, DB[samplingPoint], DB[location])</f>
        <v>After RO (Before EDI) (B10)</v>
      </c>
      <c r="H161" s="40" t="str">
        <f t="array" ref="H161">_xlfn.XLOOKUP($B161, DB[samplingPoint], DB[waterType])</f>
        <v>RO water</v>
      </c>
      <c r="I161" s="60">
        <f t="shared" si="1"/>
        <v>45720</v>
      </c>
      <c r="J161" s="192">
        <f t="shared" si="2"/>
        <v>45723</v>
      </c>
      <c r="K161" s="32">
        <v>0.0</v>
      </c>
      <c r="L161" s="32">
        <v>0.0</v>
      </c>
      <c r="M161" s="32">
        <f t="shared" si="3"/>
        <v>0</v>
      </c>
      <c r="N161" s="32" t="s">
        <v>376</v>
      </c>
      <c r="O161" s="32">
        <v>500.0</v>
      </c>
      <c r="P161" s="50" t="str">
        <f t="shared" si="6"/>
        <v>PASSED</v>
      </c>
      <c r="Q161" s="50" t="str">
        <f t="shared" si="5"/>
        <v>WA</v>
      </c>
    </row>
    <row r="162" ht="22.5" customHeight="1">
      <c r="A162" s="26">
        <v>45719.0</v>
      </c>
      <c r="B162" s="32" t="s">
        <v>374</v>
      </c>
      <c r="C162" s="191" t="str">
        <f t="array" ref="C162">_xlfn.XLOOKUP(B162, DB[samplingPoint], DB[samplingTag])</f>
        <v>V50-39(10)</v>
      </c>
      <c r="D162" s="33" t="s">
        <v>59</v>
      </c>
      <c r="E162" s="39" t="str">
        <f t="array" ref="E162">_xlfn.XLOOKUP($B162, DB[samplingPoint], DB[noLocation])</f>
        <v>WATER SYSTEM (B10)</v>
      </c>
      <c r="F162" s="40" t="str">
        <f t="array" ref="F162">_xlfn.XLOOKUP($B162, DB[samplingPoint], DB[building])</f>
        <v>Building 10</v>
      </c>
      <c r="G162" s="40" t="str">
        <f t="array" ref="G162">_xlfn.XLOOKUP($B162, DB[samplingPoint], DB[location])</f>
        <v>After EDI (B10)</v>
      </c>
      <c r="H162" s="40" t="str">
        <f t="array" ref="H162">_xlfn.XLOOKUP($B162, DB[samplingPoint], DB[waterType])</f>
        <v>PW</v>
      </c>
      <c r="I162" s="60">
        <f t="shared" si="1"/>
        <v>45720</v>
      </c>
      <c r="J162" s="192">
        <f t="shared" si="2"/>
        <v>45723</v>
      </c>
      <c r="K162" s="32">
        <v>0.0</v>
      </c>
      <c r="L162" s="32">
        <v>0.0</v>
      </c>
      <c r="M162" s="32">
        <f t="shared" si="3"/>
        <v>0</v>
      </c>
      <c r="N162" s="32" t="s">
        <v>376</v>
      </c>
      <c r="O162" s="32">
        <v>100.0</v>
      </c>
      <c r="P162" s="50" t="str">
        <f t="shared" si="6"/>
        <v>PASSED</v>
      </c>
      <c r="Q162" s="50" t="str">
        <f t="shared" si="5"/>
        <v>WA</v>
      </c>
    </row>
    <row r="163" ht="22.5" customHeight="1">
      <c r="A163" s="26">
        <v>45726.0</v>
      </c>
      <c r="B163" s="32" t="s">
        <v>541</v>
      </c>
      <c r="C163" s="191" t="str">
        <f t="array" ref="C163">_xlfn.XLOOKUP(B163, DB[samplingPoint], DB[samplingTag])</f>
        <v>SV116.08</v>
      </c>
      <c r="D163" s="33" t="s">
        <v>59</v>
      </c>
      <c r="E163" s="39" t="str">
        <f t="array" ref="E163">_xlfn.XLOOKUP($B163, DB[samplingPoint], DB[noLocation])</f>
        <v>10-3-067</v>
      </c>
      <c r="F163" s="40" t="str">
        <f t="array" ref="F163">_xlfn.XLOOKUP($B163, DB[samplingPoint], DB[building])</f>
        <v>Building 10</v>
      </c>
      <c r="G163" s="40" t="str">
        <f t="array" ref="G163">_xlfn.XLOOKUP($B163, DB[samplingPoint], DB[location])</f>
        <v>COATING ROOM-6</v>
      </c>
      <c r="H163" s="40" t="str">
        <f t="array" ref="H163">_xlfn.XLOOKUP($B163, DB[samplingPoint], DB[waterType])</f>
        <v>PW</v>
      </c>
      <c r="I163" s="60">
        <f t="shared" si="1"/>
        <v>45727</v>
      </c>
      <c r="J163" s="192">
        <f t="shared" si="2"/>
        <v>45730</v>
      </c>
      <c r="K163" s="32">
        <v>2.0</v>
      </c>
      <c r="L163" s="32">
        <v>1.0</v>
      </c>
      <c r="M163" s="32">
        <f t="shared" si="3"/>
        <v>2</v>
      </c>
      <c r="N163" s="32" t="s">
        <v>376</v>
      </c>
      <c r="O163" s="32">
        <v>100.0</v>
      </c>
      <c r="P163" s="50" t="str">
        <f t="shared" si="6"/>
        <v>PASSED</v>
      </c>
      <c r="Q163" s="50" t="str">
        <f t="shared" si="5"/>
        <v>10</v>
      </c>
    </row>
    <row r="164" ht="22.5" customHeight="1">
      <c r="A164" s="26">
        <v>45726.0</v>
      </c>
      <c r="B164" s="32" t="s">
        <v>524</v>
      </c>
      <c r="C164" s="191" t="str">
        <f t="array" ref="C164">_xlfn.XLOOKUP(B164, DB[samplingPoint], DB[samplingTag])</f>
        <v>DV116.05</v>
      </c>
      <c r="D164" s="33" t="s">
        <v>59</v>
      </c>
      <c r="E164" s="39" t="str">
        <f t="array" ref="E164">_xlfn.XLOOKUP($B164, DB[samplingPoint], DB[noLocation])</f>
        <v>10-2-032</v>
      </c>
      <c r="F164" s="40" t="str">
        <f t="array" ref="F164">_xlfn.XLOOKUP($B164, DB[samplingPoint], DB[building])</f>
        <v>Building 10</v>
      </c>
      <c r="G164" s="40" t="str">
        <f t="array" ref="G164">_xlfn.XLOOKUP($B164, DB[samplingPoint], DB[location])</f>
        <v>GLASS-WARE WASHING</v>
      </c>
      <c r="H164" s="40" t="str">
        <f t="array" ref="H164">_xlfn.XLOOKUP($B164, DB[samplingPoint], DB[waterType])</f>
        <v>PW</v>
      </c>
      <c r="I164" s="60">
        <f t="shared" si="1"/>
        <v>45727</v>
      </c>
      <c r="J164" s="192">
        <f t="shared" si="2"/>
        <v>45730</v>
      </c>
      <c r="K164" s="32">
        <v>1.0</v>
      </c>
      <c r="L164" s="32">
        <v>0.0</v>
      </c>
      <c r="M164" s="32">
        <f t="shared" si="3"/>
        <v>1</v>
      </c>
      <c r="N164" s="32" t="s">
        <v>376</v>
      </c>
      <c r="O164" s="32">
        <v>100.0</v>
      </c>
      <c r="P164" s="50" t="str">
        <f t="shared" si="6"/>
        <v>PASSED</v>
      </c>
      <c r="Q164" s="50" t="str">
        <f t="shared" si="5"/>
        <v>10</v>
      </c>
    </row>
    <row r="165" ht="22.5" customHeight="1">
      <c r="A165" s="26">
        <v>45726.0</v>
      </c>
      <c r="B165" s="32" t="s">
        <v>538</v>
      </c>
      <c r="C165" s="191" t="str">
        <f t="array" ref="C165">_xlfn.XLOOKUP(B165, DB[samplingPoint], DB[samplingTag])</f>
        <v>SV116.06</v>
      </c>
      <c r="D165" s="33" t="s">
        <v>59</v>
      </c>
      <c r="E165" s="39" t="str">
        <f t="array" ref="E165">_xlfn.XLOOKUP($B165, DB[samplingPoint], DB[noLocation])</f>
        <v>10-3-063</v>
      </c>
      <c r="F165" s="40" t="str">
        <f t="array" ref="F165">_xlfn.XLOOKUP($B165, DB[samplingPoint], DB[building])</f>
        <v>Building 10</v>
      </c>
      <c r="G165" s="40" t="str">
        <f t="array" ref="G165">_xlfn.XLOOKUP($B165, DB[samplingPoint], DB[location])</f>
        <v>COATING ROOM-4</v>
      </c>
      <c r="H165" s="40" t="str">
        <f t="array" ref="H165">_xlfn.XLOOKUP($B165, DB[samplingPoint], DB[waterType])</f>
        <v>PW</v>
      </c>
      <c r="I165" s="60">
        <f t="shared" si="1"/>
        <v>45727</v>
      </c>
      <c r="J165" s="192">
        <f t="shared" si="2"/>
        <v>45730</v>
      </c>
      <c r="K165" s="32">
        <v>39.0</v>
      </c>
      <c r="L165" s="32">
        <v>43.0</v>
      </c>
      <c r="M165" s="32">
        <f t="shared" si="3"/>
        <v>41</v>
      </c>
      <c r="N165" s="32" t="s">
        <v>376</v>
      </c>
      <c r="O165" s="32">
        <v>100.0</v>
      </c>
      <c r="P165" s="50" t="str">
        <f t="shared" si="6"/>
        <v>PASSED</v>
      </c>
      <c r="Q165" s="50" t="str">
        <f t="shared" si="5"/>
        <v>10</v>
      </c>
    </row>
    <row r="166" ht="22.5" customHeight="1">
      <c r="A166" s="26">
        <v>45726.0</v>
      </c>
      <c r="B166" s="32" t="s">
        <v>536</v>
      </c>
      <c r="C166" s="191" t="str">
        <f t="array" ref="C166">_xlfn.XLOOKUP(B166, DB[samplingPoint], DB[samplingTag])</f>
        <v>SV116.05</v>
      </c>
      <c r="D166" s="33" t="s">
        <v>59</v>
      </c>
      <c r="E166" s="39" t="str">
        <f t="array" ref="E166">_xlfn.XLOOKUP($B166, DB[samplingPoint], DB[noLocation])</f>
        <v>10-3-062</v>
      </c>
      <c r="F166" s="40" t="str">
        <f t="array" ref="F166">_xlfn.XLOOKUP($B166, DB[samplingPoint], DB[building])</f>
        <v>Building 10</v>
      </c>
      <c r="G166" s="40" t="str">
        <f t="array" ref="G166">_xlfn.XLOOKUP($B166, DB[samplingPoint], DB[location])</f>
        <v>COATING ROOM-3</v>
      </c>
      <c r="H166" s="40" t="str">
        <f t="array" ref="H166">_xlfn.XLOOKUP($B166, DB[samplingPoint], DB[waterType])</f>
        <v>PW</v>
      </c>
      <c r="I166" s="60">
        <f t="shared" si="1"/>
        <v>45727</v>
      </c>
      <c r="J166" s="192">
        <f t="shared" si="2"/>
        <v>45730</v>
      </c>
      <c r="K166" s="32">
        <v>0.0</v>
      </c>
      <c r="L166" s="32">
        <v>0.0</v>
      </c>
      <c r="M166" s="32">
        <f t="shared" si="3"/>
        <v>0</v>
      </c>
      <c r="N166" s="32" t="s">
        <v>376</v>
      </c>
      <c r="O166" s="32">
        <v>100.0</v>
      </c>
      <c r="P166" s="50" t="str">
        <f t="shared" si="6"/>
        <v>PASSED</v>
      </c>
      <c r="Q166" s="50" t="str">
        <f t="shared" si="5"/>
        <v>10</v>
      </c>
    </row>
    <row r="167" ht="22.5" customHeight="1">
      <c r="A167" s="26">
        <v>45726.0</v>
      </c>
      <c r="B167" s="32" t="s">
        <v>522</v>
      </c>
      <c r="C167" s="191" t="str">
        <f t="array" ref="C167">_xlfn.XLOOKUP(B167, DB[samplingPoint], DB[samplingTag])</f>
        <v>DV116.04</v>
      </c>
      <c r="D167" s="33" t="s">
        <v>59</v>
      </c>
      <c r="E167" s="39" t="str">
        <f t="array" ref="E167">_xlfn.XLOOKUP($B167, DB[samplingPoint], DB[noLocation])</f>
        <v>10-2-037</v>
      </c>
      <c r="F167" s="40" t="str">
        <f t="array" ref="F167">_xlfn.XLOOKUP($B167, DB[samplingPoint], DB[building])</f>
        <v>Building 10</v>
      </c>
      <c r="G167" s="40" t="str">
        <f t="array" ref="G167">_xlfn.XLOOKUP($B167, DB[samplingPoint], DB[location])</f>
        <v>SKID FOR BIN WASHING-1</v>
      </c>
      <c r="H167" s="40" t="str">
        <f t="array" ref="H167">_xlfn.XLOOKUP($B167, DB[samplingPoint], DB[waterType])</f>
        <v>PW</v>
      </c>
      <c r="I167" s="60">
        <f t="shared" si="1"/>
        <v>45727</v>
      </c>
      <c r="J167" s="192">
        <f t="shared" si="2"/>
        <v>45730</v>
      </c>
      <c r="K167" s="32">
        <v>0.0</v>
      </c>
      <c r="L167" s="32">
        <v>0.0</v>
      </c>
      <c r="M167" s="32">
        <f t="shared" si="3"/>
        <v>0</v>
      </c>
      <c r="N167" s="32" t="s">
        <v>376</v>
      </c>
      <c r="O167" s="32">
        <v>100.0</v>
      </c>
      <c r="P167" s="50" t="str">
        <f t="shared" si="6"/>
        <v>PASSED</v>
      </c>
      <c r="Q167" s="50" t="str">
        <f t="shared" si="5"/>
        <v>10</v>
      </c>
    </row>
    <row r="168" ht="22.5" customHeight="1">
      <c r="A168" s="26">
        <v>45726.0</v>
      </c>
      <c r="B168" s="32" t="s">
        <v>528</v>
      </c>
      <c r="C168" s="191" t="str">
        <f t="array" ref="C168">_xlfn.XLOOKUP(B168, DB[samplingPoint], DB[samplingTag])</f>
        <v>DV116.08</v>
      </c>
      <c r="D168" s="33" t="s">
        <v>59</v>
      </c>
      <c r="E168" s="39" t="str">
        <f t="array" ref="E168">_xlfn.XLOOKUP($B168, DB[samplingPoint], DB[noLocation])</f>
        <v>10-3-059</v>
      </c>
      <c r="F168" s="40" t="str">
        <f t="array" ref="F168">_xlfn.XLOOKUP($B168, DB[samplingPoint], DB[building])</f>
        <v>Building 10</v>
      </c>
      <c r="G168" s="40" t="str">
        <f t="array" ref="G168">_xlfn.XLOOKUP($B168, DB[samplingPoint], DB[location])</f>
        <v>COATING SOLUTION PREP.-1</v>
      </c>
      <c r="H168" s="40" t="str">
        <f t="array" ref="H168">_xlfn.XLOOKUP($B168, DB[samplingPoint], DB[waterType])</f>
        <v>PW</v>
      </c>
      <c r="I168" s="60">
        <f t="shared" si="1"/>
        <v>45727</v>
      </c>
      <c r="J168" s="192">
        <f t="shared" si="2"/>
        <v>45730</v>
      </c>
      <c r="K168" s="32">
        <v>0.0</v>
      </c>
      <c r="L168" s="32">
        <v>0.0</v>
      </c>
      <c r="M168" s="32">
        <f t="shared" si="3"/>
        <v>0</v>
      </c>
      <c r="N168" s="32" t="s">
        <v>376</v>
      </c>
      <c r="O168" s="32">
        <v>100.0</v>
      </c>
      <c r="P168" s="50" t="str">
        <f t="shared" si="6"/>
        <v>PASSED</v>
      </c>
      <c r="Q168" s="50" t="str">
        <f t="shared" si="5"/>
        <v>10</v>
      </c>
    </row>
    <row r="169" ht="22.5" customHeight="1">
      <c r="A169" s="26">
        <v>45726.0</v>
      </c>
      <c r="B169" s="32" t="s">
        <v>534</v>
      </c>
      <c r="C169" s="191" t="str">
        <f t="array" ref="C169">_xlfn.XLOOKUP(B169, DB[samplingPoint], DB[samplingTag])</f>
        <v>SV116.03</v>
      </c>
      <c r="D169" s="33" t="s">
        <v>59</v>
      </c>
      <c r="E169" s="39" t="str">
        <f t="array" ref="E169">_xlfn.XLOOKUP($B169, DB[samplingPoint], DB[noLocation])</f>
        <v>10-3-058</v>
      </c>
      <c r="F169" s="40" t="str">
        <f t="array" ref="F169">_xlfn.XLOOKUP($B169, DB[samplingPoint], DB[building])</f>
        <v>Building 10</v>
      </c>
      <c r="G169" s="40" t="str">
        <f t="array" ref="G169">_xlfn.XLOOKUP($B169, DB[samplingPoint], DB[location])</f>
        <v>COATING ROOM-1</v>
      </c>
      <c r="H169" s="40" t="str">
        <f t="array" ref="H169">_xlfn.XLOOKUP($B169, DB[samplingPoint], DB[waterType])</f>
        <v>PW</v>
      </c>
      <c r="I169" s="60">
        <f t="shared" si="1"/>
        <v>45727</v>
      </c>
      <c r="J169" s="192">
        <f t="shared" si="2"/>
        <v>45730</v>
      </c>
      <c r="K169" s="32">
        <v>0.0</v>
      </c>
      <c r="L169" s="32">
        <v>0.0</v>
      </c>
      <c r="M169" s="32">
        <f t="shared" si="3"/>
        <v>0</v>
      </c>
      <c r="N169" s="32" t="s">
        <v>376</v>
      </c>
      <c r="O169" s="32">
        <v>100.0</v>
      </c>
      <c r="P169" s="50" t="str">
        <f t="shared" si="6"/>
        <v>PASSED</v>
      </c>
      <c r="Q169" s="50" t="str">
        <f t="shared" si="5"/>
        <v>10</v>
      </c>
    </row>
    <row r="170" ht="22.5" customHeight="1">
      <c r="A170" s="26">
        <v>45726.0</v>
      </c>
      <c r="B170" s="32" t="s">
        <v>520</v>
      </c>
      <c r="C170" s="191" t="str">
        <f t="array" ref="C170">_xlfn.XLOOKUP(B170, DB[samplingPoint], DB[samplingTag])</f>
        <v>DV116.03</v>
      </c>
      <c r="D170" s="33" t="s">
        <v>59</v>
      </c>
      <c r="E170" s="39" t="str">
        <f t="array" ref="E170">_xlfn.XLOOKUP($B170, DB[samplingPoint], DB[noLocation])</f>
        <v>10-2-034</v>
      </c>
      <c r="F170" s="40" t="str">
        <f t="array" ref="F170">_xlfn.XLOOKUP($B170, DB[samplingPoint], DB[building])</f>
        <v>Building 10</v>
      </c>
      <c r="G170" s="40" t="str">
        <f t="array" ref="G170">_xlfn.XLOOKUP($B170, DB[samplingPoint], DB[location])</f>
        <v>SAMPLE PREPARATION</v>
      </c>
      <c r="H170" s="40" t="str">
        <f t="array" ref="H170">_xlfn.XLOOKUP($B170, DB[samplingPoint], DB[waterType])</f>
        <v>PW</v>
      </c>
      <c r="I170" s="60">
        <f t="shared" si="1"/>
        <v>45727</v>
      </c>
      <c r="J170" s="192">
        <f t="shared" si="2"/>
        <v>45730</v>
      </c>
      <c r="K170" s="32">
        <v>0.0</v>
      </c>
      <c r="L170" s="32">
        <v>0.0</v>
      </c>
      <c r="M170" s="32">
        <f t="shared" si="3"/>
        <v>0</v>
      </c>
      <c r="N170" s="32" t="s">
        <v>376</v>
      </c>
      <c r="O170" s="32">
        <v>100.0</v>
      </c>
      <c r="P170" s="50" t="str">
        <f t="shared" si="6"/>
        <v>PASSED</v>
      </c>
      <c r="Q170" s="50" t="str">
        <f t="shared" si="5"/>
        <v>10</v>
      </c>
    </row>
    <row r="171" ht="22.5" customHeight="1">
      <c r="A171" s="26">
        <v>45726.0</v>
      </c>
      <c r="B171" s="32" t="s">
        <v>526</v>
      </c>
      <c r="C171" s="191" t="str">
        <f t="array" ref="C171">_xlfn.XLOOKUP(B171, DB[samplingPoint], DB[samplingTag])</f>
        <v>DV116.06</v>
      </c>
      <c r="D171" s="33" t="s">
        <v>59</v>
      </c>
      <c r="E171" s="39" t="str">
        <f t="array" ref="E171">_xlfn.XLOOKUP($B171, DB[samplingPoint], DB[noLocation])</f>
        <v>10-2-034</v>
      </c>
      <c r="F171" s="40" t="str">
        <f t="array" ref="F171">_xlfn.XLOOKUP($B171, DB[samplingPoint], DB[building])</f>
        <v>Building 10</v>
      </c>
      <c r="G171" s="40" t="str">
        <f t="array" ref="G171">_xlfn.XLOOKUP($B171, DB[samplingPoint], DB[location])</f>
        <v>SAMPLE PREPARATION</v>
      </c>
      <c r="H171" s="40" t="str">
        <f t="array" ref="H171">_xlfn.XLOOKUP($B171, DB[samplingPoint], DB[waterType])</f>
        <v>PW</v>
      </c>
      <c r="I171" s="60">
        <f t="shared" si="1"/>
        <v>45727</v>
      </c>
      <c r="J171" s="192">
        <f t="shared" si="2"/>
        <v>45730</v>
      </c>
      <c r="K171" s="32">
        <v>0.0</v>
      </c>
      <c r="L171" s="32">
        <v>0.0</v>
      </c>
      <c r="M171" s="32">
        <f t="shared" si="3"/>
        <v>0</v>
      </c>
      <c r="N171" s="32" t="s">
        <v>376</v>
      </c>
      <c r="O171" s="32">
        <v>100.0</v>
      </c>
      <c r="P171" s="50" t="str">
        <f t="shared" si="6"/>
        <v>PASSED</v>
      </c>
      <c r="Q171" s="50" t="str">
        <f t="shared" si="5"/>
        <v>10</v>
      </c>
    </row>
    <row r="172" ht="22.5" customHeight="1">
      <c r="A172" s="26">
        <v>45726.0</v>
      </c>
      <c r="B172" s="32" t="s">
        <v>527</v>
      </c>
      <c r="C172" s="191" t="str">
        <f t="array" ref="C172">_xlfn.XLOOKUP(B172, DB[samplingPoint], DB[samplingTag])</f>
        <v>DV116.07</v>
      </c>
      <c r="D172" s="33" t="s">
        <v>59</v>
      </c>
      <c r="E172" s="39" t="str">
        <f t="array" ref="E172">_xlfn.XLOOKUP($B172, DB[samplingPoint], DB[noLocation])</f>
        <v>10-2-032</v>
      </c>
      <c r="F172" s="40" t="str">
        <f t="array" ref="F172">_xlfn.XLOOKUP($B172, DB[samplingPoint], DB[building])</f>
        <v>Building 10</v>
      </c>
      <c r="G172" s="40" t="str">
        <f t="array" ref="G172">_xlfn.XLOOKUP($B172, DB[samplingPoint], DB[location])</f>
        <v>GLASS-WARE WASHING</v>
      </c>
      <c r="H172" s="40" t="str">
        <f t="array" ref="H172">_xlfn.XLOOKUP($B172, DB[samplingPoint], DB[waterType])</f>
        <v>PW</v>
      </c>
      <c r="I172" s="60">
        <f t="shared" si="1"/>
        <v>45727</v>
      </c>
      <c r="J172" s="192">
        <f t="shared" si="2"/>
        <v>45730</v>
      </c>
      <c r="K172" s="32">
        <v>0.0</v>
      </c>
      <c r="L172" s="32">
        <v>0.0</v>
      </c>
      <c r="M172" s="32">
        <f t="shared" si="3"/>
        <v>0</v>
      </c>
      <c r="N172" s="32" t="s">
        <v>376</v>
      </c>
      <c r="O172" s="32">
        <v>100.0</v>
      </c>
      <c r="P172" s="50" t="str">
        <f t="shared" si="6"/>
        <v>PASSED</v>
      </c>
      <c r="Q172" s="50" t="str">
        <f t="shared" si="5"/>
        <v>10</v>
      </c>
    </row>
    <row r="173" ht="22.5" customHeight="1">
      <c r="A173" s="26">
        <v>45726.0</v>
      </c>
      <c r="B173" s="32" t="s">
        <v>531</v>
      </c>
      <c r="C173" s="191" t="str">
        <f t="array" ref="C173">_xlfn.XLOOKUP(B173, DB[samplingPoint], DB[samplingTag])</f>
        <v>DV116.10</v>
      </c>
      <c r="D173" s="33" t="s">
        <v>59</v>
      </c>
      <c r="E173" s="39" t="str">
        <f t="array" ref="E173">_xlfn.XLOOKUP($B173, DB[samplingPoint], DB[noLocation])</f>
        <v>10-3-065</v>
      </c>
      <c r="F173" s="40" t="str">
        <f t="array" ref="F173">_xlfn.XLOOKUP($B173, DB[samplingPoint], DB[building])</f>
        <v>Building 10</v>
      </c>
      <c r="G173" s="40" t="str">
        <f t="array" ref="G173">_xlfn.XLOOKUP($B173, DB[samplingPoint], DB[location])</f>
        <v>COATING SOLUTION PREP.-3</v>
      </c>
      <c r="H173" s="40" t="str">
        <f t="array" ref="H173">_xlfn.XLOOKUP($B173, DB[samplingPoint], DB[waterType])</f>
        <v>PW</v>
      </c>
      <c r="I173" s="60">
        <f t="shared" si="1"/>
        <v>45727</v>
      </c>
      <c r="J173" s="192">
        <f t="shared" si="2"/>
        <v>45730</v>
      </c>
      <c r="K173" s="32">
        <v>1.0</v>
      </c>
      <c r="L173" s="32">
        <v>1.0</v>
      </c>
      <c r="M173" s="32">
        <f t="shared" si="3"/>
        <v>1</v>
      </c>
      <c r="N173" s="32" t="s">
        <v>376</v>
      </c>
      <c r="O173" s="32">
        <v>100.0</v>
      </c>
      <c r="P173" s="50" t="str">
        <f t="shared" si="6"/>
        <v>PASSED</v>
      </c>
      <c r="Q173" s="50" t="str">
        <f t="shared" si="5"/>
        <v>10</v>
      </c>
    </row>
    <row r="174" ht="22.5" customHeight="1">
      <c r="A174" s="26">
        <v>45726.0</v>
      </c>
      <c r="B174" s="32" t="s">
        <v>532</v>
      </c>
      <c r="C174" s="191" t="str">
        <f t="array" ref="C174">_xlfn.XLOOKUP(B174, DB[samplingPoint], DB[samplingTag])</f>
        <v>DV116.11</v>
      </c>
      <c r="D174" s="33" t="s">
        <v>59</v>
      </c>
      <c r="E174" s="39" t="str">
        <f t="array" ref="E174">_xlfn.XLOOKUP($B174, DB[samplingPoint], DB[noLocation])</f>
        <v>10-3-066</v>
      </c>
      <c r="F174" s="40" t="str">
        <f t="array" ref="F174">_xlfn.XLOOKUP($B174, DB[samplingPoint], DB[building])</f>
        <v>Building 10</v>
      </c>
      <c r="G174" s="40" t="str">
        <f t="array" ref="G174">_xlfn.XLOOKUP($B174, DB[samplingPoint], DB[location])</f>
        <v>COATING SOLUTION PREP.-4</v>
      </c>
      <c r="H174" s="40" t="str">
        <f t="array" ref="H174">_xlfn.XLOOKUP($B174, DB[samplingPoint], DB[waterType])</f>
        <v>PW</v>
      </c>
      <c r="I174" s="60">
        <f t="shared" si="1"/>
        <v>45727</v>
      </c>
      <c r="J174" s="192">
        <f t="shared" si="2"/>
        <v>45730</v>
      </c>
      <c r="K174" s="32">
        <v>0.0</v>
      </c>
      <c r="L174" s="32">
        <v>0.0</v>
      </c>
      <c r="M174" s="32">
        <f t="shared" si="3"/>
        <v>0</v>
      </c>
      <c r="N174" s="32" t="s">
        <v>376</v>
      </c>
      <c r="O174" s="32">
        <v>100.0</v>
      </c>
      <c r="P174" s="50" t="str">
        <f t="shared" si="6"/>
        <v>PASSED</v>
      </c>
      <c r="Q174" s="50" t="str">
        <f t="shared" si="5"/>
        <v>10</v>
      </c>
    </row>
    <row r="175" ht="22.5" customHeight="1">
      <c r="A175" s="26">
        <v>45726.0</v>
      </c>
      <c r="B175" s="32" t="s">
        <v>529</v>
      </c>
      <c r="C175" s="191" t="str">
        <f t="array" ref="C175">_xlfn.XLOOKUP(B175, DB[samplingPoint], DB[samplingTag])</f>
        <v>DV116.09</v>
      </c>
      <c r="D175" s="33" t="s">
        <v>59</v>
      </c>
      <c r="E175" s="39" t="str">
        <f t="array" ref="E175">_xlfn.XLOOKUP($B175, DB[samplingPoint], DB[noLocation])</f>
        <v>10-3-060</v>
      </c>
      <c r="F175" s="40" t="str">
        <f t="array" ref="F175">_xlfn.XLOOKUP($B175, DB[samplingPoint], DB[building])</f>
        <v>Building 10</v>
      </c>
      <c r="G175" s="40" t="str">
        <f t="array" ref="G175">_xlfn.XLOOKUP($B175, DB[samplingPoint], DB[location])</f>
        <v>COATING SOLUTION PREP.-2</v>
      </c>
      <c r="H175" s="40" t="str">
        <f t="array" ref="H175">_xlfn.XLOOKUP($B175, DB[samplingPoint], DB[waterType])</f>
        <v>PW</v>
      </c>
      <c r="I175" s="60">
        <f t="shared" si="1"/>
        <v>45727</v>
      </c>
      <c r="J175" s="192">
        <f t="shared" si="2"/>
        <v>45730</v>
      </c>
      <c r="K175" s="32">
        <v>0.0</v>
      </c>
      <c r="L175" s="32">
        <v>0.0</v>
      </c>
      <c r="M175" s="32">
        <f t="shared" si="3"/>
        <v>0</v>
      </c>
      <c r="N175" s="32" t="s">
        <v>376</v>
      </c>
      <c r="O175" s="32">
        <v>100.0</v>
      </c>
      <c r="P175" s="50" t="str">
        <f t="shared" si="6"/>
        <v>PASSED</v>
      </c>
      <c r="Q175" s="50" t="str">
        <f t="shared" si="5"/>
        <v>10</v>
      </c>
    </row>
    <row r="176" ht="22.5" customHeight="1">
      <c r="A176" s="26">
        <v>45726.0</v>
      </c>
      <c r="B176" s="32" t="s">
        <v>539</v>
      </c>
      <c r="C176" s="191" t="str">
        <f t="array" ref="C176">_xlfn.XLOOKUP(B176, DB[samplingPoint], DB[samplingTag])</f>
        <v>SV116.07</v>
      </c>
      <c r="D176" s="33" t="s">
        <v>59</v>
      </c>
      <c r="E176" s="39" t="str">
        <f t="array" ref="E176">_xlfn.XLOOKUP($B176, DB[samplingPoint], DB[noLocation])</f>
        <v>10-3-064</v>
      </c>
      <c r="F176" s="40" t="str">
        <f t="array" ref="F176">_xlfn.XLOOKUP($B176, DB[samplingPoint], DB[building])</f>
        <v>Building 10</v>
      </c>
      <c r="G176" s="40" t="str">
        <f t="array" ref="G176">_xlfn.XLOOKUP($B176, DB[samplingPoint], DB[location])</f>
        <v>COATING ROOM-5</v>
      </c>
      <c r="H176" s="40" t="str">
        <f t="array" ref="H176">_xlfn.XLOOKUP($B176, DB[samplingPoint], DB[waterType])</f>
        <v>PW</v>
      </c>
      <c r="I176" s="60">
        <f t="shared" si="1"/>
        <v>45727</v>
      </c>
      <c r="J176" s="192">
        <f t="shared" si="2"/>
        <v>45730</v>
      </c>
      <c r="K176" s="32">
        <v>0.0</v>
      </c>
      <c r="L176" s="32">
        <v>0.0</v>
      </c>
      <c r="M176" s="32">
        <f t="shared" si="3"/>
        <v>0</v>
      </c>
      <c r="N176" s="32" t="s">
        <v>376</v>
      </c>
      <c r="O176" s="32">
        <v>100.0</v>
      </c>
      <c r="P176" s="50" t="str">
        <f t="shared" si="6"/>
        <v>PASSED</v>
      </c>
      <c r="Q176" s="50" t="str">
        <f t="shared" si="5"/>
        <v>10</v>
      </c>
    </row>
    <row r="177" ht="22.5" customHeight="1">
      <c r="A177" s="26">
        <v>45726.0</v>
      </c>
      <c r="B177" s="32" t="s">
        <v>535</v>
      </c>
      <c r="C177" s="191" t="str">
        <f t="array" ref="C177">_xlfn.XLOOKUP(B177, DB[samplingPoint], DB[samplingTag])</f>
        <v>SV116.04</v>
      </c>
      <c r="D177" s="33" t="s">
        <v>59</v>
      </c>
      <c r="E177" s="39" t="str">
        <f t="array" ref="E177">_xlfn.XLOOKUP($B177, DB[samplingPoint], DB[noLocation])</f>
        <v>10-3-061</v>
      </c>
      <c r="F177" s="40" t="str">
        <f t="array" ref="F177">_xlfn.XLOOKUP($B177, DB[samplingPoint], DB[building])</f>
        <v>Building 10</v>
      </c>
      <c r="G177" s="40" t="str">
        <f t="array" ref="G177">_xlfn.XLOOKUP($B177, DB[samplingPoint], DB[location])</f>
        <v>COATING ROOM-2</v>
      </c>
      <c r="H177" s="40" t="str">
        <f t="array" ref="H177">_xlfn.XLOOKUP($B177, DB[samplingPoint], DB[waterType])</f>
        <v>PW</v>
      </c>
      <c r="I177" s="60">
        <f t="shared" si="1"/>
        <v>45727</v>
      </c>
      <c r="J177" s="192">
        <f t="shared" si="2"/>
        <v>45730</v>
      </c>
      <c r="K177" s="32">
        <v>0.0</v>
      </c>
      <c r="L177" s="32">
        <v>0.0</v>
      </c>
      <c r="M177" s="32">
        <f t="shared" si="3"/>
        <v>0</v>
      </c>
      <c r="N177" s="32" t="s">
        <v>376</v>
      </c>
      <c r="O177" s="32">
        <v>100.0</v>
      </c>
      <c r="P177" s="50" t="str">
        <f t="shared" si="6"/>
        <v>PASSED</v>
      </c>
      <c r="Q177" s="50" t="str">
        <f t="shared" si="5"/>
        <v>10</v>
      </c>
    </row>
    <row r="178" ht="22.5" customHeight="1">
      <c r="A178" s="26">
        <v>45726.0</v>
      </c>
      <c r="B178" s="32" t="s">
        <v>498</v>
      </c>
      <c r="C178" s="191" t="str">
        <f t="array" ref="C178">_xlfn.XLOOKUP(B178, DB[samplingPoint], DB[samplingTag])</f>
        <v>SV116.02</v>
      </c>
      <c r="D178" s="33" t="s">
        <v>59</v>
      </c>
      <c r="E178" s="39" t="str">
        <f t="array" ref="E178">_xlfn.XLOOKUP($B178, DB[samplingPoint], DB[noLocation])</f>
        <v>10-2-037</v>
      </c>
      <c r="F178" s="40" t="str">
        <f t="array" ref="F178">_xlfn.XLOOKUP($B178, DB[samplingPoint], DB[building])</f>
        <v>Building 10</v>
      </c>
      <c r="G178" s="40" t="str">
        <f t="array" ref="G178">_xlfn.XLOOKUP($B178, DB[samplingPoint], DB[location])</f>
        <v>SKID FOR BIN WASHING-2</v>
      </c>
      <c r="H178" s="40" t="str">
        <f t="array" ref="H178">_xlfn.XLOOKUP($B178, DB[samplingPoint], DB[waterType])</f>
        <v>PW</v>
      </c>
      <c r="I178" s="60">
        <f t="shared" si="1"/>
        <v>45727</v>
      </c>
      <c r="J178" s="192">
        <f t="shared" si="2"/>
        <v>45730</v>
      </c>
      <c r="K178" s="32">
        <v>0.0</v>
      </c>
      <c r="L178" s="32">
        <v>0.0</v>
      </c>
      <c r="M178" s="32">
        <f t="shared" si="3"/>
        <v>0</v>
      </c>
      <c r="N178" s="32" t="s">
        <v>983</v>
      </c>
      <c r="O178" s="32">
        <v>100.0</v>
      </c>
      <c r="P178" s="50" t="str">
        <f t="shared" si="6"/>
        <v>PASSED</v>
      </c>
      <c r="Q178" s="50" t="str">
        <f t="shared" si="5"/>
        <v>10</v>
      </c>
    </row>
    <row r="179" ht="22.5" customHeight="1">
      <c r="A179" s="26">
        <v>45726.0</v>
      </c>
      <c r="B179" s="32" t="s">
        <v>498</v>
      </c>
      <c r="C179" s="191" t="str">
        <f t="array" ref="C179">_xlfn.XLOOKUP(B179, DB[samplingPoint], DB[samplingTag])</f>
        <v>SV116.02</v>
      </c>
      <c r="D179" s="33" t="s">
        <v>59</v>
      </c>
      <c r="E179" s="39" t="str">
        <f t="array" ref="E179">_xlfn.XLOOKUP($B179, DB[samplingPoint], DB[noLocation])</f>
        <v>10-2-037</v>
      </c>
      <c r="F179" s="40" t="str">
        <f t="array" ref="F179">_xlfn.XLOOKUP($B179, DB[samplingPoint], DB[building])</f>
        <v>Building 10</v>
      </c>
      <c r="G179" s="40" t="str">
        <f t="array" ref="G179">_xlfn.XLOOKUP($B179, DB[samplingPoint], DB[location])</f>
        <v>SKID FOR BIN WASHING-2</v>
      </c>
      <c r="H179" s="40" t="str">
        <f t="array" ref="H179">_xlfn.XLOOKUP($B179, DB[samplingPoint], DB[waterType])</f>
        <v>PW</v>
      </c>
      <c r="I179" s="60">
        <f t="shared" si="1"/>
        <v>45727</v>
      </c>
      <c r="J179" s="192">
        <f t="shared" si="2"/>
        <v>45730</v>
      </c>
      <c r="K179" s="32">
        <v>0.0</v>
      </c>
      <c r="L179" s="32">
        <v>0.0</v>
      </c>
      <c r="M179" s="32">
        <f t="shared" si="3"/>
        <v>0</v>
      </c>
      <c r="N179" s="32" t="s">
        <v>982</v>
      </c>
      <c r="O179" s="32">
        <v>100.0</v>
      </c>
      <c r="P179" s="50" t="str">
        <f t="shared" si="6"/>
        <v>PASSED</v>
      </c>
      <c r="Q179" s="50" t="str">
        <f t="shared" si="5"/>
        <v>10</v>
      </c>
    </row>
    <row r="180" ht="22.5" customHeight="1">
      <c r="A180" s="26">
        <v>45726.0</v>
      </c>
      <c r="B180" s="32" t="s">
        <v>380</v>
      </c>
      <c r="C180" s="191" t="str">
        <f t="array" ref="C180">_xlfn.XLOOKUP(B180, DB[samplingPoint], DB[samplingTag])</f>
        <v>SV113.01</v>
      </c>
      <c r="D180" s="33" t="s">
        <v>59</v>
      </c>
      <c r="E180" s="39" t="str">
        <f t="array" ref="E180">_xlfn.XLOOKUP($B180, DB[samplingPoint], DB[noLocation])</f>
        <v>WATER SYSTEM (B10)</v>
      </c>
      <c r="F180" s="40" t="str">
        <f t="array" ref="F180">_xlfn.XLOOKUP($B180, DB[samplingPoint], DB[building])</f>
        <v>Building 10</v>
      </c>
      <c r="G180" s="40" t="str">
        <f t="array" ref="G180">_xlfn.XLOOKUP($B180, DB[samplingPoint], DB[location])</f>
        <v>After Storage tank (B10)</v>
      </c>
      <c r="H180" s="40" t="str">
        <f t="array" ref="H180">_xlfn.XLOOKUP($B180, DB[samplingPoint], DB[waterType])</f>
        <v>PW</v>
      </c>
      <c r="I180" s="60">
        <f t="shared" si="1"/>
        <v>45727</v>
      </c>
      <c r="J180" s="192">
        <f t="shared" si="2"/>
        <v>45730</v>
      </c>
      <c r="K180" s="32">
        <v>0.0</v>
      </c>
      <c r="L180" s="32">
        <v>0.0</v>
      </c>
      <c r="M180" s="32">
        <f t="shared" si="3"/>
        <v>0</v>
      </c>
      <c r="N180" s="32" t="s">
        <v>376</v>
      </c>
      <c r="O180" s="32">
        <v>100.0</v>
      </c>
      <c r="P180" s="50" t="str">
        <f t="shared" si="6"/>
        <v>PASSED</v>
      </c>
      <c r="Q180" s="50" t="str">
        <f t="shared" si="5"/>
        <v>WA</v>
      </c>
    </row>
    <row r="181" ht="22.5" customHeight="1">
      <c r="A181" s="26">
        <v>45726.0</v>
      </c>
      <c r="B181" s="32" t="s">
        <v>385</v>
      </c>
      <c r="C181" s="191" t="str">
        <f t="array" ref="C181">_xlfn.XLOOKUP(B181, DB[samplingPoint], DB[samplingTag])</f>
        <v>SV115.02</v>
      </c>
      <c r="D181" s="33" t="s">
        <v>59</v>
      </c>
      <c r="E181" s="39" t="str">
        <f t="array" ref="E181">_xlfn.XLOOKUP($B181, DB[samplingPoint], DB[noLocation])</f>
        <v>WATER SYSTEM (B10)</v>
      </c>
      <c r="F181" s="40" t="str">
        <f t="array" ref="F181">_xlfn.XLOOKUP($B181, DB[samplingPoint], DB[building])</f>
        <v>Building 10</v>
      </c>
      <c r="G181" s="40" t="str">
        <f t="array" ref="G181">_xlfn.XLOOKUP($B181, DB[samplingPoint], DB[location])</f>
        <v>After UV (B10)</v>
      </c>
      <c r="H181" s="40" t="str">
        <f t="array" ref="H181">_xlfn.XLOOKUP($B181, DB[samplingPoint], DB[waterType])</f>
        <v>PW</v>
      </c>
      <c r="I181" s="60">
        <f t="shared" si="1"/>
        <v>45727</v>
      </c>
      <c r="J181" s="192">
        <f t="shared" si="2"/>
        <v>45730</v>
      </c>
      <c r="K181" s="32">
        <v>0.0</v>
      </c>
      <c r="L181" s="32">
        <v>0.0</v>
      </c>
      <c r="M181" s="32">
        <f t="shared" si="3"/>
        <v>0</v>
      </c>
      <c r="N181" s="32" t="s">
        <v>376</v>
      </c>
      <c r="O181" s="32">
        <v>100.0</v>
      </c>
      <c r="P181" s="50" t="str">
        <f t="shared" si="6"/>
        <v>PASSED</v>
      </c>
      <c r="Q181" s="50" t="str">
        <f t="shared" si="5"/>
        <v>WA</v>
      </c>
    </row>
    <row r="182" ht="22.5" customHeight="1">
      <c r="A182" s="26">
        <v>45726.0</v>
      </c>
      <c r="B182" s="32" t="s">
        <v>390</v>
      </c>
      <c r="C182" s="191" t="str">
        <f t="array" ref="C182">_xlfn.XLOOKUP(B182, DB[samplingPoint], DB[samplingTag])</f>
        <v>SV117.01</v>
      </c>
      <c r="D182" s="33" t="s">
        <v>59</v>
      </c>
      <c r="E182" s="39" t="str">
        <f t="array" ref="E182">_xlfn.XLOOKUP($B182, DB[samplingPoint], DB[noLocation])</f>
        <v>WATER SYSTEM (B10)</v>
      </c>
      <c r="F182" s="40" t="str">
        <f t="array" ref="F182">_xlfn.XLOOKUP($B182, DB[samplingPoint], DB[building])</f>
        <v>Building 10</v>
      </c>
      <c r="G182" s="40" t="str">
        <f t="array" ref="G182">_xlfn.XLOOKUP($B182, DB[samplingPoint], DB[location])</f>
        <v>Return loop (B10)</v>
      </c>
      <c r="H182" s="40" t="str">
        <f t="array" ref="H182">_xlfn.XLOOKUP($B182, DB[samplingPoint], DB[waterType])</f>
        <v>PW</v>
      </c>
      <c r="I182" s="60">
        <f t="shared" si="1"/>
        <v>45727</v>
      </c>
      <c r="J182" s="192">
        <f t="shared" si="2"/>
        <v>45730</v>
      </c>
      <c r="K182" s="32">
        <v>0.0</v>
      </c>
      <c r="L182" s="32">
        <v>0.0</v>
      </c>
      <c r="M182" s="32">
        <f t="shared" si="3"/>
        <v>0</v>
      </c>
      <c r="N182" s="32" t="s">
        <v>376</v>
      </c>
      <c r="O182" s="32">
        <v>100.0</v>
      </c>
      <c r="P182" s="50" t="str">
        <f t="shared" si="6"/>
        <v>PASSED</v>
      </c>
      <c r="Q182" s="50" t="str">
        <f t="shared" si="5"/>
        <v>WA</v>
      </c>
    </row>
    <row r="183" ht="22.5" customHeight="1">
      <c r="A183" s="26">
        <v>45737.0</v>
      </c>
      <c r="B183" s="32" t="s">
        <v>349</v>
      </c>
      <c r="C183" s="191" t="str">
        <f t="array" ref="C183">_xlfn.XLOOKUP(B183, DB[samplingPoint], DB[samplingTag])</f>
        <v>VB-05(10)</v>
      </c>
      <c r="D183" s="33" t="s">
        <v>59</v>
      </c>
      <c r="E183" s="39" t="str">
        <f t="array" ref="E183">_xlfn.XLOOKUP($B183, DB[samplingPoint], DB[noLocation])</f>
        <v>WATER SYSTEM (B10)</v>
      </c>
      <c r="F183" s="40" t="str">
        <f t="array" ref="F183">_xlfn.XLOOKUP($B183, DB[samplingPoint], DB[building])</f>
        <v>Building 10</v>
      </c>
      <c r="G183" s="40" t="str">
        <f t="array" ref="G183">_xlfn.XLOOKUP($B183, DB[samplingPoint], DB[location])</f>
        <v>After Chlorine circulation tank (B10)</v>
      </c>
      <c r="H183" s="40" t="str">
        <f t="array" ref="H183">_xlfn.XLOOKUP($B183, DB[samplingPoint], DB[waterType])</f>
        <v>PRW</v>
      </c>
      <c r="I183" s="60">
        <f t="shared" si="1"/>
        <v>45738</v>
      </c>
      <c r="J183" s="192">
        <f t="shared" si="2"/>
        <v>45741</v>
      </c>
      <c r="K183" s="32">
        <v>0.0</v>
      </c>
      <c r="L183" s="32">
        <v>0.0</v>
      </c>
      <c r="M183" s="32">
        <f t="shared" si="3"/>
        <v>0</v>
      </c>
      <c r="N183" s="32" t="s">
        <v>376</v>
      </c>
      <c r="O183" s="32">
        <v>500.0</v>
      </c>
      <c r="P183" s="50" t="str">
        <f t="shared" si="6"/>
        <v>PASSED</v>
      </c>
      <c r="Q183" s="50" t="str">
        <f t="shared" si="5"/>
        <v>WA</v>
      </c>
    </row>
    <row r="184" ht="22.5" customHeight="1">
      <c r="A184" s="26">
        <v>45737.0</v>
      </c>
      <c r="B184" s="32" t="s">
        <v>366</v>
      </c>
      <c r="C184" s="191" t="str">
        <f t="array" ref="C184">_xlfn.XLOOKUP(B184, DB[samplingPoint], DB[samplingTag])</f>
        <v>V50-61(10)</v>
      </c>
      <c r="D184" s="33" t="s">
        <v>59</v>
      </c>
      <c r="E184" s="39" t="str">
        <f t="array" ref="E184">_xlfn.XLOOKUP($B184, DB[samplingPoint], DB[noLocation])</f>
        <v>WATER SYSTEM (B10)</v>
      </c>
      <c r="F184" s="40" t="str">
        <f t="array" ref="F184">_xlfn.XLOOKUP($B184, DB[samplingPoint], DB[building])</f>
        <v>Building 10</v>
      </c>
      <c r="G184" s="40" t="str">
        <f t="array" ref="G184">_xlfn.XLOOKUP($B184, DB[samplingPoint], DB[location])</f>
        <v>After Cartridge filter 5 µm (B10)</v>
      </c>
      <c r="H184" s="40" t="str">
        <f t="array" ref="H184">_xlfn.XLOOKUP($B184, DB[samplingPoint], DB[waterType])</f>
        <v>PRW</v>
      </c>
      <c r="I184" s="60">
        <f t="shared" si="1"/>
        <v>45738</v>
      </c>
      <c r="J184" s="192">
        <f t="shared" si="2"/>
        <v>45741</v>
      </c>
      <c r="K184" s="32">
        <v>475.0</v>
      </c>
      <c r="L184" s="32">
        <v>433.0</v>
      </c>
      <c r="M184" s="32">
        <f t="shared" si="3"/>
        <v>454</v>
      </c>
      <c r="N184" s="32" t="s">
        <v>376</v>
      </c>
      <c r="O184" s="32">
        <v>500.0</v>
      </c>
      <c r="P184" s="50" t="str">
        <f t="shared" si="6"/>
        <v>PASSED</v>
      </c>
      <c r="Q184" s="50" t="str">
        <f t="shared" si="5"/>
        <v>WA</v>
      </c>
    </row>
    <row r="185" ht="22.5" customHeight="1">
      <c r="A185" s="26">
        <v>45737.0</v>
      </c>
      <c r="B185" s="32" t="s">
        <v>498</v>
      </c>
      <c r="C185" s="191" t="str">
        <f t="array" ref="C185">_xlfn.XLOOKUP(B185, DB[samplingPoint], DB[samplingTag])</f>
        <v>SV116.02</v>
      </c>
      <c r="D185" s="33" t="s">
        <v>59</v>
      </c>
      <c r="E185" s="39" t="str">
        <f t="array" ref="E185">_xlfn.XLOOKUP($B185, DB[samplingPoint], DB[noLocation])</f>
        <v>10-2-037</v>
      </c>
      <c r="F185" s="40" t="str">
        <f t="array" ref="F185">_xlfn.XLOOKUP($B185, DB[samplingPoint], DB[building])</f>
        <v>Building 10</v>
      </c>
      <c r="G185" s="40" t="str">
        <f t="array" ref="G185">_xlfn.XLOOKUP($B185, DB[samplingPoint], DB[location])</f>
        <v>SKID FOR BIN WASHING-2</v>
      </c>
      <c r="H185" s="40" t="str">
        <f t="array" ref="H185">_xlfn.XLOOKUP($B185, DB[samplingPoint], DB[waterType])</f>
        <v>PW</v>
      </c>
      <c r="I185" s="60">
        <f t="shared" si="1"/>
        <v>45738</v>
      </c>
      <c r="J185" s="192">
        <f t="shared" si="2"/>
        <v>45741</v>
      </c>
      <c r="K185" s="32">
        <v>0.0</v>
      </c>
      <c r="L185" s="32">
        <v>0.0</v>
      </c>
      <c r="M185" s="32">
        <f t="shared" si="3"/>
        <v>0</v>
      </c>
      <c r="N185" s="32" t="s">
        <v>983</v>
      </c>
      <c r="O185" s="32">
        <v>100.0</v>
      </c>
      <c r="P185" s="50" t="str">
        <f t="shared" si="6"/>
        <v>PASSED</v>
      </c>
      <c r="Q185" s="50" t="str">
        <f t="shared" si="5"/>
        <v>10</v>
      </c>
    </row>
    <row r="186" ht="22.5" customHeight="1">
      <c r="A186" s="26">
        <v>45737.0</v>
      </c>
      <c r="B186" s="32" t="s">
        <v>498</v>
      </c>
      <c r="C186" s="191" t="str">
        <f t="array" ref="C186">_xlfn.XLOOKUP(B186, DB[samplingPoint], DB[samplingTag])</f>
        <v>SV116.02</v>
      </c>
      <c r="D186" s="33" t="s">
        <v>59</v>
      </c>
      <c r="E186" s="39" t="str">
        <f t="array" ref="E186">_xlfn.XLOOKUP($B186, DB[samplingPoint], DB[noLocation])</f>
        <v>10-2-037</v>
      </c>
      <c r="F186" s="40" t="str">
        <f t="array" ref="F186">_xlfn.XLOOKUP($B186, DB[samplingPoint], DB[building])</f>
        <v>Building 10</v>
      </c>
      <c r="G186" s="40" t="str">
        <f t="array" ref="G186">_xlfn.XLOOKUP($B186, DB[samplingPoint], DB[location])</f>
        <v>SKID FOR BIN WASHING-2</v>
      </c>
      <c r="H186" s="40" t="str">
        <f t="array" ref="H186">_xlfn.XLOOKUP($B186, DB[samplingPoint], DB[waterType])</f>
        <v>PW</v>
      </c>
      <c r="I186" s="60">
        <f t="shared" si="1"/>
        <v>45738</v>
      </c>
      <c r="J186" s="192">
        <f t="shared" si="2"/>
        <v>45741</v>
      </c>
      <c r="K186" s="32">
        <v>0.0</v>
      </c>
      <c r="L186" s="32">
        <v>0.0</v>
      </c>
      <c r="M186" s="32">
        <f t="shared" si="3"/>
        <v>0</v>
      </c>
      <c r="N186" s="32" t="s">
        <v>982</v>
      </c>
      <c r="O186" s="32">
        <v>100.0</v>
      </c>
      <c r="P186" s="50" t="str">
        <f t="shared" si="6"/>
        <v>PASSED</v>
      </c>
      <c r="Q186" s="50" t="str">
        <f t="shared" si="5"/>
        <v>10</v>
      </c>
    </row>
    <row r="187" ht="22.5" customHeight="1">
      <c r="A187" s="26">
        <v>45737.0</v>
      </c>
      <c r="B187" s="32" t="s">
        <v>423</v>
      </c>
      <c r="C187" s="191" t="str">
        <f t="array" ref="C187">_xlfn.XLOOKUP(B187, DB[samplingPoint], DB[samplingTag])</f>
        <v>SV116.12</v>
      </c>
      <c r="D187" s="33" t="s">
        <v>59</v>
      </c>
      <c r="E187" s="39" t="str">
        <f t="array" ref="E187">_xlfn.XLOOKUP($B187, DB[samplingPoint], DB[noLocation])</f>
        <v>10-3-144</v>
      </c>
      <c r="F187" s="40" t="str">
        <f t="array" ref="F187">_xlfn.XLOOKUP($B187, DB[samplingPoint], DB[building])</f>
        <v>Building 10</v>
      </c>
      <c r="G187" s="40" t="str">
        <f t="array" ref="G187">_xlfn.XLOOKUP($B187, DB[samplingPoint], DB[location])</f>
        <v>COATING-P</v>
      </c>
      <c r="H187" s="40" t="str">
        <f t="array" ref="H187">_xlfn.XLOOKUP($B187, DB[samplingPoint], DB[waterType])</f>
        <v>PW</v>
      </c>
      <c r="I187" s="60">
        <f t="shared" si="1"/>
        <v>45738</v>
      </c>
      <c r="J187" s="192">
        <f t="shared" si="2"/>
        <v>45741</v>
      </c>
      <c r="K187" s="32">
        <v>0.0</v>
      </c>
      <c r="L187" s="32">
        <v>0.0</v>
      </c>
      <c r="M187" s="32">
        <f t="shared" si="3"/>
        <v>0</v>
      </c>
      <c r="N187" s="32" t="s">
        <v>376</v>
      </c>
      <c r="O187" s="32">
        <v>100.0</v>
      </c>
      <c r="P187" s="50" t="str">
        <f t="shared" si="6"/>
        <v>PASSED</v>
      </c>
      <c r="Q187" s="50" t="str">
        <f t="shared" si="5"/>
        <v>10</v>
      </c>
    </row>
    <row r="188" ht="22.5" customHeight="1">
      <c r="A188" s="26">
        <v>45737.0</v>
      </c>
      <c r="B188" s="32" t="s">
        <v>414</v>
      </c>
      <c r="C188" s="191" t="str">
        <f t="array" ref="C188">_xlfn.XLOOKUP(B188, DB[samplingPoint], DB[samplingTag])</f>
        <v>SV116.13</v>
      </c>
      <c r="D188" s="33" t="s">
        <v>59</v>
      </c>
      <c r="E188" s="39" t="str">
        <f t="array" ref="E188">_xlfn.XLOOKUP($B188, DB[samplingPoint], DB[noLocation])</f>
        <v>10-3-152</v>
      </c>
      <c r="F188" s="40" t="str">
        <f t="array" ref="F188">_xlfn.XLOOKUP($B188, DB[samplingPoint], DB[building])</f>
        <v>Building 10</v>
      </c>
      <c r="G188" s="40" t="str">
        <f t="array" ref="G188">_xlfn.XLOOKUP($B188, DB[samplingPoint], DB[location])</f>
        <v>WASHING-P</v>
      </c>
      <c r="H188" s="40" t="str">
        <f t="array" ref="H188">_xlfn.XLOOKUP($B188, DB[samplingPoint], DB[waterType])</f>
        <v>PW</v>
      </c>
      <c r="I188" s="60">
        <f t="shared" si="1"/>
        <v>45738</v>
      </c>
      <c r="J188" s="192">
        <f t="shared" si="2"/>
        <v>45741</v>
      </c>
      <c r="K188" s="32">
        <v>0.0</v>
      </c>
      <c r="L188" s="32">
        <v>0.0</v>
      </c>
      <c r="M188" s="32">
        <f t="shared" si="3"/>
        <v>0</v>
      </c>
      <c r="N188" s="32" t="s">
        <v>376</v>
      </c>
      <c r="O188" s="32">
        <v>100.0</v>
      </c>
      <c r="P188" s="50" t="str">
        <f t="shared" si="6"/>
        <v>PASSED</v>
      </c>
      <c r="Q188" s="50" t="str">
        <f t="shared" si="5"/>
        <v>10</v>
      </c>
    </row>
    <row r="189" ht="22.5" customHeight="1">
      <c r="A189" s="26">
        <v>45737.0</v>
      </c>
      <c r="B189" s="32" t="s">
        <v>428</v>
      </c>
      <c r="C189" s="191" t="str">
        <f t="array" ref="C189">_xlfn.XLOOKUP(B189, DB[samplingPoint], DB[samplingTag])</f>
        <v>DV116.01</v>
      </c>
      <c r="D189" s="33" t="s">
        <v>59</v>
      </c>
      <c r="E189" s="39" t="str">
        <f t="array" ref="E189">_xlfn.XLOOKUP($B189, DB[samplingPoint], DB[noLocation])</f>
        <v>10-1-057</v>
      </c>
      <c r="F189" s="40" t="str">
        <f t="array" ref="F189">_xlfn.XLOOKUP($B189, DB[samplingPoint], DB[building])</f>
        <v>Building 10</v>
      </c>
      <c r="G189" s="40" t="str">
        <f t="array" ref="G189">_xlfn.XLOOKUP($B189, DB[samplingPoint], DB[location])</f>
        <v>WASHING-P</v>
      </c>
      <c r="H189" s="40" t="str">
        <f t="array" ref="H189">_xlfn.XLOOKUP($B189, DB[samplingPoint], DB[waterType])</f>
        <v>PW</v>
      </c>
      <c r="I189" s="60">
        <f t="shared" si="1"/>
        <v>45738</v>
      </c>
      <c r="J189" s="192">
        <f t="shared" si="2"/>
        <v>45741</v>
      </c>
      <c r="K189" s="32">
        <v>0.0</v>
      </c>
      <c r="L189" s="32">
        <v>0.0</v>
      </c>
      <c r="M189" s="32">
        <f t="shared" si="3"/>
        <v>0</v>
      </c>
      <c r="N189" s="32" t="s">
        <v>376</v>
      </c>
      <c r="O189" s="32">
        <v>100.0</v>
      </c>
      <c r="P189" s="50" t="str">
        <f t="shared" si="6"/>
        <v>PASSED</v>
      </c>
      <c r="Q189" s="50" t="str">
        <f t="shared" si="5"/>
        <v>10</v>
      </c>
    </row>
    <row r="190" ht="22.5" customHeight="1">
      <c r="A190" s="26">
        <v>45737.0</v>
      </c>
      <c r="B190" s="32" t="s">
        <v>425</v>
      </c>
      <c r="C190" s="191" t="str">
        <f t="array" ref="C190">_xlfn.XLOOKUP(B190, DB[samplingPoint], DB[samplingTag])</f>
        <v>DV116.02</v>
      </c>
      <c r="D190" s="33" t="s">
        <v>59</v>
      </c>
      <c r="E190" s="39" t="str">
        <f t="array" ref="E190">_xlfn.XLOOKUP($B190, DB[samplingPoint], DB[noLocation])</f>
        <v>10-1-115</v>
      </c>
      <c r="F190" s="40" t="str">
        <f t="array" ref="F190">_xlfn.XLOOKUP($B190, DB[samplingPoint], DB[building])</f>
        <v>Building 10</v>
      </c>
      <c r="G190" s="40" t="str">
        <f t="array" ref="G190">_xlfn.XLOOKUP($B190, DB[samplingPoint], DB[location])</f>
        <v>WASHING</v>
      </c>
      <c r="H190" s="40" t="str">
        <f t="array" ref="H190">_xlfn.XLOOKUP($B190, DB[samplingPoint], DB[waterType])</f>
        <v>PW</v>
      </c>
      <c r="I190" s="60">
        <f t="shared" si="1"/>
        <v>45738</v>
      </c>
      <c r="J190" s="192">
        <f t="shared" si="2"/>
        <v>45741</v>
      </c>
      <c r="K190" s="32">
        <v>0.0</v>
      </c>
      <c r="L190" s="32">
        <v>0.0</v>
      </c>
      <c r="M190" s="32">
        <f t="shared" si="3"/>
        <v>0</v>
      </c>
      <c r="N190" s="32" t="s">
        <v>376</v>
      </c>
      <c r="O190" s="32">
        <v>100.0</v>
      </c>
      <c r="P190" s="50" t="str">
        <f t="shared" si="6"/>
        <v>PASSED</v>
      </c>
      <c r="Q190" s="50" t="str">
        <f t="shared" si="5"/>
        <v>10</v>
      </c>
    </row>
    <row r="191" ht="22.5" customHeight="1">
      <c r="A191" s="26">
        <v>45737.0</v>
      </c>
      <c r="B191" s="32" t="s">
        <v>421</v>
      </c>
      <c r="C191" s="191" t="str">
        <f t="array" ref="C191">_xlfn.XLOOKUP(B191, DB[samplingPoint], DB[samplingTag])</f>
        <v>DV116.19</v>
      </c>
      <c r="D191" s="33" t="s">
        <v>59</v>
      </c>
      <c r="E191" s="39" t="str">
        <f t="array" ref="E191">_xlfn.XLOOKUP($B191, DB[samplingPoint], DB[noLocation])</f>
        <v>10-3-143</v>
      </c>
      <c r="F191" s="40" t="str">
        <f t="array" ref="F191">_xlfn.XLOOKUP($B191, DB[samplingPoint], DB[building])</f>
        <v>Building 10</v>
      </c>
      <c r="G191" s="40" t="str">
        <f t="array" ref="G191">_xlfn.XLOOKUP($B191, DB[samplingPoint], DB[location])</f>
        <v>COATING SOLUTION PREP.-P</v>
      </c>
      <c r="H191" s="40" t="str">
        <f t="array" ref="H191">_xlfn.XLOOKUP($B191, DB[samplingPoint], DB[waterType])</f>
        <v>PW</v>
      </c>
      <c r="I191" s="60">
        <f t="shared" si="1"/>
        <v>45738</v>
      </c>
      <c r="J191" s="192">
        <f t="shared" si="2"/>
        <v>45741</v>
      </c>
      <c r="K191" s="32">
        <v>0.0</v>
      </c>
      <c r="L191" s="32">
        <v>0.0</v>
      </c>
      <c r="M191" s="32">
        <f t="shared" si="3"/>
        <v>0</v>
      </c>
      <c r="N191" s="32" t="s">
        <v>376</v>
      </c>
      <c r="O191" s="32">
        <v>100.0</v>
      </c>
      <c r="P191" s="50" t="str">
        <f t="shared" si="6"/>
        <v>PASSED</v>
      </c>
      <c r="Q191" s="50" t="str">
        <f t="shared" si="5"/>
        <v>10</v>
      </c>
    </row>
    <row r="192" ht="22.5" customHeight="1">
      <c r="A192" s="26">
        <v>45737.0</v>
      </c>
      <c r="B192" s="32" t="s">
        <v>417</v>
      </c>
      <c r="C192" s="191" t="str">
        <f t="array" ref="C192">_xlfn.XLOOKUP(B192, DB[samplingPoint], DB[samplingTag])</f>
        <v>DV116.20</v>
      </c>
      <c r="D192" s="33" t="s">
        <v>59</v>
      </c>
      <c r="E192" s="39" t="str">
        <f t="array" ref="E192">_xlfn.XLOOKUP($B192, DB[samplingPoint], DB[noLocation])</f>
        <v>10-3-149</v>
      </c>
      <c r="F192" s="40" t="str">
        <f t="array" ref="F192">_xlfn.XLOOKUP($B192, DB[samplingPoint], DB[building])</f>
        <v>Building 10</v>
      </c>
      <c r="G192" s="40" t="str">
        <f t="array" ref="G192">_xlfn.XLOOKUP($B192, DB[samplingPoint], DB[location])</f>
        <v>IPQC-1-P</v>
      </c>
      <c r="H192" s="40" t="str">
        <f t="array" ref="H192">_xlfn.XLOOKUP($B192, DB[samplingPoint], DB[waterType])</f>
        <v>PW</v>
      </c>
      <c r="I192" s="60">
        <f t="shared" si="1"/>
        <v>45738</v>
      </c>
      <c r="J192" s="192">
        <f t="shared" si="2"/>
        <v>45741</v>
      </c>
      <c r="K192" s="32">
        <v>0.0</v>
      </c>
      <c r="L192" s="32">
        <v>0.0</v>
      </c>
      <c r="M192" s="32">
        <f t="shared" si="3"/>
        <v>0</v>
      </c>
      <c r="N192" s="32" t="s">
        <v>376</v>
      </c>
      <c r="O192" s="32">
        <v>100.0</v>
      </c>
      <c r="P192" s="50" t="str">
        <f t="shared" si="6"/>
        <v>PASSED</v>
      </c>
      <c r="Q192" s="50" t="str">
        <f t="shared" si="5"/>
        <v>10</v>
      </c>
    </row>
    <row r="193" ht="22.5" customHeight="1">
      <c r="A193" s="26">
        <v>45737.0</v>
      </c>
      <c r="B193" s="32" t="s">
        <v>406</v>
      </c>
      <c r="C193" s="191" t="str">
        <f t="array" ref="C193">_xlfn.XLOOKUP(B193, DB[samplingPoint], DB[samplingTag])</f>
        <v>DV116.21</v>
      </c>
      <c r="D193" s="33" t="s">
        <v>59</v>
      </c>
      <c r="E193" s="39" t="str">
        <f t="array" ref="E193">_xlfn.XLOOKUP($B193, DB[samplingPoint], DB[noLocation])</f>
        <v>10-3-152</v>
      </c>
      <c r="F193" s="40" t="str">
        <f t="array" ref="F193">_xlfn.XLOOKUP($B193, DB[samplingPoint], DB[building])</f>
        <v>Building 10</v>
      </c>
      <c r="G193" s="40" t="str">
        <f t="array" ref="G193">_xlfn.XLOOKUP($B193, DB[samplingPoint], DB[location])</f>
        <v>WASHING-P</v>
      </c>
      <c r="H193" s="40" t="str">
        <f t="array" ref="H193">_xlfn.XLOOKUP($B193, DB[samplingPoint], DB[waterType])</f>
        <v>PW</v>
      </c>
      <c r="I193" s="60">
        <f t="shared" si="1"/>
        <v>45738</v>
      </c>
      <c r="J193" s="192">
        <f t="shared" si="2"/>
        <v>45741</v>
      </c>
      <c r="K193" s="32">
        <v>0.0</v>
      </c>
      <c r="L193" s="32">
        <v>0.0</v>
      </c>
      <c r="M193" s="32">
        <f t="shared" si="3"/>
        <v>0</v>
      </c>
      <c r="N193" s="32" t="s">
        <v>376</v>
      </c>
      <c r="O193" s="32">
        <v>100.0</v>
      </c>
      <c r="P193" s="50" t="str">
        <f t="shared" si="6"/>
        <v>PASSED</v>
      </c>
      <c r="Q193" s="50" t="str">
        <f t="shared" si="5"/>
        <v>10</v>
      </c>
    </row>
    <row r="194" ht="22.5" customHeight="1">
      <c r="A194" s="26">
        <v>45737.0</v>
      </c>
      <c r="B194" s="32" t="s">
        <v>410</v>
      </c>
      <c r="C194" s="191" t="str">
        <f t="array" ref="C194">_xlfn.XLOOKUP(B194, DB[samplingPoint], DB[samplingTag])</f>
        <v>DV116.22</v>
      </c>
      <c r="D194" s="33" t="s">
        <v>59</v>
      </c>
      <c r="E194" s="39" t="str">
        <f t="array" ref="E194">_xlfn.XLOOKUP($B194, DB[samplingPoint], DB[noLocation])</f>
        <v>10-3-152</v>
      </c>
      <c r="F194" s="40" t="str">
        <f t="array" ref="F194">_xlfn.XLOOKUP($B194, DB[samplingPoint], DB[building])</f>
        <v>Building 10</v>
      </c>
      <c r="G194" s="40" t="str">
        <f t="array" ref="G194">_xlfn.XLOOKUP($B194, DB[samplingPoint], DB[location])</f>
        <v>WASHING-P</v>
      </c>
      <c r="H194" s="40" t="str">
        <f t="array" ref="H194">_xlfn.XLOOKUP($B194, DB[samplingPoint], DB[waterType])</f>
        <v>PW</v>
      </c>
      <c r="I194" s="60">
        <f t="shared" si="1"/>
        <v>45738</v>
      </c>
      <c r="J194" s="192">
        <f t="shared" si="2"/>
        <v>45741</v>
      </c>
      <c r="K194" s="32">
        <v>0.0</v>
      </c>
      <c r="L194" s="32">
        <v>0.0</v>
      </c>
      <c r="M194" s="32">
        <f t="shared" si="3"/>
        <v>0</v>
      </c>
      <c r="N194" s="32" t="s">
        <v>376</v>
      </c>
      <c r="O194" s="32">
        <v>100.0</v>
      </c>
      <c r="P194" s="50" t="str">
        <f t="shared" si="6"/>
        <v>PASSED</v>
      </c>
      <c r="Q194" s="50" t="str">
        <f t="shared" si="5"/>
        <v>10</v>
      </c>
    </row>
    <row r="195" ht="22.5" customHeight="1">
      <c r="A195" s="26">
        <v>45737.0</v>
      </c>
      <c r="B195" s="32" t="s">
        <v>401</v>
      </c>
      <c r="C195" s="191" t="str">
        <f t="array" ref="C195">_xlfn.XLOOKUP(B195, DB[samplingPoint], DB[samplingTag])</f>
        <v>DV116.23</v>
      </c>
      <c r="D195" s="33" t="s">
        <v>59</v>
      </c>
      <c r="E195" s="39" t="str">
        <f t="array" ref="E195">_xlfn.XLOOKUP($B195, DB[samplingPoint], DB[noLocation])</f>
        <v>10-3-159</v>
      </c>
      <c r="F195" s="40" t="str">
        <f t="array" ref="F195">_xlfn.XLOOKUP($B195, DB[samplingPoint], DB[building])</f>
        <v>Building 10</v>
      </c>
      <c r="G195" s="40" t="str">
        <f t="array" ref="G195">_xlfn.XLOOKUP($B195, DB[samplingPoint], DB[location])</f>
        <v>BINDER PREPARATION-P</v>
      </c>
      <c r="H195" s="40" t="str">
        <f t="array" ref="H195">_xlfn.XLOOKUP($B195, DB[samplingPoint], DB[waterType])</f>
        <v>PW</v>
      </c>
      <c r="I195" s="60">
        <f t="shared" si="1"/>
        <v>45738</v>
      </c>
      <c r="J195" s="192">
        <f t="shared" si="2"/>
        <v>45741</v>
      </c>
      <c r="K195" s="32">
        <v>0.0</v>
      </c>
      <c r="L195" s="32">
        <v>0.0</v>
      </c>
      <c r="M195" s="32">
        <f t="shared" si="3"/>
        <v>0</v>
      </c>
      <c r="N195" s="32" t="s">
        <v>376</v>
      </c>
      <c r="O195" s="32">
        <v>100.0</v>
      </c>
      <c r="P195" s="50" t="str">
        <f t="shared" si="6"/>
        <v>PASSED</v>
      </c>
      <c r="Q195" s="50" t="str">
        <f t="shared" si="5"/>
        <v>10</v>
      </c>
    </row>
    <row r="196" ht="22.5" customHeight="1">
      <c r="A196" s="26">
        <v>45737.0</v>
      </c>
      <c r="B196" s="32" t="s">
        <v>398</v>
      </c>
      <c r="C196" s="191" t="str">
        <f t="array" ref="C196">_xlfn.XLOOKUP(B196, DB[samplingPoint], DB[samplingTag])</f>
        <v>DV116.24</v>
      </c>
      <c r="D196" s="33" t="s">
        <v>59</v>
      </c>
      <c r="E196" s="39" t="str">
        <f t="array" ref="E196">_xlfn.XLOOKUP($B196, DB[samplingPoint], DB[noLocation])</f>
        <v>10-3-163</v>
      </c>
      <c r="F196" s="40" t="str">
        <f t="array" ref="F196">_xlfn.XLOOKUP($B196, DB[samplingPoint], DB[building])</f>
        <v>Building 10</v>
      </c>
      <c r="G196" s="40" t="str">
        <f t="array" ref="G196">_xlfn.XLOOKUP($B196, DB[samplingPoint], DB[location])</f>
        <v>WET GRANULATION 1-P</v>
      </c>
      <c r="H196" s="40" t="str">
        <f t="array" ref="H196">_xlfn.XLOOKUP($B196, DB[samplingPoint], DB[waterType])</f>
        <v>PW</v>
      </c>
      <c r="I196" s="60">
        <f t="shared" si="1"/>
        <v>45738</v>
      </c>
      <c r="J196" s="192">
        <f t="shared" si="2"/>
        <v>45741</v>
      </c>
      <c r="K196" s="32">
        <v>0.0</v>
      </c>
      <c r="L196" s="32">
        <v>0.0</v>
      </c>
      <c r="M196" s="32">
        <f t="shared" si="3"/>
        <v>0</v>
      </c>
      <c r="N196" s="32" t="s">
        <v>376</v>
      </c>
      <c r="O196" s="32">
        <v>100.0</v>
      </c>
      <c r="P196" s="50" t="str">
        <f t="shared" si="6"/>
        <v>PASSED</v>
      </c>
      <c r="Q196" s="50" t="str">
        <f t="shared" si="5"/>
        <v>10</v>
      </c>
    </row>
    <row r="197" ht="22.5" customHeight="1">
      <c r="A197" s="26">
        <v>45737.0</v>
      </c>
      <c r="B197" s="32" t="s">
        <v>394</v>
      </c>
      <c r="C197" s="191" t="str">
        <f t="array" ref="C197">_xlfn.XLOOKUP(B197, DB[samplingPoint], DB[samplingTag])</f>
        <v>DV116.25</v>
      </c>
      <c r="D197" s="33" t="s">
        <v>59</v>
      </c>
      <c r="E197" s="39" t="str">
        <f t="array" ref="E197">_xlfn.XLOOKUP($B197, DB[samplingPoint], DB[noLocation])</f>
        <v>10-3-171</v>
      </c>
      <c r="F197" s="40" t="str">
        <f t="array" ref="F197">_xlfn.XLOOKUP($B197, DB[samplingPoint], DB[building])</f>
        <v>Building 10</v>
      </c>
      <c r="G197" s="40" t="str">
        <f t="array" ref="G197">_xlfn.XLOOKUP($B197, DB[samplingPoint], DB[location])</f>
        <v>TOOL WASHING-P</v>
      </c>
      <c r="H197" s="40" t="str">
        <f t="array" ref="H197">_xlfn.XLOOKUP($B197, DB[samplingPoint], DB[waterType])</f>
        <v>PW</v>
      </c>
      <c r="I197" s="60">
        <f t="shared" si="1"/>
        <v>45738</v>
      </c>
      <c r="J197" s="192">
        <f t="shared" si="2"/>
        <v>45741</v>
      </c>
      <c r="K197" s="32">
        <v>0.0</v>
      </c>
      <c r="L197" s="32">
        <v>0.0</v>
      </c>
      <c r="M197" s="32">
        <f t="shared" si="3"/>
        <v>0</v>
      </c>
      <c r="N197" s="32" t="s">
        <v>376</v>
      </c>
      <c r="O197" s="32">
        <v>100.0</v>
      </c>
      <c r="P197" s="50" t="str">
        <f t="shared" si="6"/>
        <v>PASSED</v>
      </c>
      <c r="Q197" s="50" t="str">
        <f t="shared" si="5"/>
        <v>10</v>
      </c>
    </row>
    <row r="198" ht="22.5" customHeight="1">
      <c r="A198" s="26">
        <v>45737.0</v>
      </c>
      <c r="B198" s="32" t="s">
        <v>431</v>
      </c>
      <c r="C198" s="191" t="str">
        <f t="array" ref="C198">_xlfn.XLOOKUP(B198, DB[samplingPoint], DB[samplingTag])</f>
        <v>SV-14</v>
      </c>
      <c r="D198" s="33" t="s">
        <v>59</v>
      </c>
      <c r="E198" s="39" t="str">
        <f t="array" ref="E198">_xlfn.XLOOKUP($B198, DB[samplingPoint], DB[noLocation])</f>
        <v>PROCESS WATER (B19)</v>
      </c>
      <c r="F198" s="40" t="str">
        <f t="array" ref="F198">_xlfn.XLOOKUP($B198, DB[samplingPoint], DB[building])</f>
        <v>Building 19</v>
      </c>
      <c r="G198" s="40" t="str">
        <f t="array" ref="G198">_xlfn.XLOOKUP($B198, DB[samplingPoint], DB[location])</f>
        <v>AFTER RO SYSTEM NO.12 SV14</v>
      </c>
      <c r="H198" s="40" t="str">
        <f t="array" ref="H198">_xlfn.XLOOKUP($B198, DB[samplingPoint], DB[waterType])</f>
        <v>PRW</v>
      </c>
      <c r="I198" s="60">
        <f t="shared" si="1"/>
        <v>45738</v>
      </c>
      <c r="J198" s="192">
        <f t="shared" si="2"/>
        <v>45741</v>
      </c>
      <c r="K198" s="32">
        <v>0.0</v>
      </c>
      <c r="L198" s="32">
        <v>0.0</v>
      </c>
      <c r="M198" s="32">
        <f t="shared" si="3"/>
        <v>0</v>
      </c>
      <c r="N198" s="32" t="s">
        <v>376</v>
      </c>
      <c r="O198" s="32">
        <v>500.0</v>
      </c>
      <c r="P198" s="50" t="str">
        <f t="shared" si="6"/>
        <v>PASSED</v>
      </c>
      <c r="Q198" s="50" t="str">
        <f t="shared" si="5"/>
        <v>PR</v>
      </c>
    </row>
    <row r="199" ht="22.5" customHeight="1">
      <c r="A199" s="26">
        <v>45737.0</v>
      </c>
      <c r="B199" s="32" t="s">
        <v>368</v>
      </c>
      <c r="C199" s="191" t="str">
        <f t="array" ref="C199">_xlfn.XLOOKUP(B199, DB[samplingPoint], DB[samplingTag])</f>
        <v>V50-11C(10)</v>
      </c>
      <c r="D199" s="33" t="s">
        <v>59</v>
      </c>
      <c r="E199" s="39" t="str">
        <f t="array" ref="E199">_xlfn.XLOOKUP($B199, DB[samplingPoint], DB[noLocation])</f>
        <v>WATER SYSTEM (B10)</v>
      </c>
      <c r="F199" s="40" t="str">
        <f t="array" ref="F199">_xlfn.XLOOKUP($B199, DB[samplingPoint], DB[building])</f>
        <v>Building 10</v>
      </c>
      <c r="G199" s="40" t="str">
        <f t="array" ref="G199">_xlfn.XLOOKUP($B199, DB[samplingPoint], DB[location])</f>
        <v>After RO (Before EDI) (B10)</v>
      </c>
      <c r="H199" s="40" t="str">
        <f t="array" ref="H199">_xlfn.XLOOKUP($B199, DB[samplingPoint], DB[waterType])</f>
        <v>RO water</v>
      </c>
      <c r="I199" s="60">
        <f t="shared" si="1"/>
        <v>45738</v>
      </c>
      <c r="J199" s="192">
        <f t="shared" si="2"/>
        <v>45741</v>
      </c>
      <c r="K199" s="32">
        <v>0.0</v>
      </c>
      <c r="L199" s="32">
        <v>0.0</v>
      </c>
      <c r="M199" s="32">
        <f t="shared" si="3"/>
        <v>0</v>
      </c>
      <c r="N199" s="32" t="s">
        <v>376</v>
      </c>
      <c r="O199" s="32">
        <v>500.0</v>
      </c>
      <c r="P199" s="50" t="str">
        <f t="shared" si="6"/>
        <v>PASSED</v>
      </c>
      <c r="Q199" s="50" t="str">
        <f t="shared" si="5"/>
        <v>WA</v>
      </c>
    </row>
    <row r="200" ht="22.5" customHeight="1">
      <c r="A200" s="26">
        <v>45737.0</v>
      </c>
      <c r="B200" s="32" t="s">
        <v>374</v>
      </c>
      <c r="C200" s="191" t="str">
        <f t="array" ref="C200">_xlfn.XLOOKUP(B200, DB[samplingPoint], DB[samplingTag])</f>
        <v>V50-39(10)</v>
      </c>
      <c r="D200" s="33" t="s">
        <v>59</v>
      </c>
      <c r="E200" s="39" t="str">
        <f t="array" ref="E200">_xlfn.XLOOKUP($B200, DB[samplingPoint], DB[noLocation])</f>
        <v>WATER SYSTEM (B10)</v>
      </c>
      <c r="F200" s="40" t="str">
        <f t="array" ref="F200">_xlfn.XLOOKUP($B200, DB[samplingPoint], DB[building])</f>
        <v>Building 10</v>
      </c>
      <c r="G200" s="40" t="str">
        <f t="array" ref="G200">_xlfn.XLOOKUP($B200, DB[samplingPoint], DB[location])</f>
        <v>After EDI (B10)</v>
      </c>
      <c r="H200" s="40" t="str">
        <f t="array" ref="H200">_xlfn.XLOOKUP($B200, DB[samplingPoint], DB[waterType])</f>
        <v>PW</v>
      </c>
      <c r="I200" s="60">
        <f t="shared" si="1"/>
        <v>45738</v>
      </c>
      <c r="J200" s="192">
        <f t="shared" si="2"/>
        <v>45741</v>
      </c>
      <c r="K200" s="32">
        <v>0.0</v>
      </c>
      <c r="L200" s="32">
        <v>0.0</v>
      </c>
      <c r="M200" s="32">
        <f t="shared" si="3"/>
        <v>0</v>
      </c>
      <c r="N200" s="32" t="s">
        <v>376</v>
      </c>
      <c r="O200" s="32">
        <v>100.0</v>
      </c>
      <c r="P200" s="50" t="str">
        <f t="shared" si="6"/>
        <v>PASSED</v>
      </c>
      <c r="Q200" s="50" t="str">
        <f t="shared" si="5"/>
        <v>WA</v>
      </c>
    </row>
    <row r="201" ht="22.5" customHeight="1">
      <c r="A201" s="26">
        <v>45751.0</v>
      </c>
      <c r="B201" s="32" t="s">
        <v>349</v>
      </c>
      <c r="C201" s="191" t="str">
        <f t="array" ref="C201">_xlfn.XLOOKUP(B201, DB[samplingPoint], DB[samplingTag])</f>
        <v>VB-05(10)</v>
      </c>
      <c r="D201" s="33" t="s">
        <v>59</v>
      </c>
      <c r="E201" s="39" t="str">
        <f t="array" ref="E201">_xlfn.XLOOKUP($B201, DB[samplingPoint], DB[noLocation])</f>
        <v>WATER SYSTEM (B10)</v>
      </c>
      <c r="F201" s="40" t="str">
        <f t="array" ref="F201">_xlfn.XLOOKUP($B201, DB[samplingPoint], DB[building])</f>
        <v>Building 10</v>
      </c>
      <c r="G201" s="40" t="str">
        <f t="array" ref="G201">_xlfn.XLOOKUP($B201, DB[samplingPoint], DB[location])</f>
        <v>After Chlorine circulation tank (B10)</v>
      </c>
      <c r="H201" s="40" t="str">
        <f t="array" ref="H201">_xlfn.XLOOKUP($B201, DB[samplingPoint], DB[waterType])</f>
        <v>PRW</v>
      </c>
      <c r="I201" s="60">
        <f t="shared" si="1"/>
        <v>45752</v>
      </c>
      <c r="J201" s="192">
        <f t="shared" si="2"/>
        <v>45755</v>
      </c>
      <c r="K201" s="32">
        <v>0.0</v>
      </c>
      <c r="L201" s="32">
        <v>0.0</v>
      </c>
      <c r="M201" s="32">
        <f t="shared" si="3"/>
        <v>0</v>
      </c>
      <c r="N201" s="32" t="s">
        <v>376</v>
      </c>
      <c r="O201" s="32">
        <v>500.0</v>
      </c>
      <c r="P201" s="50" t="str">
        <f t="shared" si="6"/>
        <v>PASSED</v>
      </c>
      <c r="Q201" s="50" t="str">
        <f t="shared" si="5"/>
        <v>WA</v>
      </c>
    </row>
    <row r="202" ht="22.5" customHeight="1">
      <c r="A202" s="26">
        <v>45751.0</v>
      </c>
      <c r="B202" s="32" t="s">
        <v>366</v>
      </c>
      <c r="C202" s="191" t="str">
        <f t="array" ref="C202">_xlfn.XLOOKUP(B202, DB[samplingPoint], DB[samplingTag])</f>
        <v>V50-61(10)</v>
      </c>
      <c r="D202" s="33" t="s">
        <v>59</v>
      </c>
      <c r="E202" s="39" t="str">
        <f t="array" ref="E202">_xlfn.XLOOKUP($B202, DB[samplingPoint], DB[noLocation])</f>
        <v>WATER SYSTEM (B10)</v>
      </c>
      <c r="F202" s="40" t="str">
        <f t="array" ref="F202">_xlfn.XLOOKUP($B202, DB[samplingPoint], DB[building])</f>
        <v>Building 10</v>
      </c>
      <c r="G202" s="40" t="str">
        <f t="array" ref="G202">_xlfn.XLOOKUP($B202, DB[samplingPoint], DB[location])</f>
        <v>After Cartridge filter 5 µm (B10)</v>
      </c>
      <c r="H202" s="40" t="str">
        <f t="array" ref="H202">_xlfn.XLOOKUP($B202, DB[samplingPoint], DB[waterType])</f>
        <v>PRW</v>
      </c>
      <c r="I202" s="60">
        <f t="shared" si="1"/>
        <v>45752</v>
      </c>
      <c r="J202" s="192">
        <f t="shared" si="2"/>
        <v>45755</v>
      </c>
      <c r="K202" s="32">
        <v>493.0</v>
      </c>
      <c r="L202" s="32">
        <v>508.0</v>
      </c>
      <c r="M202" s="32">
        <f t="shared" si="3"/>
        <v>501</v>
      </c>
      <c r="N202" s="32" t="s">
        <v>376</v>
      </c>
      <c r="O202" s="32">
        <v>500.0</v>
      </c>
      <c r="P202" s="50" t="str">
        <f t="shared" si="6"/>
        <v>NOT-PASSED</v>
      </c>
      <c r="Q202" s="50" t="str">
        <f t="shared" si="5"/>
        <v>WA</v>
      </c>
    </row>
    <row r="203" ht="22.5" customHeight="1">
      <c r="A203" s="26">
        <v>45751.0</v>
      </c>
      <c r="B203" s="32" t="s">
        <v>499</v>
      </c>
      <c r="C203" s="191" t="str">
        <f t="array" ref="C203">_xlfn.XLOOKUP(B203, DB[samplingPoint], DB[samplingTag])</f>
        <v>SV116.01</v>
      </c>
      <c r="D203" s="33" t="s">
        <v>59</v>
      </c>
      <c r="E203" s="39" t="str">
        <f t="array" ref="E203">_xlfn.XLOOKUP($B203, DB[samplingPoint], DB[noLocation])</f>
        <v>10-2-021</v>
      </c>
      <c r="F203" s="40" t="str">
        <f t="array" ref="F203">_xlfn.XLOOKUP($B203, DB[samplingPoint], DB[building])</f>
        <v>Building 10</v>
      </c>
      <c r="G203" s="40" t="str">
        <f t="array" ref="G203">_xlfn.XLOOKUP($B203, DB[samplingPoint], DB[location])</f>
        <v>INSTRUMENT-1</v>
      </c>
      <c r="H203" s="40" t="str">
        <f t="array" ref="H203">_xlfn.XLOOKUP($B203, DB[samplingPoint], DB[waterType])</f>
        <v>PW</v>
      </c>
      <c r="I203" s="60">
        <f t="shared" si="1"/>
        <v>45752</v>
      </c>
      <c r="J203" s="192">
        <f t="shared" si="2"/>
        <v>45755</v>
      </c>
      <c r="K203" s="32">
        <v>0.0</v>
      </c>
      <c r="L203" s="32">
        <v>0.0</v>
      </c>
      <c r="M203" s="32">
        <f t="shared" si="3"/>
        <v>0</v>
      </c>
      <c r="N203" s="32" t="s">
        <v>376</v>
      </c>
      <c r="O203" s="32">
        <v>100.0</v>
      </c>
      <c r="P203" s="50" t="str">
        <f t="shared" si="6"/>
        <v>PASSED</v>
      </c>
      <c r="Q203" s="50" t="str">
        <f t="shared" si="5"/>
        <v>10</v>
      </c>
    </row>
    <row r="204" ht="22.5" customHeight="1">
      <c r="A204" s="26">
        <v>45751.0</v>
      </c>
      <c r="B204" s="32" t="s">
        <v>498</v>
      </c>
      <c r="C204" s="191" t="str">
        <f t="array" ref="C204">_xlfn.XLOOKUP(B204, DB[samplingPoint], DB[samplingTag])</f>
        <v>SV116.02</v>
      </c>
      <c r="D204" s="33" t="s">
        <v>59</v>
      </c>
      <c r="E204" s="39" t="str">
        <f t="array" ref="E204">_xlfn.XLOOKUP($B204, DB[samplingPoint], DB[noLocation])</f>
        <v>10-2-037</v>
      </c>
      <c r="F204" s="40" t="str">
        <f t="array" ref="F204">_xlfn.XLOOKUP($B204, DB[samplingPoint], DB[building])</f>
        <v>Building 10</v>
      </c>
      <c r="G204" s="40" t="str">
        <f t="array" ref="G204">_xlfn.XLOOKUP($B204, DB[samplingPoint], DB[location])</f>
        <v>SKID FOR BIN WASHING-2</v>
      </c>
      <c r="H204" s="40" t="str">
        <f t="array" ref="H204">_xlfn.XLOOKUP($B204, DB[samplingPoint], DB[waterType])</f>
        <v>PW</v>
      </c>
      <c r="I204" s="60">
        <f t="shared" si="1"/>
        <v>45752</v>
      </c>
      <c r="J204" s="192">
        <f t="shared" si="2"/>
        <v>45755</v>
      </c>
      <c r="K204" s="32">
        <v>0.0</v>
      </c>
      <c r="L204" s="32">
        <v>0.0</v>
      </c>
      <c r="M204" s="32">
        <f t="shared" si="3"/>
        <v>0</v>
      </c>
      <c r="N204" s="32" t="s">
        <v>983</v>
      </c>
      <c r="O204" s="32">
        <v>100.0</v>
      </c>
      <c r="P204" s="50" t="str">
        <f t="shared" si="6"/>
        <v>PASSED</v>
      </c>
      <c r="Q204" s="50" t="str">
        <f t="shared" si="5"/>
        <v>10</v>
      </c>
    </row>
    <row r="205" ht="22.5" customHeight="1">
      <c r="A205" s="26">
        <v>45751.0</v>
      </c>
      <c r="B205" s="32" t="s">
        <v>498</v>
      </c>
      <c r="C205" s="191" t="str">
        <f t="array" ref="C205">_xlfn.XLOOKUP(B205, DB[samplingPoint], DB[samplingTag])</f>
        <v>SV116.02</v>
      </c>
      <c r="D205" s="33" t="s">
        <v>59</v>
      </c>
      <c r="E205" s="39" t="str">
        <f t="array" ref="E205">_xlfn.XLOOKUP($B205, DB[samplingPoint], DB[noLocation])</f>
        <v>10-2-037</v>
      </c>
      <c r="F205" s="40" t="str">
        <f t="array" ref="F205">_xlfn.XLOOKUP($B205, DB[samplingPoint], DB[building])</f>
        <v>Building 10</v>
      </c>
      <c r="G205" s="40" t="str">
        <f t="array" ref="G205">_xlfn.XLOOKUP($B205, DB[samplingPoint], DB[location])</f>
        <v>SKID FOR BIN WASHING-2</v>
      </c>
      <c r="H205" s="40" t="str">
        <f t="array" ref="H205">_xlfn.XLOOKUP($B205, DB[samplingPoint], DB[waterType])</f>
        <v>PW</v>
      </c>
      <c r="I205" s="60">
        <f t="shared" si="1"/>
        <v>45752</v>
      </c>
      <c r="J205" s="192">
        <f t="shared" si="2"/>
        <v>45755</v>
      </c>
      <c r="K205" s="32">
        <v>0.0</v>
      </c>
      <c r="L205" s="32">
        <v>0.0</v>
      </c>
      <c r="M205" s="32">
        <f t="shared" si="3"/>
        <v>0</v>
      </c>
      <c r="N205" s="32" t="s">
        <v>982</v>
      </c>
      <c r="O205" s="32">
        <v>100.0</v>
      </c>
      <c r="P205" s="50" t="str">
        <f t="shared" si="6"/>
        <v>PASSED</v>
      </c>
      <c r="Q205" s="50" t="str">
        <f t="shared" si="5"/>
        <v>10</v>
      </c>
    </row>
    <row r="206" ht="22.5" customHeight="1">
      <c r="A206" s="26">
        <v>45751.0</v>
      </c>
      <c r="B206" s="32" t="s">
        <v>490</v>
      </c>
      <c r="C206" s="191" t="str">
        <f t="array" ref="C206">_xlfn.XLOOKUP(B206, DB[samplingPoint], DB[samplingTag])</f>
        <v>SV116.09</v>
      </c>
      <c r="D206" s="33" t="s">
        <v>59</v>
      </c>
      <c r="E206" s="39" t="str">
        <f t="array" ref="E206">_xlfn.XLOOKUP($B206, DB[samplingPoint], DB[noLocation])</f>
        <v>10-3-078</v>
      </c>
      <c r="F206" s="40" t="str">
        <f t="array" ref="F206">_xlfn.XLOOKUP($B206, DB[samplingPoint], DB[building])</f>
        <v>Building 10</v>
      </c>
      <c r="G206" s="40" t="str">
        <f t="array" ref="G206">_xlfn.XLOOKUP($B206, DB[samplingPoint], DB[location])</f>
        <v>WASHING</v>
      </c>
      <c r="H206" s="40" t="str">
        <f t="array" ref="H206">_xlfn.XLOOKUP($B206, DB[samplingPoint], DB[waterType])</f>
        <v>PW</v>
      </c>
      <c r="I206" s="60">
        <f t="shared" si="1"/>
        <v>45752</v>
      </c>
      <c r="J206" s="192">
        <f t="shared" si="2"/>
        <v>45755</v>
      </c>
      <c r="K206" s="32">
        <v>0.0</v>
      </c>
      <c r="L206" s="32">
        <v>0.0</v>
      </c>
      <c r="M206" s="32">
        <f t="shared" si="3"/>
        <v>0</v>
      </c>
      <c r="N206" s="32" t="s">
        <v>376</v>
      </c>
      <c r="O206" s="32">
        <v>100.0</v>
      </c>
      <c r="P206" s="50" t="str">
        <f t="shared" si="6"/>
        <v>PASSED</v>
      </c>
      <c r="Q206" s="50" t="str">
        <f t="shared" si="5"/>
        <v>10</v>
      </c>
    </row>
    <row r="207" ht="22.5" customHeight="1">
      <c r="A207" s="26">
        <v>45751.0</v>
      </c>
      <c r="B207" s="32" t="s">
        <v>492</v>
      </c>
      <c r="C207" s="191" t="str">
        <f t="array" ref="C207">_xlfn.XLOOKUP(B207, DB[samplingPoint], DB[samplingTag])</f>
        <v>SV116.11</v>
      </c>
      <c r="D207" s="33" t="s">
        <v>59</v>
      </c>
      <c r="E207" s="39" t="str">
        <f t="array" ref="E207">_xlfn.XLOOKUP($B207, DB[samplingPoint], DB[noLocation])</f>
        <v>10-3-107</v>
      </c>
      <c r="F207" s="40" t="str">
        <f t="array" ref="F207">_xlfn.XLOOKUP($B207, DB[samplingPoint], DB[building])</f>
        <v>Building 10</v>
      </c>
      <c r="G207" s="40" t="str">
        <f t="array" ref="G207">_xlfn.XLOOKUP($B207, DB[samplingPoint], DB[location])</f>
        <v>WET GRANULATION-2</v>
      </c>
      <c r="H207" s="40" t="str">
        <f t="array" ref="H207">_xlfn.XLOOKUP($B207, DB[samplingPoint], DB[waterType])</f>
        <v>PW</v>
      </c>
      <c r="I207" s="60">
        <f t="shared" si="1"/>
        <v>45752</v>
      </c>
      <c r="J207" s="192">
        <f t="shared" si="2"/>
        <v>45755</v>
      </c>
      <c r="K207" s="32">
        <v>0.0</v>
      </c>
      <c r="L207" s="32">
        <v>0.0</v>
      </c>
      <c r="M207" s="32">
        <f t="shared" si="3"/>
        <v>0</v>
      </c>
      <c r="N207" s="32" t="s">
        <v>376</v>
      </c>
      <c r="O207" s="32">
        <v>100.0</v>
      </c>
      <c r="P207" s="50" t="str">
        <f t="shared" si="6"/>
        <v>PASSED</v>
      </c>
      <c r="Q207" s="50" t="str">
        <f t="shared" si="5"/>
        <v>10</v>
      </c>
    </row>
    <row r="208" ht="22.5" customHeight="1">
      <c r="A208" s="26">
        <v>45751.0</v>
      </c>
      <c r="B208" s="32" t="s">
        <v>491</v>
      </c>
      <c r="C208" s="191" t="str">
        <f t="array" ref="C208">_xlfn.XLOOKUP(B208, DB[samplingPoint], DB[samplingTag])</f>
        <v>SV116.15</v>
      </c>
      <c r="D208" s="33" t="s">
        <v>59</v>
      </c>
      <c r="E208" s="39" t="str">
        <f t="array" ref="E208">_xlfn.XLOOKUP($B208, DB[samplingPoint], DB[noLocation])</f>
        <v>10-4-012</v>
      </c>
      <c r="F208" s="40" t="str">
        <f t="array" ref="F208">_xlfn.XLOOKUP($B208, DB[samplingPoint], DB[building])</f>
        <v>Building 10</v>
      </c>
      <c r="G208" s="40" t="str">
        <f t="array" ref="G208">_xlfn.XLOOKUP($B208, DB[samplingPoint], DB[location])</f>
        <v>CIP SKID-1 FOR BIN WASHING-1</v>
      </c>
      <c r="H208" s="40" t="str">
        <f t="array" ref="H208">_xlfn.XLOOKUP($B208, DB[samplingPoint], DB[waterType])</f>
        <v>PW</v>
      </c>
      <c r="I208" s="60">
        <f t="shared" si="1"/>
        <v>45752</v>
      </c>
      <c r="J208" s="192">
        <f t="shared" si="2"/>
        <v>45755</v>
      </c>
      <c r="K208" s="32">
        <v>0.0</v>
      </c>
      <c r="L208" s="32">
        <v>0.0</v>
      </c>
      <c r="M208" s="32">
        <f t="shared" si="3"/>
        <v>0</v>
      </c>
      <c r="N208" s="32" t="s">
        <v>376</v>
      </c>
      <c r="O208" s="32">
        <v>100.0</v>
      </c>
      <c r="P208" s="50" t="str">
        <f t="shared" si="6"/>
        <v>PASSED</v>
      </c>
      <c r="Q208" s="50" t="str">
        <f t="shared" si="5"/>
        <v>10</v>
      </c>
    </row>
    <row r="209" ht="22.5" customHeight="1">
      <c r="A209" s="26">
        <v>45751.0</v>
      </c>
      <c r="B209" s="32" t="s">
        <v>493</v>
      </c>
      <c r="C209" s="191" t="str">
        <f t="array" ref="C209">_xlfn.XLOOKUP(B209, DB[samplingPoint], DB[samplingTag])</f>
        <v>SV116.16</v>
      </c>
      <c r="D209" s="33" t="s">
        <v>59</v>
      </c>
      <c r="E209" s="39" t="str">
        <f t="array" ref="E209">_xlfn.XLOOKUP($B209, DB[samplingPoint], DB[noLocation])</f>
        <v>10-4-012</v>
      </c>
      <c r="F209" s="40" t="str">
        <f t="array" ref="F209">_xlfn.XLOOKUP($B209, DB[samplingPoint], DB[building])</f>
        <v>Building 10</v>
      </c>
      <c r="G209" s="40" t="str">
        <f t="array" ref="G209">_xlfn.XLOOKUP($B209, DB[samplingPoint], DB[location])</f>
        <v>WIP SKID-3 FOR GRANULATION POTENT</v>
      </c>
      <c r="H209" s="40" t="str">
        <f t="array" ref="H209">_xlfn.XLOOKUP($B209, DB[samplingPoint], DB[waterType])</f>
        <v>PW</v>
      </c>
      <c r="I209" s="60">
        <f t="shared" si="1"/>
        <v>45752</v>
      </c>
      <c r="J209" s="192">
        <f t="shared" si="2"/>
        <v>45755</v>
      </c>
      <c r="K209" s="32">
        <v>0.0</v>
      </c>
      <c r="L209" s="32">
        <v>0.0</v>
      </c>
      <c r="M209" s="32">
        <f t="shared" si="3"/>
        <v>0</v>
      </c>
      <c r="N209" s="32" t="s">
        <v>376</v>
      </c>
      <c r="O209" s="32">
        <v>100.0</v>
      </c>
      <c r="P209" s="50" t="str">
        <f t="shared" si="6"/>
        <v>PASSED</v>
      </c>
      <c r="Q209" s="50" t="str">
        <f t="shared" si="5"/>
        <v>10</v>
      </c>
    </row>
    <row r="210" ht="22.5" customHeight="1">
      <c r="A210" s="26">
        <v>45751.0</v>
      </c>
      <c r="B210" s="32" t="s">
        <v>494</v>
      </c>
      <c r="C210" s="191" t="str">
        <f t="array" ref="C210">_xlfn.XLOOKUP(B210, DB[samplingPoint], DB[samplingTag])</f>
        <v>SV116.17</v>
      </c>
      <c r="D210" s="33" t="s">
        <v>59</v>
      </c>
      <c r="E210" s="39" t="str">
        <f t="array" ref="E210">_xlfn.XLOOKUP($B210, DB[samplingPoint], DB[noLocation])</f>
        <v>10-4-012</v>
      </c>
      <c r="F210" s="40" t="str">
        <f t="array" ref="F210">_xlfn.XLOOKUP($B210, DB[samplingPoint], DB[building])</f>
        <v>Building 10</v>
      </c>
      <c r="G210" s="40" t="str">
        <f t="array" ref="G210">_xlfn.XLOOKUP($B210, DB[samplingPoint], DB[location])</f>
        <v>CIP SKID-2 FOR BIN WASHING-1</v>
      </c>
      <c r="H210" s="40" t="str">
        <f t="array" ref="H210">_xlfn.XLOOKUP($B210, DB[samplingPoint], DB[waterType])</f>
        <v>PW</v>
      </c>
      <c r="I210" s="60">
        <f t="shared" si="1"/>
        <v>45752</v>
      </c>
      <c r="J210" s="192">
        <f t="shared" si="2"/>
        <v>45755</v>
      </c>
      <c r="K210" s="32">
        <v>0.0</v>
      </c>
      <c r="L210" s="32">
        <v>0.0</v>
      </c>
      <c r="M210" s="32">
        <f t="shared" si="3"/>
        <v>0</v>
      </c>
      <c r="N210" s="32" t="s">
        <v>376</v>
      </c>
      <c r="O210" s="32">
        <v>100.0</v>
      </c>
      <c r="P210" s="50" t="str">
        <f t="shared" si="6"/>
        <v>PASSED</v>
      </c>
      <c r="Q210" s="50" t="str">
        <f t="shared" si="5"/>
        <v>10</v>
      </c>
    </row>
    <row r="211" ht="22.5" customHeight="1">
      <c r="A211" s="26">
        <v>45751.0</v>
      </c>
      <c r="B211" s="32" t="s">
        <v>495</v>
      </c>
      <c r="C211" s="191" t="str">
        <f t="array" ref="C211">_xlfn.XLOOKUP(B211, DB[samplingPoint], DB[samplingTag])</f>
        <v>SV116.18</v>
      </c>
      <c r="D211" s="33" t="s">
        <v>59</v>
      </c>
      <c r="E211" s="39" t="str">
        <f t="array" ref="E211">_xlfn.XLOOKUP($B211, DB[samplingPoint], DB[noLocation])</f>
        <v>10-4-012</v>
      </c>
      <c r="F211" s="40" t="str">
        <f t="array" ref="F211">_xlfn.XLOOKUP($B211, DB[samplingPoint], DB[building])</f>
        <v>Building 10</v>
      </c>
      <c r="G211" s="40" t="str">
        <f t="array" ref="G211">_xlfn.XLOOKUP($B211, DB[samplingPoint], DB[location])</f>
        <v>WIP SKID-1 FOR GRANULATION NON POTENT</v>
      </c>
      <c r="H211" s="40" t="str">
        <f t="array" ref="H211">_xlfn.XLOOKUP($B211, DB[samplingPoint], DB[waterType])</f>
        <v>PW</v>
      </c>
      <c r="I211" s="60">
        <f t="shared" si="1"/>
        <v>45752</v>
      </c>
      <c r="J211" s="192">
        <f t="shared" si="2"/>
        <v>45755</v>
      </c>
      <c r="K211" s="32">
        <v>0.0</v>
      </c>
      <c r="L211" s="32">
        <v>0.0</v>
      </c>
      <c r="M211" s="32">
        <f t="shared" si="3"/>
        <v>0</v>
      </c>
      <c r="N211" s="32" t="s">
        <v>376</v>
      </c>
      <c r="O211" s="32">
        <v>100.0</v>
      </c>
      <c r="P211" s="50" t="str">
        <f t="shared" si="6"/>
        <v>PASSED</v>
      </c>
      <c r="Q211" s="50" t="str">
        <f t="shared" si="5"/>
        <v>10</v>
      </c>
    </row>
    <row r="212" ht="22.5" customHeight="1">
      <c r="A212" s="26">
        <v>45751.0</v>
      </c>
      <c r="B212" s="32" t="s">
        <v>496</v>
      </c>
      <c r="C212" s="191" t="str">
        <f t="array" ref="C212">_xlfn.XLOOKUP(B212, DB[samplingPoint], DB[samplingTag])</f>
        <v>SV116.19</v>
      </c>
      <c r="D212" s="33" t="s">
        <v>59</v>
      </c>
      <c r="E212" s="39" t="str">
        <f t="array" ref="E212">_xlfn.XLOOKUP($B212, DB[samplingPoint], DB[noLocation])</f>
        <v>10-4-012</v>
      </c>
      <c r="F212" s="40" t="str">
        <f t="array" ref="F212">_xlfn.XLOOKUP($B212, DB[samplingPoint], DB[building])</f>
        <v>Building 10</v>
      </c>
      <c r="G212" s="40" t="str">
        <f t="array" ref="G212">_xlfn.XLOOKUP($B212, DB[samplingPoint], DB[location])</f>
        <v>WIP SKID-2 FOR GRANULATION NON POTENT</v>
      </c>
      <c r="H212" s="40" t="str">
        <f t="array" ref="H212">_xlfn.XLOOKUP($B212, DB[samplingPoint], DB[waterType])</f>
        <v>PW</v>
      </c>
      <c r="I212" s="60">
        <f t="shared" si="1"/>
        <v>45752</v>
      </c>
      <c r="J212" s="192">
        <f t="shared" si="2"/>
        <v>45755</v>
      </c>
      <c r="K212" s="32">
        <v>0.0</v>
      </c>
      <c r="L212" s="32">
        <v>0.0</v>
      </c>
      <c r="M212" s="32">
        <f t="shared" si="3"/>
        <v>0</v>
      </c>
      <c r="N212" s="32" t="s">
        <v>376</v>
      </c>
      <c r="O212" s="32">
        <v>100.0</v>
      </c>
      <c r="P212" s="50" t="str">
        <f t="shared" si="6"/>
        <v>PASSED</v>
      </c>
      <c r="Q212" s="50" t="str">
        <f t="shared" si="5"/>
        <v>10</v>
      </c>
    </row>
    <row r="213" ht="22.5" customHeight="1">
      <c r="A213" s="26">
        <v>45751.0</v>
      </c>
      <c r="B213" s="32" t="s">
        <v>476</v>
      </c>
      <c r="C213" s="191" t="str">
        <f t="array" ref="C213">_xlfn.XLOOKUP(B213, DB[samplingPoint], DB[samplingTag])</f>
        <v>DV116.12</v>
      </c>
      <c r="D213" s="33" t="s">
        <v>59</v>
      </c>
      <c r="E213" s="39" t="str">
        <f t="array" ref="E213">_xlfn.XLOOKUP($B213, DB[samplingPoint], DB[noLocation])</f>
        <v>10-3-078</v>
      </c>
      <c r="F213" s="40" t="str">
        <f t="array" ref="F213">_xlfn.XLOOKUP($B213, DB[samplingPoint], DB[building])</f>
        <v>Building 10</v>
      </c>
      <c r="G213" s="40" t="str">
        <f t="array" ref="G213">_xlfn.XLOOKUP($B213, DB[samplingPoint], DB[location])</f>
        <v>WASHING</v>
      </c>
      <c r="H213" s="40" t="str">
        <f t="array" ref="H213">_xlfn.XLOOKUP($B213, DB[samplingPoint], DB[waterType])</f>
        <v>PW</v>
      </c>
      <c r="I213" s="60">
        <f t="shared" si="1"/>
        <v>45752</v>
      </c>
      <c r="J213" s="192">
        <f t="shared" si="2"/>
        <v>45755</v>
      </c>
      <c r="K213" s="32">
        <v>0.0</v>
      </c>
      <c r="L213" s="32">
        <v>0.0</v>
      </c>
      <c r="M213" s="32">
        <f t="shared" si="3"/>
        <v>0</v>
      </c>
      <c r="N213" s="32" t="s">
        <v>376</v>
      </c>
      <c r="O213" s="32">
        <v>100.0</v>
      </c>
      <c r="P213" s="50" t="str">
        <f t="shared" si="6"/>
        <v>PASSED</v>
      </c>
      <c r="Q213" s="50" t="str">
        <f t="shared" si="5"/>
        <v>10</v>
      </c>
    </row>
    <row r="214" ht="22.5" customHeight="1">
      <c r="A214" s="26">
        <v>45751.0</v>
      </c>
      <c r="B214" s="32" t="s">
        <v>479</v>
      </c>
      <c r="C214" s="191" t="str">
        <f t="array" ref="C214">_xlfn.XLOOKUP(B214, DB[samplingPoint], DB[samplingTag])</f>
        <v>DV116.13</v>
      </c>
      <c r="D214" s="33" t="s">
        <v>59</v>
      </c>
      <c r="E214" s="39" t="str">
        <f t="array" ref="E214">_xlfn.XLOOKUP($B214, DB[samplingPoint], DB[noLocation])</f>
        <v>10-3-078</v>
      </c>
      <c r="F214" s="40" t="str">
        <f t="array" ref="F214">_xlfn.XLOOKUP($B214, DB[samplingPoint], DB[building])</f>
        <v>Building 10</v>
      </c>
      <c r="G214" s="40" t="str">
        <f t="array" ref="G214">_xlfn.XLOOKUP($B214, DB[samplingPoint], DB[location])</f>
        <v>WASHING</v>
      </c>
      <c r="H214" s="40" t="str">
        <f t="array" ref="H214">_xlfn.XLOOKUP($B214, DB[samplingPoint], DB[waterType])</f>
        <v>PW</v>
      </c>
      <c r="I214" s="60">
        <f t="shared" si="1"/>
        <v>45752</v>
      </c>
      <c r="J214" s="192">
        <f t="shared" si="2"/>
        <v>45755</v>
      </c>
      <c r="K214" s="32">
        <v>0.0</v>
      </c>
      <c r="L214" s="32">
        <v>0.0</v>
      </c>
      <c r="M214" s="32">
        <f t="shared" si="3"/>
        <v>0</v>
      </c>
      <c r="N214" s="32" t="s">
        <v>376</v>
      </c>
      <c r="O214" s="32">
        <v>100.0</v>
      </c>
      <c r="P214" s="50" t="str">
        <f t="shared" si="6"/>
        <v>PASSED</v>
      </c>
      <c r="Q214" s="50" t="str">
        <f t="shared" si="5"/>
        <v>10</v>
      </c>
    </row>
    <row r="215" ht="22.5" customHeight="1">
      <c r="A215" s="26">
        <v>45751.0</v>
      </c>
      <c r="B215" s="32" t="s">
        <v>482</v>
      </c>
      <c r="C215" s="191" t="str">
        <f t="array" ref="C215">_xlfn.XLOOKUP(B215, DB[samplingPoint], DB[samplingTag])</f>
        <v>DV116.14</v>
      </c>
      <c r="D215" s="33" t="s">
        <v>59</v>
      </c>
      <c r="E215" s="39" t="str">
        <f t="array" ref="E215">_xlfn.XLOOKUP($B215, DB[samplingPoint], DB[noLocation])</f>
        <v>10-3-086</v>
      </c>
      <c r="F215" s="40" t="str">
        <f t="array" ref="F215">_xlfn.XLOOKUP($B215, DB[samplingPoint], DB[building])</f>
        <v>Building 10</v>
      </c>
      <c r="G215" s="40" t="str">
        <f t="array" ref="G215">_xlfn.XLOOKUP($B215, DB[samplingPoint], DB[location])</f>
        <v>TOOL WASHING</v>
      </c>
      <c r="H215" s="40" t="str">
        <f t="array" ref="H215">_xlfn.XLOOKUP($B215, DB[samplingPoint], DB[waterType])</f>
        <v>PW</v>
      </c>
      <c r="I215" s="60">
        <f t="shared" si="1"/>
        <v>45752</v>
      </c>
      <c r="J215" s="192">
        <f t="shared" si="2"/>
        <v>45755</v>
      </c>
      <c r="K215" s="32">
        <v>0.0</v>
      </c>
      <c r="L215" s="32">
        <v>0.0</v>
      </c>
      <c r="M215" s="32">
        <f t="shared" si="3"/>
        <v>0</v>
      </c>
      <c r="N215" s="32" t="s">
        <v>376</v>
      </c>
      <c r="O215" s="32">
        <v>100.0</v>
      </c>
      <c r="P215" s="50" t="str">
        <f t="shared" si="6"/>
        <v>PASSED</v>
      </c>
      <c r="Q215" s="50" t="str">
        <f t="shared" si="5"/>
        <v>10</v>
      </c>
    </row>
    <row r="216" ht="22.5" customHeight="1">
      <c r="A216" s="26">
        <v>45751.0</v>
      </c>
      <c r="B216" s="32" t="s">
        <v>119</v>
      </c>
      <c r="C216" s="191" t="str">
        <f t="array" ref="C216">_xlfn.XLOOKUP(B216, DB[samplingPoint], DB[samplingTag])</f>
        <v>DV116.15</v>
      </c>
      <c r="D216" s="33" t="s">
        <v>59</v>
      </c>
      <c r="E216" s="39" t="str">
        <f t="array" ref="E216">_xlfn.XLOOKUP($B216, DB[samplingPoint], DB[noLocation])</f>
        <v>10-3-104</v>
      </c>
      <c r="F216" s="40" t="str">
        <f t="array" ref="F216">_xlfn.XLOOKUP($B216, DB[samplingPoint], DB[building])</f>
        <v>Building 10</v>
      </c>
      <c r="G216" s="40" t="str">
        <f t="array" ref="G216">_xlfn.XLOOKUP($B216, DB[samplingPoint], DB[location])</f>
        <v>BINDER PREPARATION</v>
      </c>
      <c r="H216" s="40" t="str">
        <f t="array" ref="H216">_xlfn.XLOOKUP($B216, DB[samplingPoint], DB[waterType])</f>
        <v>PW</v>
      </c>
      <c r="I216" s="60">
        <f t="shared" si="1"/>
        <v>45752</v>
      </c>
      <c r="J216" s="192">
        <f t="shared" si="2"/>
        <v>45755</v>
      </c>
      <c r="K216" s="32">
        <v>0.0</v>
      </c>
      <c r="L216" s="32">
        <v>0.0</v>
      </c>
      <c r="M216" s="32">
        <f t="shared" si="3"/>
        <v>0</v>
      </c>
      <c r="N216" s="32" t="s">
        <v>376</v>
      </c>
      <c r="O216" s="32">
        <v>100.0</v>
      </c>
      <c r="P216" s="50" t="str">
        <f t="shared" si="6"/>
        <v>PASSED</v>
      </c>
      <c r="Q216" s="50" t="str">
        <f t="shared" si="5"/>
        <v>10</v>
      </c>
    </row>
    <row r="217" ht="22.5" customHeight="1">
      <c r="A217" s="26">
        <v>45751.0</v>
      </c>
      <c r="B217" s="32" t="s">
        <v>485</v>
      </c>
      <c r="C217" s="191" t="str">
        <f t="array" ref="C217">_xlfn.XLOOKUP(B217, DB[samplingPoint], DB[samplingTag])</f>
        <v>DV116.16</v>
      </c>
      <c r="D217" s="33" t="s">
        <v>59</v>
      </c>
      <c r="E217" s="39" t="str">
        <f t="array" ref="E217">_xlfn.XLOOKUP($B217, DB[samplingPoint], DB[noLocation])</f>
        <v>10-3-107</v>
      </c>
      <c r="F217" s="40" t="str">
        <f t="array" ref="F217">_xlfn.XLOOKUP($B217, DB[samplingPoint], DB[building])</f>
        <v>Building 10</v>
      </c>
      <c r="G217" s="40" t="str">
        <f t="array" ref="G217">_xlfn.XLOOKUP($B217, DB[samplingPoint], DB[location])</f>
        <v>WET GRANULATION-2</v>
      </c>
      <c r="H217" s="40" t="str">
        <f t="array" ref="H217">_xlfn.XLOOKUP($B217, DB[samplingPoint], DB[waterType])</f>
        <v>PW</v>
      </c>
      <c r="I217" s="60">
        <f t="shared" si="1"/>
        <v>45752</v>
      </c>
      <c r="J217" s="192">
        <f t="shared" si="2"/>
        <v>45755</v>
      </c>
      <c r="K217" s="32">
        <v>0.0</v>
      </c>
      <c r="L217" s="32">
        <v>0.0</v>
      </c>
      <c r="M217" s="32">
        <f t="shared" si="3"/>
        <v>0</v>
      </c>
      <c r="N217" s="32" t="s">
        <v>376</v>
      </c>
      <c r="O217" s="32">
        <v>100.0</v>
      </c>
      <c r="P217" s="50" t="str">
        <f t="shared" si="6"/>
        <v>PASSED</v>
      </c>
      <c r="Q217" s="50" t="str">
        <f t="shared" si="5"/>
        <v>10</v>
      </c>
    </row>
    <row r="218" ht="22.5" customHeight="1">
      <c r="A218" s="26">
        <v>45751.0</v>
      </c>
      <c r="B218" s="32" t="s">
        <v>488</v>
      </c>
      <c r="C218" s="191" t="str">
        <f t="array" ref="C218">_xlfn.XLOOKUP(B218, DB[samplingPoint], DB[samplingTag])</f>
        <v>DV116.17</v>
      </c>
      <c r="D218" s="33" t="s">
        <v>59</v>
      </c>
      <c r="E218" s="39" t="str">
        <f t="array" ref="E218">_xlfn.XLOOKUP($B218, DB[samplingPoint], DB[noLocation])</f>
        <v>10-3-117</v>
      </c>
      <c r="F218" s="40" t="str">
        <f t="array" ref="F218">_xlfn.XLOOKUP($B218, DB[samplingPoint], DB[building])</f>
        <v>Building 10</v>
      </c>
      <c r="G218" s="40" t="str">
        <f t="array" ref="G218">_xlfn.XLOOKUP($B218, DB[samplingPoint], DB[location])</f>
        <v>IPQC-2</v>
      </c>
      <c r="H218" s="40" t="str">
        <f t="array" ref="H218">_xlfn.XLOOKUP($B218, DB[samplingPoint], DB[waterType])</f>
        <v>PW</v>
      </c>
      <c r="I218" s="60">
        <f t="shared" si="1"/>
        <v>45752</v>
      </c>
      <c r="J218" s="192">
        <f t="shared" si="2"/>
        <v>45755</v>
      </c>
      <c r="K218" s="32">
        <v>0.0</v>
      </c>
      <c r="L218" s="32">
        <v>0.0</v>
      </c>
      <c r="M218" s="32">
        <f t="shared" si="3"/>
        <v>0</v>
      </c>
      <c r="N218" s="32" t="s">
        <v>376</v>
      </c>
      <c r="O218" s="32">
        <v>100.0</v>
      </c>
      <c r="P218" s="50" t="str">
        <f t="shared" si="6"/>
        <v>PASSED</v>
      </c>
      <c r="Q218" s="50" t="str">
        <f t="shared" si="5"/>
        <v>10</v>
      </c>
    </row>
    <row r="219" ht="22.5" customHeight="1">
      <c r="A219" s="26">
        <v>45751.0</v>
      </c>
      <c r="B219" s="32" t="s">
        <v>489</v>
      </c>
      <c r="C219" s="191" t="str">
        <f t="array" ref="C219">_xlfn.XLOOKUP(B219, DB[samplingPoint], DB[samplingTag])</f>
        <v>DV116.18</v>
      </c>
      <c r="D219" s="33" t="s">
        <v>59</v>
      </c>
      <c r="E219" s="39" t="str">
        <f t="array" ref="E219">_xlfn.XLOOKUP($B219, DB[samplingPoint], DB[noLocation])</f>
        <v>10-3-111</v>
      </c>
      <c r="F219" s="40" t="str">
        <f t="array" ref="F219">_xlfn.XLOOKUP($B219, DB[samplingPoint], DB[building])</f>
        <v>Building 10</v>
      </c>
      <c r="G219" s="40" t="str">
        <f t="array" ref="G219">_xlfn.XLOOKUP($B219, DB[samplingPoint], DB[location])</f>
        <v>WET GRANULATION-5</v>
      </c>
      <c r="H219" s="40" t="str">
        <f t="array" ref="H219">_xlfn.XLOOKUP($B219, DB[samplingPoint], DB[waterType])</f>
        <v>PW</v>
      </c>
      <c r="I219" s="60">
        <f t="shared" si="1"/>
        <v>45752</v>
      </c>
      <c r="J219" s="192">
        <f t="shared" si="2"/>
        <v>45755</v>
      </c>
      <c r="K219" s="32">
        <v>0.0</v>
      </c>
      <c r="L219" s="32">
        <v>0.0</v>
      </c>
      <c r="M219" s="32">
        <f t="shared" si="3"/>
        <v>0</v>
      </c>
      <c r="N219" s="32" t="s">
        <v>376</v>
      </c>
      <c r="O219" s="32">
        <v>100.0</v>
      </c>
      <c r="P219" s="50" t="str">
        <f t="shared" si="6"/>
        <v>PASSED</v>
      </c>
      <c r="Q219" s="50" t="str">
        <f t="shared" si="5"/>
        <v>10</v>
      </c>
    </row>
    <row r="220" ht="22.5" customHeight="1">
      <c r="A220" s="26">
        <v>45751.0</v>
      </c>
      <c r="B220" s="32" t="s">
        <v>502</v>
      </c>
      <c r="C220" s="191" t="str">
        <f t="array" ref="C220">_xlfn.XLOOKUP(B220, DB[samplingPoint], DB[samplingTag])</f>
        <v>DV116.26</v>
      </c>
      <c r="D220" s="33" t="s">
        <v>59</v>
      </c>
      <c r="E220" s="39" t="str">
        <f t="array" ref="E220">_xlfn.XLOOKUP($B220, DB[samplingPoint], DB[noLocation])</f>
        <v>10-4-015</v>
      </c>
      <c r="F220" s="40" t="str">
        <f t="array" ref="F220">_xlfn.XLOOKUP($B220, DB[samplingPoint], DB[building])</f>
        <v>Building 10</v>
      </c>
      <c r="G220" s="40" t="str">
        <f t="array" ref="G220">_xlfn.XLOOKUP($B220, DB[samplingPoint], DB[location])</f>
        <v>WATER SYSTEM ROOM</v>
      </c>
      <c r="H220" s="40" t="str">
        <f t="array" ref="H220">_xlfn.XLOOKUP($B220, DB[samplingPoint], DB[waterType])</f>
        <v>PW</v>
      </c>
      <c r="I220" s="60">
        <f t="shared" si="1"/>
        <v>45752</v>
      </c>
      <c r="J220" s="192">
        <f t="shared" si="2"/>
        <v>45755</v>
      </c>
      <c r="K220" s="32">
        <v>0.0</v>
      </c>
      <c r="L220" s="32">
        <v>0.0</v>
      </c>
      <c r="M220" s="32">
        <f t="shared" si="3"/>
        <v>0</v>
      </c>
      <c r="N220" s="32" t="s">
        <v>376</v>
      </c>
      <c r="O220" s="32">
        <v>100.0</v>
      </c>
      <c r="P220" s="50" t="str">
        <f t="shared" si="6"/>
        <v>PASSED</v>
      </c>
      <c r="Q220" s="50" t="str">
        <f t="shared" si="5"/>
        <v>10</v>
      </c>
    </row>
    <row r="221" ht="22.5" customHeight="1">
      <c r="A221" s="26">
        <v>45751.0</v>
      </c>
      <c r="B221" s="32" t="s">
        <v>368</v>
      </c>
      <c r="C221" s="191" t="str">
        <f t="array" ref="C221">_xlfn.XLOOKUP(B221, DB[samplingPoint], DB[samplingTag])</f>
        <v>V50-11C(10)</v>
      </c>
      <c r="D221" s="33" t="s">
        <v>59</v>
      </c>
      <c r="E221" s="39" t="str">
        <f t="array" ref="E221">_xlfn.XLOOKUP($B221, DB[samplingPoint], DB[noLocation])</f>
        <v>WATER SYSTEM (B10)</v>
      </c>
      <c r="F221" s="40" t="str">
        <f t="array" ref="F221">_xlfn.XLOOKUP($B221, DB[samplingPoint], DB[building])</f>
        <v>Building 10</v>
      </c>
      <c r="G221" s="40" t="str">
        <f t="array" ref="G221">_xlfn.XLOOKUP($B221, DB[samplingPoint], DB[location])</f>
        <v>After RO (Before EDI) (B10)</v>
      </c>
      <c r="H221" s="40" t="str">
        <f t="array" ref="H221">_xlfn.XLOOKUP($B221, DB[samplingPoint], DB[waterType])</f>
        <v>RO water</v>
      </c>
      <c r="I221" s="60">
        <f t="shared" si="1"/>
        <v>45752</v>
      </c>
      <c r="J221" s="192">
        <f t="shared" si="2"/>
        <v>45755</v>
      </c>
      <c r="K221" s="32">
        <v>0.0</v>
      </c>
      <c r="L221" s="32">
        <v>0.0</v>
      </c>
      <c r="M221" s="32">
        <f t="shared" si="3"/>
        <v>0</v>
      </c>
      <c r="N221" s="32" t="s">
        <v>376</v>
      </c>
      <c r="O221" s="32">
        <v>500.0</v>
      </c>
      <c r="P221" s="50" t="str">
        <f t="shared" si="6"/>
        <v>PASSED</v>
      </c>
      <c r="Q221" s="50" t="str">
        <f t="shared" si="5"/>
        <v>WA</v>
      </c>
    </row>
    <row r="222" ht="22.5" customHeight="1">
      <c r="A222" s="26">
        <v>45751.0</v>
      </c>
      <c r="B222" s="32" t="s">
        <v>374</v>
      </c>
      <c r="C222" s="191" t="str">
        <f t="array" ref="C222">_xlfn.XLOOKUP(B222, DB[samplingPoint], DB[samplingTag])</f>
        <v>V50-39(10)</v>
      </c>
      <c r="D222" s="33" t="s">
        <v>59</v>
      </c>
      <c r="E222" s="39" t="str">
        <f t="array" ref="E222">_xlfn.XLOOKUP($B222, DB[samplingPoint], DB[noLocation])</f>
        <v>WATER SYSTEM (B10)</v>
      </c>
      <c r="F222" s="40" t="str">
        <f t="array" ref="F222">_xlfn.XLOOKUP($B222, DB[samplingPoint], DB[building])</f>
        <v>Building 10</v>
      </c>
      <c r="G222" s="40" t="str">
        <f t="array" ref="G222">_xlfn.XLOOKUP($B222, DB[samplingPoint], DB[location])</f>
        <v>After EDI (B10)</v>
      </c>
      <c r="H222" s="40" t="str">
        <f t="array" ref="H222">_xlfn.XLOOKUP($B222, DB[samplingPoint], DB[waterType])</f>
        <v>PW</v>
      </c>
      <c r="I222" s="60">
        <f t="shared" si="1"/>
        <v>45752</v>
      </c>
      <c r="J222" s="192">
        <f t="shared" si="2"/>
        <v>45755</v>
      </c>
      <c r="K222" s="32">
        <v>0.0</v>
      </c>
      <c r="L222" s="32">
        <v>0.0</v>
      </c>
      <c r="M222" s="32">
        <f t="shared" si="3"/>
        <v>0</v>
      </c>
      <c r="N222" s="32" t="s">
        <v>376</v>
      </c>
      <c r="O222" s="32">
        <v>100.0</v>
      </c>
      <c r="P222" s="50" t="str">
        <f t="shared" si="6"/>
        <v>PASSED</v>
      </c>
      <c r="Q222" s="50" t="str">
        <f t="shared" si="5"/>
        <v>WA</v>
      </c>
    </row>
    <row r="223" ht="22.5" customHeight="1">
      <c r="A223" s="26">
        <v>45751.0</v>
      </c>
      <c r="B223" s="32" t="s">
        <v>380</v>
      </c>
      <c r="C223" s="191" t="str">
        <f t="array" ref="C223">_xlfn.XLOOKUP(B223, DB[samplingPoint], DB[samplingTag])</f>
        <v>SV113.01</v>
      </c>
      <c r="D223" s="33" t="s">
        <v>59</v>
      </c>
      <c r="E223" s="39" t="str">
        <f t="array" ref="E223">_xlfn.XLOOKUP($B223, DB[samplingPoint], DB[noLocation])</f>
        <v>WATER SYSTEM (B10)</v>
      </c>
      <c r="F223" s="40" t="str">
        <f t="array" ref="F223">_xlfn.XLOOKUP($B223, DB[samplingPoint], DB[building])</f>
        <v>Building 10</v>
      </c>
      <c r="G223" s="40" t="str">
        <f t="array" ref="G223">_xlfn.XLOOKUP($B223, DB[samplingPoint], DB[location])</f>
        <v>After Storage tank (B10)</v>
      </c>
      <c r="H223" s="40" t="str">
        <f t="array" ref="H223">_xlfn.XLOOKUP($B223, DB[samplingPoint], DB[waterType])</f>
        <v>PW</v>
      </c>
      <c r="I223" s="60">
        <f t="shared" si="1"/>
        <v>45752</v>
      </c>
      <c r="J223" s="192">
        <f t="shared" si="2"/>
        <v>45755</v>
      </c>
      <c r="K223" s="32">
        <v>0.0</v>
      </c>
      <c r="L223" s="32">
        <v>0.0</v>
      </c>
      <c r="M223" s="32">
        <f t="shared" si="3"/>
        <v>0</v>
      </c>
      <c r="N223" s="32" t="s">
        <v>376</v>
      </c>
      <c r="O223" s="32">
        <v>100.0</v>
      </c>
      <c r="P223" s="50" t="str">
        <f t="shared" si="6"/>
        <v>PASSED</v>
      </c>
      <c r="Q223" s="50" t="str">
        <f t="shared" si="5"/>
        <v>WA</v>
      </c>
    </row>
    <row r="224" ht="22.5" customHeight="1">
      <c r="A224" s="26">
        <v>45751.0</v>
      </c>
      <c r="B224" s="32" t="s">
        <v>385</v>
      </c>
      <c r="C224" s="191" t="str">
        <f t="array" ref="C224">_xlfn.XLOOKUP(B224, DB[samplingPoint], DB[samplingTag])</f>
        <v>SV115.02</v>
      </c>
      <c r="D224" s="33" t="s">
        <v>59</v>
      </c>
      <c r="E224" s="39" t="str">
        <f t="array" ref="E224">_xlfn.XLOOKUP($B224, DB[samplingPoint], DB[noLocation])</f>
        <v>WATER SYSTEM (B10)</v>
      </c>
      <c r="F224" s="40" t="str">
        <f t="array" ref="F224">_xlfn.XLOOKUP($B224, DB[samplingPoint], DB[building])</f>
        <v>Building 10</v>
      </c>
      <c r="G224" s="40" t="str">
        <f t="array" ref="G224">_xlfn.XLOOKUP($B224, DB[samplingPoint], DB[location])</f>
        <v>After UV (B10)</v>
      </c>
      <c r="H224" s="40" t="str">
        <f t="array" ref="H224">_xlfn.XLOOKUP($B224, DB[samplingPoint], DB[waterType])</f>
        <v>PW</v>
      </c>
      <c r="I224" s="60">
        <f t="shared" si="1"/>
        <v>45752</v>
      </c>
      <c r="J224" s="192">
        <f t="shared" si="2"/>
        <v>45755</v>
      </c>
      <c r="K224" s="32">
        <v>0.0</v>
      </c>
      <c r="L224" s="32">
        <v>0.0</v>
      </c>
      <c r="M224" s="32">
        <f t="shared" si="3"/>
        <v>0</v>
      </c>
      <c r="N224" s="32" t="s">
        <v>376</v>
      </c>
      <c r="O224" s="32">
        <v>100.0</v>
      </c>
      <c r="P224" s="50" t="str">
        <f t="shared" si="6"/>
        <v>PASSED</v>
      </c>
      <c r="Q224" s="50" t="str">
        <f t="shared" si="5"/>
        <v>WA</v>
      </c>
    </row>
    <row r="225" ht="22.5" customHeight="1">
      <c r="A225" s="26">
        <v>45751.0</v>
      </c>
      <c r="B225" s="32" t="s">
        <v>390</v>
      </c>
      <c r="C225" s="191" t="str">
        <f t="array" ref="C225">_xlfn.XLOOKUP(B225, DB[samplingPoint], DB[samplingTag])</f>
        <v>SV117.01</v>
      </c>
      <c r="D225" s="33" t="s">
        <v>59</v>
      </c>
      <c r="E225" s="39" t="str">
        <f t="array" ref="E225">_xlfn.XLOOKUP($B225, DB[samplingPoint], DB[noLocation])</f>
        <v>WATER SYSTEM (B10)</v>
      </c>
      <c r="F225" s="40" t="str">
        <f t="array" ref="F225">_xlfn.XLOOKUP($B225, DB[samplingPoint], DB[building])</f>
        <v>Building 10</v>
      </c>
      <c r="G225" s="40" t="str">
        <f t="array" ref="G225">_xlfn.XLOOKUP($B225, DB[samplingPoint], DB[location])</f>
        <v>Return loop (B10)</v>
      </c>
      <c r="H225" s="40" t="str">
        <f t="array" ref="H225">_xlfn.XLOOKUP($B225, DB[samplingPoint], DB[waterType])</f>
        <v>PW</v>
      </c>
      <c r="I225" s="60">
        <f t="shared" si="1"/>
        <v>45752</v>
      </c>
      <c r="J225" s="192">
        <f t="shared" si="2"/>
        <v>45755</v>
      </c>
      <c r="K225" s="32">
        <v>0.0</v>
      </c>
      <c r="L225" s="32">
        <v>0.0</v>
      </c>
      <c r="M225" s="32">
        <f t="shared" si="3"/>
        <v>0</v>
      </c>
      <c r="N225" s="32" t="s">
        <v>376</v>
      </c>
      <c r="O225" s="32">
        <v>100.0</v>
      </c>
      <c r="P225" s="50" t="str">
        <f t="shared" si="6"/>
        <v>PASSED</v>
      </c>
      <c r="Q225" s="50" t="str">
        <f t="shared" si="5"/>
        <v>WA</v>
      </c>
    </row>
    <row r="226" ht="22.5" customHeight="1">
      <c r="A226" s="26">
        <v>45758.0</v>
      </c>
      <c r="B226" s="32" t="s">
        <v>528</v>
      </c>
      <c r="C226" s="191" t="str">
        <f t="array" ref="C226">_xlfn.XLOOKUP(B226, DB[samplingPoint], DB[samplingTag])</f>
        <v>DV116.08</v>
      </c>
      <c r="D226" s="33" t="s">
        <v>59</v>
      </c>
      <c r="E226" s="39" t="str">
        <f t="array" ref="E226">_xlfn.XLOOKUP($B226, DB[samplingPoint], DB[noLocation])</f>
        <v>10-3-059</v>
      </c>
      <c r="F226" s="40" t="str">
        <f t="array" ref="F226">_xlfn.XLOOKUP($B226, DB[samplingPoint], DB[building])</f>
        <v>Building 10</v>
      </c>
      <c r="G226" s="40" t="str">
        <f t="array" ref="G226">_xlfn.XLOOKUP($B226, DB[samplingPoint], DB[location])</f>
        <v>COATING SOLUTION PREP.-1</v>
      </c>
      <c r="H226" s="40" t="str">
        <f t="array" ref="H226">_xlfn.XLOOKUP($B226, DB[samplingPoint], DB[waterType])</f>
        <v>PW</v>
      </c>
      <c r="I226" s="60">
        <f t="shared" si="1"/>
        <v>45759</v>
      </c>
      <c r="J226" s="192">
        <f t="shared" si="2"/>
        <v>45762</v>
      </c>
      <c r="K226" s="32">
        <v>0.0</v>
      </c>
      <c r="L226" s="32">
        <v>0.0</v>
      </c>
      <c r="M226" s="32">
        <f t="shared" si="3"/>
        <v>0</v>
      </c>
      <c r="N226" s="32" t="s">
        <v>376</v>
      </c>
      <c r="O226" s="32">
        <v>100.0</v>
      </c>
      <c r="P226" s="50" t="str">
        <f t="shared" si="6"/>
        <v>PASSED</v>
      </c>
      <c r="Q226" s="50" t="str">
        <f t="shared" si="5"/>
        <v>10</v>
      </c>
    </row>
    <row r="227" ht="22.5" customHeight="1">
      <c r="A227" s="26">
        <v>45758.0</v>
      </c>
      <c r="B227" s="32" t="s">
        <v>529</v>
      </c>
      <c r="C227" s="191" t="str">
        <f t="array" ref="C227">_xlfn.XLOOKUP(B227, DB[samplingPoint], DB[samplingTag])</f>
        <v>DV116.09</v>
      </c>
      <c r="D227" s="33" t="s">
        <v>59</v>
      </c>
      <c r="E227" s="39" t="str">
        <f t="array" ref="E227">_xlfn.XLOOKUP($B227, DB[samplingPoint], DB[noLocation])</f>
        <v>10-3-060</v>
      </c>
      <c r="F227" s="40" t="str">
        <f t="array" ref="F227">_xlfn.XLOOKUP($B227, DB[samplingPoint], DB[building])</f>
        <v>Building 10</v>
      </c>
      <c r="G227" s="40" t="str">
        <f t="array" ref="G227">_xlfn.XLOOKUP($B227, DB[samplingPoint], DB[location])</f>
        <v>COATING SOLUTION PREP.-2</v>
      </c>
      <c r="H227" s="40" t="str">
        <f t="array" ref="H227">_xlfn.XLOOKUP($B227, DB[samplingPoint], DB[waterType])</f>
        <v>PW</v>
      </c>
      <c r="I227" s="60">
        <f t="shared" si="1"/>
        <v>45759</v>
      </c>
      <c r="J227" s="192">
        <f t="shared" si="2"/>
        <v>45762</v>
      </c>
      <c r="K227" s="32">
        <v>0.0</v>
      </c>
      <c r="L227" s="32">
        <v>0.0</v>
      </c>
      <c r="M227" s="32">
        <f t="shared" si="3"/>
        <v>0</v>
      </c>
      <c r="N227" s="32" t="s">
        <v>376</v>
      </c>
      <c r="O227" s="32">
        <v>100.0</v>
      </c>
      <c r="P227" s="50" t="str">
        <f t="shared" si="6"/>
        <v>PASSED</v>
      </c>
      <c r="Q227" s="50" t="str">
        <f t="shared" si="5"/>
        <v>10</v>
      </c>
    </row>
    <row r="228" ht="22.5" customHeight="1">
      <c r="A228" s="26">
        <v>45758.0</v>
      </c>
      <c r="B228" s="32" t="s">
        <v>531</v>
      </c>
      <c r="C228" s="191" t="str">
        <f t="array" ref="C228">_xlfn.XLOOKUP(B228, DB[samplingPoint], DB[samplingTag])</f>
        <v>DV116.10</v>
      </c>
      <c r="D228" s="33" t="s">
        <v>59</v>
      </c>
      <c r="E228" s="39" t="str">
        <f t="array" ref="E228">_xlfn.XLOOKUP($B228, DB[samplingPoint], DB[noLocation])</f>
        <v>10-3-065</v>
      </c>
      <c r="F228" s="40" t="str">
        <f t="array" ref="F228">_xlfn.XLOOKUP($B228, DB[samplingPoint], DB[building])</f>
        <v>Building 10</v>
      </c>
      <c r="G228" s="40" t="str">
        <f t="array" ref="G228">_xlfn.XLOOKUP($B228, DB[samplingPoint], DB[location])</f>
        <v>COATING SOLUTION PREP.-3</v>
      </c>
      <c r="H228" s="40" t="str">
        <f t="array" ref="H228">_xlfn.XLOOKUP($B228, DB[samplingPoint], DB[waterType])</f>
        <v>PW</v>
      </c>
      <c r="I228" s="60">
        <f t="shared" si="1"/>
        <v>45759</v>
      </c>
      <c r="J228" s="192">
        <f t="shared" si="2"/>
        <v>45762</v>
      </c>
      <c r="K228" s="32">
        <v>0.0</v>
      </c>
      <c r="L228" s="32">
        <v>0.0</v>
      </c>
      <c r="M228" s="32">
        <f t="shared" si="3"/>
        <v>0</v>
      </c>
      <c r="N228" s="32" t="s">
        <v>376</v>
      </c>
      <c r="O228" s="32">
        <v>100.0</v>
      </c>
      <c r="P228" s="50" t="str">
        <f t="shared" si="6"/>
        <v>PASSED</v>
      </c>
      <c r="Q228" s="50" t="str">
        <f t="shared" si="5"/>
        <v>10</v>
      </c>
    </row>
    <row r="229" ht="22.5" customHeight="1">
      <c r="A229" s="26">
        <v>45758.0</v>
      </c>
      <c r="B229" s="32" t="s">
        <v>531</v>
      </c>
      <c r="C229" s="191" t="str">
        <f t="array" ref="C229">_xlfn.XLOOKUP(B229, DB[samplingPoint], DB[samplingTag])</f>
        <v>DV116.10</v>
      </c>
      <c r="D229" s="33" t="s">
        <v>59</v>
      </c>
      <c r="E229" s="39" t="str">
        <f t="array" ref="E229">_xlfn.XLOOKUP($B229, DB[samplingPoint], DB[noLocation])</f>
        <v>10-3-065</v>
      </c>
      <c r="F229" s="40" t="str">
        <f t="array" ref="F229">_xlfn.XLOOKUP($B229, DB[samplingPoint], DB[building])</f>
        <v>Building 10</v>
      </c>
      <c r="G229" s="40" t="str">
        <f t="array" ref="G229">_xlfn.XLOOKUP($B229, DB[samplingPoint], DB[location])</f>
        <v>COATING SOLUTION PREP.-3</v>
      </c>
      <c r="H229" s="40" t="str">
        <f t="array" ref="H229">_xlfn.XLOOKUP($B229, DB[samplingPoint], DB[waterType])</f>
        <v>PW</v>
      </c>
      <c r="I229" s="60">
        <f t="shared" si="1"/>
        <v>45759</v>
      </c>
      <c r="J229" s="192">
        <f t="shared" si="2"/>
        <v>45762</v>
      </c>
      <c r="K229" s="32">
        <v>0.0</v>
      </c>
      <c r="L229" s="32">
        <v>0.0</v>
      </c>
      <c r="M229" s="32">
        <f t="shared" si="3"/>
        <v>0</v>
      </c>
      <c r="N229" s="32" t="s">
        <v>376</v>
      </c>
      <c r="O229" s="32">
        <v>100.0</v>
      </c>
      <c r="P229" s="50" t="str">
        <f t="shared" si="6"/>
        <v>PASSED</v>
      </c>
      <c r="Q229" s="50" t="str">
        <f t="shared" si="5"/>
        <v>10</v>
      </c>
    </row>
    <row r="230" ht="22.5" customHeight="1">
      <c r="A230" s="26">
        <v>45758.0</v>
      </c>
      <c r="B230" s="32" t="s">
        <v>526</v>
      </c>
      <c r="C230" s="191" t="str">
        <f t="array" ref="C230">_xlfn.XLOOKUP(B230, DB[samplingPoint], DB[samplingTag])</f>
        <v>DV116.06</v>
      </c>
      <c r="D230" s="33" t="s">
        <v>59</v>
      </c>
      <c r="E230" s="39" t="str">
        <f t="array" ref="E230">_xlfn.XLOOKUP($B230, DB[samplingPoint], DB[noLocation])</f>
        <v>10-2-034</v>
      </c>
      <c r="F230" s="40" t="str">
        <f t="array" ref="F230">_xlfn.XLOOKUP($B230, DB[samplingPoint], DB[building])</f>
        <v>Building 10</v>
      </c>
      <c r="G230" s="40" t="str">
        <f t="array" ref="G230">_xlfn.XLOOKUP($B230, DB[samplingPoint], DB[location])</f>
        <v>SAMPLE PREPARATION</v>
      </c>
      <c r="H230" s="40" t="str">
        <f t="array" ref="H230">_xlfn.XLOOKUP($B230, DB[samplingPoint], DB[waterType])</f>
        <v>PW</v>
      </c>
      <c r="I230" s="60">
        <f t="shared" si="1"/>
        <v>45759</v>
      </c>
      <c r="J230" s="192">
        <f t="shared" si="2"/>
        <v>45762</v>
      </c>
      <c r="K230" s="32">
        <v>0.0</v>
      </c>
      <c r="L230" s="32">
        <v>0.0</v>
      </c>
      <c r="M230" s="32">
        <f t="shared" si="3"/>
        <v>0</v>
      </c>
      <c r="N230" s="32" t="s">
        <v>376</v>
      </c>
      <c r="O230" s="32">
        <v>100.0</v>
      </c>
      <c r="P230" s="50" t="str">
        <f t="shared" si="6"/>
        <v>PASSED</v>
      </c>
      <c r="Q230" s="50" t="str">
        <f t="shared" si="5"/>
        <v>10</v>
      </c>
    </row>
    <row r="231" ht="22.5" customHeight="1">
      <c r="A231" s="26">
        <v>45758.0</v>
      </c>
      <c r="B231" s="32" t="s">
        <v>527</v>
      </c>
      <c r="C231" s="191" t="str">
        <f t="array" ref="C231">_xlfn.XLOOKUP(B231, DB[samplingPoint], DB[samplingTag])</f>
        <v>DV116.07</v>
      </c>
      <c r="D231" s="33" t="s">
        <v>59</v>
      </c>
      <c r="E231" s="39" t="str">
        <f t="array" ref="E231">_xlfn.XLOOKUP($B231, DB[samplingPoint], DB[noLocation])</f>
        <v>10-2-032</v>
      </c>
      <c r="F231" s="40" t="str">
        <f t="array" ref="F231">_xlfn.XLOOKUP($B231, DB[samplingPoint], DB[building])</f>
        <v>Building 10</v>
      </c>
      <c r="G231" s="40" t="str">
        <f t="array" ref="G231">_xlfn.XLOOKUP($B231, DB[samplingPoint], DB[location])</f>
        <v>GLASS-WARE WASHING</v>
      </c>
      <c r="H231" s="40" t="str">
        <f t="array" ref="H231">_xlfn.XLOOKUP($B231, DB[samplingPoint], DB[waterType])</f>
        <v>PW</v>
      </c>
      <c r="I231" s="60">
        <f t="shared" si="1"/>
        <v>45759</v>
      </c>
      <c r="J231" s="192">
        <f t="shared" si="2"/>
        <v>45762</v>
      </c>
      <c r="K231" s="32">
        <v>0.0</v>
      </c>
      <c r="L231" s="32">
        <v>0.0</v>
      </c>
      <c r="M231" s="32">
        <f t="shared" si="3"/>
        <v>0</v>
      </c>
      <c r="N231" s="32" t="s">
        <v>376</v>
      </c>
      <c r="O231" s="32">
        <v>100.0</v>
      </c>
      <c r="P231" s="50" t="str">
        <f t="shared" si="6"/>
        <v>PASSED</v>
      </c>
      <c r="Q231" s="50" t="str">
        <f t="shared" si="5"/>
        <v>10</v>
      </c>
    </row>
    <row r="232" ht="22.5" customHeight="1">
      <c r="A232" s="26">
        <v>45758.0</v>
      </c>
      <c r="B232" s="32" t="s">
        <v>522</v>
      </c>
      <c r="C232" s="191" t="str">
        <f t="array" ref="C232">_xlfn.XLOOKUP(B232, DB[samplingPoint], DB[samplingTag])</f>
        <v>DV116.04</v>
      </c>
      <c r="D232" s="33" t="s">
        <v>59</v>
      </c>
      <c r="E232" s="39" t="str">
        <f t="array" ref="E232">_xlfn.XLOOKUP($B232, DB[samplingPoint], DB[noLocation])</f>
        <v>10-2-037</v>
      </c>
      <c r="F232" s="40" t="str">
        <f t="array" ref="F232">_xlfn.XLOOKUP($B232, DB[samplingPoint], DB[building])</f>
        <v>Building 10</v>
      </c>
      <c r="G232" s="40" t="str">
        <f t="array" ref="G232">_xlfn.XLOOKUP($B232, DB[samplingPoint], DB[location])</f>
        <v>SKID FOR BIN WASHING-1</v>
      </c>
      <c r="H232" s="40" t="str">
        <f t="array" ref="H232">_xlfn.XLOOKUP($B232, DB[samplingPoint], DB[waterType])</f>
        <v>PW</v>
      </c>
      <c r="I232" s="60">
        <f t="shared" si="1"/>
        <v>45759</v>
      </c>
      <c r="J232" s="192">
        <f t="shared" si="2"/>
        <v>45762</v>
      </c>
      <c r="K232" s="32">
        <v>0.0</v>
      </c>
      <c r="L232" s="32">
        <v>0.0</v>
      </c>
      <c r="M232" s="32">
        <f t="shared" si="3"/>
        <v>0</v>
      </c>
      <c r="N232" s="32" t="s">
        <v>376</v>
      </c>
      <c r="O232" s="32">
        <v>100.0</v>
      </c>
      <c r="P232" s="50" t="str">
        <f t="shared" si="6"/>
        <v>PASSED</v>
      </c>
      <c r="Q232" s="50" t="str">
        <f t="shared" si="5"/>
        <v>10</v>
      </c>
    </row>
    <row r="233" ht="22.5" customHeight="1">
      <c r="A233" s="26">
        <v>45758.0</v>
      </c>
      <c r="B233" s="32" t="s">
        <v>524</v>
      </c>
      <c r="C233" s="191" t="str">
        <f t="array" ref="C233">_xlfn.XLOOKUP(B233, DB[samplingPoint], DB[samplingTag])</f>
        <v>DV116.05</v>
      </c>
      <c r="D233" s="33" t="s">
        <v>59</v>
      </c>
      <c r="E233" s="39" t="str">
        <f t="array" ref="E233">_xlfn.XLOOKUP($B233, DB[samplingPoint], DB[noLocation])</f>
        <v>10-2-032</v>
      </c>
      <c r="F233" s="40" t="str">
        <f t="array" ref="F233">_xlfn.XLOOKUP($B233, DB[samplingPoint], DB[building])</f>
        <v>Building 10</v>
      </c>
      <c r="G233" s="40" t="str">
        <f t="array" ref="G233">_xlfn.XLOOKUP($B233, DB[samplingPoint], DB[location])</f>
        <v>GLASS-WARE WASHING</v>
      </c>
      <c r="H233" s="40" t="str">
        <f t="array" ref="H233">_xlfn.XLOOKUP($B233, DB[samplingPoint], DB[waterType])</f>
        <v>PW</v>
      </c>
      <c r="I233" s="60">
        <f t="shared" si="1"/>
        <v>45759</v>
      </c>
      <c r="J233" s="192">
        <f t="shared" si="2"/>
        <v>45762</v>
      </c>
      <c r="K233" s="32">
        <v>0.0</v>
      </c>
      <c r="L233" s="32">
        <v>0.0</v>
      </c>
      <c r="M233" s="32">
        <f t="shared" si="3"/>
        <v>0</v>
      </c>
      <c r="N233" s="32" t="s">
        <v>376</v>
      </c>
      <c r="O233" s="32">
        <v>100.0</v>
      </c>
      <c r="P233" s="50" t="str">
        <f t="shared" si="6"/>
        <v>PASSED</v>
      </c>
      <c r="Q233" s="50" t="str">
        <f t="shared" si="5"/>
        <v>10</v>
      </c>
    </row>
    <row r="234" ht="22.5" customHeight="1">
      <c r="A234" s="26">
        <v>45758.0</v>
      </c>
      <c r="B234" s="32" t="s">
        <v>520</v>
      </c>
      <c r="C234" s="191" t="str">
        <f t="array" ref="C234">_xlfn.XLOOKUP(B234, DB[samplingPoint], DB[samplingTag])</f>
        <v>DV116.03</v>
      </c>
      <c r="D234" s="33" t="s">
        <v>59</v>
      </c>
      <c r="E234" s="39" t="str">
        <f t="array" ref="E234">_xlfn.XLOOKUP($B234, DB[samplingPoint], DB[noLocation])</f>
        <v>10-2-034</v>
      </c>
      <c r="F234" s="40" t="str">
        <f t="array" ref="F234">_xlfn.XLOOKUP($B234, DB[samplingPoint], DB[building])</f>
        <v>Building 10</v>
      </c>
      <c r="G234" s="40" t="str">
        <f t="array" ref="G234">_xlfn.XLOOKUP($B234, DB[samplingPoint], DB[location])</f>
        <v>SAMPLE PREPARATION</v>
      </c>
      <c r="H234" s="40" t="str">
        <f t="array" ref="H234">_xlfn.XLOOKUP($B234, DB[samplingPoint], DB[waterType])</f>
        <v>PW</v>
      </c>
      <c r="I234" s="60">
        <f t="shared" si="1"/>
        <v>45759</v>
      </c>
      <c r="J234" s="192">
        <f t="shared" si="2"/>
        <v>45762</v>
      </c>
      <c r="K234" s="32">
        <v>0.0</v>
      </c>
      <c r="L234" s="32">
        <v>0.0</v>
      </c>
      <c r="M234" s="32">
        <f t="shared" si="3"/>
        <v>0</v>
      </c>
      <c r="N234" s="32" t="s">
        <v>376</v>
      </c>
      <c r="O234" s="32">
        <v>100.0</v>
      </c>
      <c r="P234" s="50" t="str">
        <f t="shared" si="6"/>
        <v>PASSED</v>
      </c>
      <c r="Q234" s="50" t="str">
        <f t="shared" si="5"/>
        <v>10</v>
      </c>
    </row>
    <row r="235" ht="22.5" customHeight="1">
      <c r="A235" s="26">
        <v>45758.0</v>
      </c>
      <c r="B235" s="32" t="s">
        <v>538</v>
      </c>
      <c r="C235" s="191" t="str">
        <f t="array" ref="C235">_xlfn.XLOOKUP(B235, DB[samplingPoint], DB[samplingTag])</f>
        <v>SV116.06</v>
      </c>
      <c r="D235" s="33" t="s">
        <v>59</v>
      </c>
      <c r="E235" s="39" t="str">
        <f t="array" ref="E235">_xlfn.XLOOKUP($B235, DB[samplingPoint], DB[noLocation])</f>
        <v>10-3-063</v>
      </c>
      <c r="F235" s="40" t="str">
        <f t="array" ref="F235">_xlfn.XLOOKUP($B235, DB[samplingPoint], DB[building])</f>
        <v>Building 10</v>
      </c>
      <c r="G235" s="40" t="str">
        <f t="array" ref="G235">_xlfn.XLOOKUP($B235, DB[samplingPoint], DB[location])</f>
        <v>COATING ROOM-4</v>
      </c>
      <c r="H235" s="40" t="str">
        <f t="array" ref="H235">_xlfn.XLOOKUP($B235, DB[samplingPoint], DB[waterType])</f>
        <v>PW</v>
      </c>
      <c r="I235" s="60">
        <f t="shared" si="1"/>
        <v>45759</v>
      </c>
      <c r="J235" s="192">
        <f t="shared" si="2"/>
        <v>45762</v>
      </c>
      <c r="K235" s="32">
        <v>0.0</v>
      </c>
      <c r="L235" s="32">
        <v>0.0</v>
      </c>
      <c r="M235" s="32">
        <f t="shared" si="3"/>
        <v>0</v>
      </c>
      <c r="N235" s="32" t="s">
        <v>376</v>
      </c>
      <c r="O235" s="32">
        <v>100.0</v>
      </c>
      <c r="P235" s="50" t="str">
        <f t="shared" si="6"/>
        <v>PASSED</v>
      </c>
      <c r="Q235" s="50" t="str">
        <f t="shared" si="5"/>
        <v>10</v>
      </c>
    </row>
    <row r="236" ht="22.5" customHeight="1">
      <c r="A236" s="26">
        <v>45758.0</v>
      </c>
      <c r="B236" s="32" t="s">
        <v>539</v>
      </c>
      <c r="C236" s="191" t="str">
        <f t="array" ref="C236">_xlfn.XLOOKUP(B236, DB[samplingPoint], DB[samplingTag])</f>
        <v>SV116.07</v>
      </c>
      <c r="D236" s="33" t="s">
        <v>59</v>
      </c>
      <c r="E236" s="39" t="str">
        <f t="array" ref="E236">_xlfn.XLOOKUP($B236, DB[samplingPoint], DB[noLocation])</f>
        <v>10-3-064</v>
      </c>
      <c r="F236" s="40" t="str">
        <f t="array" ref="F236">_xlfn.XLOOKUP($B236, DB[samplingPoint], DB[building])</f>
        <v>Building 10</v>
      </c>
      <c r="G236" s="40" t="str">
        <f t="array" ref="G236">_xlfn.XLOOKUP($B236, DB[samplingPoint], DB[location])</f>
        <v>COATING ROOM-5</v>
      </c>
      <c r="H236" s="40" t="str">
        <f t="array" ref="H236">_xlfn.XLOOKUP($B236, DB[samplingPoint], DB[waterType])</f>
        <v>PW</v>
      </c>
      <c r="I236" s="60">
        <f t="shared" si="1"/>
        <v>45759</v>
      </c>
      <c r="J236" s="192">
        <f t="shared" si="2"/>
        <v>45762</v>
      </c>
      <c r="K236" s="32">
        <v>0.0</v>
      </c>
      <c r="L236" s="32">
        <v>0.0</v>
      </c>
      <c r="M236" s="32">
        <f t="shared" si="3"/>
        <v>0</v>
      </c>
      <c r="N236" s="32" t="s">
        <v>376</v>
      </c>
      <c r="O236" s="32">
        <v>100.0</v>
      </c>
      <c r="P236" s="50" t="str">
        <f t="shared" si="6"/>
        <v>PASSED</v>
      </c>
      <c r="Q236" s="50" t="str">
        <f t="shared" si="5"/>
        <v>10</v>
      </c>
    </row>
    <row r="237" ht="22.5" customHeight="1">
      <c r="A237" s="26">
        <v>45758.0</v>
      </c>
      <c r="B237" s="32" t="s">
        <v>536</v>
      </c>
      <c r="C237" s="191" t="str">
        <f t="array" ref="C237">_xlfn.XLOOKUP(B237, DB[samplingPoint], DB[samplingTag])</f>
        <v>SV116.05</v>
      </c>
      <c r="D237" s="33" t="s">
        <v>59</v>
      </c>
      <c r="E237" s="39" t="str">
        <f t="array" ref="E237">_xlfn.XLOOKUP($B237, DB[samplingPoint], DB[noLocation])</f>
        <v>10-3-062</v>
      </c>
      <c r="F237" s="40" t="str">
        <f t="array" ref="F237">_xlfn.XLOOKUP($B237, DB[samplingPoint], DB[building])</f>
        <v>Building 10</v>
      </c>
      <c r="G237" s="40" t="str">
        <f t="array" ref="G237">_xlfn.XLOOKUP($B237, DB[samplingPoint], DB[location])</f>
        <v>COATING ROOM-3</v>
      </c>
      <c r="H237" s="40" t="str">
        <f t="array" ref="H237">_xlfn.XLOOKUP($B237, DB[samplingPoint], DB[waterType])</f>
        <v>PW</v>
      </c>
      <c r="I237" s="60">
        <f t="shared" si="1"/>
        <v>45759</v>
      </c>
      <c r="J237" s="192">
        <f t="shared" si="2"/>
        <v>45762</v>
      </c>
      <c r="K237" s="32">
        <v>0.0</v>
      </c>
      <c r="L237" s="32">
        <v>0.0</v>
      </c>
      <c r="M237" s="32">
        <f t="shared" si="3"/>
        <v>0</v>
      </c>
      <c r="N237" s="32" t="s">
        <v>376</v>
      </c>
      <c r="O237" s="32">
        <v>100.0</v>
      </c>
      <c r="P237" s="50" t="str">
        <f t="shared" si="6"/>
        <v>PASSED</v>
      </c>
      <c r="Q237" s="50" t="str">
        <f t="shared" si="5"/>
        <v>10</v>
      </c>
    </row>
    <row r="238" ht="22.5" customHeight="1">
      <c r="A238" s="26">
        <v>45758.0</v>
      </c>
      <c r="B238" s="32" t="s">
        <v>541</v>
      </c>
      <c r="C238" s="191" t="str">
        <f t="array" ref="C238">_xlfn.XLOOKUP(B238, DB[samplingPoint], DB[samplingTag])</f>
        <v>SV116.08</v>
      </c>
      <c r="D238" s="33" t="s">
        <v>59</v>
      </c>
      <c r="E238" s="39" t="str">
        <f t="array" ref="E238">_xlfn.XLOOKUP($B238, DB[samplingPoint], DB[noLocation])</f>
        <v>10-3-067</v>
      </c>
      <c r="F238" s="40" t="str">
        <f t="array" ref="F238">_xlfn.XLOOKUP($B238, DB[samplingPoint], DB[building])</f>
        <v>Building 10</v>
      </c>
      <c r="G238" s="40" t="str">
        <f t="array" ref="G238">_xlfn.XLOOKUP($B238, DB[samplingPoint], DB[location])</f>
        <v>COATING ROOM-6</v>
      </c>
      <c r="H238" s="40" t="str">
        <f t="array" ref="H238">_xlfn.XLOOKUP($B238, DB[samplingPoint], DB[waterType])</f>
        <v>PW</v>
      </c>
      <c r="I238" s="60">
        <f t="shared" si="1"/>
        <v>45759</v>
      </c>
      <c r="J238" s="192">
        <f t="shared" si="2"/>
        <v>45762</v>
      </c>
      <c r="K238" s="32">
        <v>0.0</v>
      </c>
      <c r="L238" s="32">
        <v>0.0</v>
      </c>
      <c r="M238" s="32">
        <f t="shared" si="3"/>
        <v>0</v>
      </c>
      <c r="N238" s="32" t="s">
        <v>376</v>
      </c>
      <c r="O238" s="32">
        <v>100.0</v>
      </c>
      <c r="P238" s="50" t="str">
        <f t="shared" si="6"/>
        <v>PASSED</v>
      </c>
      <c r="Q238" s="50" t="str">
        <f t="shared" si="5"/>
        <v>10</v>
      </c>
    </row>
    <row r="239" ht="22.5" customHeight="1">
      <c r="A239" s="26">
        <v>45758.0</v>
      </c>
      <c r="B239" s="32" t="s">
        <v>534</v>
      </c>
      <c r="C239" s="191" t="str">
        <f t="array" ref="C239">_xlfn.XLOOKUP(B239, DB[samplingPoint], DB[samplingTag])</f>
        <v>SV116.03</v>
      </c>
      <c r="D239" s="33" t="s">
        <v>59</v>
      </c>
      <c r="E239" s="39" t="str">
        <f t="array" ref="E239">_xlfn.XLOOKUP($B239, DB[samplingPoint], DB[noLocation])</f>
        <v>10-3-058</v>
      </c>
      <c r="F239" s="40" t="str">
        <f t="array" ref="F239">_xlfn.XLOOKUP($B239, DB[samplingPoint], DB[building])</f>
        <v>Building 10</v>
      </c>
      <c r="G239" s="40" t="str">
        <f t="array" ref="G239">_xlfn.XLOOKUP($B239, DB[samplingPoint], DB[location])</f>
        <v>COATING ROOM-1</v>
      </c>
      <c r="H239" s="40" t="str">
        <f t="array" ref="H239">_xlfn.XLOOKUP($B239, DB[samplingPoint], DB[waterType])</f>
        <v>PW</v>
      </c>
      <c r="I239" s="60">
        <f t="shared" si="1"/>
        <v>45759</v>
      </c>
      <c r="J239" s="192">
        <f t="shared" si="2"/>
        <v>45762</v>
      </c>
      <c r="K239" s="32">
        <v>0.0</v>
      </c>
      <c r="L239" s="32">
        <v>0.0</v>
      </c>
      <c r="M239" s="32">
        <f t="shared" si="3"/>
        <v>0</v>
      </c>
      <c r="N239" s="32" t="s">
        <v>376</v>
      </c>
      <c r="O239" s="32">
        <v>100.0</v>
      </c>
      <c r="P239" s="50" t="str">
        <f t="shared" si="6"/>
        <v>PASSED</v>
      </c>
      <c r="Q239" s="50" t="str">
        <f t="shared" si="5"/>
        <v>10</v>
      </c>
    </row>
    <row r="240" ht="22.5" customHeight="1">
      <c r="A240" s="26">
        <v>45758.0</v>
      </c>
      <c r="B240" s="32" t="s">
        <v>535</v>
      </c>
      <c r="C240" s="191" t="str">
        <f t="array" ref="C240">_xlfn.XLOOKUP(B240, DB[samplingPoint], DB[samplingTag])</f>
        <v>SV116.04</v>
      </c>
      <c r="D240" s="33" t="s">
        <v>59</v>
      </c>
      <c r="E240" s="39" t="str">
        <f t="array" ref="E240">_xlfn.XLOOKUP($B240, DB[samplingPoint], DB[noLocation])</f>
        <v>10-3-061</v>
      </c>
      <c r="F240" s="40" t="str">
        <f t="array" ref="F240">_xlfn.XLOOKUP($B240, DB[samplingPoint], DB[building])</f>
        <v>Building 10</v>
      </c>
      <c r="G240" s="40" t="str">
        <f t="array" ref="G240">_xlfn.XLOOKUP($B240, DB[samplingPoint], DB[location])</f>
        <v>COATING ROOM-2</v>
      </c>
      <c r="H240" s="40" t="str">
        <f t="array" ref="H240">_xlfn.XLOOKUP($B240, DB[samplingPoint], DB[waterType])</f>
        <v>PW</v>
      </c>
      <c r="I240" s="60">
        <f t="shared" si="1"/>
        <v>45759</v>
      </c>
      <c r="J240" s="192">
        <f t="shared" si="2"/>
        <v>45762</v>
      </c>
      <c r="K240" s="32">
        <v>0.0</v>
      </c>
      <c r="L240" s="32">
        <v>0.0</v>
      </c>
      <c r="M240" s="32">
        <f t="shared" si="3"/>
        <v>0</v>
      </c>
      <c r="N240" s="32" t="s">
        <v>376</v>
      </c>
      <c r="O240" s="32">
        <v>100.0</v>
      </c>
      <c r="P240" s="50" t="str">
        <f t="shared" si="6"/>
        <v>PASSED</v>
      </c>
      <c r="Q240" s="50" t="str">
        <f t="shared" si="5"/>
        <v>10</v>
      </c>
    </row>
    <row r="241" ht="22.5" customHeight="1">
      <c r="A241" s="26">
        <v>45758.0</v>
      </c>
      <c r="B241" s="32" t="s">
        <v>498</v>
      </c>
      <c r="C241" s="191" t="str">
        <f t="array" ref="C241">_xlfn.XLOOKUP(B241, DB[samplingPoint], DB[samplingTag])</f>
        <v>SV116.02</v>
      </c>
      <c r="D241" s="33" t="s">
        <v>59</v>
      </c>
      <c r="E241" s="39" t="str">
        <f t="array" ref="E241">_xlfn.XLOOKUP($B241, DB[samplingPoint], DB[noLocation])</f>
        <v>10-2-037</v>
      </c>
      <c r="F241" s="40" t="str">
        <f t="array" ref="F241">_xlfn.XLOOKUP($B241, DB[samplingPoint], DB[building])</f>
        <v>Building 10</v>
      </c>
      <c r="G241" s="40" t="str">
        <f t="array" ref="G241">_xlfn.XLOOKUP($B241, DB[samplingPoint], DB[location])</f>
        <v>SKID FOR BIN WASHING-2</v>
      </c>
      <c r="H241" s="40" t="str">
        <f t="array" ref="H241">_xlfn.XLOOKUP($B241, DB[samplingPoint], DB[waterType])</f>
        <v>PW</v>
      </c>
      <c r="I241" s="60">
        <f t="shared" si="1"/>
        <v>45759</v>
      </c>
      <c r="J241" s="192">
        <f t="shared" si="2"/>
        <v>45762</v>
      </c>
      <c r="K241" s="32">
        <v>0.0</v>
      </c>
      <c r="L241" s="32">
        <v>0.0</v>
      </c>
      <c r="M241" s="32">
        <f t="shared" si="3"/>
        <v>0</v>
      </c>
      <c r="N241" s="32" t="s">
        <v>983</v>
      </c>
      <c r="O241" s="32">
        <v>100.0</v>
      </c>
      <c r="P241" s="50" t="str">
        <f t="shared" si="6"/>
        <v>PASSED</v>
      </c>
      <c r="Q241" s="50" t="str">
        <f t="shared" si="5"/>
        <v>10</v>
      </c>
    </row>
    <row r="242" ht="22.5" customHeight="1">
      <c r="A242" s="26">
        <v>45758.0</v>
      </c>
      <c r="B242" s="32" t="s">
        <v>498</v>
      </c>
      <c r="C242" s="191" t="str">
        <f t="array" ref="C242">_xlfn.XLOOKUP(B242, DB[samplingPoint], DB[samplingTag])</f>
        <v>SV116.02</v>
      </c>
      <c r="D242" s="33" t="s">
        <v>59</v>
      </c>
      <c r="E242" s="39" t="str">
        <f t="array" ref="E242">_xlfn.XLOOKUP($B242, DB[samplingPoint], DB[noLocation])</f>
        <v>10-2-037</v>
      </c>
      <c r="F242" s="40" t="str">
        <f t="array" ref="F242">_xlfn.XLOOKUP($B242, DB[samplingPoint], DB[building])</f>
        <v>Building 10</v>
      </c>
      <c r="G242" s="40" t="str">
        <f t="array" ref="G242">_xlfn.XLOOKUP($B242, DB[samplingPoint], DB[location])</f>
        <v>SKID FOR BIN WASHING-2</v>
      </c>
      <c r="H242" s="40" t="str">
        <f t="array" ref="H242">_xlfn.XLOOKUP($B242, DB[samplingPoint], DB[waterType])</f>
        <v>PW</v>
      </c>
      <c r="I242" s="60">
        <f t="shared" si="1"/>
        <v>45759</v>
      </c>
      <c r="J242" s="192">
        <f t="shared" si="2"/>
        <v>45762</v>
      </c>
      <c r="K242" s="32">
        <v>0.0</v>
      </c>
      <c r="L242" s="32">
        <v>0.0</v>
      </c>
      <c r="M242" s="32">
        <f t="shared" si="3"/>
        <v>0</v>
      </c>
      <c r="N242" s="32" t="s">
        <v>982</v>
      </c>
      <c r="O242" s="32">
        <v>100.0</v>
      </c>
      <c r="P242" s="50" t="str">
        <f t="shared" si="6"/>
        <v>PASSED</v>
      </c>
      <c r="Q242" s="50" t="str">
        <f t="shared" si="5"/>
        <v>10</v>
      </c>
    </row>
    <row r="243" ht="22.5" customHeight="1">
      <c r="A243" s="26">
        <v>45758.0</v>
      </c>
      <c r="B243" s="32" t="s">
        <v>532</v>
      </c>
      <c r="C243" s="191" t="str">
        <f t="array" ref="C243">_xlfn.XLOOKUP(B243, DB[samplingPoint], DB[samplingTag])</f>
        <v>DV116.11</v>
      </c>
      <c r="D243" s="33" t="s">
        <v>59</v>
      </c>
      <c r="E243" s="39" t="str">
        <f t="array" ref="E243">_xlfn.XLOOKUP($B243, DB[samplingPoint], DB[noLocation])</f>
        <v>10-3-066</v>
      </c>
      <c r="F243" s="40" t="str">
        <f t="array" ref="F243">_xlfn.XLOOKUP($B243, DB[samplingPoint], DB[building])</f>
        <v>Building 10</v>
      </c>
      <c r="G243" s="40" t="str">
        <f t="array" ref="G243">_xlfn.XLOOKUP($B243, DB[samplingPoint], DB[location])</f>
        <v>COATING SOLUTION PREP.-4</v>
      </c>
      <c r="H243" s="40" t="str">
        <f t="array" ref="H243">_xlfn.XLOOKUP($B243, DB[samplingPoint], DB[waterType])</f>
        <v>PW</v>
      </c>
      <c r="I243" s="60">
        <f t="shared" si="1"/>
        <v>45759</v>
      </c>
      <c r="J243" s="192">
        <f t="shared" si="2"/>
        <v>45762</v>
      </c>
      <c r="K243" s="32">
        <v>0.0</v>
      </c>
      <c r="L243" s="32">
        <v>0.0</v>
      </c>
      <c r="M243" s="32">
        <f t="shared" si="3"/>
        <v>0</v>
      </c>
      <c r="N243" s="32" t="s">
        <v>376</v>
      </c>
      <c r="O243" s="32">
        <v>100.0</v>
      </c>
      <c r="P243" s="50" t="str">
        <f t="shared" si="6"/>
        <v>PASSED</v>
      </c>
      <c r="Q243" s="50" t="str">
        <f t="shared" si="5"/>
        <v>10</v>
      </c>
    </row>
    <row r="244" ht="22.5" customHeight="1">
      <c r="A244" s="26">
        <v>45758.0</v>
      </c>
      <c r="B244" s="32" t="s">
        <v>380</v>
      </c>
      <c r="C244" s="191" t="str">
        <f t="array" ref="C244">_xlfn.XLOOKUP(B244, DB[samplingPoint], DB[samplingTag])</f>
        <v>SV113.01</v>
      </c>
      <c r="D244" s="33" t="s">
        <v>59</v>
      </c>
      <c r="E244" s="39" t="str">
        <f t="array" ref="E244">_xlfn.XLOOKUP($B244, DB[samplingPoint], DB[noLocation])</f>
        <v>WATER SYSTEM (B10)</v>
      </c>
      <c r="F244" s="40" t="str">
        <f t="array" ref="F244">_xlfn.XLOOKUP($B244, DB[samplingPoint], DB[building])</f>
        <v>Building 10</v>
      </c>
      <c r="G244" s="40" t="str">
        <f t="array" ref="G244">_xlfn.XLOOKUP($B244, DB[samplingPoint], DB[location])</f>
        <v>After Storage tank (B10)</v>
      </c>
      <c r="H244" s="40" t="str">
        <f t="array" ref="H244">_xlfn.XLOOKUP($B244, DB[samplingPoint], DB[waterType])</f>
        <v>PW</v>
      </c>
      <c r="I244" s="60">
        <f t="shared" si="1"/>
        <v>45759</v>
      </c>
      <c r="J244" s="192">
        <f t="shared" si="2"/>
        <v>45762</v>
      </c>
      <c r="K244" s="32">
        <v>0.0</v>
      </c>
      <c r="L244" s="32">
        <v>0.0</v>
      </c>
      <c r="M244" s="32">
        <f t="shared" si="3"/>
        <v>0</v>
      </c>
      <c r="N244" s="32" t="s">
        <v>376</v>
      </c>
      <c r="O244" s="32">
        <v>100.0</v>
      </c>
      <c r="P244" s="50" t="str">
        <f t="shared" si="6"/>
        <v>PASSED</v>
      </c>
      <c r="Q244" s="50" t="str">
        <f t="shared" si="5"/>
        <v>WA</v>
      </c>
    </row>
    <row r="245" ht="22.5" customHeight="1">
      <c r="A245" s="26">
        <v>45758.0</v>
      </c>
      <c r="B245" s="32" t="s">
        <v>385</v>
      </c>
      <c r="C245" s="191" t="str">
        <f t="array" ref="C245">_xlfn.XLOOKUP(B245, DB[samplingPoint], DB[samplingTag])</f>
        <v>SV115.02</v>
      </c>
      <c r="D245" s="33" t="s">
        <v>59</v>
      </c>
      <c r="E245" s="39" t="str">
        <f t="array" ref="E245">_xlfn.XLOOKUP($B245, DB[samplingPoint], DB[noLocation])</f>
        <v>WATER SYSTEM (B10)</v>
      </c>
      <c r="F245" s="40" t="str">
        <f t="array" ref="F245">_xlfn.XLOOKUP($B245, DB[samplingPoint], DB[building])</f>
        <v>Building 10</v>
      </c>
      <c r="G245" s="40" t="str">
        <f t="array" ref="G245">_xlfn.XLOOKUP($B245, DB[samplingPoint], DB[location])</f>
        <v>After UV (B10)</v>
      </c>
      <c r="H245" s="40" t="str">
        <f t="array" ref="H245">_xlfn.XLOOKUP($B245, DB[samplingPoint], DB[waterType])</f>
        <v>PW</v>
      </c>
      <c r="I245" s="60">
        <f t="shared" si="1"/>
        <v>45759</v>
      </c>
      <c r="J245" s="192">
        <f t="shared" si="2"/>
        <v>45762</v>
      </c>
      <c r="K245" s="32">
        <v>0.0</v>
      </c>
      <c r="L245" s="32">
        <v>0.0</v>
      </c>
      <c r="M245" s="32">
        <f t="shared" si="3"/>
        <v>0</v>
      </c>
      <c r="N245" s="32" t="s">
        <v>376</v>
      </c>
      <c r="O245" s="32">
        <v>100.0</v>
      </c>
      <c r="P245" s="50" t="str">
        <f t="shared" si="6"/>
        <v>PASSED</v>
      </c>
      <c r="Q245" s="50" t="str">
        <f t="shared" si="5"/>
        <v>WA</v>
      </c>
    </row>
    <row r="246" ht="22.5" customHeight="1">
      <c r="A246" s="26">
        <v>45758.0</v>
      </c>
      <c r="B246" s="32" t="s">
        <v>390</v>
      </c>
      <c r="C246" s="191" t="str">
        <f t="array" ref="C246">_xlfn.XLOOKUP(B246, DB[samplingPoint], DB[samplingTag])</f>
        <v>SV117.01</v>
      </c>
      <c r="D246" s="33" t="s">
        <v>59</v>
      </c>
      <c r="E246" s="39" t="str">
        <f t="array" ref="E246">_xlfn.XLOOKUP($B246, DB[samplingPoint], DB[noLocation])</f>
        <v>WATER SYSTEM (B10)</v>
      </c>
      <c r="F246" s="40" t="str">
        <f t="array" ref="F246">_xlfn.XLOOKUP($B246, DB[samplingPoint], DB[building])</f>
        <v>Building 10</v>
      </c>
      <c r="G246" s="40" t="str">
        <f t="array" ref="G246">_xlfn.XLOOKUP($B246, DB[samplingPoint], DB[location])</f>
        <v>Return loop (B10)</v>
      </c>
      <c r="H246" s="40" t="str">
        <f t="array" ref="H246">_xlfn.XLOOKUP($B246, DB[samplingPoint], DB[waterType])</f>
        <v>PW</v>
      </c>
      <c r="I246" s="60">
        <f t="shared" si="1"/>
        <v>45759</v>
      </c>
      <c r="J246" s="192">
        <f t="shared" si="2"/>
        <v>45762</v>
      </c>
      <c r="K246" s="32">
        <v>0.0</v>
      </c>
      <c r="L246" s="32">
        <v>0.0</v>
      </c>
      <c r="M246" s="32">
        <f t="shared" si="3"/>
        <v>0</v>
      </c>
      <c r="N246" s="32" t="s">
        <v>376</v>
      </c>
      <c r="O246" s="32">
        <v>100.0</v>
      </c>
      <c r="P246" s="50" t="str">
        <f t="shared" si="6"/>
        <v>PASSED</v>
      </c>
      <c r="Q246" s="50" t="str">
        <f t="shared" si="5"/>
        <v>WA</v>
      </c>
    </row>
    <row r="247" ht="22.5" customHeight="1">
      <c r="A247" s="26">
        <v>45769.0</v>
      </c>
      <c r="B247" s="32" t="s">
        <v>428</v>
      </c>
      <c r="C247" s="191" t="str">
        <f t="array" ref="C247">_xlfn.XLOOKUP(B247, DB[samplingPoint], DB[samplingTag])</f>
        <v>DV116.01</v>
      </c>
      <c r="D247" s="33" t="s">
        <v>59</v>
      </c>
      <c r="E247" s="39" t="str">
        <f t="array" ref="E247">_xlfn.XLOOKUP($B247, DB[samplingPoint], DB[noLocation])</f>
        <v>10-1-057</v>
      </c>
      <c r="F247" s="40" t="str">
        <f t="array" ref="F247">_xlfn.XLOOKUP($B247, DB[samplingPoint], DB[building])</f>
        <v>Building 10</v>
      </c>
      <c r="G247" s="40" t="str">
        <f t="array" ref="G247">_xlfn.XLOOKUP($B247, DB[samplingPoint], DB[location])</f>
        <v>WASHING-P</v>
      </c>
      <c r="H247" s="40" t="str">
        <f t="array" ref="H247">_xlfn.XLOOKUP($B247, DB[samplingPoint], DB[waterType])</f>
        <v>PW</v>
      </c>
      <c r="I247" s="60">
        <f t="shared" si="1"/>
        <v>45770</v>
      </c>
      <c r="J247" s="192">
        <f t="shared" si="2"/>
        <v>45773</v>
      </c>
      <c r="K247" s="32">
        <v>0.0</v>
      </c>
      <c r="L247" s="32">
        <v>0.0</v>
      </c>
      <c r="M247" s="32">
        <f t="shared" si="3"/>
        <v>0</v>
      </c>
      <c r="N247" s="32" t="s">
        <v>376</v>
      </c>
      <c r="O247" s="32">
        <v>100.0</v>
      </c>
      <c r="P247" s="50" t="str">
        <f t="shared" si="6"/>
        <v>PASSED</v>
      </c>
      <c r="Q247" s="50" t="str">
        <f t="shared" si="5"/>
        <v>10</v>
      </c>
    </row>
    <row r="248" ht="22.5" customHeight="1">
      <c r="A248" s="26">
        <v>45769.0</v>
      </c>
      <c r="B248" s="32" t="s">
        <v>425</v>
      </c>
      <c r="C248" s="191" t="str">
        <f t="array" ref="C248">_xlfn.XLOOKUP(B248, DB[samplingPoint], DB[samplingTag])</f>
        <v>DV116.02</v>
      </c>
      <c r="D248" s="33" t="s">
        <v>59</v>
      </c>
      <c r="E248" s="39" t="str">
        <f t="array" ref="E248">_xlfn.XLOOKUP($B248, DB[samplingPoint], DB[noLocation])</f>
        <v>10-1-115</v>
      </c>
      <c r="F248" s="40" t="str">
        <f t="array" ref="F248">_xlfn.XLOOKUP($B248, DB[samplingPoint], DB[building])</f>
        <v>Building 10</v>
      </c>
      <c r="G248" s="40" t="str">
        <f t="array" ref="G248">_xlfn.XLOOKUP($B248, DB[samplingPoint], DB[location])</f>
        <v>WASHING</v>
      </c>
      <c r="H248" s="40" t="str">
        <f t="array" ref="H248">_xlfn.XLOOKUP($B248, DB[samplingPoint], DB[waterType])</f>
        <v>PW</v>
      </c>
      <c r="I248" s="60">
        <f t="shared" si="1"/>
        <v>45770</v>
      </c>
      <c r="J248" s="192">
        <f t="shared" si="2"/>
        <v>45773</v>
      </c>
      <c r="K248" s="32">
        <v>0.0</v>
      </c>
      <c r="L248" s="32">
        <v>0.0</v>
      </c>
      <c r="M248" s="32">
        <f t="shared" si="3"/>
        <v>0</v>
      </c>
      <c r="N248" s="32" t="s">
        <v>376</v>
      </c>
      <c r="O248" s="32">
        <v>100.0</v>
      </c>
      <c r="P248" s="50" t="str">
        <f t="shared" si="6"/>
        <v>PASSED</v>
      </c>
      <c r="Q248" s="50" t="str">
        <f t="shared" si="5"/>
        <v>10</v>
      </c>
    </row>
    <row r="249" ht="22.5" customHeight="1">
      <c r="A249" s="26">
        <v>45769.0</v>
      </c>
      <c r="B249" s="32" t="s">
        <v>394</v>
      </c>
      <c r="C249" s="191" t="str">
        <f t="array" ref="C249">_xlfn.XLOOKUP(B249, DB[samplingPoint], DB[samplingTag])</f>
        <v>DV116.25</v>
      </c>
      <c r="D249" s="33" t="s">
        <v>59</v>
      </c>
      <c r="E249" s="39" t="str">
        <f t="array" ref="E249">_xlfn.XLOOKUP($B249, DB[samplingPoint], DB[noLocation])</f>
        <v>10-3-171</v>
      </c>
      <c r="F249" s="40" t="str">
        <f t="array" ref="F249">_xlfn.XLOOKUP($B249, DB[samplingPoint], DB[building])</f>
        <v>Building 10</v>
      </c>
      <c r="G249" s="40" t="str">
        <f t="array" ref="G249">_xlfn.XLOOKUP($B249, DB[samplingPoint], DB[location])</f>
        <v>TOOL WASHING-P</v>
      </c>
      <c r="H249" s="40" t="str">
        <f t="array" ref="H249">_xlfn.XLOOKUP($B249, DB[samplingPoint], DB[waterType])</f>
        <v>PW</v>
      </c>
      <c r="I249" s="60">
        <f t="shared" si="1"/>
        <v>45770</v>
      </c>
      <c r="J249" s="192">
        <f t="shared" si="2"/>
        <v>45773</v>
      </c>
      <c r="K249" s="32">
        <v>0.0</v>
      </c>
      <c r="L249" s="32">
        <v>0.0</v>
      </c>
      <c r="M249" s="32">
        <f t="shared" si="3"/>
        <v>0</v>
      </c>
      <c r="N249" s="32" t="s">
        <v>376</v>
      </c>
      <c r="O249" s="32">
        <v>100.0</v>
      </c>
      <c r="P249" s="50" t="str">
        <f t="shared" si="6"/>
        <v>PASSED</v>
      </c>
      <c r="Q249" s="50" t="str">
        <f t="shared" si="5"/>
        <v>10</v>
      </c>
    </row>
    <row r="250" ht="22.5" customHeight="1">
      <c r="A250" s="26">
        <v>45769.0</v>
      </c>
      <c r="B250" s="32" t="s">
        <v>398</v>
      </c>
      <c r="C250" s="191" t="str">
        <f t="array" ref="C250">_xlfn.XLOOKUP(B250, DB[samplingPoint], DB[samplingTag])</f>
        <v>DV116.24</v>
      </c>
      <c r="D250" s="33" t="s">
        <v>59</v>
      </c>
      <c r="E250" s="39" t="str">
        <f t="array" ref="E250">_xlfn.XLOOKUP($B250, DB[samplingPoint], DB[noLocation])</f>
        <v>10-3-163</v>
      </c>
      <c r="F250" s="40" t="str">
        <f t="array" ref="F250">_xlfn.XLOOKUP($B250, DB[samplingPoint], DB[building])</f>
        <v>Building 10</v>
      </c>
      <c r="G250" s="40" t="str">
        <f t="array" ref="G250">_xlfn.XLOOKUP($B250, DB[samplingPoint], DB[location])</f>
        <v>WET GRANULATION 1-P</v>
      </c>
      <c r="H250" s="40" t="str">
        <f t="array" ref="H250">_xlfn.XLOOKUP($B250, DB[samplingPoint], DB[waterType])</f>
        <v>PW</v>
      </c>
      <c r="I250" s="60">
        <f t="shared" si="1"/>
        <v>45770</v>
      </c>
      <c r="J250" s="192">
        <f t="shared" si="2"/>
        <v>45773</v>
      </c>
      <c r="K250" s="32">
        <v>0.0</v>
      </c>
      <c r="L250" s="32">
        <v>0.0</v>
      </c>
      <c r="M250" s="32">
        <f t="shared" si="3"/>
        <v>0</v>
      </c>
      <c r="N250" s="32" t="s">
        <v>376</v>
      </c>
      <c r="O250" s="32">
        <v>100.0</v>
      </c>
      <c r="P250" s="50" t="str">
        <f t="shared" si="6"/>
        <v>PASSED</v>
      </c>
      <c r="Q250" s="50" t="str">
        <f t="shared" si="5"/>
        <v>10</v>
      </c>
    </row>
    <row r="251" ht="22.5" customHeight="1">
      <c r="A251" s="26">
        <v>45769.0</v>
      </c>
      <c r="B251" s="32" t="s">
        <v>401</v>
      </c>
      <c r="C251" s="191" t="str">
        <f t="array" ref="C251">_xlfn.XLOOKUP(B251, DB[samplingPoint], DB[samplingTag])</f>
        <v>DV116.23</v>
      </c>
      <c r="D251" s="33" t="s">
        <v>59</v>
      </c>
      <c r="E251" s="39" t="str">
        <f t="array" ref="E251">_xlfn.XLOOKUP($B251, DB[samplingPoint], DB[noLocation])</f>
        <v>10-3-159</v>
      </c>
      <c r="F251" s="40" t="str">
        <f t="array" ref="F251">_xlfn.XLOOKUP($B251, DB[samplingPoint], DB[building])</f>
        <v>Building 10</v>
      </c>
      <c r="G251" s="40" t="str">
        <f t="array" ref="G251">_xlfn.XLOOKUP($B251, DB[samplingPoint], DB[location])</f>
        <v>BINDER PREPARATION-P</v>
      </c>
      <c r="H251" s="40" t="str">
        <f t="array" ref="H251">_xlfn.XLOOKUP($B251, DB[samplingPoint], DB[waterType])</f>
        <v>PW</v>
      </c>
      <c r="I251" s="60">
        <f t="shared" si="1"/>
        <v>45770</v>
      </c>
      <c r="J251" s="192">
        <f t="shared" si="2"/>
        <v>45773</v>
      </c>
      <c r="K251" s="32">
        <v>0.0</v>
      </c>
      <c r="L251" s="32">
        <v>0.0</v>
      </c>
      <c r="M251" s="32">
        <f t="shared" si="3"/>
        <v>0</v>
      </c>
      <c r="N251" s="32" t="s">
        <v>376</v>
      </c>
      <c r="O251" s="32">
        <v>100.0</v>
      </c>
      <c r="P251" s="50" t="str">
        <f t="shared" si="6"/>
        <v>PASSED</v>
      </c>
      <c r="Q251" s="50" t="str">
        <f t="shared" si="5"/>
        <v>10</v>
      </c>
    </row>
    <row r="252" ht="22.5" customHeight="1">
      <c r="A252" s="26">
        <v>45769.0</v>
      </c>
      <c r="B252" s="32" t="s">
        <v>406</v>
      </c>
      <c r="C252" s="191" t="str">
        <f t="array" ref="C252">_xlfn.XLOOKUP(B252, DB[samplingPoint], DB[samplingTag])</f>
        <v>DV116.21</v>
      </c>
      <c r="D252" s="33" t="s">
        <v>59</v>
      </c>
      <c r="E252" s="39" t="str">
        <f t="array" ref="E252">_xlfn.XLOOKUP($B252, DB[samplingPoint], DB[noLocation])</f>
        <v>10-3-152</v>
      </c>
      <c r="F252" s="40" t="str">
        <f t="array" ref="F252">_xlfn.XLOOKUP($B252, DB[samplingPoint], DB[building])</f>
        <v>Building 10</v>
      </c>
      <c r="G252" s="40" t="str">
        <f t="array" ref="G252">_xlfn.XLOOKUP($B252, DB[samplingPoint], DB[location])</f>
        <v>WASHING-P</v>
      </c>
      <c r="H252" s="40" t="str">
        <f t="array" ref="H252">_xlfn.XLOOKUP($B252, DB[samplingPoint], DB[waterType])</f>
        <v>PW</v>
      </c>
      <c r="I252" s="60">
        <f t="shared" si="1"/>
        <v>45770</v>
      </c>
      <c r="J252" s="192">
        <f t="shared" si="2"/>
        <v>45773</v>
      </c>
      <c r="K252" s="32">
        <v>0.0</v>
      </c>
      <c r="L252" s="32">
        <v>0.0</v>
      </c>
      <c r="M252" s="32">
        <f t="shared" si="3"/>
        <v>0</v>
      </c>
      <c r="N252" s="32" t="s">
        <v>376</v>
      </c>
      <c r="O252" s="32">
        <v>100.0</v>
      </c>
      <c r="P252" s="50" t="str">
        <f t="shared" si="6"/>
        <v>PASSED</v>
      </c>
      <c r="Q252" s="50" t="str">
        <f t="shared" si="5"/>
        <v>10</v>
      </c>
    </row>
    <row r="253" ht="22.5" customHeight="1">
      <c r="A253" s="26">
        <v>45769.0</v>
      </c>
      <c r="B253" s="32" t="s">
        <v>410</v>
      </c>
      <c r="C253" s="191" t="str">
        <f t="array" ref="C253">_xlfn.XLOOKUP(B253, DB[samplingPoint], DB[samplingTag])</f>
        <v>DV116.22</v>
      </c>
      <c r="D253" s="33" t="s">
        <v>59</v>
      </c>
      <c r="E253" s="39" t="str">
        <f t="array" ref="E253">_xlfn.XLOOKUP($B253, DB[samplingPoint], DB[noLocation])</f>
        <v>10-3-152</v>
      </c>
      <c r="F253" s="40" t="str">
        <f t="array" ref="F253">_xlfn.XLOOKUP($B253, DB[samplingPoint], DB[building])</f>
        <v>Building 10</v>
      </c>
      <c r="G253" s="40" t="str">
        <f t="array" ref="G253">_xlfn.XLOOKUP($B253, DB[samplingPoint], DB[location])</f>
        <v>WASHING-P</v>
      </c>
      <c r="H253" s="40" t="str">
        <f t="array" ref="H253">_xlfn.XLOOKUP($B253, DB[samplingPoint], DB[waterType])</f>
        <v>PW</v>
      </c>
      <c r="I253" s="60">
        <f t="shared" si="1"/>
        <v>45770</v>
      </c>
      <c r="J253" s="192">
        <f t="shared" si="2"/>
        <v>45773</v>
      </c>
      <c r="K253" s="32">
        <v>0.0</v>
      </c>
      <c r="L253" s="32">
        <v>0.0</v>
      </c>
      <c r="M253" s="32">
        <f t="shared" si="3"/>
        <v>0</v>
      </c>
      <c r="N253" s="32" t="s">
        <v>376</v>
      </c>
      <c r="O253" s="32">
        <v>100.0</v>
      </c>
      <c r="P253" s="50" t="str">
        <f t="shared" si="6"/>
        <v>PASSED</v>
      </c>
      <c r="Q253" s="50" t="str">
        <f t="shared" si="5"/>
        <v>10</v>
      </c>
    </row>
    <row r="254" ht="22.5" customHeight="1">
      <c r="A254" s="26">
        <v>45769.0</v>
      </c>
      <c r="B254" s="32" t="s">
        <v>414</v>
      </c>
      <c r="C254" s="191" t="str">
        <f t="array" ref="C254">_xlfn.XLOOKUP(B254, DB[samplingPoint], DB[samplingTag])</f>
        <v>SV116.13</v>
      </c>
      <c r="D254" s="33" t="s">
        <v>59</v>
      </c>
      <c r="E254" s="39" t="str">
        <f t="array" ref="E254">_xlfn.XLOOKUP($B254, DB[samplingPoint], DB[noLocation])</f>
        <v>10-3-152</v>
      </c>
      <c r="F254" s="40" t="str">
        <f t="array" ref="F254">_xlfn.XLOOKUP($B254, DB[samplingPoint], DB[building])</f>
        <v>Building 10</v>
      </c>
      <c r="G254" s="40" t="str">
        <f t="array" ref="G254">_xlfn.XLOOKUP($B254, DB[samplingPoint], DB[location])</f>
        <v>WASHING-P</v>
      </c>
      <c r="H254" s="40" t="str">
        <f t="array" ref="H254">_xlfn.XLOOKUP($B254, DB[samplingPoint], DB[waterType])</f>
        <v>PW</v>
      </c>
      <c r="I254" s="60">
        <f t="shared" si="1"/>
        <v>45770</v>
      </c>
      <c r="J254" s="192">
        <f t="shared" si="2"/>
        <v>45773</v>
      </c>
      <c r="K254" s="32">
        <v>0.0</v>
      </c>
      <c r="L254" s="32">
        <v>0.0</v>
      </c>
      <c r="M254" s="32">
        <f t="shared" si="3"/>
        <v>0</v>
      </c>
      <c r="N254" s="32" t="s">
        <v>376</v>
      </c>
      <c r="O254" s="32">
        <v>100.0</v>
      </c>
      <c r="P254" s="50" t="str">
        <f t="shared" si="6"/>
        <v>PASSED</v>
      </c>
      <c r="Q254" s="50" t="str">
        <f t="shared" si="5"/>
        <v>10</v>
      </c>
    </row>
    <row r="255" ht="22.5" customHeight="1">
      <c r="A255" s="26">
        <v>45769.0</v>
      </c>
      <c r="B255" s="32" t="s">
        <v>417</v>
      </c>
      <c r="C255" s="191" t="str">
        <f t="array" ref="C255">_xlfn.XLOOKUP(B255, DB[samplingPoint], DB[samplingTag])</f>
        <v>DV116.20</v>
      </c>
      <c r="D255" s="33" t="s">
        <v>59</v>
      </c>
      <c r="E255" s="39" t="str">
        <f t="array" ref="E255">_xlfn.XLOOKUP($B255, DB[samplingPoint], DB[noLocation])</f>
        <v>10-3-149</v>
      </c>
      <c r="F255" s="40" t="str">
        <f t="array" ref="F255">_xlfn.XLOOKUP($B255, DB[samplingPoint], DB[building])</f>
        <v>Building 10</v>
      </c>
      <c r="G255" s="40" t="str">
        <f t="array" ref="G255">_xlfn.XLOOKUP($B255, DB[samplingPoint], DB[location])</f>
        <v>IPQC-1-P</v>
      </c>
      <c r="H255" s="40" t="str">
        <f t="array" ref="H255">_xlfn.XLOOKUP($B255, DB[samplingPoint], DB[waterType])</f>
        <v>PW</v>
      </c>
      <c r="I255" s="60">
        <f t="shared" si="1"/>
        <v>45770</v>
      </c>
      <c r="J255" s="192">
        <f t="shared" si="2"/>
        <v>45773</v>
      </c>
      <c r="K255" s="32">
        <v>0.0</v>
      </c>
      <c r="L255" s="32">
        <v>0.0</v>
      </c>
      <c r="M255" s="32">
        <f t="shared" si="3"/>
        <v>0</v>
      </c>
      <c r="N255" s="32" t="s">
        <v>376</v>
      </c>
      <c r="O255" s="32">
        <v>100.0</v>
      </c>
      <c r="P255" s="50" t="str">
        <f t="shared" si="6"/>
        <v>PASSED</v>
      </c>
      <c r="Q255" s="50" t="str">
        <f t="shared" si="5"/>
        <v>10</v>
      </c>
    </row>
    <row r="256" ht="22.5" customHeight="1">
      <c r="A256" s="26">
        <v>45769.0</v>
      </c>
      <c r="B256" s="32" t="s">
        <v>421</v>
      </c>
      <c r="C256" s="191" t="str">
        <f t="array" ref="C256">_xlfn.XLOOKUP(B256, DB[samplingPoint], DB[samplingTag])</f>
        <v>DV116.19</v>
      </c>
      <c r="D256" s="33" t="s">
        <v>59</v>
      </c>
      <c r="E256" s="39" t="str">
        <f t="array" ref="E256">_xlfn.XLOOKUP($B256, DB[samplingPoint], DB[noLocation])</f>
        <v>10-3-143</v>
      </c>
      <c r="F256" s="40" t="str">
        <f t="array" ref="F256">_xlfn.XLOOKUP($B256, DB[samplingPoint], DB[building])</f>
        <v>Building 10</v>
      </c>
      <c r="G256" s="40" t="str">
        <f t="array" ref="G256">_xlfn.XLOOKUP($B256, DB[samplingPoint], DB[location])</f>
        <v>COATING SOLUTION PREP.-P</v>
      </c>
      <c r="H256" s="40" t="str">
        <f t="array" ref="H256">_xlfn.XLOOKUP($B256, DB[samplingPoint], DB[waterType])</f>
        <v>PW</v>
      </c>
      <c r="I256" s="60">
        <f t="shared" si="1"/>
        <v>45770</v>
      </c>
      <c r="J256" s="192">
        <f t="shared" si="2"/>
        <v>45773</v>
      </c>
      <c r="K256" s="32">
        <v>0.0</v>
      </c>
      <c r="L256" s="32">
        <v>0.0</v>
      </c>
      <c r="M256" s="32">
        <f t="shared" si="3"/>
        <v>0</v>
      </c>
      <c r="N256" s="32" t="s">
        <v>376</v>
      </c>
      <c r="O256" s="32">
        <v>100.0</v>
      </c>
      <c r="P256" s="50" t="str">
        <f t="shared" si="6"/>
        <v>PASSED</v>
      </c>
      <c r="Q256" s="50" t="str">
        <f t="shared" si="5"/>
        <v>10</v>
      </c>
    </row>
    <row r="257" ht="22.5" customHeight="1">
      <c r="A257" s="26">
        <v>45769.0</v>
      </c>
      <c r="B257" s="32" t="s">
        <v>423</v>
      </c>
      <c r="C257" s="191" t="str">
        <f t="array" ref="C257">_xlfn.XLOOKUP(B257, DB[samplingPoint], DB[samplingTag])</f>
        <v>SV116.12</v>
      </c>
      <c r="D257" s="33" t="s">
        <v>59</v>
      </c>
      <c r="E257" s="39" t="str">
        <f t="array" ref="E257">_xlfn.XLOOKUP($B257, DB[samplingPoint], DB[noLocation])</f>
        <v>10-3-144</v>
      </c>
      <c r="F257" s="40" t="str">
        <f t="array" ref="F257">_xlfn.XLOOKUP($B257, DB[samplingPoint], DB[building])</f>
        <v>Building 10</v>
      </c>
      <c r="G257" s="40" t="str">
        <f t="array" ref="G257">_xlfn.XLOOKUP($B257, DB[samplingPoint], DB[location])</f>
        <v>COATING-P</v>
      </c>
      <c r="H257" s="40" t="str">
        <f t="array" ref="H257">_xlfn.XLOOKUP($B257, DB[samplingPoint], DB[waterType])</f>
        <v>PW</v>
      </c>
      <c r="I257" s="60">
        <f t="shared" si="1"/>
        <v>45770</v>
      </c>
      <c r="J257" s="192">
        <f t="shared" si="2"/>
        <v>45773</v>
      </c>
      <c r="K257" s="32">
        <v>0.0</v>
      </c>
      <c r="L257" s="32">
        <v>0.0</v>
      </c>
      <c r="M257" s="32">
        <f t="shared" si="3"/>
        <v>0</v>
      </c>
      <c r="N257" s="32" t="s">
        <v>376</v>
      </c>
      <c r="O257" s="32">
        <v>100.0</v>
      </c>
      <c r="P257" s="50" t="str">
        <f t="shared" si="6"/>
        <v>PASSED</v>
      </c>
      <c r="Q257" s="50" t="str">
        <f t="shared" si="5"/>
        <v>10</v>
      </c>
    </row>
    <row r="258" ht="22.5" customHeight="1">
      <c r="A258" s="26">
        <v>45769.0</v>
      </c>
      <c r="B258" s="32" t="s">
        <v>431</v>
      </c>
      <c r="C258" s="191" t="str">
        <f t="array" ref="C258">_xlfn.XLOOKUP(B258, DB[samplingPoint], DB[samplingTag])</f>
        <v>SV-14</v>
      </c>
      <c r="D258" s="33" t="s">
        <v>59</v>
      </c>
      <c r="E258" s="39" t="str">
        <f t="array" ref="E258">_xlfn.XLOOKUP($B258, DB[samplingPoint], DB[noLocation])</f>
        <v>PROCESS WATER (B19)</v>
      </c>
      <c r="F258" s="40" t="str">
        <f t="array" ref="F258">_xlfn.XLOOKUP($B258, DB[samplingPoint], DB[building])</f>
        <v>Building 19</v>
      </c>
      <c r="G258" s="40" t="str">
        <f t="array" ref="G258">_xlfn.XLOOKUP($B258, DB[samplingPoint], DB[location])</f>
        <v>AFTER RO SYSTEM NO.12 SV14</v>
      </c>
      <c r="H258" s="40" t="str">
        <f t="array" ref="H258">_xlfn.XLOOKUP($B258, DB[samplingPoint], DB[waterType])</f>
        <v>PRW</v>
      </c>
      <c r="I258" s="60">
        <f t="shared" si="1"/>
        <v>45770</v>
      </c>
      <c r="J258" s="192">
        <f t="shared" si="2"/>
        <v>45773</v>
      </c>
      <c r="K258" s="32">
        <v>0.0</v>
      </c>
      <c r="L258" s="32">
        <v>0.0</v>
      </c>
      <c r="M258" s="32">
        <f t="shared" si="3"/>
        <v>0</v>
      </c>
      <c r="N258" s="32" t="s">
        <v>376</v>
      </c>
      <c r="O258" s="32">
        <v>500.0</v>
      </c>
      <c r="P258" s="50" t="str">
        <f t="shared" si="6"/>
        <v>PASSED</v>
      </c>
      <c r="Q258" s="50" t="str">
        <f t="shared" si="5"/>
        <v>PR</v>
      </c>
    </row>
    <row r="259" ht="22.5" customHeight="1">
      <c r="A259" s="26">
        <v>45776.0</v>
      </c>
      <c r="B259" s="32" t="s">
        <v>349</v>
      </c>
      <c r="C259" s="191" t="str">
        <f t="array" ref="C259">_xlfn.XLOOKUP(B259, DB[samplingPoint], DB[samplingTag])</f>
        <v>VB-05(10)</v>
      </c>
      <c r="D259" s="33" t="s">
        <v>59</v>
      </c>
      <c r="E259" s="39" t="str">
        <f t="array" ref="E259">_xlfn.XLOOKUP($B259, DB[samplingPoint], DB[noLocation])</f>
        <v>WATER SYSTEM (B10)</v>
      </c>
      <c r="F259" s="40" t="str">
        <f t="array" ref="F259">_xlfn.XLOOKUP($B259, DB[samplingPoint], DB[building])</f>
        <v>Building 10</v>
      </c>
      <c r="G259" s="40" t="str">
        <f t="array" ref="G259">_xlfn.XLOOKUP($B259, DB[samplingPoint], DB[location])</f>
        <v>After Chlorine circulation tank (B10)</v>
      </c>
      <c r="H259" s="40" t="str">
        <f t="array" ref="H259">_xlfn.XLOOKUP($B259, DB[samplingPoint], DB[waterType])</f>
        <v>PRW</v>
      </c>
      <c r="I259" s="60">
        <f t="shared" si="1"/>
        <v>45777</v>
      </c>
      <c r="J259" s="192">
        <f t="shared" si="2"/>
        <v>45780</v>
      </c>
      <c r="K259" s="32">
        <v>0.0</v>
      </c>
      <c r="L259" s="32">
        <v>0.0</v>
      </c>
      <c r="M259" s="32">
        <f t="shared" si="3"/>
        <v>0</v>
      </c>
      <c r="N259" s="32" t="s">
        <v>376</v>
      </c>
      <c r="O259" s="32">
        <v>500.0</v>
      </c>
      <c r="P259" s="50" t="str">
        <f t="shared" si="6"/>
        <v>PASSED</v>
      </c>
      <c r="Q259" s="50" t="str">
        <f t="shared" si="5"/>
        <v>WA</v>
      </c>
    </row>
    <row r="260" ht="22.5" customHeight="1">
      <c r="A260" s="26">
        <v>45776.0</v>
      </c>
      <c r="B260" s="32" t="s">
        <v>366</v>
      </c>
      <c r="C260" s="191" t="str">
        <f t="array" ref="C260">_xlfn.XLOOKUP(B260, DB[samplingPoint], DB[samplingTag])</f>
        <v>V50-61(10)</v>
      </c>
      <c r="D260" s="33" t="s">
        <v>59</v>
      </c>
      <c r="E260" s="39" t="str">
        <f t="array" ref="E260">_xlfn.XLOOKUP($B260, DB[samplingPoint], DB[noLocation])</f>
        <v>WATER SYSTEM (B10)</v>
      </c>
      <c r="F260" s="40" t="str">
        <f t="array" ref="F260">_xlfn.XLOOKUP($B260, DB[samplingPoint], DB[building])</f>
        <v>Building 10</v>
      </c>
      <c r="G260" s="40" t="str">
        <f t="array" ref="G260">_xlfn.XLOOKUP($B260, DB[samplingPoint], DB[location])</f>
        <v>After Cartridge filter 5 µm (B10)</v>
      </c>
      <c r="H260" s="40" t="str">
        <f t="array" ref="H260">_xlfn.XLOOKUP($B260, DB[samplingPoint], DB[waterType])</f>
        <v>PRW</v>
      </c>
      <c r="I260" s="60">
        <f t="shared" si="1"/>
        <v>45777</v>
      </c>
      <c r="J260" s="192">
        <f t="shared" si="2"/>
        <v>45780</v>
      </c>
      <c r="K260" s="32">
        <v>999.0</v>
      </c>
      <c r="L260" s="32">
        <v>999.0</v>
      </c>
      <c r="M260" s="32">
        <f t="shared" si="3"/>
        <v>999</v>
      </c>
      <c r="N260" s="32" t="s">
        <v>376</v>
      </c>
      <c r="O260" s="32">
        <v>500.0</v>
      </c>
      <c r="P260" s="50" t="str">
        <f t="shared" si="6"/>
        <v>NOT-PASSED</v>
      </c>
      <c r="Q260" s="50" t="str">
        <f t="shared" si="5"/>
        <v>WA</v>
      </c>
    </row>
    <row r="261" ht="22.5" customHeight="1">
      <c r="A261" s="26">
        <v>45776.0</v>
      </c>
      <c r="B261" s="32" t="s">
        <v>368</v>
      </c>
      <c r="C261" s="191" t="str">
        <f t="array" ref="C261">_xlfn.XLOOKUP(B261, DB[samplingPoint], DB[samplingTag])</f>
        <v>V50-11C(10)</v>
      </c>
      <c r="D261" s="33" t="s">
        <v>59</v>
      </c>
      <c r="E261" s="39" t="str">
        <f t="array" ref="E261">_xlfn.XLOOKUP($B261, DB[samplingPoint], DB[noLocation])</f>
        <v>WATER SYSTEM (B10)</v>
      </c>
      <c r="F261" s="40" t="str">
        <f t="array" ref="F261">_xlfn.XLOOKUP($B261, DB[samplingPoint], DB[building])</f>
        <v>Building 10</v>
      </c>
      <c r="G261" s="40" t="str">
        <f t="array" ref="G261">_xlfn.XLOOKUP($B261, DB[samplingPoint], DB[location])</f>
        <v>After RO (Before EDI) (B10)</v>
      </c>
      <c r="H261" s="40" t="str">
        <f t="array" ref="H261">_xlfn.XLOOKUP($B261, DB[samplingPoint], DB[waterType])</f>
        <v>RO water</v>
      </c>
      <c r="I261" s="60">
        <f t="shared" si="1"/>
        <v>45777</v>
      </c>
      <c r="J261" s="192">
        <f t="shared" si="2"/>
        <v>45780</v>
      </c>
      <c r="K261" s="32">
        <v>0.0</v>
      </c>
      <c r="L261" s="32">
        <v>0.0</v>
      </c>
      <c r="M261" s="32">
        <f t="shared" si="3"/>
        <v>0</v>
      </c>
      <c r="N261" s="32" t="s">
        <v>376</v>
      </c>
      <c r="O261" s="32">
        <v>500.0</v>
      </c>
      <c r="P261" s="50" t="str">
        <f t="shared" si="6"/>
        <v>PASSED</v>
      </c>
      <c r="Q261" s="50" t="str">
        <f t="shared" si="5"/>
        <v>WA</v>
      </c>
    </row>
    <row r="262" ht="22.5" customHeight="1">
      <c r="A262" s="26">
        <v>45776.0</v>
      </c>
      <c r="B262" s="32" t="s">
        <v>491</v>
      </c>
      <c r="C262" s="191" t="str">
        <f t="array" ref="C262">_xlfn.XLOOKUP(B262, DB[samplingPoint], DB[samplingTag])</f>
        <v>SV116.15</v>
      </c>
      <c r="D262" s="33" t="s">
        <v>59</v>
      </c>
      <c r="E262" s="39" t="str">
        <f t="array" ref="E262">_xlfn.XLOOKUP($B262, DB[samplingPoint], DB[noLocation])</f>
        <v>10-4-012</v>
      </c>
      <c r="F262" s="40" t="str">
        <f t="array" ref="F262">_xlfn.XLOOKUP($B262, DB[samplingPoint], DB[building])</f>
        <v>Building 10</v>
      </c>
      <c r="G262" s="40" t="str">
        <f t="array" ref="G262">_xlfn.XLOOKUP($B262, DB[samplingPoint], DB[location])</f>
        <v>CIP SKID-1 FOR BIN WASHING-1</v>
      </c>
      <c r="H262" s="40" t="str">
        <f t="array" ref="H262">_xlfn.XLOOKUP($B262, DB[samplingPoint], DB[waterType])</f>
        <v>PW</v>
      </c>
      <c r="I262" s="60">
        <f t="shared" si="1"/>
        <v>45777</v>
      </c>
      <c r="J262" s="192">
        <f t="shared" si="2"/>
        <v>45780</v>
      </c>
      <c r="K262" s="32">
        <v>0.0</v>
      </c>
      <c r="L262" s="32">
        <v>0.0</v>
      </c>
      <c r="M262" s="32">
        <f t="shared" si="3"/>
        <v>0</v>
      </c>
      <c r="N262" s="32" t="s">
        <v>376</v>
      </c>
      <c r="O262" s="32">
        <v>100.0</v>
      </c>
      <c r="P262" s="50" t="str">
        <f t="shared" si="6"/>
        <v>PASSED</v>
      </c>
      <c r="Q262" s="50" t="str">
        <f t="shared" si="5"/>
        <v>10</v>
      </c>
    </row>
    <row r="263" ht="22.5" customHeight="1">
      <c r="A263" s="26">
        <v>45776.0</v>
      </c>
      <c r="B263" s="32" t="s">
        <v>493</v>
      </c>
      <c r="C263" s="191" t="str">
        <f t="array" ref="C263">_xlfn.XLOOKUP(B263, DB[samplingPoint], DB[samplingTag])</f>
        <v>SV116.16</v>
      </c>
      <c r="D263" s="33" t="s">
        <v>59</v>
      </c>
      <c r="E263" s="39" t="str">
        <f t="array" ref="E263">_xlfn.XLOOKUP($B263, DB[samplingPoint], DB[noLocation])</f>
        <v>10-4-012</v>
      </c>
      <c r="F263" s="40" t="str">
        <f t="array" ref="F263">_xlfn.XLOOKUP($B263, DB[samplingPoint], DB[building])</f>
        <v>Building 10</v>
      </c>
      <c r="G263" s="40" t="str">
        <f t="array" ref="G263">_xlfn.XLOOKUP($B263, DB[samplingPoint], DB[location])</f>
        <v>WIP SKID-3 FOR GRANULATION POTENT</v>
      </c>
      <c r="H263" s="40" t="str">
        <f t="array" ref="H263">_xlfn.XLOOKUP($B263, DB[samplingPoint], DB[waterType])</f>
        <v>PW</v>
      </c>
      <c r="I263" s="60">
        <f t="shared" si="1"/>
        <v>45777</v>
      </c>
      <c r="J263" s="192">
        <f t="shared" si="2"/>
        <v>45780</v>
      </c>
      <c r="K263" s="32">
        <v>0.0</v>
      </c>
      <c r="L263" s="32">
        <v>0.0</v>
      </c>
      <c r="M263" s="32">
        <f t="shared" si="3"/>
        <v>0</v>
      </c>
      <c r="N263" s="32" t="s">
        <v>376</v>
      </c>
      <c r="O263" s="32">
        <v>100.0</v>
      </c>
      <c r="P263" s="50" t="str">
        <f t="shared" si="6"/>
        <v>PASSED</v>
      </c>
      <c r="Q263" s="50" t="str">
        <f t="shared" si="5"/>
        <v>10</v>
      </c>
    </row>
    <row r="264" ht="22.5" customHeight="1">
      <c r="A264" s="26">
        <v>45776.0</v>
      </c>
      <c r="B264" s="32" t="s">
        <v>494</v>
      </c>
      <c r="C264" s="191" t="str">
        <f t="array" ref="C264">_xlfn.XLOOKUP(B264, DB[samplingPoint], DB[samplingTag])</f>
        <v>SV116.17</v>
      </c>
      <c r="D264" s="33" t="s">
        <v>59</v>
      </c>
      <c r="E264" s="39" t="str">
        <f t="array" ref="E264">_xlfn.XLOOKUP($B264, DB[samplingPoint], DB[noLocation])</f>
        <v>10-4-012</v>
      </c>
      <c r="F264" s="40" t="str">
        <f t="array" ref="F264">_xlfn.XLOOKUP($B264, DB[samplingPoint], DB[building])</f>
        <v>Building 10</v>
      </c>
      <c r="G264" s="40" t="str">
        <f t="array" ref="G264">_xlfn.XLOOKUP($B264, DB[samplingPoint], DB[location])</f>
        <v>CIP SKID-2 FOR BIN WASHING-1</v>
      </c>
      <c r="H264" s="40" t="str">
        <f t="array" ref="H264">_xlfn.XLOOKUP($B264, DB[samplingPoint], DB[waterType])</f>
        <v>PW</v>
      </c>
      <c r="I264" s="60">
        <f t="shared" si="1"/>
        <v>45777</v>
      </c>
      <c r="J264" s="192">
        <f t="shared" si="2"/>
        <v>45780</v>
      </c>
      <c r="K264" s="32">
        <v>0.0</v>
      </c>
      <c r="L264" s="32">
        <v>0.0</v>
      </c>
      <c r="M264" s="32">
        <f t="shared" si="3"/>
        <v>0</v>
      </c>
      <c r="N264" s="32" t="s">
        <v>376</v>
      </c>
      <c r="O264" s="32">
        <v>100.0</v>
      </c>
      <c r="P264" s="50" t="str">
        <f t="shared" si="6"/>
        <v>PASSED</v>
      </c>
      <c r="Q264" s="50" t="str">
        <f t="shared" si="5"/>
        <v>10</v>
      </c>
    </row>
    <row r="265" ht="22.5" customHeight="1">
      <c r="A265" s="26">
        <v>45776.0</v>
      </c>
      <c r="B265" s="32" t="s">
        <v>495</v>
      </c>
      <c r="C265" s="191" t="str">
        <f t="array" ref="C265">_xlfn.XLOOKUP(B265, DB[samplingPoint], DB[samplingTag])</f>
        <v>SV116.18</v>
      </c>
      <c r="D265" s="33" t="s">
        <v>59</v>
      </c>
      <c r="E265" s="39" t="str">
        <f t="array" ref="E265">_xlfn.XLOOKUP($B265, DB[samplingPoint], DB[noLocation])</f>
        <v>10-4-012</v>
      </c>
      <c r="F265" s="40" t="str">
        <f t="array" ref="F265">_xlfn.XLOOKUP($B265, DB[samplingPoint], DB[building])</f>
        <v>Building 10</v>
      </c>
      <c r="G265" s="40" t="str">
        <f t="array" ref="G265">_xlfn.XLOOKUP($B265, DB[samplingPoint], DB[location])</f>
        <v>WIP SKID-1 FOR GRANULATION NON POTENT</v>
      </c>
      <c r="H265" s="40" t="str">
        <f t="array" ref="H265">_xlfn.XLOOKUP($B265, DB[samplingPoint], DB[waterType])</f>
        <v>PW</v>
      </c>
      <c r="I265" s="60">
        <f t="shared" si="1"/>
        <v>45777</v>
      </c>
      <c r="J265" s="192">
        <f t="shared" si="2"/>
        <v>45780</v>
      </c>
      <c r="K265" s="32">
        <v>0.0</v>
      </c>
      <c r="L265" s="32">
        <v>0.0</v>
      </c>
      <c r="M265" s="32">
        <f t="shared" si="3"/>
        <v>0</v>
      </c>
      <c r="N265" s="32" t="s">
        <v>376</v>
      </c>
      <c r="O265" s="32">
        <v>100.0</v>
      </c>
      <c r="P265" s="50" t="str">
        <f t="shared" si="6"/>
        <v>PASSED</v>
      </c>
      <c r="Q265" s="50" t="str">
        <f t="shared" si="5"/>
        <v>10</v>
      </c>
    </row>
    <row r="266" ht="22.5" customHeight="1">
      <c r="A266" s="26">
        <v>45776.0</v>
      </c>
      <c r="B266" s="32" t="s">
        <v>496</v>
      </c>
      <c r="C266" s="191" t="str">
        <f t="array" ref="C266">_xlfn.XLOOKUP(B266, DB[samplingPoint], DB[samplingTag])</f>
        <v>SV116.19</v>
      </c>
      <c r="D266" s="33" t="s">
        <v>59</v>
      </c>
      <c r="E266" s="39" t="str">
        <f t="array" ref="E266">_xlfn.XLOOKUP($B266, DB[samplingPoint], DB[noLocation])</f>
        <v>10-4-012</v>
      </c>
      <c r="F266" s="40" t="str">
        <f t="array" ref="F266">_xlfn.XLOOKUP($B266, DB[samplingPoint], DB[building])</f>
        <v>Building 10</v>
      </c>
      <c r="G266" s="40" t="str">
        <f t="array" ref="G266">_xlfn.XLOOKUP($B266, DB[samplingPoint], DB[location])</f>
        <v>WIP SKID-2 FOR GRANULATION NON POTENT</v>
      </c>
      <c r="H266" s="40" t="str">
        <f t="array" ref="H266">_xlfn.XLOOKUP($B266, DB[samplingPoint], DB[waterType])</f>
        <v>PW</v>
      </c>
      <c r="I266" s="60">
        <f t="shared" si="1"/>
        <v>45777</v>
      </c>
      <c r="J266" s="192">
        <f t="shared" si="2"/>
        <v>45780</v>
      </c>
      <c r="K266" s="32">
        <v>0.0</v>
      </c>
      <c r="L266" s="32">
        <v>0.0</v>
      </c>
      <c r="M266" s="32">
        <f t="shared" si="3"/>
        <v>0</v>
      </c>
      <c r="N266" s="32" t="s">
        <v>376</v>
      </c>
      <c r="O266" s="32">
        <v>100.0</v>
      </c>
      <c r="P266" s="50" t="str">
        <f t="shared" si="6"/>
        <v>PASSED</v>
      </c>
      <c r="Q266" s="50" t="str">
        <f t="shared" si="5"/>
        <v>10</v>
      </c>
    </row>
    <row r="267" ht="22.5" customHeight="1">
      <c r="A267" s="26">
        <v>45776.0</v>
      </c>
      <c r="B267" s="32" t="s">
        <v>498</v>
      </c>
      <c r="C267" s="191" t="str">
        <f t="array" ref="C267">_xlfn.XLOOKUP(B267, DB[samplingPoint], DB[samplingTag])</f>
        <v>SV116.02</v>
      </c>
      <c r="D267" s="33" t="s">
        <v>59</v>
      </c>
      <c r="E267" s="39" t="str">
        <f t="array" ref="E267">_xlfn.XLOOKUP($B267, DB[samplingPoint], DB[noLocation])</f>
        <v>10-2-037</v>
      </c>
      <c r="F267" s="40" t="str">
        <f t="array" ref="F267">_xlfn.XLOOKUP($B267, DB[samplingPoint], DB[building])</f>
        <v>Building 10</v>
      </c>
      <c r="G267" s="40" t="str">
        <f t="array" ref="G267">_xlfn.XLOOKUP($B267, DB[samplingPoint], DB[location])</f>
        <v>SKID FOR BIN WASHING-2</v>
      </c>
      <c r="H267" s="40" t="str">
        <f t="array" ref="H267">_xlfn.XLOOKUP($B267, DB[samplingPoint], DB[waterType])</f>
        <v>PW</v>
      </c>
      <c r="I267" s="60">
        <f t="shared" si="1"/>
        <v>45777</v>
      </c>
      <c r="J267" s="192">
        <f t="shared" si="2"/>
        <v>45780</v>
      </c>
      <c r="K267" s="32">
        <v>0.0</v>
      </c>
      <c r="L267" s="32">
        <v>0.0</v>
      </c>
      <c r="M267" s="32">
        <f t="shared" si="3"/>
        <v>0</v>
      </c>
      <c r="N267" s="32" t="s">
        <v>376</v>
      </c>
      <c r="O267" s="32">
        <v>100.0</v>
      </c>
      <c r="P267" s="50" t="str">
        <f t="shared" si="6"/>
        <v>PASSED</v>
      </c>
      <c r="Q267" s="50" t="str">
        <f t="shared" si="5"/>
        <v>10</v>
      </c>
    </row>
    <row r="268" ht="22.5" customHeight="1">
      <c r="A268" s="26">
        <v>45776.0</v>
      </c>
      <c r="B268" s="32" t="s">
        <v>499</v>
      </c>
      <c r="C268" s="191" t="str">
        <f t="array" ref="C268">_xlfn.XLOOKUP(B268, DB[samplingPoint], DB[samplingTag])</f>
        <v>SV116.01</v>
      </c>
      <c r="D268" s="33" t="s">
        <v>59</v>
      </c>
      <c r="E268" s="39" t="str">
        <f t="array" ref="E268">_xlfn.XLOOKUP($B268, DB[samplingPoint], DB[noLocation])</f>
        <v>10-2-021</v>
      </c>
      <c r="F268" s="40" t="str">
        <f t="array" ref="F268">_xlfn.XLOOKUP($B268, DB[samplingPoint], DB[building])</f>
        <v>Building 10</v>
      </c>
      <c r="G268" s="40" t="str">
        <f t="array" ref="G268">_xlfn.XLOOKUP($B268, DB[samplingPoint], DB[location])</f>
        <v>INSTRUMENT-1</v>
      </c>
      <c r="H268" s="40" t="str">
        <f t="array" ref="H268">_xlfn.XLOOKUP($B268, DB[samplingPoint], DB[waterType])</f>
        <v>PW</v>
      </c>
      <c r="I268" s="60">
        <f t="shared" si="1"/>
        <v>45777</v>
      </c>
      <c r="J268" s="192">
        <f t="shared" si="2"/>
        <v>45780</v>
      </c>
      <c r="K268" s="32">
        <v>0.0</v>
      </c>
      <c r="L268" s="32">
        <v>0.0</v>
      </c>
      <c r="M268" s="32">
        <f t="shared" si="3"/>
        <v>0</v>
      </c>
      <c r="N268" s="32" t="s">
        <v>376</v>
      </c>
      <c r="O268" s="32">
        <v>100.0</v>
      </c>
      <c r="P268" s="50" t="str">
        <f t="shared" si="6"/>
        <v>PASSED</v>
      </c>
      <c r="Q268" s="50" t="str">
        <f t="shared" si="5"/>
        <v>10</v>
      </c>
    </row>
    <row r="269" ht="22.5" customHeight="1">
      <c r="A269" s="26">
        <v>45776.0</v>
      </c>
      <c r="B269" s="32" t="s">
        <v>502</v>
      </c>
      <c r="C269" s="191" t="str">
        <f t="array" ref="C269">_xlfn.XLOOKUP(B269, DB[samplingPoint], DB[samplingTag])</f>
        <v>DV116.26</v>
      </c>
      <c r="D269" s="33" t="s">
        <v>59</v>
      </c>
      <c r="E269" s="39" t="str">
        <f t="array" ref="E269">_xlfn.XLOOKUP($B269, DB[samplingPoint], DB[noLocation])</f>
        <v>10-4-015</v>
      </c>
      <c r="F269" s="40" t="str">
        <f t="array" ref="F269">_xlfn.XLOOKUP($B269, DB[samplingPoint], DB[building])</f>
        <v>Building 10</v>
      </c>
      <c r="G269" s="40" t="str">
        <f t="array" ref="G269">_xlfn.XLOOKUP($B269, DB[samplingPoint], DB[location])</f>
        <v>WATER SYSTEM ROOM</v>
      </c>
      <c r="H269" s="40" t="str">
        <f t="array" ref="H269">_xlfn.XLOOKUP($B269, DB[samplingPoint], DB[waterType])</f>
        <v>PW</v>
      </c>
      <c r="I269" s="60">
        <f t="shared" si="1"/>
        <v>45777</v>
      </c>
      <c r="J269" s="192">
        <f t="shared" si="2"/>
        <v>45780</v>
      </c>
      <c r="K269" s="32">
        <v>0.0</v>
      </c>
      <c r="L269" s="32">
        <v>0.0</v>
      </c>
      <c r="M269" s="32">
        <f t="shared" si="3"/>
        <v>0</v>
      </c>
      <c r="N269" s="32" t="s">
        <v>376</v>
      </c>
      <c r="O269" s="32">
        <v>100.0</v>
      </c>
      <c r="P269" s="50" t="str">
        <f t="shared" si="6"/>
        <v>PASSED</v>
      </c>
      <c r="Q269" s="50" t="str">
        <f t="shared" si="5"/>
        <v>10</v>
      </c>
    </row>
    <row r="270" ht="22.5" customHeight="1">
      <c r="A270" s="26">
        <v>45776.0</v>
      </c>
      <c r="B270" s="32" t="s">
        <v>374</v>
      </c>
      <c r="C270" s="191" t="str">
        <f t="array" ref="C270">_xlfn.XLOOKUP(B270, DB[samplingPoint], DB[samplingTag])</f>
        <v>V50-39(10)</v>
      </c>
      <c r="D270" s="33" t="s">
        <v>59</v>
      </c>
      <c r="E270" s="39" t="str">
        <f t="array" ref="E270">_xlfn.XLOOKUP($B270, DB[samplingPoint], DB[noLocation])</f>
        <v>WATER SYSTEM (B10)</v>
      </c>
      <c r="F270" s="40" t="str">
        <f t="array" ref="F270">_xlfn.XLOOKUP($B270, DB[samplingPoint], DB[building])</f>
        <v>Building 10</v>
      </c>
      <c r="G270" s="40" t="str">
        <f t="array" ref="G270">_xlfn.XLOOKUP($B270, DB[samplingPoint], DB[location])</f>
        <v>After EDI (B10)</v>
      </c>
      <c r="H270" s="40" t="str">
        <f t="array" ref="H270">_xlfn.XLOOKUP($B270, DB[samplingPoint], DB[waterType])</f>
        <v>PW</v>
      </c>
      <c r="I270" s="60">
        <f t="shared" si="1"/>
        <v>45777</v>
      </c>
      <c r="J270" s="192">
        <f t="shared" si="2"/>
        <v>45780</v>
      </c>
      <c r="K270" s="32">
        <v>0.0</v>
      </c>
      <c r="L270" s="32">
        <v>0.0</v>
      </c>
      <c r="M270" s="32">
        <f t="shared" si="3"/>
        <v>0</v>
      </c>
      <c r="N270" s="32" t="s">
        <v>376</v>
      </c>
      <c r="O270" s="32">
        <v>100.0</v>
      </c>
      <c r="P270" s="50" t="str">
        <f t="shared" si="6"/>
        <v>PASSED</v>
      </c>
      <c r="Q270" s="50" t="str">
        <f t="shared" si="5"/>
        <v>WA</v>
      </c>
    </row>
    <row r="271" ht="22.5" customHeight="1">
      <c r="A271" s="26">
        <v>45776.0</v>
      </c>
      <c r="B271" s="32" t="s">
        <v>380</v>
      </c>
      <c r="C271" s="191" t="str">
        <f t="array" ref="C271">_xlfn.XLOOKUP(B271, DB[samplingPoint], DB[samplingTag])</f>
        <v>SV113.01</v>
      </c>
      <c r="D271" s="33" t="s">
        <v>59</v>
      </c>
      <c r="E271" s="39" t="str">
        <f t="array" ref="E271">_xlfn.XLOOKUP($B271, DB[samplingPoint], DB[noLocation])</f>
        <v>WATER SYSTEM (B10)</v>
      </c>
      <c r="F271" s="40" t="str">
        <f t="array" ref="F271">_xlfn.XLOOKUP($B271, DB[samplingPoint], DB[building])</f>
        <v>Building 10</v>
      </c>
      <c r="G271" s="40" t="str">
        <f t="array" ref="G271">_xlfn.XLOOKUP($B271, DB[samplingPoint], DB[location])</f>
        <v>After Storage tank (B10)</v>
      </c>
      <c r="H271" s="40" t="str">
        <f t="array" ref="H271">_xlfn.XLOOKUP($B271, DB[samplingPoint], DB[waterType])</f>
        <v>PW</v>
      </c>
      <c r="I271" s="60">
        <f t="shared" si="1"/>
        <v>45777</v>
      </c>
      <c r="J271" s="192">
        <f t="shared" si="2"/>
        <v>45780</v>
      </c>
      <c r="K271" s="32">
        <v>0.0</v>
      </c>
      <c r="L271" s="32">
        <v>0.0</v>
      </c>
      <c r="M271" s="32">
        <f t="shared" si="3"/>
        <v>0</v>
      </c>
      <c r="N271" s="32" t="s">
        <v>376</v>
      </c>
      <c r="O271" s="32">
        <v>100.0</v>
      </c>
      <c r="P271" s="50" t="str">
        <f t="shared" si="6"/>
        <v>PASSED</v>
      </c>
      <c r="Q271" s="50" t="str">
        <f t="shared" si="5"/>
        <v>WA</v>
      </c>
    </row>
    <row r="272" ht="22.5" customHeight="1">
      <c r="A272" s="26">
        <v>45776.0</v>
      </c>
      <c r="B272" s="32" t="s">
        <v>385</v>
      </c>
      <c r="C272" s="191" t="str">
        <f t="array" ref="C272">_xlfn.XLOOKUP(B272, DB[samplingPoint], DB[samplingTag])</f>
        <v>SV115.02</v>
      </c>
      <c r="D272" s="33" t="s">
        <v>59</v>
      </c>
      <c r="E272" s="39" t="str">
        <f t="array" ref="E272">_xlfn.XLOOKUP($B272, DB[samplingPoint], DB[noLocation])</f>
        <v>WATER SYSTEM (B10)</v>
      </c>
      <c r="F272" s="40" t="str">
        <f t="array" ref="F272">_xlfn.XLOOKUP($B272, DB[samplingPoint], DB[building])</f>
        <v>Building 10</v>
      </c>
      <c r="G272" s="40" t="str">
        <f t="array" ref="G272">_xlfn.XLOOKUP($B272, DB[samplingPoint], DB[location])</f>
        <v>After UV (B10)</v>
      </c>
      <c r="H272" s="40" t="str">
        <f t="array" ref="H272">_xlfn.XLOOKUP($B272, DB[samplingPoint], DB[waterType])</f>
        <v>PW</v>
      </c>
      <c r="I272" s="60">
        <f t="shared" si="1"/>
        <v>45777</v>
      </c>
      <c r="J272" s="192">
        <f t="shared" si="2"/>
        <v>45780</v>
      </c>
      <c r="K272" s="32">
        <v>0.0</v>
      </c>
      <c r="L272" s="32">
        <v>0.0</v>
      </c>
      <c r="M272" s="32">
        <f t="shared" si="3"/>
        <v>0</v>
      </c>
      <c r="N272" s="32" t="s">
        <v>376</v>
      </c>
      <c r="O272" s="32">
        <v>100.0</v>
      </c>
      <c r="P272" s="50" t="str">
        <f t="shared" si="6"/>
        <v>PASSED</v>
      </c>
      <c r="Q272" s="50" t="str">
        <f t="shared" si="5"/>
        <v>WA</v>
      </c>
    </row>
    <row r="273" ht="22.5" customHeight="1">
      <c r="A273" s="26">
        <v>45776.0</v>
      </c>
      <c r="B273" s="32" t="s">
        <v>390</v>
      </c>
      <c r="C273" s="191" t="str">
        <f t="array" ref="C273">_xlfn.XLOOKUP(B273, DB[samplingPoint], DB[samplingTag])</f>
        <v>SV117.01</v>
      </c>
      <c r="D273" s="33" t="s">
        <v>59</v>
      </c>
      <c r="E273" s="39" t="str">
        <f t="array" ref="E273">_xlfn.XLOOKUP($B273, DB[samplingPoint], DB[noLocation])</f>
        <v>WATER SYSTEM (B10)</v>
      </c>
      <c r="F273" s="40" t="str">
        <f t="array" ref="F273">_xlfn.XLOOKUP($B273, DB[samplingPoint], DB[building])</f>
        <v>Building 10</v>
      </c>
      <c r="G273" s="40" t="str">
        <f t="array" ref="G273">_xlfn.XLOOKUP($B273, DB[samplingPoint], DB[location])</f>
        <v>Return loop (B10)</v>
      </c>
      <c r="H273" s="40" t="str">
        <f t="array" ref="H273">_xlfn.XLOOKUP($B273, DB[samplingPoint], DB[waterType])</f>
        <v>PW</v>
      </c>
      <c r="I273" s="60">
        <f t="shared" si="1"/>
        <v>45777</v>
      </c>
      <c r="J273" s="192">
        <f t="shared" si="2"/>
        <v>45780</v>
      </c>
      <c r="K273" s="32">
        <v>0.0</v>
      </c>
      <c r="L273" s="32">
        <v>0.0</v>
      </c>
      <c r="M273" s="32">
        <f t="shared" si="3"/>
        <v>0</v>
      </c>
      <c r="N273" s="32" t="s">
        <v>376</v>
      </c>
      <c r="O273" s="32">
        <v>100.0</v>
      </c>
      <c r="P273" s="50" t="str">
        <f t="shared" si="6"/>
        <v>PASSED</v>
      </c>
      <c r="Q273" s="50" t="str">
        <f t="shared" si="5"/>
        <v>WA</v>
      </c>
    </row>
    <row r="274" ht="22.5" customHeight="1">
      <c r="A274" s="26">
        <v>45793.0</v>
      </c>
      <c r="B274" s="32" t="s">
        <v>349</v>
      </c>
      <c r="C274" s="191" t="str">
        <f t="array" ref="C274">_xlfn.XLOOKUP(B274, DB[samplingPoint], DB[samplingTag])</f>
        <v>VB-05(10)</v>
      </c>
      <c r="D274" s="33" t="s">
        <v>59</v>
      </c>
      <c r="E274" s="39" t="str">
        <f t="array" ref="E274">_xlfn.XLOOKUP($B274, DB[samplingPoint], DB[noLocation])</f>
        <v>WATER SYSTEM (B10)</v>
      </c>
      <c r="F274" s="40" t="str">
        <f t="array" ref="F274">_xlfn.XLOOKUP($B274, DB[samplingPoint], DB[building])</f>
        <v>Building 10</v>
      </c>
      <c r="G274" s="40" t="str">
        <f t="array" ref="G274">_xlfn.XLOOKUP($B274, DB[samplingPoint], DB[location])</f>
        <v>After Chlorine circulation tank (B10)</v>
      </c>
      <c r="H274" s="40" t="str">
        <f t="array" ref="H274">_xlfn.XLOOKUP($B274, DB[samplingPoint], DB[waterType])</f>
        <v>PRW</v>
      </c>
      <c r="I274" s="60">
        <f t="shared" si="1"/>
        <v>45794</v>
      </c>
      <c r="J274" s="192">
        <f t="shared" si="2"/>
        <v>45797</v>
      </c>
      <c r="K274" s="32">
        <v>24.0</v>
      </c>
      <c r="L274" s="32">
        <v>36.0</v>
      </c>
      <c r="M274" s="32">
        <f t="shared" si="3"/>
        <v>30</v>
      </c>
      <c r="N274" s="32" t="s">
        <v>376</v>
      </c>
      <c r="O274" s="32">
        <v>500.0</v>
      </c>
      <c r="P274" s="50" t="str">
        <f t="shared" si="6"/>
        <v>PASSED</v>
      </c>
      <c r="Q274" s="50" t="str">
        <f t="shared" si="5"/>
        <v>WA</v>
      </c>
    </row>
    <row r="275" ht="22.5" customHeight="1">
      <c r="A275" s="26">
        <v>45793.0</v>
      </c>
      <c r="B275" s="32" t="s">
        <v>366</v>
      </c>
      <c r="C275" s="191" t="str">
        <f t="array" ref="C275">_xlfn.XLOOKUP(B275, DB[samplingPoint], DB[samplingTag])</f>
        <v>V50-61(10)</v>
      </c>
      <c r="D275" s="33" t="s">
        <v>59</v>
      </c>
      <c r="E275" s="39" t="str">
        <f t="array" ref="E275">_xlfn.XLOOKUP($B275, DB[samplingPoint], DB[noLocation])</f>
        <v>WATER SYSTEM (B10)</v>
      </c>
      <c r="F275" s="40" t="str">
        <f t="array" ref="F275">_xlfn.XLOOKUP($B275, DB[samplingPoint], DB[building])</f>
        <v>Building 10</v>
      </c>
      <c r="G275" s="40" t="str">
        <f t="array" ref="G275">_xlfn.XLOOKUP($B275, DB[samplingPoint], DB[location])</f>
        <v>After Cartridge filter 5 µm (B10)</v>
      </c>
      <c r="H275" s="40" t="str">
        <f t="array" ref="H275">_xlfn.XLOOKUP($B275, DB[samplingPoint], DB[waterType])</f>
        <v>PRW</v>
      </c>
      <c r="I275" s="60">
        <f t="shared" si="1"/>
        <v>45794</v>
      </c>
      <c r="J275" s="192">
        <f t="shared" si="2"/>
        <v>45797</v>
      </c>
      <c r="K275" s="32">
        <v>999.0</v>
      </c>
      <c r="L275" s="32">
        <v>999.0</v>
      </c>
      <c r="M275" s="32">
        <f t="shared" si="3"/>
        <v>999</v>
      </c>
      <c r="N275" s="32" t="s">
        <v>376</v>
      </c>
      <c r="O275" s="32">
        <v>500.0</v>
      </c>
      <c r="P275" s="50" t="str">
        <f t="shared" si="6"/>
        <v>NOT-PASSED</v>
      </c>
      <c r="Q275" s="50" t="str">
        <f t="shared" si="5"/>
        <v>WA</v>
      </c>
    </row>
    <row r="276" ht="22.5" customHeight="1">
      <c r="A276" s="26">
        <v>45793.0</v>
      </c>
      <c r="B276" s="32" t="s">
        <v>368</v>
      </c>
      <c r="C276" s="191" t="str">
        <f t="array" ref="C276">_xlfn.XLOOKUP(B276, DB[samplingPoint], DB[samplingTag])</f>
        <v>V50-11C(10)</v>
      </c>
      <c r="D276" s="33" t="s">
        <v>59</v>
      </c>
      <c r="E276" s="39" t="str">
        <f t="array" ref="E276">_xlfn.XLOOKUP($B276, DB[samplingPoint], DB[noLocation])</f>
        <v>WATER SYSTEM (B10)</v>
      </c>
      <c r="F276" s="40" t="str">
        <f t="array" ref="F276">_xlfn.XLOOKUP($B276, DB[samplingPoint], DB[building])</f>
        <v>Building 10</v>
      </c>
      <c r="G276" s="40" t="str">
        <f t="array" ref="G276">_xlfn.XLOOKUP($B276, DB[samplingPoint], DB[location])</f>
        <v>After RO (Before EDI) (B10)</v>
      </c>
      <c r="H276" s="40" t="str">
        <f t="array" ref="H276">_xlfn.XLOOKUP($B276, DB[samplingPoint], DB[waterType])</f>
        <v>RO water</v>
      </c>
      <c r="I276" s="60">
        <f t="shared" si="1"/>
        <v>45794</v>
      </c>
      <c r="J276" s="192">
        <f t="shared" si="2"/>
        <v>45797</v>
      </c>
      <c r="K276" s="32">
        <v>0.0</v>
      </c>
      <c r="L276" s="32">
        <v>0.0</v>
      </c>
      <c r="M276" s="32">
        <f t="shared" si="3"/>
        <v>0</v>
      </c>
      <c r="N276" s="32" t="s">
        <v>376</v>
      </c>
      <c r="O276" s="32">
        <v>500.0</v>
      </c>
      <c r="P276" s="50" t="str">
        <f t="shared" si="6"/>
        <v>PASSED</v>
      </c>
      <c r="Q276" s="50" t="str">
        <f t="shared" si="5"/>
        <v>WA</v>
      </c>
    </row>
    <row r="277" ht="22.5" customHeight="1">
      <c r="A277" s="26">
        <v>45793.0</v>
      </c>
      <c r="B277" s="32" t="s">
        <v>394</v>
      </c>
      <c r="C277" s="191" t="str">
        <f t="array" ref="C277">_xlfn.XLOOKUP(B277, DB[samplingPoint], DB[samplingTag])</f>
        <v>DV116.25</v>
      </c>
      <c r="D277" s="33" t="s">
        <v>59</v>
      </c>
      <c r="E277" s="39" t="str">
        <f t="array" ref="E277">_xlfn.XLOOKUP($B277, DB[samplingPoint], DB[noLocation])</f>
        <v>10-3-171</v>
      </c>
      <c r="F277" s="40" t="str">
        <f t="array" ref="F277">_xlfn.XLOOKUP($B277, DB[samplingPoint], DB[building])</f>
        <v>Building 10</v>
      </c>
      <c r="G277" s="40" t="str">
        <f t="array" ref="G277">_xlfn.XLOOKUP($B277, DB[samplingPoint], DB[location])</f>
        <v>TOOL WASHING-P</v>
      </c>
      <c r="H277" s="40" t="str">
        <f t="array" ref="H277">_xlfn.XLOOKUP($B277, DB[samplingPoint], DB[waterType])</f>
        <v>PW</v>
      </c>
      <c r="I277" s="60">
        <f t="shared" si="1"/>
        <v>45794</v>
      </c>
      <c r="J277" s="192">
        <f t="shared" si="2"/>
        <v>45797</v>
      </c>
      <c r="K277" s="32">
        <v>0.0</v>
      </c>
      <c r="L277" s="32">
        <v>0.0</v>
      </c>
      <c r="M277" s="32">
        <f t="shared" si="3"/>
        <v>0</v>
      </c>
      <c r="N277" s="32" t="s">
        <v>376</v>
      </c>
      <c r="O277" s="32">
        <v>100.0</v>
      </c>
      <c r="P277" s="50" t="str">
        <f t="shared" si="6"/>
        <v>PASSED</v>
      </c>
      <c r="Q277" s="50" t="str">
        <f t="shared" si="5"/>
        <v>10</v>
      </c>
    </row>
    <row r="278" ht="22.5" customHeight="1">
      <c r="A278" s="26">
        <v>45793.0</v>
      </c>
      <c r="B278" s="32" t="s">
        <v>421</v>
      </c>
      <c r="C278" s="191" t="str">
        <f t="array" ref="C278">_xlfn.XLOOKUP(B278, DB[samplingPoint], DB[samplingTag])</f>
        <v>DV116.19</v>
      </c>
      <c r="D278" s="33" t="s">
        <v>59</v>
      </c>
      <c r="E278" s="39" t="str">
        <f t="array" ref="E278">_xlfn.XLOOKUP($B278, DB[samplingPoint], DB[noLocation])</f>
        <v>10-3-143</v>
      </c>
      <c r="F278" s="40" t="str">
        <f t="array" ref="F278">_xlfn.XLOOKUP($B278, DB[samplingPoint], DB[building])</f>
        <v>Building 10</v>
      </c>
      <c r="G278" s="40" t="str">
        <f t="array" ref="G278">_xlfn.XLOOKUP($B278, DB[samplingPoint], DB[location])</f>
        <v>COATING SOLUTION PREP.-P</v>
      </c>
      <c r="H278" s="40" t="str">
        <f t="array" ref="H278">_xlfn.XLOOKUP($B278, DB[samplingPoint], DB[waterType])</f>
        <v>PW</v>
      </c>
      <c r="I278" s="60">
        <f t="shared" si="1"/>
        <v>45794</v>
      </c>
      <c r="J278" s="192">
        <f t="shared" si="2"/>
        <v>45797</v>
      </c>
      <c r="K278" s="32">
        <v>0.0</v>
      </c>
      <c r="L278" s="32">
        <v>0.0</v>
      </c>
      <c r="M278" s="32">
        <f t="shared" si="3"/>
        <v>0</v>
      </c>
      <c r="N278" s="32" t="s">
        <v>376</v>
      </c>
      <c r="O278" s="32">
        <v>100.0</v>
      </c>
      <c r="P278" s="50" t="str">
        <f t="shared" si="6"/>
        <v>PASSED</v>
      </c>
      <c r="Q278" s="50" t="str">
        <f t="shared" si="5"/>
        <v>10</v>
      </c>
    </row>
    <row r="279" ht="22.5" customHeight="1">
      <c r="A279" s="26">
        <v>45793.0</v>
      </c>
      <c r="B279" s="32" t="s">
        <v>417</v>
      </c>
      <c r="C279" s="191" t="str">
        <f t="array" ref="C279">_xlfn.XLOOKUP(B279, DB[samplingPoint], DB[samplingTag])</f>
        <v>DV116.20</v>
      </c>
      <c r="D279" s="33" t="s">
        <v>59</v>
      </c>
      <c r="E279" s="39" t="str">
        <f t="array" ref="E279">_xlfn.XLOOKUP($B279, DB[samplingPoint], DB[noLocation])</f>
        <v>10-3-149</v>
      </c>
      <c r="F279" s="40" t="str">
        <f t="array" ref="F279">_xlfn.XLOOKUP($B279, DB[samplingPoint], DB[building])</f>
        <v>Building 10</v>
      </c>
      <c r="G279" s="40" t="str">
        <f t="array" ref="G279">_xlfn.XLOOKUP($B279, DB[samplingPoint], DB[location])</f>
        <v>IPQC-1-P</v>
      </c>
      <c r="H279" s="40" t="str">
        <f t="array" ref="H279">_xlfn.XLOOKUP($B279, DB[samplingPoint], DB[waterType])</f>
        <v>PW</v>
      </c>
      <c r="I279" s="60">
        <f t="shared" si="1"/>
        <v>45794</v>
      </c>
      <c r="J279" s="192">
        <f t="shared" si="2"/>
        <v>45797</v>
      </c>
      <c r="K279" s="32">
        <v>0.0</v>
      </c>
      <c r="L279" s="32">
        <v>0.0</v>
      </c>
      <c r="M279" s="32">
        <f t="shared" si="3"/>
        <v>0</v>
      </c>
      <c r="N279" s="32" t="s">
        <v>376</v>
      </c>
      <c r="O279" s="32">
        <v>100.0</v>
      </c>
      <c r="P279" s="50" t="str">
        <f t="shared" si="6"/>
        <v>PASSED</v>
      </c>
      <c r="Q279" s="50" t="str">
        <f t="shared" si="5"/>
        <v>10</v>
      </c>
    </row>
    <row r="280" ht="22.5" customHeight="1">
      <c r="A280" s="26">
        <v>45793.0</v>
      </c>
      <c r="B280" s="32" t="s">
        <v>423</v>
      </c>
      <c r="C280" s="191" t="str">
        <f t="array" ref="C280">_xlfn.XLOOKUP(B280, DB[samplingPoint], DB[samplingTag])</f>
        <v>SV116.12</v>
      </c>
      <c r="D280" s="33" t="s">
        <v>59</v>
      </c>
      <c r="E280" s="39" t="str">
        <f t="array" ref="E280">_xlfn.XLOOKUP($B280, DB[samplingPoint], DB[noLocation])</f>
        <v>10-3-144</v>
      </c>
      <c r="F280" s="40" t="str">
        <f t="array" ref="F280">_xlfn.XLOOKUP($B280, DB[samplingPoint], DB[building])</f>
        <v>Building 10</v>
      </c>
      <c r="G280" s="40" t="str">
        <f t="array" ref="G280">_xlfn.XLOOKUP($B280, DB[samplingPoint], DB[location])</f>
        <v>COATING-P</v>
      </c>
      <c r="H280" s="40" t="str">
        <f t="array" ref="H280">_xlfn.XLOOKUP($B280, DB[samplingPoint], DB[waterType])</f>
        <v>PW</v>
      </c>
      <c r="I280" s="60">
        <f t="shared" si="1"/>
        <v>45794</v>
      </c>
      <c r="J280" s="192">
        <f t="shared" si="2"/>
        <v>45797</v>
      </c>
      <c r="K280" s="32">
        <v>0.0</v>
      </c>
      <c r="L280" s="32">
        <v>0.0</v>
      </c>
      <c r="M280" s="32">
        <f t="shared" si="3"/>
        <v>0</v>
      </c>
      <c r="N280" s="32" t="s">
        <v>376</v>
      </c>
      <c r="O280" s="32">
        <v>100.0</v>
      </c>
      <c r="P280" s="50" t="str">
        <f t="shared" si="6"/>
        <v>PASSED</v>
      </c>
      <c r="Q280" s="50" t="str">
        <f t="shared" si="5"/>
        <v>10</v>
      </c>
    </row>
    <row r="281" ht="22.5" customHeight="1">
      <c r="A281" s="26">
        <v>45793.0</v>
      </c>
      <c r="B281" s="32" t="s">
        <v>414</v>
      </c>
      <c r="C281" s="191" t="str">
        <f t="array" ref="C281">_xlfn.XLOOKUP(B281, DB[samplingPoint], DB[samplingTag])</f>
        <v>SV116.13</v>
      </c>
      <c r="D281" s="33" t="s">
        <v>59</v>
      </c>
      <c r="E281" s="39" t="str">
        <f t="array" ref="E281">_xlfn.XLOOKUP($B281, DB[samplingPoint], DB[noLocation])</f>
        <v>10-3-152</v>
      </c>
      <c r="F281" s="40" t="str">
        <f t="array" ref="F281">_xlfn.XLOOKUP($B281, DB[samplingPoint], DB[building])</f>
        <v>Building 10</v>
      </c>
      <c r="G281" s="40" t="str">
        <f t="array" ref="G281">_xlfn.XLOOKUP($B281, DB[samplingPoint], DB[location])</f>
        <v>WASHING-P</v>
      </c>
      <c r="H281" s="40" t="str">
        <f t="array" ref="H281">_xlfn.XLOOKUP($B281, DB[samplingPoint], DB[waterType])</f>
        <v>PW</v>
      </c>
      <c r="I281" s="60">
        <f t="shared" si="1"/>
        <v>45794</v>
      </c>
      <c r="J281" s="192">
        <f t="shared" si="2"/>
        <v>45797</v>
      </c>
      <c r="K281" s="32">
        <v>0.0</v>
      </c>
      <c r="L281" s="32">
        <v>0.0</v>
      </c>
      <c r="M281" s="32">
        <f t="shared" si="3"/>
        <v>0</v>
      </c>
      <c r="N281" s="32" t="s">
        <v>376</v>
      </c>
      <c r="O281" s="32">
        <v>100.0</v>
      </c>
      <c r="P281" s="50" t="str">
        <f t="shared" si="6"/>
        <v>PASSED</v>
      </c>
      <c r="Q281" s="50" t="str">
        <f t="shared" si="5"/>
        <v>10</v>
      </c>
    </row>
    <row r="282" ht="22.5" customHeight="1">
      <c r="A282" s="26">
        <v>45793.0</v>
      </c>
      <c r="B282" s="32" t="s">
        <v>499</v>
      </c>
      <c r="C282" s="191" t="str">
        <f t="array" ref="C282">_xlfn.XLOOKUP(B282, DB[samplingPoint], DB[samplingTag])</f>
        <v>SV116.01</v>
      </c>
      <c r="D282" s="33" t="s">
        <v>59</v>
      </c>
      <c r="E282" s="39" t="str">
        <f t="array" ref="E282">_xlfn.XLOOKUP($B282, DB[samplingPoint], DB[noLocation])</f>
        <v>10-2-021</v>
      </c>
      <c r="F282" s="40" t="str">
        <f t="array" ref="F282">_xlfn.XLOOKUP($B282, DB[samplingPoint], DB[building])</f>
        <v>Building 10</v>
      </c>
      <c r="G282" s="40" t="str">
        <f t="array" ref="G282">_xlfn.XLOOKUP($B282, DB[samplingPoint], DB[location])</f>
        <v>INSTRUMENT-1</v>
      </c>
      <c r="H282" s="40" t="str">
        <f t="array" ref="H282">_xlfn.XLOOKUP($B282, DB[samplingPoint], DB[waterType])</f>
        <v>PW</v>
      </c>
      <c r="I282" s="60">
        <f t="shared" si="1"/>
        <v>45794</v>
      </c>
      <c r="J282" s="192">
        <f t="shared" si="2"/>
        <v>45797</v>
      </c>
      <c r="K282" s="32">
        <v>0.0</v>
      </c>
      <c r="L282" s="32">
        <v>0.0</v>
      </c>
      <c r="M282" s="32">
        <f t="shared" si="3"/>
        <v>0</v>
      </c>
      <c r="N282" s="32" t="s">
        <v>376</v>
      </c>
      <c r="O282" s="32">
        <v>100.0</v>
      </c>
      <c r="P282" s="50" t="str">
        <f t="shared" si="6"/>
        <v>PASSED</v>
      </c>
      <c r="Q282" s="50" t="str">
        <f t="shared" si="5"/>
        <v>10</v>
      </c>
    </row>
    <row r="283" ht="22.5" customHeight="1">
      <c r="A283" s="26">
        <v>45793.0</v>
      </c>
      <c r="B283" s="32" t="s">
        <v>425</v>
      </c>
      <c r="C283" s="191" t="str">
        <f t="array" ref="C283">_xlfn.XLOOKUP(B283, DB[samplingPoint], DB[samplingTag])</f>
        <v>DV116.02</v>
      </c>
      <c r="D283" s="33" t="s">
        <v>59</v>
      </c>
      <c r="E283" s="39" t="str">
        <f t="array" ref="E283">_xlfn.XLOOKUP($B283, DB[samplingPoint], DB[noLocation])</f>
        <v>10-1-115</v>
      </c>
      <c r="F283" s="40" t="str">
        <f t="array" ref="F283">_xlfn.XLOOKUP($B283, DB[samplingPoint], DB[building])</f>
        <v>Building 10</v>
      </c>
      <c r="G283" s="40" t="str">
        <f t="array" ref="G283">_xlfn.XLOOKUP($B283, DB[samplingPoint], DB[location])</f>
        <v>WASHING</v>
      </c>
      <c r="H283" s="40" t="str">
        <f t="array" ref="H283">_xlfn.XLOOKUP($B283, DB[samplingPoint], DB[waterType])</f>
        <v>PW</v>
      </c>
      <c r="I283" s="60">
        <f t="shared" si="1"/>
        <v>45794</v>
      </c>
      <c r="J283" s="192">
        <f t="shared" si="2"/>
        <v>45797</v>
      </c>
      <c r="K283" s="32">
        <v>0.0</v>
      </c>
      <c r="L283" s="32">
        <v>0.0</v>
      </c>
      <c r="M283" s="32">
        <f t="shared" si="3"/>
        <v>0</v>
      </c>
      <c r="N283" s="32" t="s">
        <v>376</v>
      </c>
      <c r="O283" s="32">
        <v>100.0</v>
      </c>
      <c r="P283" s="50" t="str">
        <f t="shared" si="6"/>
        <v>PASSED</v>
      </c>
      <c r="Q283" s="50" t="str">
        <f t="shared" si="5"/>
        <v>10</v>
      </c>
    </row>
    <row r="284" ht="22.5" customHeight="1">
      <c r="A284" s="26">
        <v>45793.0</v>
      </c>
      <c r="B284" s="32" t="s">
        <v>406</v>
      </c>
      <c r="C284" s="191" t="str">
        <f t="array" ref="C284">_xlfn.XLOOKUP(B284, DB[samplingPoint], DB[samplingTag])</f>
        <v>DV116.21</v>
      </c>
      <c r="D284" s="33" t="s">
        <v>59</v>
      </c>
      <c r="E284" s="39" t="str">
        <f t="array" ref="E284">_xlfn.XLOOKUP($B284, DB[samplingPoint], DB[noLocation])</f>
        <v>10-3-152</v>
      </c>
      <c r="F284" s="40" t="str">
        <f t="array" ref="F284">_xlfn.XLOOKUP($B284, DB[samplingPoint], DB[building])</f>
        <v>Building 10</v>
      </c>
      <c r="G284" s="40" t="str">
        <f t="array" ref="G284">_xlfn.XLOOKUP($B284, DB[samplingPoint], DB[location])</f>
        <v>WASHING-P</v>
      </c>
      <c r="H284" s="40" t="str">
        <f t="array" ref="H284">_xlfn.XLOOKUP($B284, DB[samplingPoint], DB[waterType])</f>
        <v>PW</v>
      </c>
      <c r="I284" s="60">
        <f t="shared" si="1"/>
        <v>45794</v>
      </c>
      <c r="J284" s="192">
        <f t="shared" si="2"/>
        <v>45797</v>
      </c>
      <c r="K284" s="32">
        <v>0.0</v>
      </c>
      <c r="L284" s="32">
        <v>0.0</v>
      </c>
      <c r="M284" s="32">
        <f t="shared" si="3"/>
        <v>0</v>
      </c>
      <c r="N284" s="32" t="s">
        <v>376</v>
      </c>
      <c r="O284" s="32">
        <v>100.0</v>
      </c>
      <c r="P284" s="50" t="str">
        <f t="shared" si="6"/>
        <v>PASSED</v>
      </c>
      <c r="Q284" s="50" t="str">
        <f t="shared" si="5"/>
        <v>10</v>
      </c>
    </row>
    <row r="285" ht="22.5" customHeight="1">
      <c r="A285" s="26">
        <v>45793.0</v>
      </c>
      <c r="B285" s="32" t="s">
        <v>410</v>
      </c>
      <c r="C285" s="191" t="str">
        <f t="array" ref="C285">_xlfn.XLOOKUP(B285, DB[samplingPoint], DB[samplingTag])</f>
        <v>DV116.22</v>
      </c>
      <c r="D285" s="33" t="s">
        <v>59</v>
      </c>
      <c r="E285" s="39" t="str">
        <f t="array" ref="E285">_xlfn.XLOOKUP($B285, DB[samplingPoint], DB[noLocation])</f>
        <v>10-3-152</v>
      </c>
      <c r="F285" s="40" t="str">
        <f t="array" ref="F285">_xlfn.XLOOKUP($B285, DB[samplingPoint], DB[building])</f>
        <v>Building 10</v>
      </c>
      <c r="G285" s="40" t="str">
        <f t="array" ref="G285">_xlfn.XLOOKUP($B285, DB[samplingPoint], DB[location])</f>
        <v>WASHING-P</v>
      </c>
      <c r="H285" s="40" t="str">
        <f t="array" ref="H285">_xlfn.XLOOKUP($B285, DB[samplingPoint], DB[waterType])</f>
        <v>PW</v>
      </c>
      <c r="I285" s="60">
        <f t="shared" si="1"/>
        <v>45794</v>
      </c>
      <c r="J285" s="192">
        <f t="shared" si="2"/>
        <v>45797</v>
      </c>
      <c r="K285" s="32">
        <v>0.0</v>
      </c>
      <c r="L285" s="32">
        <v>0.0</v>
      </c>
      <c r="M285" s="32">
        <f t="shared" si="3"/>
        <v>0</v>
      </c>
      <c r="N285" s="32" t="s">
        <v>376</v>
      </c>
      <c r="O285" s="32">
        <v>100.0</v>
      </c>
      <c r="P285" s="50" t="str">
        <f t="shared" si="6"/>
        <v>PASSED</v>
      </c>
      <c r="Q285" s="50" t="str">
        <f t="shared" si="5"/>
        <v>10</v>
      </c>
    </row>
    <row r="286" ht="22.5" customHeight="1">
      <c r="A286" s="26">
        <v>45793.0</v>
      </c>
      <c r="B286" s="32" t="s">
        <v>401</v>
      </c>
      <c r="C286" s="191" t="str">
        <f t="array" ref="C286">_xlfn.XLOOKUP(B286, DB[samplingPoint], DB[samplingTag])</f>
        <v>DV116.23</v>
      </c>
      <c r="D286" s="33" t="s">
        <v>59</v>
      </c>
      <c r="E286" s="39" t="str">
        <f t="array" ref="E286">_xlfn.XLOOKUP($B286, DB[samplingPoint], DB[noLocation])</f>
        <v>10-3-159</v>
      </c>
      <c r="F286" s="40" t="str">
        <f t="array" ref="F286">_xlfn.XLOOKUP($B286, DB[samplingPoint], DB[building])</f>
        <v>Building 10</v>
      </c>
      <c r="G286" s="40" t="str">
        <f t="array" ref="G286">_xlfn.XLOOKUP($B286, DB[samplingPoint], DB[location])</f>
        <v>BINDER PREPARATION-P</v>
      </c>
      <c r="H286" s="40" t="str">
        <f t="array" ref="H286">_xlfn.XLOOKUP($B286, DB[samplingPoint], DB[waterType])</f>
        <v>PW</v>
      </c>
      <c r="I286" s="60">
        <f t="shared" si="1"/>
        <v>45794</v>
      </c>
      <c r="J286" s="192">
        <f t="shared" si="2"/>
        <v>45797</v>
      </c>
      <c r="K286" s="32">
        <v>0.0</v>
      </c>
      <c r="L286" s="32">
        <v>0.0</v>
      </c>
      <c r="M286" s="32">
        <f t="shared" si="3"/>
        <v>0</v>
      </c>
      <c r="N286" s="32" t="s">
        <v>376</v>
      </c>
      <c r="O286" s="32">
        <v>100.0</v>
      </c>
      <c r="P286" s="50" t="str">
        <f t="shared" si="6"/>
        <v>PASSED</v>
      </c>
      <c r="Q286" s="50" t="str">
        <f t="shared" si="5"/>
        <v>10</v>
      </c>
    </row>
    <row r="287" ht="22.5" customHeight="1">
      <c r="A287" s="26">
        <v>45793.0</v>
      </c>
      <c r="B287" s="32" t="s">
        <v>398</v>
      </c>
      <c r="C287" s="191" t="str">
        <f t="array" ref="C287">_xlfn.XLOOKUP(B287, DB[samplingPoint], DB[samplingTag])</f>
        <v>DV116.24</v>
      </c>
      <c r="D287" s="33" t="s">
        <v>59</v>
      </c>
      <c r="E287" s="39" t="str">
        <f t="array" ref="E287">_xlfn.XLOOKUP($B287, DB[samplingPoint], DB[noLocation])</f>
        <v>10-3-163</v>
      </c>
      <c r="F287" s="40" t="str">
        <f t="array" ref="F287">_xlfn.XLOOKUP($B287, DB[samplingPoint], DB[building])</f>
        <v>Building 10</v>
      </c>
      <c r="G287" s="40" t="str">
        <f t="array" ref="G287">_xlfn.XLOOKUP($B287, DB[samplingPoint], DB[location])</f>
        <v>WET GRANULATION 1-P</v>
      </c>
      <c r="H287" s="40" t="str">
        <f t="array" ref="H287">_xlfn.XLOOKUP($B287, DB[samplingPoint], DB[waterType])</f>
        <v>PW</v>
      </c>
      <c r="I287" s="60">
        <f t="shared" si="1"/>
        <v>45794</v>
      </c>
      <c r="J287" s="192">
        <f t="shared" si="2"/>
        <v>45797</v>
      </c>
      <c r="K287" s="32">
        <v>0.0</v>
      </c>
      <c r="L287" s="32">
        <v>0.0</v>
      </c>
      <c r="M287" s="32">
        <f t="shared" si="3"/>
        <v>0</v>
      </c>
      <c r="N287" s="32" t="s">
        <v>376</v>
      </c>
      <c r="O287" s="32">
        <v>100.0</v>
      </c>
      <c r="P287" s="50" t="str">
        <f t="shared" si="6"/>
        <v>PASSED</v>
      </c>
      <c r="Q287" s="50" t="str">
        <f t="shared" si="5"/>
        <v>10</v>
      </c>
    </row>
    <row r="288" ht="22.5" customHeight="1">
      <c r="A288" s="26">
        <v>45793.0</v>
      </c>
      <c r="B288" s="32" t="s">
        <v>428</v>
      </c>
      <c r="C288" s="191" t="str">
        <f t="array" ref="C288">_xlfn.XLOOKUP(B288, DB[samplingPoint], DB[samplingTag])</f>
        <v>DV116.01</v>
      </c>
      <c r="D288" s="33" t="s">
        <v>59</v>
      </c>
      <c r="E288" s="39" t="str">
        <f t="array" ref="E288">_xlfn.XLOOKUP($B288, DB[samplingPoint], DB[noLocation])</f>
        <v>10-1-057</v>
      </c>
      <c r="F288" s="40" t="str">
        <f t="array" ref="F288">_xlfn.XLOOKUP($B288, DB[samplingPoint], DB[building])</f>
        <v>Building 10</v>
      </c>
      <c r="G288" s="40" t="str">
        <f t="array" ref="G288">_xlfn.XLOOKUP($B288, DB[samplingPoint], DB[location])</f>
        <v>WASHING-P</v>
      </c>
      <c r="H288" s="40" t="str">
        <f t="array" ref="H288">_xlfn.XLOOKUP($B288, DB[samplingPoint], DB[waterType])</f>
        <v>PW</v>
      </c>
      <c r="I288" s="60">
        <f t="shared" si="1"/>
        <v>45794</v>
      </c>
      <c r="J288" s="192">
        <f t="shared" si="2"/>
        <v>45797</v>
      </c>
      <c r="K288" s="32">
        <v>0.0</v>
      </c>
      <c r="L288" s="32">
        <v>0.0</v>
      </c>
      <c r="M288" s="32">
        <f t="shared" si="3"/>
        <v>0</v>
      </c>
      <c r="N288" s="32" t="s">
        <v>376</v>
      </c>
      <c r="O288" s="32">
        <v>100.0</v>
      </c>
      <c r="P288" s="50" t="str">
        <f t="shared" si="6"/>
        <v>PASSED</v>
      </c>
      <c r="Q288" s="50" t="str">
        <f t="shared" si="5"/>
        <v>10</v>
      </c>
    </row>
    <row r="289" ht="22.5" customHeight="1">
      <c r="A289" s="26">
        <v>45793.0</v>
      </c>
      <c r="B289" s="32" t="s">
        <v>374</v>
      </c>
      <c r="C289" s="191" t="str">
        <f t="array" ref="C289">_xlfn.XLOOKUP(B289, DB[samplingPoint], DB[samplingTag])</f>
        <v>V50-39(10)</v>
      </c>
      <c r="D289" s="33" t="s">
        <v>59</v>
      </c>
      <c r="E289" s="39" t="str">
        <f t="array" ref="E289">_xlfn.XLOOKUP($B289, DB[samplingPoint], DB[noLocation])</f>
        <v>WATER SYSTEM (B10)</v>
      </c>
      <c r="F289" s="40" t="str">
        <f t="array" ref="F289">_xlfn.XLOOKUP($B289, DB[samplingPoint], DB[building])</f>
        <v>Building 10</v>
      </c>
      <c r="G289" s="40" t="str">
        <f t="array" ref="G289">_xlfn.XLOOKUP($B289, DB[samplingPoint], DB[location])</f>
        <v>After EDI (B10)</v>
      </c>
      <c r="H289" s="40" t="str">
        <f t="array" ref="H289">_xlfn.XLOOKUP($B289, DB[samplingPoint], DB[waterType])</f>
        <v>PW</v>
      </c>
      <c r="I289" s="60">
        <f t="shared" si="1"/>
        <v>45794</v>
      </c>
      <c r="J289" s="192">
        <f t="shared" si="2"/>
        <v>45797</v>
      </c>
      <c r="K289" s="32">
        <v>0.0</v>
      </c>
      <c r="L289" s="32">
        <v>0.0</v>
      </c>
      <c r="M289" s="32">
        <f t="shared" si="3"/>
        <v>0</v>
      </c>
      <c r="N289" s="32" t="s">
        <v>376</v>
      </c>
      <c r="O289" s="32">
        <v>100.0</v>
      </c>
      <c r="P289" s="50" t="str">
        <f t="shared" si="6"/>
        <v>PASSED</v>
      </c>
      <c r="Q289" s="50" t="str">
        <f t="shared" si="5"/>
        <v>WA</v>
      </c>
    </row>
    <row r="290" ht="22.5" customHeight="1">
      <c r="A290" s="26">
        <v>45793.0</v>
      </c>
      <c r="B290" s="32" t="s">
        <v>380</v>
      </c>
      <c r="C290" s="191" t="str">
        <f t="array" ref="C290">_xlfn.XLOOKUP(B290, DB[samplingPoint], DB[samplingTag])</f>
        <v>SV113.01</v>
      </c>
      <c r="D290" s="33" t="s">
        <v>59</v>
      </c>
      <c r="E290" s="39" t="str">
        <f t="array" ref="E290">_xlfn.XLOOKUP($B290, DB[samplingPoint], DB[noLocation])</f>
        <v>WATER SYSTEM (B10)</v>
      </c>
      <c r="F290" s="40" t="str">
        <f t="array" ref="F290">_xlfn.XLOOKUP($B290, DB[samplingPoint], DB[building])</f>
        <v>Building 10</v>
      </c>
      <c r="G290" s="40" t="str">
        <f t="array" ref="G290">_xlfn.XLOOKUP($B290, DB[samplingPoint], DB[location])</f>
        <v>After Storage tank (B10)</v>
      </c>
      <c r="H290" s="40" t="str">
        <f t="array" ref="H290">_xlfn.XLOOKUP($B290, DB[samplingPoint], DB[waterType])</f>
        <v>PW</v>
      </c>
      <c r="I290" s="60">
        <f t="shared" si="1"/>
        <v>45794</v>
      </c>
      <c r="J290" s="192">
        <f t="shared" si="2"/>
        <v>45797</v>
      </c>
      <c r="K290" s="32">
        <v>0.0</v>
      </c>
      <c r="L290" s="32">
        <v>0.0</v>
      </c>
      <c r="M290" s="32">
        <f t="shared" si="3"/>
        <v>0</v>
      </c>
      <c r="N290" s="32" t="s">
        <v>376</v>
      </c>
      <c r="O290" s="32">
        <v>100.0</v>
      </c>
      <c r="P290" s="50" t="str">
        <f t="shared" si="6"/>
        <v>PASSED</v>
      </c>
      <c r="Q290" s="50" t="str">
        <f t="shared" si="5"/>
        <v>WA</v>
      </c>
    </row>
    <row r="291" ht="22.5" customHeight="1">
      <c r="A291" s="26">
        <v>45793.0</v>
      </c>
      <c r="B291" s="32" t="s">
        <v>385</v>
      </c>
      <c r="C291" s="191" t="str">
        <f t="array" ref="C291">_xlfn.XLOOKUP(B291, DB[samplingPoint], DB[samplingTag])</f>
        <v>SV115.02</v>
      </c>
      <c r="D291" s="33" t="s">
        <v>59</v>
      </c>
      <c r="E291" s="39" t="str">
        <f t="array" ref="E291">_xlfn.XLOOKUP($B291, DB[samplingPoint], DB[noLocation])</f>
        <v>WATER SYSTEM (B10)</v>
      </c>
      <c r="F291" s="40" t="str">
        <f t="array" ref="F291">_xlfn.XLOOKUP($B291, DB[samplingPoint], DB[building])</f>
        <v>Building 10</v>
      </c>
      <c r="G291" s="40" t="str">
        <f t="array" ref="G291">_xlfn.XLOOKUP($B291, DB[samplingPoint], DB[location])</f>
        <v>After UV (B10)</v>
      </c>
      <c r="H291" s="40" t="str">
        <f t="array" ref="H291">_xlfn.XLOOKUP($B291, DB[samplingPoint], DB[waterType])</f>
        <v>PW</v>
      </c>
      <c r="I291" s="60">
        <f t="shared" si="1"/>
        <v>45794</v>
      </c>
      <c r="J291" s="192">
        <f t="shared" si="2"/>
        <v>45797</v>
      </c>
      <c r="K291" s="32">
        <v>0.0</v>
      </c>
      <c r="L291" s="32">
        <v>0.0</v>
      </c>
      <c r="M291" s="32">
        <f t="shared" si="3"/>
        <v>0</v>
      </c>
      <c r="N291" s="32" t="s">
        <v>376</v>
      </c>
      <c r="O291" s="32">
        <v>100.0</v>
      </c>
      <c r="P291" s="50" t="str">
        <f t="shared" si="6"/>
        <v>PASSED</v>
      </c>
      <c r="Q291" s="50" t="str">
        <f t="shared" si="5"/>
        <v>WA</v>
      </c>
    </row>
    <row r="292" ht="22.5" customHeight="1">
      <c r="A292" s="26">
        <v>45793.0</v>
      </c>
      <c r="B292" s="32" t="s">
        <v>390</v>
      </c>
      <c r="C292" s="191" t="str">
        <f t="array" ref="C292">_xlfn.XLOOKUP(B292, DB[samplingPoint], DB[samplingTag])</f>
        <v>SV117.01</v>
      </c>
      <c r="D292" s="33" t="s">
        <v>59</v>
      </c>
      <c r="E292" s="39" t="str">
        <f t="array" ref="E292">_xlfn.XLOOKUP($B292, DB[samplingPoint], DB[noLocation])</f>
        <v>WATER SYSTEM (B10)</v>
      </c>
      <c r="F292" s="40" t="str">
        <f t="array" ref="F292">_xlfn.XLOOKUP($B292, DB[samplingPoint], DB[building])</f>
        <v>Building 10</v>
      </c>
      <c r="G292" s="40" t="str">
        <f t="array" ref="G292">_xlfn.XLOOKUP($B292, DB[samplingPoint], DB[location])</f>
        <v>Return loop (B10)</v>
      </c>
      <c r="H292" s="40" t="str">
        <f t="array" ref="H292">_xlfn.XLOOKUP($B292, DB[samplingPoint], DB[waterType])</f>
        <v>PW</v>
      </c>
      <c r="I292" s="60">
        <f t="shared" si="1"/>
        <v>45794</v>
      </c>
      <c r="J292" s="192">
        <f t="shared" si="2"/>
        <v>45797</v>
      </c>
      <c r="K292" s="32">
        <v>0.0</v>
      </c>
      <c r="L292" s="32">
        <v>0.0</v>
      </c>
      <c r="M292" s="32">
        <f t="shared" si="3"/>
        <v>0</v>
      </c>
      <c r="N292" s="32" t="s">
        <v>376</v>
      </c>
      <c r="O292" s="32">
        <v>100.0</v>
      </c>
      <c r="P292" s="50" t="str">
        <f t="shared" si="6"/>
        <v>PASSED</v>
      </c>
      <c r="Q292" s="50" t="str">
        <f t="shared" si="5"/>
        <v>WA</v>
      </c>
    </row>
    <row r="293" ht="22.5" customHeight="1">
      <c r="A293" s="26">
        <v>45796.0</v>
      </c>
      <c r="B293" s="32" t="s">
        <v>535</v>
      </c>
      <c r="C293" s="191" t="str">
        <f t="array" ref="C293">_xlfn.XLOOKUP(B293, DB[samplingPoint], DB[samplingTag])</f>
        <v>SV116.04</v>
      </c>
      <c r="D293" s="33" t="s">
        <v>59</v>
      </c>
      <c r="E293" s="39" t="str">
        <f t="array" ref="E293">_xlfn.XLOOKUP($B293, DB[samplingPoint], DB[noLocation])</f>
        <v>10-3-061</v>
      </c>
      <c r="F293" s="40" t="str">
        <f t="array" ref="F293">_xlfn.XLOOKUP($B293, DB[samplingPoint], DB[building])</f>
        <v>Building 10</v>
      </c>
      <c r="G293" s="40" t="str">
        <f t="array" ref="G293">_xlfn.XLOOKUP($B293, DB[samplingPoint], DB[location])</f>
        <v>COATING ROOM-2</v>
      </c>
      <c r="H293" s="40" t="str">
        <f t="array" ref="H293">_xlfn.XLOOKUP($B293, DB[samplingPoint], DB[waterType])</f>
        <v>PW</v>
      </c>
      <c r="I293" s="60">
        <f t="shared" si="1"/>
        <v>45797</v>
      </c>
      <c r="J293" s="192">
        <f t="shared" si="2"/>
        <v>45800</v>
      </c>
      <c r="K293" s="32">
        <v>0.0</v>
      </c>
      <c r="L293" s="32">
        <v>0.0</v>
      </c>
      <c r="M293" s="32">
        <f t="shared" si="3"/>
        <v>0</v>
      </c>
      <c r="N293" s="32" t="s">
        <v>376</v>
      </c>
      <c r="O293" s="32">
        <v>100.0</v>
      </c>
      <c r="P293" s="50" t="str">
        <f t="shared" si="6"/>
        <v>PASSED</v>
      </c>
      <c r="Q293" s="50" t="str">
        <f t="shared" si="5"/>
        <v>10</v>
      </c>
    </row>
    <row r="294" ht="22.5" customHeight="1">
      <c r="A294" s="26">
        <v>45796.0</v>
      </c>
      <c r="B294" s="32" t="s">
        <v>520</v>
      </c>
      <c r="C294" s="191" t="str">
        <f t="array" ref="C294">_xlfn.XLOOKUP(B294, DB[samplingPoint], DB[samplingTag])</f>
        <v>DV116.03</v>
      </c>
      <c r="D294" s="33" t="s">
        <v>59</v>
      </c>
      <c r="E294" s="39" t="str">
        <f t="array" ref="E294">_xlfn.XLOOKUP($B294, DB[samplingPoint], DB[noLocation])</f>
        <v>10-2-034</v>
      </c>
      <c r="F294" s="40" t="str">
        <f t="array" ref="F294">_xlfn.XLOOKUP($B294, DB[samplingPoint], DB[building])</f>
        <v>Building 10</v>
      </c>
      <c r="G294" s="40" t="str">
        <f t="array" ref="G294">_xlfn.XLOOKUP($B294, DB[samplingPoint], DB[location])</f>
        <v>SAMPLE PREPARATION</v>
      </c>
      <c r="H294" s="40" t="str">
        <f t="array" ref="H294">_xlfn.XLOOKUP($B294, DB[samplingPoint], DB[waterType])</f>
        <v>PW</v>
      </c>
      <c r="I294" s="60">
        <f t="shared" si="1"/>
        <v>45797</v>
      </c>
      <c r="J294" s="192">
        <f t="shared" si="2"/>
        <v>45800</v>
      </c>
      <c r="K294" s="32">
        <v>0.0</v>
      </c>
      <c r="L294" s="32">
        <v>0.0</v>
      </c>
      <c r="M294" s="32">
        <f t="shared" si="3"/>
        <v>0</v>
      </c>
      <c r="N294" s="32" t="s">
        <v>376</v>
      </c>
      <c r="O294" s="32">
        <v>100.0</v>
      </c>
      <c r="P294" s="50" t="str">
        <f t="shared" si="6"/>
        <v>PASSED</v>
      </c>
      <c r="Q294" s="50" t="str">
        <f t="shared" si="5"/>
        <v>10</v>
      </c>
    </row>
    <row r="295" ht="22.5" customHeight="1">
      <c r="A295" s="26">
        <v>45796.0</v>
      </c>
      <c r="B295" s="32" t="s">
        <v>490</v>
      </c>
      <c r="C295" s="191" t="str">
        <f t="array" ref="C295">_xlfn.XLOOKUP(B295, DB[samplingPoint], DB[samplingTag])</f>
        <v>SV116.09</v>
      </c>
      <c r="D295" s="33" t="s">
        <v>59</v>
      </c>
      <c r="E295" s="39" t="str">
        <f t="array" ref="E295">_xlfn.XLOOKUP($B295, DB[samplingPoint], DB[noLocation])</f>
        <v>10-3-078</v>
      </c>
      <c r="F295" s="40" t="str">
        <f t="array" ref="F295">_xlfn.XLOOKUP($B295, DB[samplingPoint], DB[building])</f>
        <v>Building 10</v>
      </c>
      <c r="G295" s="40" t="str">
        <f t="array" ref="G295">_xlfn.XLOOKUP($B295, DB[samplingPoint], DB[location])</f>
        <v>WASHING</v>
      </c>
      <c r="H295" s="40" t="str">
        <f t="array" ref="H295">_xlfn.XLOOKUP($B295, DB[samplingPoint], DB[waterType])</f>
        <v>PW</v>
      </c>
      <c r="I295" s="60">
        <f t="shared" si="1"/>
        <v>45797</v>
      </c>
      <c r="J295" s="192">
        <f t="shared" si="2"/>
        <v>45800</v>
      </c>
      <c r="K295" s="32">
        <v>0.0</v>
      </c>
      <c r="L295" s="32">
        <v>0.0</v>
      </c>
      <c r="M295" s="32">
        <f t="shared" si="3"/>
        <v>0</v>
      </c>
      <c r="N295" s="32" t="s">
        <v>376</v>
      </c>
      <c r="O295" s="32">
        <v>100.0</v>
      </c>
      <c r="P295" s="50" t="str">
        <f t="shared" si="6"/>
        <v>PASSED</v>
      </c>
      <c r="Q295" s="50" t="str">
        <f t="shared" si="5"/>
        <v>10</v>
      </c>
    </row>
    <row r="296" ht="22.5" customHeight="1">
      <c r="A296" s="26">
        <v>45796.0</v>
      </c>
      <c r="B296" s="32" t="s">
        <v>526</v>
      </c>
      <c r="C296" s="191" t="str">
        <f t="array" ref="C296">_xlfn.XLOOKUP(B296, DB[samplingPoint], DB[samplingTag])</f>
        <v>DV116.06</v>
      </c>
      <c r="D296" s="33" t="s">
        <v>59</v>
      </c>
      <c r="E296" s="39" t="str">
        <f t="array" ref="E296">_xlfn.XLOOKUP($B296, DB[samplingPoint], DB[noLocation])</f>
        <v>10-2-034</v>
      </c>
      <c r="F296" s="40" t="str">
        <f t="array" ref="F296">_xlfn.XLOOKUP($B296, DB[samplingPoint], DB[building])</f>
        <v>Building 10</v>
      </c>
      <c r="G296" s="40" t="str">
        <f t="array" ref="G296">_xlfn.XLOOKUP($B296, DB[samplingPoint], DB[location])</f>
        <v>SAMPLE PREPARATION</v>
      </c>
      <c r="H296" s="40" t="str">
        <f t="array" ref="H296">_xlfn.XLOOKUP($B296, DB[samplingPoint], DB[waterType])</f>
        <v>PW</v>
      </c>
      <c r="I296" s="60">
        <f t="shared" si="1"/>
        <v>45797</v>
      </c>
      <c r="J296" s="192">
        <f t="shared" si="2"/>
        <v>45800</v>
      </c>
      <c r="K296" s="32">
        <v>0.0</v>
      </c>
      <c r="L296" s="32">
        <v>0.0</v>
      </c>
      <c r="M296" s="32">
        <f t="shared" si="3"/>
        <v>0</v>
      </c>
      <c r="N296" s="32" t="s">
        <v>376</v>
      </c>
      <c r="O296" s="32">
        <v>100.0</v>
      </c>
      <c r="P296" s="50" t="str">
        <f t="shared" si="6"/>
        <v>PASSED</v>
      </c>
      <c r="Q296" s="50" t="str">
        <f t="shared" si="5"/>
        <v>10</v>
      </c>
    </row>
    <row r="297" ht="22.5" customHeight="1">
      <c r="A297" s="26">
        <v>45796.0</v>
      </c>
      <c r="B297" s="32" t="s">
        <v>527</v>
      </c>
      <c r="C297" s="191" t="str">
        <f t="array" ref="C297">_xlfn.XLOOKUP(B297, DB[samplingPoint], DB[samplingTag])</f>
        <v>DV116.07</v>
      </c>
      <c r="D297" s="33" t="s">
        <v>59</v>
      </c>
      <c r="E297" s="39" t="str">
        <f t="array" ref="E297">_xlfn.XLOOKUP($B297, DB[samplingPoint], DB[noLocation])</f>
        <v>10-2-032</v>
      </c>
      <c r="F297" s="40" t="str">
        <f t="array" ref="F297">_xlfn.XLOOKUP($B297, DB[samplingPoint], DB[building])</f>
        <v>Building 10</v>
      </c>
      <c r="G297" s="40" t="str">
        <f t="array" ref="G297">_xlfn.XLOOKUP($B297, DB[samplingPoint], DB[location])</f>
        <v>GLASS-WARE WASHING</v>
      </c>
      <c r="H297" s="40" t="str">
        <f t="array" ref="H297">_xlfn.XLOOKUP($B297, DB[samplingPoint], DB[waterType])</f>
        <v>PW</v>
      </c>
      <c r="I297" s="60">
        <f t="shared" si="1"/>
        <v>45797</v>
      </c>
      <c r="J297" s="192">
        <f t="shared" si="2"/>
        <v>45800</v>
      </c>
      <c r="K297" s="32">
        <v>0.0</v>
      </c>
      <c r="L297" s="32">
        <v>0.0</v>
      </c>
      <c r="M297" s="32">
        <f t="shared" si="3"/>
        <v>0</v>
      </c>
      <c r="N297" s="32" t="s">
        <v>376</v>
      </c>
      <c r="O297" s="32">
        <v>100.0</v>
      </c>
      <c r="P297" s="50" t="str">
        <f t="shared" si="6"/>
        <v>PASSED</v>
      </c>
      <c r="Q297" s="50" t="str">
        <f t="shared" si="5"/>
        <v>10</v>
      </c>
    </row>
    <row r="298" ht="22.5" customHeight="1">
      <c r="A298" s="26">
        <v>45796.0</v>
      </c>
      <c r="B298" s="32" t="s">
        <v>522</v>
      </c>
      <c r="C298" s="191" t="str">
        <f t="array" ref="C298">_xlfn.XLOOKUP(B298, DB[samplingPoint], DB[samplingTag])</f>
        <v>DV116.04</v>
      </c>
      <c r="D298" s="33" t="s">
        <v>59</v>
      </c>
      <c r="E298" s="39" t="str">
        <f t="array" ref="E298">_xlfn.XLOOKUP($B298, DB[samplingPoint], DB[noLocation])</f>
        <v>10-2-037</v>
      </c>
      <c r="F298" s="40" t="str">
        <f t="array" ref="F298">_xlfn.XLOOKUP($B298, DB[samplingPoint], DB[building])</f>
        <v>Building 10</v>
      </c>
      <c r="G298" s="40" t="str">
        <f t="array" ref="G298">_xlfn.XLOOKUP($B298, DB[samplingPoint], DB[location])</f>
        <v>SKID FOR BIN WASHING-1</v>
      </c>
      <c r="H298" s="40" t="str">
        <f t="array" ref="H298">_xlfn.XLOOKUP($B298, DB[samplingPoint], DB[waterType])</f>
        <v>PW</v>
      </c>
      <c r="I298" s="60">
        <f t="shared" si="1"/>
        <v>45797</v>
      </c>
      <c r="J298" s="192">
        <f t="shared" si="2"/>
        <v>45800</v>
      </c>
      <c r="K298" s="32">
        <v>0.0</v>
      </c>
      <c r="L298" s="32">
        <v>0.0</v>
      </c>
      <c r="M298" s="32">
        <f t="shared" si="3"/>
        <v>0</v>
      </c>
      <c r="N298" s="32" t="s">
        <v>376</v>
      </c>
      <c r="O298" s="32">
        <v>100.0</v>
      </c>
      <c r="P298" s="50" t="str">
        <f t="shared" si="6"/>
        <v>PASSED</v>
      </c>
      <c r="Q298" s="50" t="str">
        <f t="shared" si="5"/>
        <v>10</v>
      </c>
    </row>
    <row r="299" ht="22.5" customHeight="1">
      <c r="A299" s="26">
        <v>45796.0</v>
      </c>
      <c r="B299" s="32" t="s">
        <v>524</v>
      </c>
      <c r="C299" s="191" t="str">
        <f t="array" ref="C299">_xlfn.XLOOKUP(B299, DB[samplingPoint], DB[samplingTag])</f>
        <v>DV116.05</v>
      </c>
      <c r="D299" s="33" t="s">
        <v>59</v>
      </c>
      <c r="E299" s="39" t="str">
        <f t="array" ref="E299">_xlfn.XLOOKUP($B299, DB[samplingPoint], DB[noLocation])</f>
        <v>10-2-032</v>
      </c>
      <c r="F299" s="40" t="str">
        <f t="array" ref="F299">_xlfn.XLOOKUP($B299, DB[samplingPoint], DB[building])</f>
        <v>Building 10</v>
      </c>
      <c r="G299" s="40" t="str">
        <f t="array" ref="G299">_xlfn.XLOOKUP($B299, DB[samplingPoint], DB[location])</f>
        <v>GLASS-WARE WASHING</v>
      </c>
      <c r="H299" s="40" t="str">
        <f t="array" ref="H299">_xlfn.XLOOKUP($B299, DB[samplingPoint], DB[waterType])</f>
        <v>PW</v>
      </c>
      <c r="I299" s="60">
        <f t="shared" si="1"/>
        <v>45797</v>
      </c>
      <c r="J299" s="192">
        <f t="shared" si="2"/>
        <v>45800</v>
      </c>
      <c r="K299" s="32">
        <v>0.0</v>
      </c>
      <c r="L299" s="32">
        <v>0.0</v>
      </c>
      <c r="M299" s="32">
        <f t="shared" si="3"/>
        <v>0</v>
      </c>
      <c r="N299" s="32" t="s">
        <v>376</v>
      </c>
      <c r="O299" s="32">
        <v>100.0</v>
      </c>
      <c r="P299" s="50" t="str">
        <f t="shared" si="6"/>
        <v>PASSED</v>
      </c>
      <c r="Q299" s="50" t="str">
        <f t="shared" si="5"/>
        <v>10</v>
      </c>
    </row>
    <row r="300" ht="22.5" customHeight="1">
      <c r="A300" s="26">
        <v>45796.0</v>
      </c>
      <c r="B300" s="32" t="s">
        <v>528</v>
      </c>
      <c r="C300" s="191" t="str">
        <f t="array" ref="C300">_xlfn.XLOOKUP(B300, DB[samplingPoint], DB[samplingTag])</f>
        <v>DV116.08</v>
      </c>
      <c r="D300" s="33" t="s">
        <v>59</v>
      </c>
      <c r="E300" s="39" t="str">
        <f t="array" ref="E300">_xlfn.XLOOKUP($B300, DB[samplingPoint], DB[noLocation])</f>
        <v>10-3-059</v>
      </c>
      <c r="F300" s="40" t="str">
        <f t="array" ref="F300">_xlfn.XLOOKUP($B300, DB[samplingPoint], DB[building])</f>
        <v>Building 10</v>
      </c>
      <c r="G300" s="40" t="str">
        <f t="array" ref="G300">_xlfn.XLOOKUP($B300, DB[samplingPoint], DB[location])</f>
        <v>COATING SOLUTION PREP.-1</v>
      </c>
      <c r="H300" s="40" t="str">
        <f t="array" ref="H300">_xlfn.XLOOKUP($B300, DB[samplingPoint], DB[waterType])</f>
        <v>PW</v>
      </c>
      <c r="I300" s="60">
        <f t="shared" si="1"/>
        <v>45797</v>
      </c>
      <c r="J300" s="192">
        <f t="shared" si="2"/>
        <v>45800</v>
      </c>
      <c r="K300" s="32">
        <v>0.0</v>
      </c>
      <c r="L300" s="32">
        <v>0.0</v>
      </c>
      <c r="M300" s="32">
        <f t="shared" si="3"/>
        <v>0</v>
      </c>
      <c r="N300" s="32" t="s">
        <v>376</v>
      </c>
      <c r="O300" s="32">
        <v>100.0</v>
      </c>
      <c r="P300" s="50" t="str">
        <f t="shared" si="6"/>
        <v>PASSED</v>
      </c>
      <c r="Q300" s="50" t="str">
        <f t="shared" si="5"/>
        <v>10</v>
      </c>
    </row>
    <row r="301" ht="22.5" customHeight="1">
      <c r="A301" s="26">
        <v>45796.0</v>
      </c>
      <c r="B301" s="32" t="s">
        <v>534</v>
      </c>
      <c r="C301" s="191" t="str">
        <f t="array" ref="C301">_xlfn.XLOOKUP(B301, DB[samplingPoint], DB[samplingTag])</f>
        <v>SV116.03</v>
      </c>
      <c r="D301" s="33" t="s">
        <v>59</v>
      </c>
      <c r="E301" s="39" t="str">
        <f t="array" ref="E301">_xlfn.XLOOKUP($B301, DB[samplingPoint], DB[noLocation])</f>
        <v>10-3-058</v>
      </c>
      <c r="F301" s="40" t="str">
        <f t="array" ref="F301">_xlfn.XLOOKUP($B301, DB[samplingPoint], DB[building])</f>
        <v>Building 10</v>
      </c>
      <c r="G301" s="40" t="str">
        <f t="array" ref="G301">_xlfn.XLOOKUP($B301, DB[samplingPoint], DB[location])</f>
        <v>COATING ROOM-1</v>
      </c>
      <c r="H301" s="40" t="str">
        <f t="array" ref="H301">_xlfn.XLOOKUP($B301, DB[samplingPoint], DB[waterType])</f>
        <v>PW</v>
      </c>
      <c r="I301" s="60">
        <f t="shared" si="1"/>
        <v>45797</v>
      </c>
      <c r="J301" s="192">
        <f t="shared" si="2"/>
        <v>45800</v>
      </c>
      <c r="K301" s="32">
        <v>0.0</v>
      </c>
      <c r="L301" s="32">
        <v>0.0</v>
      </c>
      <c r="M301" s="32">
        <f t="shared" si="3"/>
        <v>0</v>
      </c>
      <c r="N301" s="32" t="s">
        <v>376</v>
      </c>
      <c r="O301" s="32">
        <v>100.0</v>
      </c>
      <c r="P301" s="50" t="str">
        <f t="shared" si="6"/>
        <v>PASSED</v>
      </c>
      <c r="Q301" s="50" t="str">
        <f t="shared" si="5"/>
        <v>10</v>
      </c>
    </row>
    <row r="302" ht="22.5" customHeight="1">
      <c r="A302" s="26">
        <v>45796.0</v>
      </c>
      <c r="B302" s="32" t="s">
        <v>531</v>
      </c>
      <c r="C302" s="191" t="str">
        <f t="array" ref="C302">_xlfn.XLOOKUP(B302, DB[samplingPoint], DB[samplingTag])</f>
        <v>DV116.10</v>
      </c>
      <c r="D302" s="33" t="s">
        <v>59</v>
      </c>
      <c r="E302" s="39" t="str">
        <f t="array" ref="E302">_xlfn.XLOOKUP($B302, DB[samplingPoint], DB[noLocation])</f>
        <v>10-3-065</v>
      </c>
      <c r="F302" s="40" t="str">
        <f t="array" ref="F302">_xlfn.XLOOKUP($B302, DB[samplingPoint], DB[building])</f>
        <v>Building 10</v>
      </c>
      <c r="G302" s="40" t="str">
        <f t="array" ref="G302">_xlfn.XLOOKUP($B302, DB[samplingPoint], DB[location])</f>
        <v>COATING SOLUTION PREP.-3</v>
      </c>
      <c r="H302" s="40" t="str">
        <f t="array" ref="H302">_xlfn.XLOOKUP($B302, DB[samplingPoint], DB[waterType])</f>
        <v>PW</v>
      </c>
      <c r="I302" s="60">
        <f t="shared" si="1"/>
        <v>45797</v>
      </c>
      <c r="J302" s="192">
        <f t="shared" si="2"/>
        <v>45800</v>
      </c>
      <c r="K302" s="32">
        <v>0.0</v>
      </c>
      <c r="L302" s="32">
        <v>0.0</v>
      </c>
      <c r="M302" s="32">
        <f t="shared" si="3"/>
        <v>0</v>
      </c>
      <c r="N302" s="32" t="s">
        <v>376</v>
      </c>
      <c r="O302" s="32">
        <v>100.0</v>
      </c>
      <c r="P302" s="50" t="str">
        <f t="shared" si="6"/>
        <v>PASSED</v>
      </c>
      <c r="Q302" s="50" t="str">
        <f t="shared" si="5"/>
        <v>10</v>
      </c>
    </row>
    <row r="303" ht="22.5" customHeight="1">
      <c r="A303" s="26">
        <v>45796.0</v>
      </c>
      <c r="B303" s="32" t="s">
        <v>532</v>
      </c>
      <c r="C303" s="191" t="str">
        <f t="array" ref="C303">_xlfn.XLOOKUP(B303, DB[samplingPoint], DB[samplingTag])</f>
        <v>DV116.11</v>
      </c>
      <c r="D303" s="33" t="s">
        <v>59</v>
      </c>
      <c r="E303" s="39" t="str">
        <f t="array" ref="E303">_xlfn.XLOOKUP($B303, DB[samplingPoint], DB[noLocation])</f>
        <v>10-3-066</v>
      </c>
      <c r="F303" s="40" t="str">
        <f t="array" ref="F303">_xlfn.XLOOKUP($B303, DB[samplingPoint], DB[building])</f>
        <v>Building 10</v>
      </c>
      <c r="G303" s="40" t="str">
        <f t="array" ref="G303">_xlfn.XLOOKUP($B303, DB[samplingPoint], DB[location])</f>
        <v>COATING SOLUTION PREP.-4</v>
      </c>
      <c r="H303" s="40" t="str">
        <f t="array" ref="H303">_xlfn.XLOOKUP($B303, DB[samplingPoint], DB[waterType])</f>
        <v>PW</v>
      </c>
      <c r="I303" s="60">
        <f t="shared" si="1"/>
        <v>45797</v>
      </c>
      <c r="J303" s="192">
        <f t="shared" si="2"/>
        <v>45800</v>
      </c>
      <c r="K303" s="32">
        <v>0.0</v>
      </c>
      <c r="L303" s="32">
        <v>0.0</v>
      </c>
      <c r="M303" s="32">
        <f t="shared" si="3"/>
        <v>0</v>
      </c>
      <c r="N303" s="32" t="s">
        <v>376</v>
      </c>
      <c r="O303" s="32">
        <v>100.0</v>
      </c>
      <c r="P303" s="50" t="str">
        <f t="shared" si="6"/>
        <v>PASSED</v>
      </c>
      <c r="Q303" s="50" t="str">
        <f t="shared" si="5"/>
        <v>10</v>
      </c>
    </row>
    <row r="304" ht="22.5" customHeight="1">
      <c r="A304" s="26">
        <v>45796.0</v>
      </c>
      <c r="B304" s="32" t="s">
        <v>492</v>
      </c>
      <c r="C304" s="191" t="str">
        <f t="array" ref="C304">_xlfn.XLOOKUP(B304, DB[samplingPoint], DB[samplingTag])</f>
        <v>SV116.11</v>
      </c>
      <c r="D304" s="33" t="s">
        <v>59</v>
      </c>
      <c r="E304" s="39" t="str">
        <f t="array" ref="E304">_xlfn.XLOOKUP($B304, DB[samplingPoint], DB[noLocation])</f>
        <v>10-3-107</v>
      </c>
      <c r="F304" s="40" t="str">
        <f t="array" ref="F304">_xlfn.XLOOKUP($B304, DB[samplingPoint], DB[building])</f>
        <v>Building 10</v>
      </c>
      <c r="G304" s="40" t="str">
        <f t="array" ref="G304">_xlfn.XLOOKUP($B304, DB[samplingPoint], DB[location])</f>
        <v>WET GRANULATION-2</v>
      </c>
      <c r="H304" s="40" t="str">
        <f t="array" ref="H304">_xlfn.XLOOKUP($B304, DB[samplingPoint], DB[waterType])</f>
        <v>PW</v>
      </c>
      <c r="I304" s="60">
        <f t="shared" si="1"/>
        <v>45797</v>
      </c>
      <c r="J304" s="192">
        <f t="shared" si="2"/>
        <v>45800</v>
      </c>
      <c r="K304" s="32">
        <v>0.0</v>
      </c>
      <c r="L304" s="32">
        <v>0.0</v>
      </c>
      <c r="M304" s="32">
        <f t="shared" si="3"/>
        <v>0</v>
      </c>
      <c r="N304" s="32" t="s">
        <v>376</v>
      </c>
      <c r="O304" s="32">
        <v>100.0</v>
      </c>
      <c r="P304" s="50" t="str">
        <f t="shared" si="6"/>
        <v>PASSED</v>
      </c>
      <c r="Q304" s="50" t="str">
        <f t="shared" si="5"/>
        <v>10</v>
      </c>
    </row>
    <row r="305" ht="22.5" customHeight="1">
      <c r="A305" s="26">
        <v>45796.0</v>
      </c>
      <c r="B305" s="32" t="s">
        <v>476</v>
      </c>
      <c r="C305" s="191" t="str">
        <f t="array" ref="C305">_xlfn.XLOOKUP(B305, DB[samplingPoint], DB[samplingTag])</f>
        <v>DV116.12</v>
      </c>
      <c r="D305" s="33" t="s">
        <v>59</v>
      </c>
      <c r="E305" s="39" t="str">
        <f t="array" ref="E305">_xlfn.XLOOKUP($B305, DB[samplingPoint], DB[noLocation])</f>
        <v>10-3-078</v>
      </c>
      <c r="F305" s="40" t="str">
        <f t="array" ref="F305">_xlfn.XLOOKUP($B305, DB[samplingPoint], DB[building])</f>
        <v>Building 10</v>
      </c>
      <c r="G305" s="40" t="str">
        <f t="array" ref="G305">_xlfn.XLOOKUP($B305, DB[samplingPoint], DB[location])</f>
        <v>WASHING</v>
      </c>
      <c r="H305" s="40" t="str">
        <f t="array" ref="H305">_xlfn.XLOOKUP($B305, DB[samplingPoint], DB[waterType])</f>
        <v>PW</v>
      </c>
      <c r="I305" s="60">
        <f t="shared" si="1"/>
        <v>45797</v>
      </c>
      <c r="J305" s="192">
        <f t="shared" si="2"/>
        <v>45800</v>
      </c>
      <c r="K305" s="32">
        <v>0.0</v>
      </c>
      <c r="L305" s="32">
        <v>0.0</v>
      </c>
      <c r="M305" s="32">
        <f t="shared" si="3"/>
        <v>0</v>
      </c>
      <c r="N305" s="32" t="s">
        <v>376</v>
      </c>
      <c r="O305" s="32">
        <v>100.0</v>
      </c>
      <c r="P305" s="50" t="str">
        <f t="shared" si="6"/>
        <v>PASSED</v>
      </c>
      <c r="Q305" s="50" t="str">
        <f t="shared" si="5"/>
        <v>10</v>
      </c>
    </row>
    <row r="306" ht="22.5" customHeight="1">
      <c r="A306" s="26">
        <v>45796.0</v>
      </c>
      <c r="B306" s="32" t="s">
        <v>485</v>
      </c>
      <c r="C306" s="191" t="str">
        <f t="array" ref="C306">_xlfn.XLOOKUP(B306, DB[samplingPoint], DB[samplingTag])</f>
        <v>DV116.16</v>
      </c>
      <c r="D306" s="33" t="s">
        <v>59</v>
      </c>
      <c r="E306" s="39" t="str">
        <f t="array" ref="E306">_xlfn.XLOOKUP($B306, DB[samplingPoint], DB[noLocation])</f>
        <v>10-3-107</v>
      </c>
      <c r="F306" s="40" t="str">
        <f t="array" ref="F306">_xlfn.XLOOKUP($B306, DB[samplingPoint], DB[building])</f>
        <v>Building 10</v>
      </c>
      <c r="G306" s="40" t="str">
        <f t="array" ref="G306">_xlfn.XLOOKUP($B306, DB[samplingPoint], DB[location])</f>
        <v>WET GRANULATION-2</v>
      </c>
      <c r="H306" s="40" t="str">
        <f t="array" ref="H306">_xlfn.XLOOKUP($B306, DB[samplingPoint], DB[waterType])</f>
        <v>PW</v>
      </c>
      <c r="I306" s="60">
        <f t="shared" si="1"/>
        <v>45797</v>
      </c>
      <c r="J306" s="192">
        <f t="shared" si="2"/>
        <v>45800</v>
      </c>
      <c r="K306" s="32">
        <v>0.0</v>
      </c>
      <c r="L306" s="32">
        <v>0.0</v>
      </c>
      <c r="M306" s="32">
        <f t="shared" si="3"/>
        <v>0</v>
      </c>
      <c r="N306" s="32" t="s">
        <v>376</v>
      </c>
      <c r="O306" s="32">
        <v>100.0</v>
      </c>
      <c r="P306" s="50" t="str">
        <f t="shared" si="6"/>
        <v>PASSED</v>
      </c>
      <c r="Q306" s="50" t="str">
        <f t="shared" si="5"/>
        <v>10</v>
      </c>
    </row>
    <row r="307" ht="22.5" customHeight="1">
      <c r="A307" s="26">
        <v>45796.0</v>
      </c>
      <c r="B307" s="32" t="s">
        <v>479</v>
      </c>
      <c r="C307" s="191" t="str">
        <f t="array" ref="C307">_xlfn.XLOOKUP(B307, DB[samplingPoint], DB[samplingTag])</f>
        <v>DV116.13</v>
      </c>
      <c r="D307" s="33" t="s">
        <v>59</v>
      </c>
      <c r="E307" s="39" t="str">
        <f t="array" ref="E307">_xlfn.XLOOKUP($B307, DB[samplingPoint], DB[noLocation])</f>
        <v>10-3-078</v>
      </c>
      <c r="F307" s="40" t="str">
        <f t="array" ref="F307">_xlfn.XLOOKUP($B307, DB[samplingPoint], DB[building])</f>
        <v>Building 10</v>
      </c>
      <c r="G307" s="40" t="str">
        <f t="array" ref="G307">_xlfn.XLOOKUP($B307, DB[samplingPoint], DB[location])</f>
        <v>WASHING</v>
      </c>
      <c r="H307" s="40" t="str">
        <f t="array" ref="H307">_xlfn.XLOOKUP($B307, DB[samplingPoint], DB[waterType])</f>
        <v>PW</v>
      </c>
      <c r="I307" s="60">
        <f t="shared" si="1"/>
        <v>45797</v>
      </c>
      <c r="J307" s="192">
        <f t="shared" si="2"/>
        <v>45800</v>
      </c>
      <c r="K307" s="32">
        <v>0.0</v>
      </c>
      <c r="L307" s="32">
        <v>0.0</v>
      </c>
      <c r="M307" s="32">
        <f t="shared" si="3"/>
        <v>0</v>
      </c>
      <c r="N307" s="32" t="s">
        <v>376</v>
      </c>
      <c r="O307" s="32">
        <v>100.0</v>
      </c>
      <c r="P307" s="50" t="str">
        <f t="shared" si="6"/>
        <v>PASSED</v>
      </c>
      <c r="Q307" s="50" t="str">
        <f t="shared" si="5"/>
        <v>10</v>
      </c>
    </row>
    <row r="308" ht="22.5" customHeight="1">
      <c r="A308" s="26">
        <v>45796.0</v>
      </c>
      <c r="B308" s="32" t="s">
        <v>539</v>
      </c>
      <c r="C308" s="191" t="str">
        <f t="array" ref="C308">_xlfn.XLOOKUP(B308, DB[samplingPoint], DB[samplingTag])</f>
        <v>SV116.07</v>
      </c>
      <c r="D308" s="33" t="s">
        <v>59</v>
      </c>
      <c r="E308" s="39" t="str">
        <f t="array" ref="E308">_xlfn.XLOOKUP($B308, DB[samplingPoint], DB[noLocation])</f>
        <v>10-3-064</v>
      </c>
      <c r="F308" s="40" t="str">
        <f t="array" ref="F308">_xlfn.XLOOKUP($B308, DB[samplingPoint], DB[building])</f>
        <v>Building 10</v>
      </c>
      <c r="G308" s="40" t="str">
        <f t="array" ref="G308">_xlfn.XLOOKUP($B308, DB[samplingPoint], DB[location])</f>
        <v>COATING ROOM-5</v>
      </c>
      <c r="H308" s="40" t="str">
        <f t="array" ref="H308">_xlfn.XLOOKUP($B308, DB[samplingPoint], DB[waterType])</f>
        <v>PW</v>
      </c>
      <c r="I308" s="60">
        <f t="shared" si="1"/>
        <v>45797</v>
      </c>
      <c r="J308" s="192">
        <f t="shared" si="2"/>
        <v>45800</v>
      </c>
      <c r="K308" s="32">
        <v>0.0</v>
      </c>
      <c r="L308" s="32">
        <v>0.0</v>
      </c>
      <c r="M308" s="32">
        <f t="shared" si="3"/>
        <v>0</v>
      </c>
      <c r="N308" s="32" t="s">
        <v>376</v>
      </c>
      <c r="O308" s="32">
        <v>100.0</v>
      </c>
      <c r="P308" s="50" t="str">
        <f t="shared" si="6"/>
        <v>PASSED</v>
      </c>
      <c r="Q308" s="50" t="str">
        <f t="shared" si="5"/>
        <v>10</v>
      </c>
    </row>
    <row r="309" ht="22.5" customHeight="1">
      <c r="A309" s="26">
        <v>45796.0</v>
      </c>
      <c r="B309" s="32" t="s">
        <v>541</v>
      </c>
      <c r="C309" s="191" t="str">
        <f t="array" ref="C309">_xlfn.XLOOKUP(B309, DB[samplingPoint], DB[samplingTag])</f>
        <v>SV116.08</v>
      </c>
      <c r="D309" s="33" t="s">
        <v>59</v>
      </c>
      <c r="E309" s="39" t="str">
        <f t="array" ref="E309">_xlfn.XLOOKUP($B309, DB[samplingPoint], DB[noLocation])</f>
        <v>10-3-067</v>
      </c>
      <c r="F309" s="40" t="str">
        <f t="array" ref="F309">_xlfn.XLOOKUP($B309, DB[samplingPoint], DB[building])</f>
        <v>Building 10</v>
      </c>
      <c r="G309" s="40" t="str">
        <f t="array" ref="G309">_xlfn.XLOOKUP($B309, DB[samplingPoint], DB[location])</f>
        <v>COATING ROOM-6</v>
      </c>
      <c r="H309" s="40" t="str">
        <f t="array" ref="H309">_xlfn.XLOOKUP($B309, DB[samplingPoint], DB[waterType])</f>
        <v>PW</v>
      </c>
      <c r="I309" s="60">
        <f t="shared" si="1"/>
        <v>45797</v>
      </c>
      <c r="J309" s="192">
        <f t="shared" si="2"/>
        <v>45800</v>
      </c>
      <c r="K309" s="32">
        <v>0.0</v>
      </c>
      <c r="L309" s="32">
        <v>0.0</v>
      </c>
      <c r="M309" s="32">
        <f t="shared" si="3"/>
        <v>0</v>
      </c>
      <c r="N309" s="32" t="s">
        <v>376</v>
      </c>
      <c r="O309" s="32">
        <v>100.0</v>
      </c>
      <c r="P309" s="50" t="str">
        <f t="shared" si="6"/>
        <v>PASSED</v>
      </c>
      <c r="Q309" s="50" t="str">
        <f t="shared" si="5"/>
        <v>10</v>
      </c>
    </row>
    <row r="310" ht="22.5" customHeight="1">
      <c r="A310" s="26">
        <v>45796.0</v>
      </c>
      <c r="B310" s="32" t="s">
        <v>536</v>
      </c>
      <c r="C310" s="191" t="str">
        <f t="array" ref="C310">_xlfn.XLOOKUP(B310, DB[samplingPoint], DB[samplingTag])</f>
        <v>SV116.05</v>
      </c>
      <c r="D310" s="33" t="s">
        <v>59</v>
      </c>
      <c r="E310" s="39" t="str">
        <f t="array" ref="E310">_xlfn.XLOOKUP($B310, DB[samplingPoint], DB[noLocation])</f>
        <v>10-3-062</v>
      </c>
      <c r="F310" s="40" t="str">
        <f t="array" ref="F310">_xlfn.XLOOKUP($B310, DB[samplingPoint], DB[building])</f>
        <v>Building 10</v>
      </c>
      <c r="G310" s="40" t="str">
        <f t="array" ref="G310">_xlfn.XLOOKUP($B310, DB[samplingPoint], DB[location])</f>
        <v>COATING ROOM-3</v>
      </c>
      <c r="H310" s="40" t="str">
        <f t="array" ref="H310">_xlfn.XLOOKUP($B310, DB[samplingPoint], DB[waterType])</f>
        <v>PW</v>
      </c>
      <c r="I310" s="60">
        <f t="shared" si="1"/>
        <v>45797</v>
      </c>
      <c r="J310" s="192">
        <f t="shared" si="2"/>
        <v>45800</v>
      </c>
      <c r="K310" s="32">
        <v>0.0</v>
      </c>
      <c r="L310" s="32">
        <v>0.0</v>
      </c>
      <c r="M310" s="32">
        <f t="shared" si="3"/>
        <v>0</v>
      </c>
      <c r="N310" s="32" t="s">
        <v>376</v>
      </c>
      <c r="O310" s="32">
        <v>100.0</v>
      </c>
      <c r="P310" s="50" t="str">
        <f t="shared" si="6"/>
        <v>PASSED</v>
      </c>
      <c r="Q310" s="50" t="str">
        <f t="shared" si="5"/>
        <v>10</v>
      </c>
    </row>
    <row r="311" ht="22.5" customHeight="1">
      <c r="A311" s="26">
        <v>45796.0</v>
      </c>
      <c r="B311" s="32" t="s">
        <v>538</v>
      </c>
      <c r="C311" s="191" t="str">
        <f t="array" ref="C311">_xlfn.XLOOKUP(B311, DB[samplingPoint], DB[samplingTag])</f>
        <v>SV116.06</v>
      </c>
      <c r="D311" s="33" t="s">
        <v>59</v>
      </c>
      <c r="E311" s="39" t="str">
        <f t="array" ref="E311">_xlfn.XLOOKUP($B311, DB[samplingPoint], DB[noLocation])</f>
        <v>10-3-063</v>
      </c>
      <c r="F311" s="40" t="str">
        <f t="array" ref="F311">_xlfn.XLOOKUP($B311, DB[samplingPoint], DB[building])</f>
        <v>Building 10</v>
      </c>
      <c r="G311" s="40" t="str">
        <f t="array" ref="G311">_xlfn.XLOOKUP($B311, DB[samplingPoint], DB[location])</f>
        <v>COATING ROOM-4</v>
      </c>
      <c r="H311" s="40" t="str">
        <f t="array" ref="H311">_xlfn.XLOOKUP($B311, DB[samplingPoint], DB[waterType])</f>
        <v>PW</v>
      </c>
      <c r="I311" s="60">
        <f t="shared" si="1"/>
        <v>45797</v>
      </c>
      <c r="J311" s="192">
        <f t="shared" si="2"/>
        <v>45800</v>
      </c>
      <c r="K311" s="32">
        <v>0.0</v>
      </c>
      <c r="L311" s="32">
        <v>0.0</v>
      </c>
      <c r="M311" s="32">
        <f t="shared" si="3"/>
        <v>0</v>
      </c>
      <c r="N311" s="32" t="s">
        <v>376</v>
      </c>
      <c r="O311" s="32">
        <v>100.0</v>
      </c>
      <c r="P311" s="50" t="str">
        <f t="shared" si="6"/>
        <v>PASSED</v>
      </c>
      <c r="Q311" s="50" t="str">
        <f t="shared" si="5"/>
        <v>10</v>
      </c>
    </row>
    <row r="312" ht="22.5" customHeight="1">
      <c r="A312" s="26">
        <v>45796.0</v>
      </c>
      <c r="B312" s="32" t="s">
        <v>488</v>
      </c>
      <c r="C312" s="191" t="str">
        <f t="array" ref="C312">_xlfn.XLOOKUP(B312, DB[samplingPoint], DB[samplingTag])</f>
        <v>DV116.17</v>
      </c>
      <c r="D312" s="33" t="s">
        <v>59</v>
      </c>
      <c r="E312" s="39" t="str">
        <f t="array" ref="E312">_xlfn.XLOOKUP($B312, DB[samplingPoint], DB[noLocation])</f>
        <v>10-3-117</v>
      </c>
      <c r="F312" s="40" t="str">
        <f t="array" ref="F312">_xlfn.XLOOKUP($B312, DB[samplingPoint], DB[building])</f>
        <v>Building 10</v>
      </c>
      <c r="G312" s="40" t="str">
        <f t="array" ref="G312">_xlfn.XLOOKUP($B312, DB[samplingPoint], DB[location])</f>
        <v>IPQC-2</v>
      </c>
      <c r="H312" s="40" t="str">
        <f t="array" ref="H312">_xlfn.XLOOKUP($B312, DB[samplingPoint], DB[waterType])</f>
        <v>PW</v>
      </c>
      <c r="I312" s="60">
        <f t="shared" si="1"/>
        <v>45797</v>
      </c>
      <c r="J312" s="192">
        <f t="shared" si="2"/>
        <v>45800</v>
      </c>
      <c r="K312" s="32">
        <v>0.0</v>
      </c>
      <c r="L312" s="32">
        <v>0.0</v>
      </c>
      <c r="M312" s="32">
        <f t="shared" si="3"/>
        <v>0</v>
      </c>
      <c r="N312" s="32" t="s">
        <v>376</v>
      </c>
      <c r="O312" s="32">
        <v>100.0</v>
      </c>
      <c r="P312" s="50" t="str">
        <f t="shared" si="6"/>
        <v>PASSED</v>
      </c>
      <c r="Q312" s="50" t="str">
        <f t="shared" si="5"/>
        <v>10</v>
      </c>
    </row>
    <row r="313" ht="22.5" customHeight="1">
      <c r="A313" s="26">
        <v>45796.0</v>
      </c>
      <c r="B313" s="32" t="s">
        <v>489</v>
      </c>
      <c r="C313" s="191" t="str">
        <f t="array" ref="C313">_xlfn.XLOOKUP(B313, DB[samplingPoint], DB[samplingTag])</f>
        <v>DV116.18</v>
      </c>
      <c r="D313" s="33" t="s">
        <v>59</v>
      </c>
      <c r="E313" s="39" t="str">
        <f t="array" ref="E313">_xlfn.XLOOKUP($B313, DB[samplingPoint], DB[noLocation])</f>
        <v>10-3-111</v>
      </c>
      <c r="F313" s="40" t="str">
        <f t="array" ref="F313">_xlfn.XLOOKUP($B313, DB[samplingPoint], DB[building])</f>
        <v>Building 10</v>
      </c>
      <c r="G313" s="40" t="str">
        <f t="array" ref="G313">_xlfn.XLOOKUP($B313, DB[samplingPoint], DB[location])</f>
        <v>WET GRANULATION-5</v>
      </c>
      <c r="H313" s="40" t="str">
        <f t="array" ref="H313">_xlfn.XLOOKUP($B313, DB[samplingPoint], DB[waterType])</f>
        <v>PW</v>
      </c>
      <c r="I313" s="60">
        <f t="shared" si="1"/>
        <v>45797</v>
      </c>
      <c r="J313" s="192">
        <f t="shared" si="2"/>
        <v>45800</v>
      </c>
      <c r="K313" s="32">
        <v>0.0</v>
      </c>
      <c r="L313" s="32">
        <v>0.0</v>
      </c>
      <c r="M313" s="32">
        <f t="shared" si="3"/>
        <v>0</v>
      </c>
      <c r="N313" s="32" t="s">
        <v>376</v>
      </c>
      <c r="O313" s="32">
        <v>100.0</v>
      </c>
      <c r="P313" s="50" t="str">
        <f t="shared" si="6"/>
        <v>PASSED</v>
      </c>
      <c r="Q313" s="50" t="str">
        <f t="shared" si="5"/>
        <v>10</v>
      </c>
    </row>
    <row r="314" ht="22.5" customHeight="1">
      <c r="A314" s="26">
        <v>45796.0</v>
      </c>
      <c r="B314" s="32" t="s">
        <v>482</v>
      </c>
      <c r="C314" s="191" t="str">
        <f t="array" ref="C314">_xlfn.XLOOKUP(B314, DB[samplingPoint], DB[samplingTag])</f>
        <v>DV116.14</v>
      </c>
      <c r="D314" s="33" t="s">
        <v>59</v>
      </c>
      <c r="E314" s="39" t="str">
        <f t="array" ref="E314">_xlfn.XLOOKUP($B314, DB[samplingPoint], DB[noLocation])</f>
        <v>10-3-086</v>
      </c>
      <c r="F314" s="40" t="str">
        <f t="array" ref="F314">_xlfn.XLOOKUP($B314, DB[samplingPoint], DB[building])</f>
        <v>Building 10</v>
      </c>
      <c r="G314" s="40" t="str">
        <f t="array" ref="G314">_xlfn.XLOOKUP($B314, DB[samplingPoint], DB[location])</f>
        <v>TOOL WASHING</v>
      </c>
      <c r="H314" s="40" t="str">
        <f t="array" ref="H314">_xlfn.XLOOKUP($B314, DB[samplingPoint], DB[waterType])</f>
        <v>PW</v>
      </c>
      <c r="I314" s="60">
        <f t="shared" si="1"/>
        <v>45797</v>
      </c>
      <c r="J314" s="192">
        <f t="shared" si="2"/>
        <v>45800</v>
      </c>
      <c r="K314" s="32">
        <v>0.0</v>
      </c>
      <c r="L314" s="32">
        <v>0.0</v>
      </c>
      <c r="M314" s="32">
        <f t="shared" si="3"/>
        <v>0</v>
      </c>
      <c r="N314" s="32" t="s">
        <v>376</v>
      </c>
      <c r="O314" s="32">
        <v>100.0</v>
      </c>
      <c r="P314" s="50" t="str">
        <f t="shared" si="6"/>
        <v>PASSED</v>
      </c>
      <c r="Q314" s="50" t="str">
        <f t="shared" si="5"/>
        <v>10</v>
      </c>
    </row>
    <row r="315" ht="22.5" customHeight="1">
      <c r="A315" s="26">
        <v>45796.0</v>
      </c>
      <c r="B315" s="32" t="s">
        <v>119</v>
      </c>
      <c r="C315" s="191" t="str">
        <f t="array" ref="C315">_xlfn.XLOOKUP(B315, DB[samplingPoint], DB[samplingTag])</f>
        <v>DV116.15</v>
      </c>
      <c r="D315" s="33" t="s">
        <v>59</v>
      </c>
      <c r="E315" s="39" t="str">
        <f t="array" ref="E315">_xlfn.XLOOKUP($B315, DB[samplingPoint], DB[noLocation])</f>
        <v>10-3-104</v>
      </c>
      <c r="F315" s="40" t="str">
        <f t="array" ref="F315">_xlfn.XLOOKUP($B315, DB[samplingPoint], DB[building])</f>
        <v>Building 10</v>
      </c>
      <c r="G315" s="40" t="str">
        <f t="array" ref="G315">_xlfn.XLOOKUP($B315, DB[samplingPoint], DB[location])</f>
        <v>BINDER PREPARATION</v>
      </c>
      <c r="H315" s="40" t="str">
        <f t="array" ref="H315">_xlfn.XLOOKUP($B315, DB[samplingPoint], DB[waterType])</f>
        <v>PW</v>
      </c>
      <c r="I315" s="60">
        <f t="shared" si="1"/>
        <v>45797</v>
      </c>
      <c r="J315" s="192">
        <f t="shared" si="2"/>
        <v>45800</v>
      </c>
      <c r="K315" s="32">
        <v>0.0</v>
      </c>
      <c r="L315" s="32">
        <v>0.0</v>
      </c>
      <c r="M315" s="32">
        <f t="shared" si="3"/>
        <v>0</v>
      </c>
      <c r="N315" s="32" t="s">
        <v>376</v>
      </c>
      <c r="O315" s="32">
        <v>100.0</v>
      </c>
      <c r="P315" s="50" t="str">
        <f t="shared" si="6"/>
        <v>PASSED</v>
      </c>
      <c r="Q315" s="50" t="str">
        <f t="shared" si="5"/>
        <v>10</v>
      </c>
    </row>
    <row r="316" ht="22.5" customHeight="1">
      <c r="A316" s="26">
        <v>45796.0</v>
      </c>
      <c r="B316" s="32" t="s">
        <v>529</v>
      </c>
      <c r="C316" s="191" t="str">
        <f t="array" ref="C316">_xlfn.XLOOKUP(B316, DB[samplingPoint], DB[samplingTag])</f>
        <v>DV116.09</v>
      </c>
      <c r="D316" s="33" t="s">
        <v>59</v>
      </c>
      <c r="E316" s="39" t="str">
        <f t="array" ref="E316">_xlfn.XLOOKUP($B316, DB[samplingPoint], DB[noLocation])</f>
        <v>10-3-060</v>
      </c>
      <c r="F316" s="40" t="str">
        <f t="array" ref="F316">_xlfn.XLOOKUP($B316, DB[samplingPoint], DB[building])</f>
        <v>Building 10</v>
      </c>
      <c r="G316" s="40" t="str">
        <f t="array" ref="G316">_xlfn.XLOOKUP($B316, DB[samplingPoint], DB[location])</f>
        <v>COATING SOLUTION PREP.-2</v>
      </c>
      <c r="H316" s="40" t="str">
        <f t="array" ref="H316">_xlfn.XLOOKUP($B316, DB[samplingPoint], DB[waterType])</f>
        <v>PW</v>
      </c>
      <c r="I316" s="60">
        <f t="shared" si="1"/>
        <v>45797</v>
      </c>
      <c r="J316" s="192">
        <f t="shared" si="2"/>
        <v>45800</v>
      </c>
      <c r="K316" s="32">
        <v>79.0</v>
      </c>
      <c r="L316" s="32">
        <v>97.0</v>
      </c>
      <c r="M316" s="32">
        <f t="shared" si="3"/>
        <v>88</v>
      </c>
      <c r="N316" s="32" t="s">
        <v>376</v>
      </c>
      <c r="O316" s="32">
        <v>100.0</v>
      </c>
      <c r="P316" s="50" t="str">
        <f t="shared" si="6"/>
        <v>PASSED</v>
      </c>
      <c r="Q316" s="50" t="str">
        <f t="shared" si="5"/>
        <v>10</v>
      </c>
    </row>
    <row r="317" ht="22.5" customHeight="1">
      <c r="A317" s="26">
        <v>45814.0</v>
      </c>
      <c r="B317" s="32" t="s">
        <v>349</v>
      </c>
      <c r="C317" s="191" t="str">
        <f t="array" ref="C317">_xlfn.XLOOKUP(B317, DB[samplingPoint], DB[samplingTag])</f>
        <v>VB-05(10)</v>
      </c>
      <c r="D317" s="33" t="s">
        <v>59</v>
      </c>
      <c r="E317" s="39" t="str">
        <f t="array" ref="E317">_xlfn.XLOOKUP($B317, DB[samplingPoint], DB[noLocation])</f>
        <v>WATER SYSTEM (B10)</v>
      </c>
      <c r="F317" s="40" t="str">
        <f t="array" ref="F317">_xlfn.XLOOKUP($B317, DB[samplingPoint], DB[building])</f>
        <v>Building 10</v>
      </c>
      <c r="G317" s="40" t="str">
        <f t="array" ref="G317">_xlfn.XLOOKUP($B317, DB[samplingPoint], DB[location])</f>
        <v>After Chlorine circulation tank (B10)</v>
      </c>
      <c r="H317" s="40" t="str">
        <f t="array" ref="H317">_xlfn.XLOOKUP($B317, DB[samplingPoint], DB[waterType])</f>
        <v>PRW</v>
      </c>
      <c r="I317" s="60">
        <f t="shared" si="1"/>
        <v>45815</v>
      </c>
      <c r="J317" s="192">
        <f t="shared" si="2"/>
        <v>45818</v>
      </c>
      <c r="K317" s="32">
        <v>17.0</v>
      </c>
      <c r="L317" s="32">
        <v>18.0</v>
      </c>
      <c r="M317" s="32">
        <f t="shared" si="3"/>
        <v>18</v>
      </c>
      <c r="N317" s="32" t="s">
        <v>376</v>
      </c>
      <c r="O317" s="32">
        <v>500.0</v>
      </c>
      <c r="P317" s="50" t="str">
        <f t="shared" si="6"/>
        <v>PASSED</v>
      </c>
      <c r="Q317" s="50" t="str">
        <f t="shared" si="5"/>
        <v>WA</v>
      </c>
    </row>
    <row r="318" ht="22.5" customHeight="1">
      <c r="A318" s="26">
        <v>45814.0</v>
      </c>
      <c r="B318" s="32" t="s">
        <v>366</v>
      </c>
      <c r="C318" s="191" t="str">
        <f t="array" ref="C318">_xlfn.XLOOKUP(B318, DB[samplingPoint], DB[samplingTag])</f>
        <v>V50-61(10)</v>
      </c>
      <c r="D318" s="33" t="s">
        <v>59</v>
      </c>
      <c r="E318" s="39" t="str">
        <f t="array" ref="E318">_xlfn.XLOOKUP($B318, DB[samplingPoint], DB[noLocation])</f>
        <v>WATER SYSTEM (B10)</v>
      </c>
      <c r="F318" s="40" t="str">
        <f t="array" ref="F318">_xlfn.XLOOKUP($B318, DB[samplingPoint], DB[building])</f>
        <v>Building 10</v>
      </c>
      <c r="G318" s="40" t="str">
        <f t="array" ref="G318">_xlfn.XLOOKUP($B318, DB[samplingPoint], DB[location])</f>
        <v>After Cartridge filter 5 µm (B10)</v>
      </c>
      <c r="H318" s="40" t="str">
        <f t="array" ref="H318">_xlfn.XLOOKUP($B318, DB[samplingPoint], DB[waterType])</f>
        <v>PRW</v>
      </c>
      <c r="I318" s="60">
        <f t="shared" si="1"/>
        <v>45815</v>
      </c>
      <c r="J318" s="192">
        <f t="shared" si="2"/>
        <v>45818</v>
      </c>
      <c r="K318" s="32">
        <v>534.0</v>
      </c>
      <c r="L318" s="32">
        <v>626.0</v>
      </c>
      <c r="M318" s="32">
        <f t="shared" si="3"/>
        <v>580</v>
      </c>
      <c r="N318" s="32" t="s">
        <v>376</v>
      </c>
      <c r="O318" s="32">
        <v>500.0</v>
      </c>
      <c r="P318" s="50" t="str">
        <f t="shared" si="6"/>
        <v>NOT-PASSED</v>
      </c>
      <c r="Q318" s="50" t="str">
        <f t="shared" si="5"/>
        <v>WA</v>
      </c>
    </row>
    <row r="319" ht="22.5" customHeight="1">
      <c r="A319" s="26">
        <v>45814.0</v>
      </c>
      <c r="B319" s="32" t="s">
        <v>368</v>
      </c>
      <c r="C319" s="191" t="str">
        <f t="array" ref="C319">_xlfn.XLOOKUP(B319, DB[samplingPoint], DB[samplingTag])</f>
        <v>V50-11C(10)</v>
      </c>
      <c r="D319" s="33" t="s">
        <v>59</v>
      </c>
      <c r="E319" s="39" t="str">
        <f t="array" ref="E319">_xlfn.XLOOKUP($B319, DB[samplingPoint], DB[noLocation])</f>
        <v>WATER SYSTEM (B10)</v>
      </c>
      <c r="F319" s="40" t="str">
        <f t="array" ref="F319">_xlfn.XLOOKUP($B319, DB[samplingPoint], DB[building])</f>
        <v>Building 10</v>
      </c>
      <c r="G319" s="40" t="str">
        <f t="array" ref="G319">_xlfn.XLOOKUP($B319, DB[samplingPoint], DB[location])</f>
        <v>After RO (Before EDI) (B10)</v>
      </c>
      <c r="H319" s="40" t="str">
        <f t="array" ref="H319">_xlfn.XLOOKUP($B319, DB[samplingPoint], DB[waterType])</f>
        <v>RO water</v>
      </c>
      <c r="I319" s="60">
        <f t="shared" si="1"/>
        <v>45815</v>
      </c>
      <c r="J319" s="192">
        <f t="shared" si="2"/>
        <v>45818</v>
      </c>
      <c r="K319" s="32">
        <v>0.0</v>
      </c>
      <c r="L319" s="32">
        <v>0.0</v>
      </c>
      <c r="M319" s="32">
        <f t="shared" si="3"/>
        <v>0</v>
      </c>
      <c r="N319" s="32" t="s">
        <v>376</v>
      </c>
      <c r="O319" s="32">
        <v>500.0</v>
      </c>
      <c r="P319" s="50" t="str">
        <f t="shared" si="6"/>
        <v>PASSED</v>
      </c>
      <c r="Q319" s="50" t="str">
        <f t="shared" si="5"/>
        <v>WA</v>
      </c>
    </row>
    <row r="320" ht="22.5" customHeight="1">
      <c r="A320" s="26">
        <v>45814.0</v>
      </c>
      <c r="B320" s="32" t="s">
        <v>499</v>
      </c>
      <c r="C320" s="191" t="str">
        <f t="array" ref="C320">_xlfn.XLOOKUP(B320, DB[samplingPoint], DB[samplingTag])</f>
        <v>SV116.01</v>
      </c>
      <c r="D320" s="33" t="s">
        <v>59</v>
      </c>
      <c r="E320" s="39" t="str">
        <f t="array" ref="E320">_xlfn.XLOOKUP($B320, DB[samplingPoint], DB[noLocation])</f>
        <v>10-2-021</v>
      </c>
      <c r="F320" s="40" t="str">
        <f t="array" ref="F320">_xlfn.XLOOKUP($B320, DB[samplingPoint], DB[building])</f>
        <v>Building 10</v>
      </c>
      <c r="G320" s="40" t="str">
        <f t="array" ref="G320">_xlfn.XLOOKUP($B320, DB[samplingPoint], DB[location])</f>
        <v>INSTRUMENT-1</v>
      </c>
      <c r="H320" s="40" t="str">
        <f t="array" ref="H320">_xlfn.XLOOKUP($B320, DB[samplingPoint], DB[waterType])</f>
        <v>PW</v>
      </c>
      <c r="I320" s="60">
        <f t="shared" si="1"/>
        <v>45815</v>
      </c>
      <c r="J320" s="192">
        <f t="shared" si="2"/>
        <v>45818</v>
      </c>
      <c r="K320" s="32">
        <v>0.0</v>
      </c>
      <c r="L320" s="32">
        <v>0.0</v>
      </c>
      <c r="M320" s="32">
        <f t="shared" si="3"/>
        <v>0</v>
      </c>
      <c r="N320" s="32" t="s">
        <v>376</v>
      </c>
      <c r="O320" s="32">
        <v>100.0</v>
      </c>
      <c r="P320" s="50" t="str">
        <f t="shared" si="6"/>
        <v>PASSED</v>
      </c>
      <c r="Q320" s="50" t="str">
        <f t="shared" si="5"/>
        <v>10</v>
      </c>
    </row>
    <row r="321" ht="22.5" customHeight="1">
      <c r="A321" s="26">
        <v>45814.0</v>
      </c>
      <c r="B321" s="32" t="s">
        <v>498</v>
      </c>
      <c r="C321" s="191" t="str">
        <f t="array" ref="C321">_xlfn.XLOOKUP(B321, DB[samplingPoint], DB[samplingTag])</f>
        <v>SV116.02</v>
      </c>
      <c r="D321" s="33" t="s">
        <v>59</v>
      </c>
      <c r="E321" s="39" t="str">
        <f t="array" ref="E321">_xlfn.XLOOKUP($B321, DB[samplingPoint], DB[noLocation])</f>
        <v>10-2-037</v>
      </c>
      <c r="F321" s="40" t="str">
        <f t="array" ref="F321">_xlfn.XLOOKUP($B321, DB[samplingPoint], DB[building])</f>
        <v>Building 10</v>
      </c>
      <c r="G321" s="40" t="str">
        <f t="array" ref="G321">_xlfn.XLOOKUP($B321, DB[samplingPoint], DB[location])</f>
        <v>SKID FOR BIN WASHING-2</v>
      </c>
      <c r="H321" s="40" t="str">
        <f t="array" ref="H321">_xlfn.XLOOKUP($B321, DB[samplingPoint], DB[waterType])</f>
        <v>PW</v>
      </c>
      <c r="I321" s="60">
        <f t="shared" si="1"/>
        <v>45815</v>
      </c>
      <c r="J321" s="192">
        <f t="shared" si="2"/>
        <v>45818</v>
      </c>
      <c r="K321" s="32">
        <v>0.0</v>
      </c>
      <c r="L321" s="32">
        <v>0.0</v>
      </c>
      <c r="M321" s="32">
        <f t="shared" si="3"/>
        <v>0</v>
      </c>
      <c r="N321" s="32" t="s">
        <v>376</v>
      </c>
      <c r="O321" s="32">
        <v>100.0</v>
      </c>
      <c r="P321" s="50" t="str">
        <f t="shared" si="6"/>
        <v>PASSED</v>
      </c>
      <c r="Q321" s="50" t="str">
        <f t="shared" si="5"/>
        <v>10</v>
      </c>
    </row>
    <row r="322" ht="22.5" customHeight="1">
      <c r="A322" s="26">
        <v>45814.0</v>
      </c>
      <c r="B322" s="32" t="s">
        <v>502</v>
      </c>
      <c r="C322" s="191" t="str">
        <f t="array" ref="C322">_xlfn.XLOOKUP(B322, DB[samplingPoint], DB[samplingTag])</f>
        <v>DV116.26</v>
      </c>
      <c r="D322" s="33" t="s">
        <v>59</v>
      </c>
      <c r="E322" s="39" t="str">
        <f t="array" ref="E322">_xlfn.XLOOKUP($B322, DB[samplingPoint], DB[noLocation])</f>
        <v>10-4-015</v>
      </c>
      <c r="F322" s="40" t="str">
        <f t="array" ref="F322">_xlfn.XLOOKUP($B322, DB[samplingPoint], DB[building])</f>
        <v>Building 10</v>
      </c>
      <c r="G322" s="40" t="str">
        <f t="array" ref="G322">_xlfn.XLOOKUP($B322, DB[samplingPoint], DB[location])</f>
        <v>WATER SYSTEM ROOM</v>
      </c>
      <c r="H322" s="40" t="str">
        <f t="array" ref="H322">_xlfn.XLOOKUP($B322, DB[samplingPoint], DB[waterType])</f>
        <v>PW</v>
      </c>
      <c r="I322" s="60">
        <f t="shared" si="1"/>
        <v>45815</v>
      </c>
      <c r="J322" s="192">
        <f t="shared" si="2"/>
        <v>45818</v>
      </c>
      <c r="K322" s="32">
        <v>0.0</v>
      </c>
      <c r="L322" s="32">
        <v>0.0</v>
      </c>
      <c r="M322" s="32">
        <f t="shared" si="3"/>
        <v>0</v>
      </c>
      <c r="N322" s="32" t="s">
        <v>376</v>
      </c>
      <c r="O322" s="32">
        <v>100.0</v>
      </c>
      <c r="P322" s="50" t="str">
        <f t="shared" si="6"/>
        <v>PASSED</v>
      </c>
      <c r="Q322" s="50" t="str">
        <f t="shared" si="5"/>
        <v>10</v>
      </c>
    </row>
    <row r="323" ht="22.5" customHeight="1">
      <c r="A323" s="26">
        <v>45814.0</v>
      </c>
      <c r="B323" s="32" t="s">
        <v>494</v>
      </c>
      <c r="C323" s="191" t="str">
        <f t="array" ref="C323">_xlfn.XLOOKUP(B323, DB[samplingPoint], DB[samplingTag])</f>
        <v>SV116.17</v>
      </c>
      <c r="D323" s="33" t="s">
        <v>59</v>
      </c>
      <c r="E323" s="39" t="str">
        <f t="array" ref="E323">_xlfn.XLOOKUP($B323, DB[samplingPoint], DB[noLocation])</f>
        <v>10-4-012</v>
      </c>
      <c r="F323" s="40" t="str">
        <f t="array" ref="F323">_xlfn.XLOOKUP($B323, DB[samplingPoint], DB[building])</f>
        <v>Building 10</v>
      </c>
      <c r="G323" s="40" t="str">
        <f t="array" ref="G323">_xlfn.XLOOKUP($B323, DB[samplingPoint], DB[location])</f>
        <v>CIP SKID-2 FOR BIN WASHING-1</v>
      </c>
      <c r="H323" s="40" t="str">
        <f t="array" ref="H323">_xlfn.XLOOKUP($B323, DB[samplingPoint], DB[waterType])</f>
        <v>PW</v>
      </c>
      <c r="I323" s="60">
        <f t="shared" si="1"/>
        <v>45815</v>
      </c>
      <c r="J323" s="192">
        <f t="shared" si="2"/>
        <v>45818</v>
      </c>
      <c r="K323" s="32">
        <v>0.0</v>
      </c>
      <c r="L323" s="32">
        <v>0.0</v>
      </c>
      <c r="M323" s="32">
        <f t="shared" si="3"/>
        <v>0</v>
      </c>
      <c r="N323" s="32" t="s">
        <v>376</v>
      </c>
      <c r="O323" s="32">
        <v>100.0</v>
      </c>
      <c r="P323" s="50" t="str">
        <f t="shared" si="6"/>
        <v>PASSED</v>
      </c>
      <c r="Q323" s="50" t="str">
        <f t="shared" si="5"/>
        <v>10</v>
      </c>
    </row>
    <row r="324" ht="22.5" customHeight="1">
      <c r="A324" s="26">
        <v>45814.0</v>
      </c>
      <c r="B324" s="32" t="s">
        <v>495</v>
      </c>
      <c r="C324" s="191" t="str">
        <f t="array" ref="C324">_xlfn.XLOOKUP(B324, DB[samplingPoint], DB[samplingTag])</f>
        <v>SV116.18</v>
      </c>
      <c r="D324" s="33" t="s">
        <v>59</v>
      </c>
      <c r="E324" s="39" t="str">
        <f t="array" ref="E324">_xlfn.XLOOKUP($B324, DB[samplingPoint], DB[noLocation])</f>
        <v>10-4-012</v>
      </c>
      <c r="F324" s="40" t="str">
        <f t="array" ref="F324">_xlfn.XLOOKUP($B324, DB[samplingPoint], DB[building])</f>
        <v>Building 10</v>
      </c>
      <c r="G324" s="40" t="str">
        <f t="array" ref="G324">_xlfn.XLOOKUP($B324, DB[samplingPoint], DB[location])</f>
        <v>WIP SKID-1 FOR GRANULATION NON POTENT</v>
      </c>
      <c r="H324" s="40" t="str">
        <f t="array" ref="H324">_xlfn.XLOOKUP($B324, DB[samplingPoint], DB[waterType])</f>
        <v>PW</v>
      </c>
      <c r="I324" s="60">
        <f t="shared" si="1"/>
        <v>45815</v>
      </c>
      <c r="J324" s="192">
        <f t="shared" si="2"/>
        <v>45818</v>
      </c>
      <c r="K324" s="32">
        <v>0.0</v>
      </c>
      <c r="L324" s="32">
        <v>0.0</v>
      </c>
      <c r="M324" s="32">
        <f t="shared" si="3"/>
        <v>0</v>
      </c>
      <c r="N324" s="32" t="s">
        <v>376</v>
      </c>
      <c r="O324" s="32">
        <v>100.0</v>
      </c>
      <c r="P324" s="50" t="str">
        <f t="shared" si="6"/>
        <v>PASSED</v>
      </c>
      <c r="Q324" s="50" t="str">
        <f t="shared" si="5"/>
        <v>10</v>
      </c>
    </row>
    <row r="325" ht="22.5" customHeight="1">
      <c r="A325" s="26">
        <v>45814.0</v>
      </c>
      <c r="B325" s="32" t="s">
        <v>493</v>
      </c>
      <c r="C325" s="191" t="str">
        <f t="array" ref="C325">_xlfn.XLOOKUP(B325, DB[samplingPoint], DB[samplingTag])</f>
        <v>SV116.16</v>
      </c>
      <c r="D325" s="33" t="s">
        <v>59</v>
      </c>
      <c r="E325" s="39" t="str">
        <f t="array" ref="E325">_xlfn.XLOOKUP($B325, DB[samplingPoint], DB[noLocation])</f>
        <v>10-4-012</v>
      </c>
      <c r="F325" s="40" t="str">
        <f t="array" ref="F325">_xlfn.XLOOKUP($B325, DB[samplingPoint], DB[building])</f>
        <v>Building 10</v>
      </c>
      <c r="G325" s="40" t="str">
        <f t="array" ref="G325">_xlfn.XLOOKUP($B325, DB[samplingPoint], DB[location])</f>
        <v>WIP SKID-3 FOR GRANULATION POTENT</v>
      </c>
      <c r="H325" s="40" t="str">
        <f t="array" ref="H325">_xlfn.XLOOKUP($B325, DB[samplingPoint], DB[waterType])</f>
        <v>PW</v>
      </c>
      <c r="I325" s="60">
        <f t="shared" si="1"/>
        <v>45815</v>
      </c>
      <c r="J325" s="192">
        <f t="shared" si="2"/>
        <v>45818</v>
      </c>
      <c r="K325" s="32">
        <v>0.0</v>
      </c>
      <c r="L325" s="32">
        <v>0.0</v>
      </c>
      <c r="M325" s="32">
        <f t="shared" si="3"/>
        <v>0</v>
      </c>
      <c r="N325" s="32" t="s">
        <v>376</v>
      </c>
      <c r="O325" s="32">
        <v>100.0</v>
      </c>
      <c r="P325" s="50" t="str">
        <f t="shared" si="6"/>
        <v>PASSED</v>
      </c>
      <c r="Q325" s="50" t="str">
        <f t="shared" si="5"/>
        <v>10</v>
      </c>
    </row>
    <row r="326" ht="22.5" customHeight="1">
      <c r="A326" s="26">
        <v>45814.0</v>
      </c>
      <c r="B326" s="32" t="s">
        <v>491</v>
      </c>
      <c r="C326" s="191" t="str">
        <f t="array" ref="C326">_xlfn.XLOOKUP(B326, DB[samplingPoint], DB[samplingTag])</f>
        <v>SV116.15</v>
      </c>
      <c r="D326" s="33" t="s">
        <v>59</v>
      </c>
      <c r="E326" s="39" t="str">
        <f t="array" ref="E326">_xlfn.XLOOKUP($B326, DB[samplingPoint], DB[noLocation])</f>
        <v>10-4-012</v>
      </c>
      <c r="F326" s="40" t="str">
        <f t="array" ref="F326">_xlfn.XLOOKUP($B326, DB[samplingPoint], DB[building])</f>
        <v>Building 10</v>
      </c>
      <c r="G326" s="40" t="str">
        <f t="array" ref="G326">_xlfn.XLOOKUP($B326, DB[samplingPoint], DB[location])</f>
        <v>CIP SKID-1 FOR BIN WASHING-1</v>
      </c>
      <c r="H326" s="40" t="str">
        <f t="array" ref="H326">_xlfn.XLOOKUP($B326, DB[samplingPoint], DB[waterType])</f>
        <v>PW</v>
      </c>
      <c r="I326" s="60">
        <f t="shared" si="1"/>
        <v>45815</v>
      </c>
      <c r="J326" s="192">
        <f t="shared" si="2"/>
        <v>45818</v>
      </c>
      <c r="K326" s="32">
        <v>0.0</v>
      </c>
      <c r="L326" s="32">
        <v>0.0</v>
      </c>
      <c r="M326" s="32">
        <f t="shared" si="3"/>
        <v>0</v>
      </c>
      <c r="N326" s="32" t="s">
        <v>376</v>
      </c>
      <c r="O326" s="32">
        <v>100.0</v>
      </c>
      <c r="P326" s="50" t="str">
        <f t="shared" si="6"/>
        <v>PASSED</v>
      </c>
      <c r="Q326" s="50" t="str">
        <f t="shared" si="5"/>
        <v>10</v>
      </c>
    </row>
    <row r="327" ht="22.5" customHeight="1">
      <c r="A327" s="26">
        <v>45814.0</v>
      </c>
      <c r="B327" s="32" t="s">
        <v>496</v>
      </c>
      <c r="C327" s="191" t="str">
        <f t="array" ref="C327">_xlfn.XLOOKUP(B327, DB[samplingPoint], DB[samplingTag])</f>
        <v>SV116.19</v>
      </c>
      <c r="D327" s="33" t="s">
        <v>59</v>
      </c>
      <c r="E327" s="39" t="str">
        <f t="array" ref="E327">_xlfn.XLOOKUP($B327, DB[samplingPoint], DB[noLocation])</f>
        <v>10-4-012</v>
      </c>
      <c r="F327" s="40" t="str">
        <f t="array" ref="F327">_xlfn.XLOOKUP($B327, DB[samplingPoint], DB[building])</f>
        <v>Building 10</v>
      </c>
      <c r="G327" s="40" t="str">
        <f t="array" ref="G327">_xlfn.XLOOKUP($B327, DB[samplingPoint], DB[location])</f>
        <v>WIP SKID-2 FOR GRANULATION NON POTENT</v>
      </c>
      <c r="H327" s="40" t="str">
        <f t="array" ref="H327">_xlfn.XLOOKUP($B327, DB[samplingPoint], DB[waterType])</f>
        <v>PW</v>
      </c>
      <c r="I327" s="60">
        <f t="shared" si="1"/>
        <v>45815</v>
      </c>
      <c r="J327" s="192">
        <f t="shared" si="2"/>
        <v>45818</v>
      </c>
      <c r="K327" s="32">
        <v>34.0</v>
      </c>
      <c r="L327" s="32">
        <v>40.0</v>
      </c>
      <c r="M327" s="32">
        <f t="shared" si="3"/>
        <v>37</v>
      </c>
      <c r="N327" s="32" t="s">
        <v>376</v>
      </c>
      <c r="O327" s="32">
        <v>100.0</v>
      </c>
      <c r="P327" s="50" t="str">
        <f t="shared" si="6"/>
        <v>PASSED</v>
      </c>
      <c r="Q327" s="50" t="str">
        <f t="shared" si="5"/>
        <v>10</v>
      </c>
    </row>
    <row r="328" ht="22.5" customHeight="1">
      <c r="A328" s="26">
        <v>45814.0</v>
      </c>
      <c r="B328" s="32" t="s">
        <v>431</v>
      </c>
      <c r="C328" s="191" t="str">
        <f t="array" ref="C328">_xlfn.XLOOKUP(B328, DB[samplingPoint], DB[samplingTag])</f>
        <v>SV-14</v>
      </c>
      <c r="D328" s="33" t="s">
        <v>59</v>
      </c>
      <c r="E328" s="39" t="str">
        <f t="array" ref="E328">_xlfn.XLOOKUP($B328, DB[samplingPoint], DB[noLocation])</f>
        <v>PROCESS WATER (B19)</v>
      </c>
      <c r="F328" s="40" t="str">
        <f t="array" ref="F328">_xlfn.XLOOKUP($B328, DB[samplingPoint], DB[building])</f>
        <v>Building 19</v>
      </c>
      <c r="G328" s="40" t="str">
        <f t="array" ref="G328">_xlfn.XLOOKUP($B328, DB[samplingPoint], DB[location])</f>
        <v>AFTER RO SYSTEM NO.12 SV14</v>
      </c>
      <c r="H328" s="40" t="str">
        <f t="array" ref="H328">_xlfn.XLOOKUP($B328, DB[samplingPoint], DB[waterType])</f>
        <v>PRW</v>
      </c>
      <c r="I328" s="60">
        <f t="shared" si="1"/>
        <v>45815</v>
      </c>
      <c r="J328" s="192">
        <f t="shared" si="2"/>
        <v>45818</v>
      </c>
      <c r="K328" s="32">
        <v>867.0</v>
      </c>
      <c r="L328" s="32">
        <v>760.0</v>
      </c>
      <c r="M328" s="32">
        <f t="shared" si="3"/>
        <v>814</v>
      </c>
      <c r="N328" s="32" t="s">
        <v>376</v>
      </c>
      <c r="O328" s="32">
        <v>500.0</v>
      </c>
      <c r="P328" s="50" t="str">
        <f t="shared" si="6"/>
        <v>NOT-PASSED</v>
      </c>
      <c r="Q328" s="50" t="str">
        <f t="shared" si="5"/>
        <v>PR</v>
      </c>
    </row>
    <row r="329" ht="22.5" customHeight="1">
      <c r="A329" s="26">
        <v>45814.0</v>
      </c>
      <c r="B329" s="32" t="s">
        <v>374</v>
      </c>
      <c r="C329" s="191" t="str">
        <f t="array" ref="C329">_xlfn.XLOOKUP(B329, DB[samplingPoint], DB[samplingTag])</f>
        <v>V50-39(10)</v>
      </c>
      <c r="D329" s="33" t="s">
        <v>59</v>
      </c>
      <c r="E329" s="39" t="str">
        <f t="array" ref="E329">_xlfn.XLOOKUP($B329, DB[samplingPoint], DB[noLocation])</f>
        <v>WATER SYSTEM (B10)</v>
      </c>
      <c r="F329" s="40" t="str">
        <f t="array" ref="F329">_xlfn.XLOOKUP($B329, DB[samplingPoint], DB[building])</f>
        <v>Building 10</v>
      </c>
      <c r="G329" s="40" t="str">
        <f t="array" ref="G329">_xlfn.XLOOKUP($B329, DB[samplingPoint], DB[location])</f>
        <v>After EDI (B10)</v>
      </c>
      <c r="H329" s="40" t="str">
        <f t="array" ref="H329">_xlfn.XLOOKUP($B329, DB[samplingPoint], DB[waterType])</f>
        <v>PW</v>
      </c>
      <c r="I329" s="60">
        <f t="shared" si="1"/>
        <v>45815</v>
      </c>
      <c r="J329" s="192">
        <f t="shared" si="2"/>
        <v>45818</v>
      </c>
      <c r="K329" s="32">
        <v>0.0</v>
      </c>
      <c r="L329" s="32">
        <v>0.0</v>
      </c>
      <c r="M329" s="32">
        <f t="shared" si="3"/>
        <v>0</v>
      </c>
      <c r="N329" s="32" t="s">
        <v>376</v>
      </c>
      <c r="O329" s="32">
        <v>100.0</v>
      </c>
      <c r="P329" s="50" t="str">
        <f t="shared" si="6"/>
        <v>PASSED</v>
      </c>
      <c r="Q329" s="50" t="str">
        <f t="shared" si="5"/>
        <v>WA</v>
      </c>
    </row>
    <row r="330" ht="22.5" customHeight="1">
      <c r="A330" s="26">
        <v>45814.0</v>
      </c>
      <c r="B330" s="32" t="s">
        <v>380</v>
      </c>
      <c r="C330" s="191" t="str">
        <f t="array" ref="C330">_xlfn.XLOOKUP(B330, DB[samplingPoint], DB[samplingTag])</f>
        <v>SV113.01</v>
      </c>
      <c r="D330" s="33" t="s">
        <v>59</v>
      </c>
      <c r="E330" s="39" t="str">
        <f t="array" ref="E330">_xlfn.XLOOKUP($B330, DB[samplingPoint], DB[noLocation])</f>
        <v>WATER SYSTEM (B10)</v>
      </c>
      <c r="F330" s="40" t="str">
        <f t="array" ref="F330">_xlfn.XLOOKUP($B330, DB[samplingPoint], DB[building])</f>
        <v>Building 10</v>
      </c>
      <c r="G330" s="40" t="str">
        <f t="array" ref="G330">_xlfn.XLOOKUP($B330, DB[samplingPoint], DB[location])</f>
        <v>After Storage tank (B10)</v>
      </c>
      <c r="H330" s="40" t="str">
        <f t="array" ref="H330">_xlfn.XLOOKUP($B330, DB[samplingPoint], DB[waterType])</f>
        <v>PW</v>
      </c>
      <c r="I330" s="60">
        <f t="shared" si="1"/>
        <v>45815</v>
      </c>
      <c r="J330" s="192">
        <f t="shared" si="2"/>
        <v>45818</v>
      </c>
      <c r="K330" s="32">
        <v>4.0</v>
      </c>
      <c r="L330" s="32">
        <v>1.0</v>
      </c>
      <c r="M330" s="32">
        <f t="shared" si="3"/>
        <v>3</v>
      </c>
      <c r="N330" s="32" t="s">
        <v>376</v>
      </c>
      <c r="O330" s="32">
        <v>100.0</v>
      </c>
      <c r="P330" s="50" t="str">
        <f t="shared" si="6"/>
        <v>PASSED</v>
      </c>
      <c r="Q330" s="50" t="str">
        <f t="shared" si="5"/>
        <v>WA</v>
      </c>
    </row>
    <row r="331" ht="22.5" customHeight="1">
      <c r="A331" s="26">
        <v>45814.0</v>
      </c>
      <c r="B331" s="32" t="s">
        <v>385</v>
      </c>
      <c r="C331" s="191" t="str">
        <f t="array" ref="C331">_xlfn.XLOOKUP(B331, DB[samplingPoint], DB[samplingTag])</f>
        <v>SV115.02</v>
      </c>
      <c r="D331" s="33" t="s">
        <v>59</v>
      </c>
      <c r="E331" s="39" t="str">
        <f t="array" ref="E331">_xlfn.XLOOKUP($B331, DB[samplingPoint], DB[noLocation])</f>
        <v>WATER SYSTEM (B10)</v>
      </c>
      <c r="F331" s="40" t="str">
        <f t="array" ref="F331">_xlfn.XLOOKUP($B331, DB[samplingPoint], DB[building])</f>
        <v>Building 10</v>
      </c>
      <c r="G331" s="40" t="str">
        <f t="array" ref="G331">_xlfn.XLOOKUP($B331, DB[samplingPoint], DB[location])</f>
        <v>After UV (B10)</v>
      </c>
      <c r="H331" s="40" t="str">
        <f t="array" ref="H331">_xlfn.XLOOKUP($B331, DB[samplingPoint], DB[waterType])</f>
        <v>PW</v>
      </c>
      <c r="I331" s="60">
        <f t="shared" si="1"/>
        <v>45815</v>
      </c>
      <c r="J331" s="192">
        <f t="shared" si="2"/>
        <v>45818</v>
      </c>
      <c r="K331" s="32">
        <v>0.0</v>
      </c>
      <c r="L331" s="32">
        <v>0.0</v>
      </c>
      <c r="M331" s="32">
        <f t="shared" si="3"/>
        <v>0</v>
      </c>
      <c r="N331" s="32" t="s">
        <v>376</v>
      </c>
      <c r="O331" s="32">
        <v>100.0</v>
      </c>
      <c r="P331" s="50" t="str">
        <f t="shared" si="6"/>
        <v>PASSED</v>
      </c>
      <c r="Q331" s="50" t="str">
        <f t="shared" si="5"/>
        <v>WA</v>
      </c>
    </row>
    <row r="332" ht="22.5" customHeight="1">
      <c r="A332" s="26">
        <v>45814.0</v>
      </c>
      <c r="B332" s="32" t="s">
        <v>390</v>
      </c>
      <c r="C332" s="191" t="str">
        <f t="array" ref="C332">_xlfn.XLOOKUP(B332, DB[samplingPoint], DB[samplingTag])</f>
        <v>SV117.01</v>
      </c>
      <c r="D332" s="33" t="s">
        <v>59</v>
      </c>
      <c r="E332" s="39" t="str">
        <f t="array" ref="E332">_xlfn.XLOOKUP($B332, DB[samplingPoint], DB[noLocation])</f>
        <v>WATER SYSTEM (B10)</v>
      </c>
      <c r="F332" s="40" t="str">
        <f t="array" ref="F332">_xlfn.XLOOKUP($B332, DB[samplingPoint], DB[building])</f>
        <v>Building 10</v>
      </c>
      <c r="G332" s="40" t="str">
        <f t="array" ref="G332">_xlfn.XLOOKUP($B332, DB[samplingPoint], DB[location])</f>
        <v>Return loop (B10)</v>
      </c>
      <c r="H332" s="40" t="str">
        <f t="array" ref="H332">_xlfn.XLOOKUP($B332, DB[samplingPoint], DB[waterType])</f>
        <v>PW</v>
      </c>
      <c r="I332" s="60">
        <f t="shared" si="1"/>
        <v>45815</v>
      </c>
      <c r="J332" s="192">
        <f t="shared" si="2"/>
        <v>45818</v>
      </c>
      <c r="K332" s="32">
        <v>0.0</v>
      </c>
      <c r="L332" s="32">
        <v>0.0</v>
      </c>
      <c r="M332" s="32">
        <f t="shared" si="3"/>
        <v>0</v>
      </c>
      <c r="N332" s="32" t="s">
        <v>376</v>
      </c>
      <c r="O332" s="32">
        <v>100.0</v>
      </c>
      <c r="P332" s="50" t="str">
        <f t="shared" si="6"/>
        <v>PASSED</v>
      </c>
      <c r="Q332" s="50" t="str">
        <f t="shared" si="5"/>
        <v>WA</v>
      </c>
    </row>
    <row r="333" ht="22.5" customHeight="1">
      <c r="A333" s="26">
        <v>45819.0</v>
      </c>
      <c r="B333" s="32" t="s">
        <v>349</v>
      </c>
      <c r="C333" s="191" t="str">
        <f t="array" ref="C333">_xlfn.XLOOKUP(B333, DB[samplingPoint], DB[samplingTag])</f>
        <v>VB-05(10)</v>
      </c>
      <c r="D333" s="33" t="s">
        <v>59</v>
      </c>
      <c r="E333" s="39" t="str">
        <f t="array" ref="E333">_xlfn.XLOOKUP($B333, DB[samplingPoint], DB[noLocation])</f>
        <v>WATER SYSTEM (B10)</v>
      </c>
      <c r="F333" s="40" t="str">
        <f t="array" ref="F333">_xlfn.XLOOKUP($B333, DB[samplingPoint], DB[building])</f>
        <v>Building 10</v>
      </c>
      <c r="G333" s="40" t="str">
        <f t="array" ref="G333">_xlfn.XLOOKUP($B333, DB[samplingPoint], DB[location])</f>
        <v>After Chlorine circulation tank (B10)</v>
      </c>
      <c r="H333" s="40" t="str">
        <f t="array" ref="H333">_xlfn.XLOOKUP($B333, DB[samplingPoint], DB[waterType])</f>
        <v>PRW</v>
      </c>
      <c r="I333" s="60">
        <f t="shared" si="1"/>
        <v>45820</v>
      </c>
      <c r="J333" s="192">
        <f t="shared" si="2"/>
        <v>45823</v>
      </c>
      <c r="K333" s="32">
        <v>4.0</v>
      </c>
      <c r="L333" s="32">
        <v>4.0</v>
      </c>
      <c r="M333" s="32">
        <f t="shared" si="3"/>
        <v>4</v>
      </c>
      <c r="N333" s="32" t="s">
        <v>376</v>
      </c>
      <c r="O333" s="32">
        <v>500.0</v>
      </c>
      <c r="P333" s="50" t="str">
        <f t="shared" si="6"/>
        <v>PASSED</v>
      </c>
      <c r="Q333" s="50" t="str">
        <f t="shared" si="5"/>
        <v>WA</v>
      </c>
    </row>
    <row r="334" ht="22.5" customHeight="1">
      <c r="A334" s="26">
        <v>45819.0</v>
      </c>
      <c r="B334" s="32" t="s">
        <v>366</v>
      </c>
      <c r="C334" s="191" t="str">
        <f t="array" ref="C334">_xlfn.XLOOKUP(B334, DB[samplingPoint], DB[samplingTag])</f>
        <v>V50-61(10)</v>
      </c>
      <c r="D334" s="33" t="s">
        <v>59</v>
      </c>
      <c r="E334" s="39" t="str">
        <f t="array" ref="E334">_xlfn.XLOOKUP($B334, DB[samplingPoint], DB[noLocation])</f>
        <v>WATER SYSTEM (B10)</v>
      </c>
      <c r="F334" s="40" t="str">
        <f t="array" ref="F334">_xlfn.XLOOKUP($B334, DB[samplingPoint], DB[building])</f>
        <v>Building 10</v>
      </c>
      <c r="G334" s="40" t="str">
        <f t="array" ref="G334">_xlfn.XLOOKUP($B334, DB[samplingPoint], DB[location])</f>
        <v>After Cartridge filter 5 µm (B10)</v>
      </c>
      <c r="H334" s="40" t="str">
        <f t="array" ref="H334">_xlfn.XLOOKUP($B334, DB[samplingPoint], DB[waterType])</f>
        <v>PRW</v>
      </c>
      <c r="I334" s="60">
        <f t="shared" si="1"/>
        <v>45820</v>
      </c>
      <c r="J334" s="192">
        <f t="shared" si="2"/>
        <v>45823</v>
      </c>
      <c r="K334" s="32">
        <v>960.0</v>
      </c>
      <c r="L334" s="32">
        <v>823.0</v>
      </c>
      <c r="M334" s="32">
        <f t="shared" si="3"/>
        <v>892</v>
      </c>
      <c r="N334" s="32" t="s">
        <v>376</v>
      </c>
      <c r="O334" s="32">
        <v>500.0</v>
      </c>
      <c r="P334" s="50" t="str">
        <f t="shared" si="6"/>
        <v>NOT-PASSED</v>
      </c>
      <c r="Q334" s="50" t="str">
        <f t="shared" si="5"/>
        <v>WA</v>
      </c>
    </row>
    <row r="335" ht="22.5" customHeight="1">
      <c r="A335" s="26">
        <v>45819.0</v>
      </c>
      <c r="B335" s="32" t="s">
        <v>368</v>
      </c>
      <c r="C335" s="191" t="str">
        <f t="array" ref="C335">_xlfn.XLOOKUP(B335, DB[samplingPoint], DB[samplingTag])</f>
        <v>V50-11C(10)</v>
      </c>
      <c r="D335" s="33" t="s">
        <v>59</v>
      </c>
      <c r="E335" s="39" t="str">
        <f t="array" ref="E335">_xlfn.XLOOKUP($B335, DB[samplingPoint], DB[noLocation])</f>
        <v>WATER SYSTEM (B10)</v>
      </c>
      <c r="F335" s="40" t="str">
        <f t="array" ref="F335">_xlfn.XLOOKUP($B335, DB[samplingPoint], DB[building])</f>
        <v>Building 10</v>
      </c>
      <c r="G335" s="40" t="str">
        <f t="array" ref="G335">_xlfn.XLOOKUP($B335, DB[samplingPoint], DB[location])</f>
        <v>After RO (Before EDI) (B10)</v>
      </c>
      <c r="H335" s="40" t="str">
        <f t="array" ref="H335">_xlfn.XLOOKUP($B335, DB[samplingPoint], DB[waterType])</f>
        <v>RO water</v>
      </c>
      <c r="I335" s="60">
        <f t="shared" si="1"/>
        <v>45820</v>
      </c>
      <c r="J335" s="192">
        <f t="shared" si="2"/>
        <v>45823</v>
      </c>
      <c r="K335" s="32">
        <v>0.0</v>
      </c>
      <c r="L335" s="32">
        <v>0.0</v>
      </c>
      <c r="M335" s="32">
        <f t="shared" si="3"/>
        <v>0</v>
      </c>
      <c r="N335" s="32" t="s">
        <v>376</v>
      </c>
      <c r="O335" s="32">
        <v>500.0</v>
      </c>
      <c r="P335" s="50" t="str">
        <f t="shared" si="6"/>
        <v>PASSED</v>
      </c>
      <c r="Q335" s="50" t="str">
        <f t="shared" si="5"/>
        <v>WA</v>
      </c>
    </row>
    <row r="336" ht="22.5" customHeight="1">
      <c r="A336" s="26">
        <v>45819.0</v>
      </c>
      <c r="B336" s="32" t="s">
        <v>476</v>
      </c>
      <c r="C336" s="191" t="str">
        <f t="array" ref="C336">_xlfn.XLOOKUP(B336, DB[samplingPoint], DB[samplingTag])</f>
        <v>DV116.12</v>
      </c>
      <c r="D336" s="33" t="s">
        <v>59</v>
      </c>
      <c r="E336" s="39" t="str">
        <f t="array" ref="E336">_xlfn.XLOOKUP($B336, DB[samplingPoint], DB[noLocation])</f>
        <v>10-3-078</v>
      </c>
      <c r="F336" s="40" t="str">
        <f t="array" ref="F336">_xlfn.XLOOKUP($B336, DB[samplingPoint], DB[building])</f>
        <v>Building 10</v>
      </c>
      <c r="G336" s="40" t="str">
        <f t="array" ref="G336">_xlfn.XLOOKUP($B336, DB[samplingPoint], DB[location])</f>
        <v>WASHING</v>
      </c>
      <c r="H336" s="40" t="str">
        <f t="array" ref="H336">_xlfn.XLOOKUP($B336, DB[samplingPoint], DB[waterType])</f>
        <v>PW</v>
      </c>
      <c r="I336" s="60">
        <f t="shared" si="1"/>
        <v>45820</v>
      </c>
      <c r="J336" s="192">
        <f t="shared" si="2"/>
        <v>45823</v>
      </c>
      <c r="K336" s="32">
        <v>0.0</v>
      </c>
      <c r="L336" s="32">
        <v>0.0</v>
      </c>
      <c r="M336" s="32">
        <f t="shared" si="3"/>
        <v>0</v>
      </c>
      <c r="N336" s="32" t="s">
        <v>376</v>
      </c>
      <c r="O336" s="32">
        <v>100.0</v>
      </c>
      <c r="P336" s="50" t="str">
        <f t="shared" si="6"/>
        <v>PASSED</v>
      </c>
      <c r="Q336" s="50" t="str">
        <f t="shared" si="5"/>
        <v>10</v>
      </c>
    </row>
    <row r="337" ht="22.5" customHeight="1">
      <c r="A337" s="26">
        <v>45819.0</v>
      </c>
      <c r="B337" s="32" t="s">
        <v>490</v>
      </c>
      <c r="C337" s="191" t="str">
        <f t="array" ref="C337">_xlfn.XLOOKUP(B337, DB[samplingPoint], DB[samplingTag])</f>
        <v>SV116.09</v>
      </c>
      <c r="D337" s="33" t="s">
        <v>59</v>
      </c>
      <c r="E337" s="39" t="str">
        <f t="array" ref="E337">_xlfn.XLOOKUP($B337, DB[samplingPoint], DB[noLocation])</f>
        <v>10-3-078</v>
      </c>
      <c r="F337" s="40" t="str">
        <f t="array" ref="F337">_xlfn.XLOOKUP($B337, DB[samplingPoint], DB[building])</f>
        <v>Building 10</v>
      </c>
      <c r="G337" s="40" t="str">
        <f t="array" ref="G337">_xlfn.XLOOKUP($B337, DB[samplingPoint], DB[location])</f>
        <v>WASHING</v>
      </c>
      <c r="H337" s="40" t="str">
        <f t="array" ref="H337">_xlfn.XLOOKUP($B337, DB[samplingPoint], DB[waterType])</f>
        <v>PW</v>
      </c>
      <c r="I337" s="60">
        <f t="shared" si="1"/>
        <v>45820</v>
      </c>
      <c r="J337" s="192">
        <f t="shared" si="2"/>
        <v>45823</v>
      </c>
      <c r="K337" s="32">
        <v>0.0</v>
      </c>
      <c r="L337" s="32">
        <v>0.0</v>
      </c>
      <c r="M337" s="32">
        <f t="shared" si="3"/>
        <v>0</v>
      </c>
      <c r="N337" s="32" t="s">
        <v>376</v>
      </c>
      <c r="O337" s="32">
        <v>100.0</v>
      </c>
      <c r="P337" s="50" t="str">
        <f t="shared" si="6"/>
        <v>PASSED</v>
      </c>
      <c r="Q337" s="50" t="str">
        <f t="shared" si="5"/>
        <v>10</v>
      </c>
    </row>
    <row r="338" ht="22.5" customHeight="1">
      <c r="A338" s="26">
        <v>45819.0</v>
      </c>
      <c r="B338" s="32" t="s">
        <v>492</v>
      </c>
      <c r="C338" s="191" t="str">
        <f t="array" ref="C338">_xlfn.XLOOKUP(B338, DB[samplingPoint], DB[samplingTag])</f>
        <v>SV116.11</v>
      </c>
      <c r="D338" s="33" t="s">
        <v>59</v>
      </c>
      <c r="E338" s="39" t="str">
        <f t="array" ref="E338">_xlfn.XLOOKUP($B338, DB[samplingPoint], DB[noLocation])</f>
        <v>10-3-107</v>
      </c>
      <c r="F338" s="40" t="str">
        <f t="array" ref="F338">_xlfn.XLOOKUP($B338, DB[samplingPoint], DB[building])</f>
        <v>Building 10</v>
      </c>
      <c r="G338" s="40" t="str">
        <f t="array" ref="G338">_xlfn.XLOOKUP($B338, DB[samplingPoint], DB[location])</f>
        <v>WET GRANULATION-2</v>
      </c>
      <c r="H338" s="40" t="str">
        <f t="array" ref="H338">_xlfn.XLOOKUP($B338, DB[samplingPoint], DB[waterType])</f>
        <v>PW</v>
      </c>
      <c r="I338" s="60">
        <f t="shared" si="1"/>
        <v>45820</v>
      </c>
      <c r="J338" s="192">
        <f t="shared" si="2"/>
        <v>45823</v>
      </c>
      <c r="K338" s="32">
        <v>0.0</v>
      </c>
      <c r="L338" s="32">
        <v>0.0</v>
      </c>
      <c r="M338" s="32">
        <f t="shared" si="3"/>
        <v>0</v>
      </c>
      <c r="N338" s="32" t="s">
        <v>376</v>
      </c>
      <c r="O338" s="32">
        <v>100.0</v>
      </c>
      <c r="P338" s="50" t="str">
        <f t="shared" si="6"/>
        <v>PASSED</v>
      </c>
      <c r="Q338" s="50" t="str">
        <f t="shared" si="5"/>
        <v>10</v>
      </c>
    </row>
    <row r="339" ht="22.5" customHeight="1">
      <c r="A339" s="26">
        <v>45819.0</v>
      </c>
      <c r="B339" s="32" t="s">
        <v>488</v>
      </c>
      <c r="C339" s="191" t="str">
        <f t="array" ref="C339">_xlfn.XLOOKUP(B339, DB[samplingPoint], DB[samplingTag])</f>
        <v>DV116.17</v>
      </c>
      <c r="D339" s="33" t="s">
        <v>59</v>
      </c>
      <c r="E339" s="39" t="str">
        <f t="array" ref="E339">_xlfn.XLOOKUP($B339, DB[samplingPoint], DB[noLocation])</f>
        <v>10-3-117</v>
      </c>
      <c r="F339" s="40" t="str">
        <f t="array" ref="F339">_xlfn.XLOOKUP($B339, DB[samplingPoint], DB[building])</f>
        <v>Building 10</v>
      </c>
      <c r="G339" s="40" t="str">
        <f t="array" ref="G339">_xlfn.XLOOKUP($B339, DB[samplingPoint], DB[location])</f>
        <v>IPQC-2</v>
      </c>
      <c r="H339" s="40" t="str">
        <f t="array" ref="H339">_xlfn.XLOOKUP($B339, DB[samplingPoint], DB[waterType])</f>
        <v>PW</v>
      </c>
      <c r="I339" s="60">
        <f t="shared" si="1"/>
        <v>45820</v>
      </c>
      <c r="J339" s="192">
        <f t="shared" si="2"/>
        <v>45823</v>
      </c>
      <c r="K339" s="32">
        <v>0.0</v>
      </c>
      <c r="L339" s="32">
        <v>0.0</v>
      </c>
      <c r="M339" s="32">
        <f t="shared" si="3"/>
        <v>0</v>
      </c>
      <c r="N339" s="32" t="s">
        <v>376</v>
      </c>
      <c r="O339" s="32">
        <v>100.0</v>
      </c>
      <c r="P339" s="50" t="str">
        <f t="shared" si="6"/>
        <v>PASSED</v>
      </c>
      <c r="Q339" s="50" t="str">
        <f t="shared" si="5"/>
        <v>10</v>
      </c>
    </row>
    <row r="340" ht="22.5" customHeight="1">
      <c r="A340" s="26">
        <v>45819.0</v>
      </c>
      <c r="B340" s="32" t="s">
        <v>489</v>
      </c>
      <c r="C340" s="191" t="str">
        <f t="array" ref="C340">_xlfn.XLOOKUP(B340, DB[samplingPoint], DB[samplingTag])</f>
        <v>DV116.18</v>
      </c>
      <c r="D340" s="33" t="s">
        <v>59</v>
      </c>
      <c r="E340" s="39" t="str">
        <f t="array" ref="E340">_xlfn.XLOOKUP($B340, DB[samplingPoint], DB[noLocation])</f>
        <v>10-3-111</v>
      </c>
      <c r="F340" s="40" t="str">
        <f t="array" ref="F340">_xlfn.XLOOKUP($B340, DB[samplingPoint], DB[building])</f>
        <v>Building 10</v>
      </c>
      <c r="G340" s="40" t="str">
        <f t="array" ref="G340">_xlfn.XLOOKUP($B340, DB[samplingPoint], DB[location])</f>
        <v>WET GRANULATION-5</v>
      </c>
      <c r="H340" s="40" t="str">
        <f t="array" ref="H340">_xlfn.XLOOKUP($B340, DB[samplingPoint], DB[waterType])</f>
        <v>PW</v>
      </c>
      <c r="I340" s="60">
        <f t="shared" si="1"/>
        <v>45820</v>
      </c>
      <c r="J340" s="192">
        <f t="shared" si="2"/>
        <v>45823</v>
      </c>
      <c r="K340" s="32">
        <v>0.0</v>
      </c>
      <c r="L340" s="32">
        <v>0.0</v>
      </c>
      <c r="M340" s="32">
        <f t="shared" si="3"/>
        <v>0</v>
      </c>
      <c r="N340" s="32" t="s">
        <v>376</v>
      </c>
      <c r="O340" s="32">
        <v>100.0</v>
      </c>
      <c r="P340" s="50" t="str">
        <f t="shared" si="6"/>
        <v>PASSED</v>
      </c>
      <c r="Q340" s="50" t="str">
        <f t="shared" si="5"/>
        <v>10</v>
      </c>
    </row>
    <row r="341" ht="22.5" customHeight="1">
      <c r="A341" s="26">
        <v>45819.0</v>
      </c>
      <c r="B341" s="32" t="s">
        <v>485</v>
      </c>
      <c r="C341" s="191" t="str">
        <f t="array" ref="C341">_xlfn.XLOOKUP(B341, DB[samplingPoint], DB[samplingTag])</f>
        <v>DV116.16</v>
      </c>
      <c r="D341" s="33" t="s">
        <v>59</v>
      </c>
      <c r="E341" s="39" t="str">
        <f t="array" ref="E341">_xlfn.XLOOKUP($B341, DB[samplingPoint], DB[noLocation])</f>
        <v>10-3-107</v>
      </c>
      <c r="F341" s="40" t="str">
        <f t="array" ref="F341">_xlfn.XLOOKUP($B341, DB[samplingPoint], DB[building])</f>
        <v>Building 10</v>
      </c>
      <c r="G341" s="40" t="str">
        <f t="array" ref="G341">_xlfn.XLOOKUP($B341, DB[samplingPoint], DB[location])</f>
        <v>WET GRANULATION-2</v>
      </c>
      <c r="H341" s="40" t="str">
        <f t="array" ref="H341">_xlfn.XLOOKUP($B341, DB[samplingPoint], DB[waterType])</f>
        <v>PW</v>
      </c>
      <c r="I341" s="60">
        <f t="shared" si="1"/>
        <v>45820</v>
      </c>
      <c r="J341" s="192">
        <f t="shared" si="2"/>
        <v>45823</v>
      </c>
      <c r="K341" s="32">
        <v>0.0</v>
      </c>
      <c r="L341" s="32">
        <v>0.0</v>
      </c>
      <c r="M341" s="32">
        <f t="shared" si="3"/>
        <v>0</v>
      </c>
      <c r="N341" s="32" t="s">
        <v>376</v>
      </c>
      <c r="O341" s="32">
        <v>100.0</v>
      </c>
      <c r="P341" s="50" t="str">
        <f t="shared" si="6"/>
        <v>PASSED</v>
      </c>
      <c r="Q341" s="50" t="str">
        <f t="shared" si="5"/>
        <v>10</v>
      </c>
    </row>
    <row r="342" ht="22.5" customHeight="1">
      <c r="A342" s="26">
        <v>45819.0</v>
      </c>
      <c r="B342" s="32" t="s">
        <v>119</v>
      </c>
      <c r="C342" s="191" t="str">
        <f t="array" ref="C342">_xlfn.XLOOKUP(B342, DB[samplingPoint], DB[samplingTag])</f>
        <v>DV116.15</v>
      </c>
      <c r="D342" s="33" t="s">
        <v>59</v>
      </c>
      <c r="E342" s="39" t="str">
        <f t="array" ref="E342">_xlfn.XLOOKUP($B342, DB[samplingPoint], DB[noLocation])</f>
        <v>10-3-104</v>
      </c>
      <c r="F342" s="40" t="str">
        <f t="array" ref="F342">_xlfn.XLOOKUP($B342, DB[samplingPoint], DB[building])</f>
        <v>Building 10</v>
      </c>
      <c r="G342" s="40" t="str">
        <f t="array" ref="G342">_xlfn.XLOOKUP($B342, DB[samplingPoint], DB[location])</f>
        <v>BINDER PREPARATION</v>
      </c>
      <c r="H342" s="40" t="str">
        <f t="array" ref="H342">_xlfn.XLOOKUP($B342, DB[samplingPoint], DB[waterType])</f>
        <v>PW</v>
      </c>
      <c r="I342" s="60">
        <f t="shared" si="1"/>
        <v>45820</v>
      </c>
      <c r="J342" s="192">
        <f t="shared" si="2"/>
        <v>45823</v>
      </c>
      <c r="K342" s="32">
        <v>0.0</v>
      </c>
      <c r="L342" s="32">
        <v>0.0</v>
      </c>
      <c r="M342" s="32">
        <f t="shared" si="3"/>
        <v>0</v>
      </c>
      <c r="N342" s="32" t="s">
        <v>376</v>
      </c>
      <c r="O342" s="32">
        <v>100.0</v>
      </c>
      <c r="P342" s="50" t="str">
        <f t="shared" si="6"/>
        <v>PASSED</v>
      </c>
      <c r="Q342" s="50" t="str">
        <f t="shared" si="5"/>
        <v>10</v>
      </c>
    </row>
    <row r="343" ht="22.5" customHeight="1">
      <c r="A343" s="26">
        <v>45819.0</v>
      </c>
      <c r="B343" s="32" t="s">
        <v>479</v>
      </c>
      <c r="C343" s="191" t="str">
        <f t="array" ref="C343">_xlfn.XLOOKUP(B343, DB[samplingPoint], DB[samplingTag])</f>
        <v>DV116.13</v>
      </c>
      <c r="D343" s="33" t="s">
        <v>59</v>
      </c>
      <c r="E343" s="39" t="str">
        <f t="array" ref="E343">_xlfn.XLOOKUP($B343, DB[samplingPoint], DB[noLocation])</f>
        <v>10-3-078</v>
      </c>
      <c r="F343" s="40" t="str">
        <f t="array" ref="F343">_xlfn.XLOOKUP($B343, DB[samplingPoint], DB[building])</f>
        <v>Building 10</v>
      </c>
      <c r="G343" s="40" t="str">
        <f t="array" ref="G343">_xlfn.XLOOKUP($B343, DB[samplingPoint], DB[location])</f>
        <v>WASHING</v>
      </c>
      <c r="H343" s="40" t="str">
        <f t="array" ref="H343">_xlfn.XLOOKUP($B343, DB[samplingPoint], DB[waterType])</f>
        <v>PW</v>
      </c>
      <c r="I343" s="60">
        <f t="shared" si="1"/>
        <v>45820</v>
      </c>
      <c r="J343" s="192">
        <f t="shared" si="2"/>
        <v>45823</v>
      </c>
      <c r="K343" s="32">
        <v>0.0</v>
      </c>
      <c r="L343" s="32">
        <v>0.0</v>
      </c>
      <c r="M343" s="32">
        <f t="shared" si="3"/>
        <v>0</v>
      </c>
      <c r="N343" s="32" t="s">
        <v>376</v>
      </c>
      <c r="O343" s="32">
        <v>100.0</v>
      </c>
      <c r="P343" s="50" t="str">
        <f t="shared" si="6"/>
        <v>PASSED</v>
      </c>
      <c r="Q343" s="50" t="str">
        <f t="shared" si="5"/>
        <v>10</v>
      </c>
    </row>
    <row r="344" ht="22.5" customHeight="1">
      <c r="A344" s="26">
        <v>45819.0</v>
      </c>
      <c r="B344" s="32" t="s">
        <v>482</v>
      </c>
      <c r="C344" s="191" t="str">
        <f t="array" ref="C344">_xlfn.XLOOKUP(B344, DB[samplingPoint], DB[samplingTag])</f>
        <v>DV116.14</v>
      </c>
      <c r="D344" s="33" t="s">
        <v>59</v>
      </c>
      <c r="E344" s="39" t="str">
        <f t="array" ref="E344">_xlfn.XLOOKUP($B344, DB[samplingPoint], DB[noLocation])</f>
        <v>10-3-086</v>
      </c>
      <c r="F344" s="40" t="str">
        <f t="array" ref="F344">_xlfn.XLOOKUP($B344, DB[samplingPoint], DB[building])</f>
        <v>Building 10</v>
      </c>
      <c r="G344" s="40" t="str">
        <f t="array" ref="G344">_xlfn.XLOOKUP($B344, DB[samplingPoint], DB[location])</f>
        <v>TOOL WASHING</v>
      </c>
      <c r="H344" s="40" t="str">
        <f t="array" ref="H344">_xlfn.XLOOKUP($B344, DB[samplingPoint], DB[waterType])</f>
        <v>PW</v>
      </c>
      <c r="I344" s="60">
        <f t="shared" si="1"/>
        <v>45820</v>
      </c>
      <c r="J344" s="192">
        <f t="shared" si="2"/>
        <v>45823</v>
      </c>
      <c r="K344" s="32">
        <v>0.0</v>
      </c>
      <c r="L344" s="32">
        <v>0.0</v>
      </c>
      <c r="M344" s="32">
        <f t="shared" si="3"/>
        <v>0</v>
      </c>
      <c r="N344" s="32" t="s">
        <v>376</v>
      </c>
      <c r="O344" s="32">
        <v>100.0</v>
      </c>
      <c r="P344" s="50" t="str">
        <f t="shared" si="6"/>
        <v>PASSED</v>
      </c>
      <c r="Q344" s="50" t="str">
        <f t="shared" si="5"/>
        <v>10</v>
      </c>
    </row>
    <row r="345" ht="22.5" customHeight="1">
      <c r="A345" s="26">
        <v>45819.0</v>
      </c>
      <c r="B345" s="32" t="s">
        <v>374</v>
      </c>
      <c r="C345" s="191" t="str">
        <f t="array" ref="C345">_xlfn.XLOOKUP(B345, DB[samplingPoint], DB[samplingTag])</f>
        <v>V50-39(10)</v>
      </c>
      <c r="D345" s="33" t="s">
        <v>59</v>
      </c>
      <c r="E345" s="39" t="str">
        <f t="array" ref="E345">_xlfn.XLOOKUP($B345, DB[samplingPoint], DB[noLocation])</f>
        <v>WATER SYSTEM (B10)</v>
      </c>
      <c r="F345" s="40" t="str">
        <f t="array" ref="F345">_xlfn.XLOOKUP($B345, DB[samplingPoint], DB[building])</f>
        <v>Building 10</v>
      </c>
      <c r="G345" s="40" t="str">
        <f t="array" ref="G345">_xlfn.XLOOKUP($B345, DB[samplingPoint], DB[location])</f>
        <v>After EDI (B10)</v>
      </c>
      <c r="H345" s="40" t="str">
        <f t="array" ref="H345">_xlfn.XLOOKUP($B345, DB[samplingPoint], DB[waterType])</f>
        <v>PW</v>
      </c>
      <c r="I345" s="60">
        <f t="shared" si="1"/>
        <v>45820</v>
      </c>
      <c r="J345" s="192">
        <f t="shared" si="2"/>
        <v>45823</v>
      </c>
      <c r="K345" s="32">
        <v>0.0</v>
      </c>
      <c r="L345" s="32">
        <v>0.0</v>
      </c>
      <c r="M345" s="32">
        <f t="shared" si="3"/>
        <v>0</v>
      </c>
      <c r="N345" s="32" t="s">
        <v>376</v>
      </c>
      <c r="O345" s="32">
        <v>100.0</v>
      </c>
      <c r="P345" s="50" t="str">
        <f t="shared" si="6"/>
        <v>PASSED</v>
      </c>
      <c r="Q345" s="50" t="str">
        <f t="shared" si="5"/>
        <v>WA</v>
      </c>
    </row>
    <row r="346" ht="22.5" customHeight="1">
      <c r="A346" s="26">
        <v>45825.0</v>
      </c>
      <c r="B346" s="32" t="s">
        <v>520</v>
      </c>
      <c r="C346" s="191" t="str">
        <f t="array" ref="C346">_xlfn.XLOOKUP(B346, DB[samplingPoint], DB[samplingTag])</f>
        <v>DV116.03</v>
      </c>
      <c r="D346" s="33" t="s">
        <v>59</v>
      </c>
      <c r="E346" s="39" t="str">
        <f t="array" ref="E346">_xlfn.XLOOKUP($B346, DB[samplingPoint], DB[noLocation])</f>
        <v>10-2-034</v>
      </c>
      <c r="F346" s="40" t="str">
        <f t="array" ref="F346">_xlfn.XLOOKUP($B346, DB[samplingPoint], DB[building])</f>
        <v>Building 10</v>
      </c>
      <c r="G346" s="40" t="str">
        <f t="array" ref="G346">_xlfn.XLOOKUP($B346, DB[samplingPoint], DB[location])</f>
        <v>SAMPLE PREPARATION</v>
      </c>
      <c r="H346" s="40" t="str">
        <f t="array" ref="H346">_xlfn.XLOOKUP($B346, DB[samplingPoint], DB[waterType])</f>
        <v>PW</v>
      </c>
      <c r="I346" s="60">
        <f t="shared" si="1"/>
        <v>45826</v>
      </c>
      <c r="J346" s="192">
        <f t="shared" si="2"/>
        <v>45829</v>
      </c>
      <c r="K346" s="32">
        <v>0.0</v>
      </c>
      <c r="L346" s="32">
        <v>0.0</v>
      </c>
      <c r="M346" s="32">
        <f t="shared" si="3"/>
        <v>0</v>
      </c>
      <c r="N346" s="32" t="s">
        <v>376</v>
      </c>
      <c r="O346" s="32">
        <v>100.0</v>
      </c>
      <c r="P346" s="50" t="str">
        <f t="shared" si="6"/>
        <v>PASSED</v>
      </c>
      <c r="Q346" s="50" t="str">
        <f t="shared" si="5"/>
        <v>10</v>
      </c>
    </row>
    <row r="347" ht="22.5" customHeight="1">
      <c r="A347" s="26">
        <v>45825.0</v>
      </c>
      <c r="B347" s="32" t="s">
        <v>522</v>
      </c>
      <c r="C347" s="191" t="str">
        <f t="array" ref="C347">_xlfn.XLOOKUP(B347, DB[samplingPoint], DB[samplingTag])</f>
        <v>DV116.04</v>
      </c>
      <c r="D347" s="33" t="s">
        <v>59</v>
      </c>
      <c r="E347" s="39" t="str">
        <f t="array" ref="E347">_xlfn.XLOOKUP($B347, DB[samplingPoint], DB[noLocation])</f>
        <v>10-2-037</v>
      </c>
      <c r="F347" s="40" t="str">
        <f t="array" ref="F347">_xlfn.XLOOKUP($B347, DB[samplingPoint], DB[building])</f>
        <v>Building 10</v>
      </c>
      <c r="G347" s="40" t="str">
        <f t="array" ref="G347">_xlfn.XLOOKUP($B347, DB[samplingPoint], DB[location])</f>
        <v>SKID FOR BIN WASHING-1</v>
      </c>
      <c r="H347" s="40" t="str">
        <f t="array" ref="H347">_xlfn.XLOOKUP($B347, DB[samplingPoint], DB[waterType])</f>
        <v>PW</v>
      </c>
      <c r="I347" s="60">
        <f t="shared" si="1"/>
        <v>45826</v>
      </c>
      <c r="J347" s="192">
        <f t="shared" si="2"/>
        <v>45829</v>
      </c>
      <c r="K347" s="32">
        <v>0.0</v>
      </c>
      <c r="L347" s="32">
        <v>0.0</v>
      </c>
      <c r="M347" s="32">
        <f t="shared" si="3"/>
        <v>0</v>
      </c>
      <c r="N347" s="32" t="s">
        <v>376</v>
      </c>
      <c r="O347" s="32">
        <v>100.0</v>
      </c>
      <c r="P347" s="50" t="str">
        <f t="shared" si="6"/>
        <v>PASSED</v>
      </c>
      <c r="Q347" s="50" t="str">
        <f t="shared" si="5"/>
        <v>10</v>
      </c>
    </row>
    <row r="348" ht="22.5" customHeight="1">
      <c r="A348" s="26">
        <v>45825.0</v>
      </c>
      <c r="B348" s="32" t="s">
        <v>524</v>
      </c>
      <c r="C348" s="191" t="str">
        <f t="array" ref="C348">_xlfn.XLOOKUP(B348, DB[samplingPoint], DB[samplingTag])</f>
        <v>DV116.05</v>
      </c>
      <c r="D348" s="33" t="s">
        <v>59</v>
      </c>
      <c r="E348" s="39" t="str">
        <f t="array" ref="E348">_xlfn.XLOOKUP($B348, DB[samplingPoint], DB[noLocation])</f>
        <v>10-2-032</v>
      </c>
      <c r="F348" s="40" t="str">
        <f t="array" ref="F348">_xlfn.XLOOKUP($B348, DB[samplingPoint], DB[building])</f>
        <v>Building 10</v>
      </c>
      <c r="G348" s="40" t="str">
        <f t="array" ref="G348">_xlfn.XLOOKUP($B348, DB[samplingPoint], DB[location])</f>
        <v>GLASS-WARE WASHING</v>
      </c>
      <c r="H348" s="40" t="str">
        <f t="array" ref="H348">_xlfn.XLOOKUP($B348, DB[samplingPoint], DB[waterType])</f>
        <v>PW</v>
      </c>
      <c r="I348" s="60">
        <f t="shared" si="1"/>
        <v>45826</v>
      </c>
      <c r="J348" s="192">
        <f t="shared" si="2"/>
        <v>45829</v>
      </c>
      <c r="K348" s="32">
        <v>0.0</v>
      </c>
      <c r="L348" s="32">
        <v>0.0</v>
      </c>
      <c r="M348" s="32">
        <f t="shared" si="3"/>
        <v>0</v>
      </c>
      <c r="N348" s="32" t="s">
        <v>376</v>
      </c>
      <c r="O348" s="32">
        <v>100.0</v>
      </c>
      <c r="P348" s="50" t="str">
        <f t="shared" si="6"/>
        <v>PASSED</v>
      </c>
      <c r="Q348" s="50" t="str">
        <f t="shared" si="5"/>
        <v>10</v>
      </c>
    </row>
    <row r="349" ht="22.5" customHeight="1">
      <c r="A349" s="26">
        <v>45825.0</v>
      </c>
      <c r="B349" s="32" t="s">
        <v>526</v>
      </c>
      <c r="C349" s="191" t="str">
        <f t="array" ref="C349">_xlfn.XLOOKUP(B349, DB[samplingPoint], DB[samplingTag])</f>
        <v>DV116.06</v>
      </c>
      <c r="D349" s="33" t="s">
        <v>59</v>
      </c>
      <c r="E349" s="39" t="str">
        <f t="array" ref="E349">_xlfn.XLOOKUP($B349, DB[samplingPoint], DB[noLocation])</f>
        <v>10-2-034</v>
      </c>
      <c r="F349" s="40" t="str">
        <f t="array" ref="F349">_xlfn.XLOOKUP($B349, DB[samplingPoint], DB[building])</f>
        <v>Building 10</v>
      </c>
      <c r="G349" s="40" t="str">
        <f t="array" ref="G349">_xlfn.XLOOKUP($B349, DB[samplingPoint], DB[location])</f>
        <v>SAMPLE PREPARATION</v>
      </c>
      <c r="H349" s="40" t="str">
        <f t="array" ref="H349">_xlfn.XLOOKUP($B349, DB[samplingPoint], DB[waterType])</f>
        <v>PW</v>
      </c>
      <c r="I349" s="60">
        <f t="shared" si="1"/>
        <v>45826</v>
      </c>
      <c r="J349" s="192">
        <f t="shared" si="2"/>
        <v>45829</v>
      </c>
      <c r="K349" s="32">
        <v>0.0</v>
      </c>
      <c r="L349" s="32">
        <v>0.0</v>
      </c>
      <c r="M349" s="32">
        <f t="shared" si="3"/>
        <v>0</v>
      </c>
      <c r="N349" s="32" t="s">
        <v>376</v>
      </c>
      <c r="O349" s="32">
        <v>100.0</v>
      </c>
      <c r="P349" s="50" t="str">
        <f t="shared" si="6"/>
        <v>PASSED</v>
      </c>
      <c r="Q349" s="50" t="str">
        <f t="shared" si="5"/>
        <v>10</v>
      </c>
    </row>
    <row r="350" ht="22.5" customHeight="1">
      <c r="A350" s="26">
        <v>45825.0</v>
      </c>
      <c r="B350" s="32" t="s">
        <v>527</v>
      </c>
      <c r="C350" s="191" t="str">
        <f t="array" ref="C350">_xlfn.XLOOKUP(B350, DB[samplingPoint], DB[samplingTag])</f>
        <v>DV116.07</v>
      </c>
      <c r="D350" s="33" t="s">
        <v>59</v>
      </c>
      <c r="E350" s="39" t="str">
        <f t="array" ref="E350">_xlfn.XLOOKUP($B350, DB[samplingPoint], DB[noLocation])</f>
        <v>10-2-032</v>
      </c>
      <c r="F350" s="40" t="str">
        <f t="array" ref="F350">_xlfn.XLOOKUP($B350, DB[samplingPoint], DB[building])</f>
        <v>Building 10</v>
      </c>
      <c r="G350" s="40" t="str">
        <f t="array" ref="G350">_xlfn.XLOOKUP($B350, DB[samplingPoint], DB[location])</f>
        <v>GLASS-WARE WASHING</v>
      </c>
      <c r="H350" s="40" t="str">
        <f t="array" ref="H350">_xlfn.XLOOKUP($B350, DB[samplingPoint], DB[waterType])</f>
        <v>PW</v>
      </c>
      <c r="I350" s="60">
        <f t="shared" si="1"/>
        <v>45826</v>
      </c>
      <c r="J350" s="192">
        <f t="shared" si="2"/>
        <v>45829</v>
      </c>
      <c r="K350" s="32">
        <v>0.0</v>
      </c>
      <c r="L350" s="32">
        <v>0.0</v>
      </c>
      <c r="M350" s="32">
        <f t="shared" si="3"/>
        <v>0</v>
      </c>
      <c r="N350" s="32" t="s">
        <v>376</v>
      </c>
      <c r="O350" s="32">
        <v>100.0</v>
      </c>
      <c r="P350" s="50" t="str">
        <f t="shared" si="6"/>
        <v>PASSED</v>
      </c>
      <c r="Q350" s="50" t="str">
        <f t="shared" si="5"/>
        <v>10</v>
      </c>
    </row>
    <row r="351" ht="22.5" customHeight="1">
      <c r="A351" s="26">
        <v>45825.0</v>
      </c>
      <c r="B351" s="32" t="s">
        <v>528</v>
      </c>
      <c r="C351" s="191" t="str">
        <f t="array" ref="C351">_xlfn.XLOOKUP(B351, DB[samplingPoint], DB[samplingTag])</f>
        <v>DV116.08</v>
      </c>
      <c r="D351" s="33" t="s">
        <v>59</v>
      </c>
      <c r="E351" s="39" t="str">
        <f t="array" ref="E351">_xlfn.XLOOKUP($B351, DB[samplingPoint], DB[noLocation])</f>
        <v>10-3-059</v>
      </c>
      <c r="F351" s="40" t="str">
        <f t="array" ref="F351">_xlfn.XLOOKUP($B351, DB[samplingPoint], DB[building])</f>
        <v>Building 10</v>
      </c>
      <c r="G351" s="40" t="str">
        <f t="array" ref="G351">_xlfn.XLOOKUP($B351, DB[samplingPoint], DB[location])</f>
        <v>COATING SOLUTION PREP.-1</v>
      </c>
      <c r="H351" s="40" t="str">
        <f t="array" ref="H351">_xlfn.XLOOKUP($B351, DB[samplingPoint], DB[waterType])</f>
        <v>PW</v>
      </c>
      <c r="I351" s="60">
        <f t="shared" si="1"/>
        <v>45826</v>
      </c>
      <c r="J351" s="192">
        <f t="shared" si="2"/>
        <v>45829</v>
      </c>
      <c r="K351" s="32">
        <v>0.0</v>
      </c>
      <c r="L351" s="32">
        <v>0.0</v>
      </c>
      <c r="M351" s="32">
        <f t="shared" si="3"/>
        <v>0</v>
      </c>
      <c r="N351" s="32" t="s">
        <v>376</v>
      </c>
      <c r="O351" s="32">
        <v>100.0</v>
      </c>
      <c r="P351" s="50" t="str">
        <f t="shared" si="6"/>
        <v>PASSED</v>
      </c>
      <c r="Q351" s="50" t="str">
        <f t="shared" si="5"/>
        <v>10</v>
      </c>
    </row>
    <row r="352" ht="22.5" customHeight="1">
      <c r="A352" s="26">
        <v>45825.0</v>
      </c>
      <c r="B352" s="32" t="s">
        <v>529</v>
      </c>
      <c r="C352" s="191" t="str">
        <f t="array" ref="C352">_xlfn.XLOOKUP(B352, DB[samplingPoint], DB[samplingTag])</f>
        <v>DV116.09</v>
      </c>
      <c r="D352" s="33" t="s">
        <v>59</v>
      </c>
      <c r="E352" s="39" t="str">
        <f t="array" ref="E352">_xlfn.XLOOKUP($B352, DB[samplingPoint], DB[noLocation])</f>
        <v>10-3-060</v>
      </c>
      <c r="F352" s="40" t="str">
        <f t="array" ref="F352">_xlfn.XLOOKUP($B352, DB[samplingPoint], DB[building])</f>
        <v>Building 10</v>
      </c>
      <c r="G352" s="40" t="str">
        <f t="array" ref="G352">_xlfn.XLOOKUP($B352, DB[samplingPoint], DB[location])</f>
        <v>COATING SOLUTION PREP.-2</v>
      </c>
      <c r="H352" s="40" t="str">
        <f t="array" ref="H352">_xlfn.XLOOKUP($B352, DB[samplingPoint], DB[waterType])</f>
        <v>PW</v>
      </c>
      <c r="I352" s="60">
        <f t="shared" si="1"/>
        <v>45826</v>
      </c>
      <c r="J352" s="192">
        <f t="shared" si="2"/>
        <v>45829</v>
      </c>
      <c r="K352" s="32">
        <v>0.0</v>
      </c>
      <c r="L352" s="32">
        <v>0.0</v>
      </c>
      <c r="M352" s="32">
        <f t="shared" si="3"/>
        <v>0</v>
      </c>
      <c r="N352" s="32" t="s">
        <v>376</v>
      </c>
      <c r="O352" s="32">
        <v>100.0</v>
      </c>
      <c r="P352" s="50" t="str">
        <f t="shared" si="6"/>
        <v>PASSED</v>
      </c>
      <c r="Q352" s="50" t="str">
        <f t="shared" si="5"/>
        <v>10</v>
      </c>
    </row>
    <row r="353" ht="22.5" customHeight="1">
      <c r="A353" s="26">
        <v>45825.0</v>
      </c>
      <c r="B353" s="32" t="s">
        <v>531</v>
      </c>
      <c r="C353" s="191" t="str">
        <f t="array" ref="C353">_xlfn.XLOOKUP(B353, DB[samplingPoint], DB[samplingTag])</f>
        <v>DV116.10</v>
      </c>
      <c r="D353" s="33" t="s">
        <v>59</v>
      </c>
      <c r="E353" s="39" t="str">
        <f t="array" ref="E353">_xlfn.XLOOKUP($B353, DB[samplingPoint], DB[noLocation])</f>
        <v>10-3-065</v>
      </c>
      <c r="F353" s="40" t="str">
        <f t="array" ref="F353">_xlfn.XLOOKUP($B353, DB[samplingPoint], DB[building])</f>
        <v>Building 10</v>
      </c>
      <c r="G353" s="40" t="str">
        <f t="array" ref="G353">_xlfn.XLOOKUP($B353, DB[samplingPoint], DB[location])</f>
        <v>COATING SOLUTION PREP.-3</v>
      </c>
      <c r="H353" s="40" t="str">
        <f t="array" ref="H353">_xlfn.XLOOKUP($B353, DB[samplingPoint], DB[waterType])</f>
        <v>PW</v>
      </c>
      <c r="I353" s="60">
        <f t="shared" si="1"/>
        <v>45826</v>
      </c>
      <c r="J353" s="192">
        <f t="shared" si="2"/>
        <v>45829</v>
      </c>
      <c r="K353" s="32">
        <v>0.0</v>
      </c>
      <c r="L353" s="32">
        <v>0.0</v>
      </c>
      <c r="M353" s="32">
        <f t="shared" si="3"/>
        <v>0</v>
      </c>
      <c r="N353" s="32" t="s">
        <v>376</v>
      </c>
      <c r="O353" s="32">
        <v>100.0</v>
      </c>
      <c r="P353" s="50" t="str">
        <f t="shared" si="6"/>
        <v>PASSED</v>
      </c>
      <c r="Q353" s="50" t="str">
        <f t="shared" si="5"/>
        <v>10</v>
      </c>
    </row>
    <row r="354" ht="22.5" customHeight="1">
      <c r="A354" s="26">
        <v>45825.0</v>
      </c>
      <c r="B354" s="32" t="s">
        <v>532</v>
      </c>
      <c r="C354" s="191" t="str">
        <f t="array" ref="C354">_xlfn.XLOOKUP(B354, DB[samplingPoint], DB[samplingTag])</f>
        <v>DV116.11</v>
      </c>
      <c r="D354" s="33" t="s">
        <v>59</v>
      </c>
      <c r="E354" s="39" t="str">
        <f t="array" ref="E354">_xlfn.XLOOKUP($B354, DB[samplingPoint], DB[noLocation])</f>
        <v>10-3-066</v>
      </c>
      <c r="F354" s="40" t="str">
        <f t="array" ref="F354">_xlfn.XLOOKUP($B354, DB[samplingPoint], DB[building])</f>
        <v>Building 10</v>
      </c>
      <c r="G354" s="40" t="str">
        <f t="array" ref="G354">_xlfn.XLOOKUP($B354, DB[samplingPoint], DB[location])</f>
        <v>COATING SOLUTION PREP.-4</v>
      </c>
      <c r="H354" s="40" t="str">
        <f t="array" ref="H354">_xlfn.XLOOKUP($B354, DB[samplingPoint], DB[waterType])</f>
        <v>PW</v>
      </c>
      <c r="I354" s="60">
        <f t="shared" si="1"/>
        <v>45826</v>
      </c>
      <c r="J354" s="192">
        <f t="shared" si="2"/>
        <v>45829</v>
      </c>
      <c r="K354" s="32">
        <v>0.0</v>
      </c>
      <c r="L354" s="32">
        <v>0.0</v>
      </c>
      <c r="M354" s="32">
        <f t="shared" si="3"/>
        <v>0</v>
      </c>
      <c r="N354" s="32" t="s">
        <v>376</v>
      </c>
      <c r="O354" s="32">
        <v>100.0</v>
      </c>
      <c r="P354" s="50" t="str">
        <f t="shared" si="6"/>
        <v>PASSED</v>
      </c>
      <c r="Q354" s="50" t="str">
        <f t="shared" si="5"/>
        <v>10</v>
      </c>
    </row>
    <row r="355" ht="22.5" customHeight="1">
      <c r="A355" s="26">
        <v>45825.0</v>
      </c>
      <c r="B355" s="32" t="s">
        <v>534</v>
      </c>
      <c r="C355" s="191" t="str">
        <f t="array" ref="C355">_xlfn.XLOOKUP(B355, DB[samplingPoint], DB[samplingTag])</f>
        <v>SV116.03</v>
      </c>
      <c r="D355" s="33" t="s">
        <v>59</v>
      </c>
      <c r="E355" s="39" t="str">
        <f t="array" ref="E355">_xlfn.XLOOKUP($B355, DB[samplingPoint], DB[noLocation])</f>
        <v>10-3-058</v>
      </c>
      <c r="F355" s="40" t="str">
        <f t="array" ref="F355">_xlfn.XLOOKUP($B355, DB[samplingPoint], DB[building])</f>
        <v>Building 10</v>
      </c>
      <c r="G355" s="40" t="str">
        <f t="array" ref="G355">_xlfn.XLOOKUP($B355, DB[samplingPoint], DB[location])</f>
        <v>COATING ROOM-1</v>
      </c>
      <c r="H355" s="40" t="str">
        <f t="array" ref="H355">_xlfn.XLOOKUP($B355, DB[samplingPoint], DB[waterType])</f>
        <v>PW</v>
      </c>
      <c r="I355" s="60">
        <f t="shared" si="1"/>
        <v>45826</v>
      </c>
      <c r="J355" s="192">
        <f t="shared" si="2"/>
        <v>45829</v>
      </c>
      <c r="K355" s="32">
        <v>0.0</v>
      </c>
      <c r="L355" s="32">
        <v>0.0</v>
      </c>
      <c r="M355" s="32">
        <f t="shared" si="3"/>
        <v>0</v>
      </c>
      <c r="N355" s="32" t="s">
        <v>376</v>
      </c>
      <c r="O355" s="32">
        <v>100.0</v>
      </c>
      <c r="P355" s="50" t="str">
        <f t="shared" si="6"/>
        <v>PASSED</v>
      </c>
      <c r="Q355" s="50" t="str">
        <f t="shared" si="5"/>
        <v>10</v>
      </c>
    </row>
    <row r="356" ht="22.5" customHeight="1">
      <c r="A356" s="26">
        <v>45825.0</v>
      </c>
      <c r="B356" s="32" t="s">
        <v>535</v>
      </c>
      <c r="C356" s="191" t="str">
        <f t="array" ref="C356">_xlfn.XLOOKUP(B356, DB[samplingPoint], DB[samplingTag])</f>
        <v>SV116.04</v>
      </c>
      <c r="D356" s="33" t="s">
        <v>59</v>
      </c>
      <c r="E356" s="39" t="str">
        <f t="array" ref="E356">_xlfn.XLOOKUP($B356, DB[samplingPoint], DB[noLocation])</f>
        <v>10-3-061</v>
      </c>
      <c r="F356" s="40" t="str">
        <f t="array" ref="F356">_xlfn.XLOOKUP($B356, DB[samplingPoint], DB[building])</f>
        <v>Building 10</v>
      </c>
      <c r="G356" s="40" t="str">
        <f t="array" ref="G356">_xlfn.XLOOKUP($B356, DB[samplingPoint], DB[location])</f>
        <v>COATING ROOM-2</v>
      </c>
      <c r="H356" s="40" t="str">
        <f t="array" ref="H356">_xlfn.XLOOKUP($B356, DB[samplingPoint], DB[waterType])</f>
        <v>PW</v>
      </c>
      <c r="I356" s="60">
        <f t="shared" si="1"/>
        <v>45826</v>
      </c>
      <c r="J356" s="192">
        <f t="shared" si="2"/>
        <v>45829</v>
      </c>
      <c r="K356" s="32">
        <v>0.0</v>
      </c>
      <c r="L356" s="32">
        <v>0.0</v>
      </c>
      <c r="M356" s="32">
        <f t="shared" si="3"/>
        <v>0</v>
      </c>
      <c r="N356" s="32" t="s">
        <v>376</v>
      </c>
      <c r="O356" s="32">
        <v>100.0</v>
      </c>
      <c r="P356" s="50" t="str">
        <f t="shared" si="6"/>
        <v>PASSED</v>
      </c>
      <c r="Q356" s="50" t="str">
        <f t="shared" si="5"/>
        <v>10</v>
      </c>
    </row>
    <row r="357" ht="22.5" customHeight="1">
      <c r="A357" s="26">
        <v>45825.0</v>
      </c>
      <c r="B357" s="32" t="s">
        <v>536</v>
      </c>
      <c r="C357" s="191" t="str">
        <f t="array" ref="C357">_xlfn.XLOOKUP(B357, DB[samplingPoint], DB[samplingTag])</f>
        <v>SV116.05</v>
      </c>
      <c r="D357" s="33" t="s">
        <v>59</v>
      </c>
      <c r="E357" s="39" t="str">
        <f t="array" ref="E357">_xlfn.XLOOKUP($B357, DB[samplingPoint], DB[noLocation])</f>
        <v>10-3-062</v>
      </c>
      <c r="F357" s="40" t="str">
        <f t="array" ref="F357">_xlfn.XLOOKUP($B357, DB[samplingPoint], DB[building])</f>
        <v>Building 10</v>
      </c>
      <c r="G357" s="40" t="str">
        <f t="array" ref="G357">_xlfn.XLOOKUP($B357, DB[samplingPoint], DB[location])</f>
        <v>COATING ROOM-3</v>
      </c>
      <c r="H357" s="40" t="str">
        <f t="array" ref="H357">_xlfn.XLOOKUP($B357, DB[samplingPoint], DB[waterType])</f>
        <v>PW</v>
      </c>
      <c r="I357" s="60">
        <f t="shared" si="1"/>
        <v>45826</v>
      </c>
      <c r="J357" s="192">
        <f t="shared" si="2"/>
        <v>45829</v>
      </c>
      <c r="K357" s="32">
        <v>0.0</v>
      </c>
      <c r="L357" s="32">
        <v>0.0</v>
      </c>
      <c r="M357" s="32">
        <f t="shared" si="3"/>
        <v>0</v>
      </c>
      <c r="N357" s="32" t="s">
        <v>376</v>
      </c>
      <c r="O357" s="32">
        <v>100.0</v>
      </c>
      <c r="P357" s="50" t="str">
        <f t="shared" si="6"/>
        <v>PASSED</v>
      </c>
      <c r="Q357" s="50" t="str">
        <f t="shared" si="5"/>
        <v>10</v>
      </c>
    </row>
    <row r="358" ht="22.5" customHeight="1">
      <c r="A358" s="26">
        <v>45825.0</v>
      </c>
      <c r="B358" s="32" t="s">
        <v>538</v>
      </c>
      <c r="C358" s="191" t="str">
        <f t="array" ref="C358">_xlfn.XLOOKUP(B358, DB[samplingPoint], DB[samplingTag])</f>
        <v>SV116.06</v>
      </c>
      <c r="D358" s="33" t="s">
        <v>59</v>
      </c>
      <c r="E358" s="39" t="str">
        <f t="array" ref="E358">_xlfn.XLOOKUP($B358, DB[samplingPoint], DB[noLocation])</f>
        <v>10-3-063</v>
      </c>
      <c r="F358" s="40" t="str">
        <f t="array" ref="F358">_xlfn.XLOOKUP($B358, DB[samplingPoint], DB[building])</f>
        <v>Building 10</v>
      </c>
      <c r="G358" s="40" t="str">
        <f t="array" ref="G358">_xlfn.XLOOKUP($B358, DB[samplingPoint], DB[location])</f>
        <v>COATING ROOM-4</v>
      </c>
      <c r="H358" s="40" t="str">
        <f t="array" ref="H358">_xlfn.XLOOKUP($B358, DB[samplingPoint], DB[waterType])</f>
        <v>PW</v>
      </c>
      <c r="I358" s="60">
        <f t="shared" si="1"/>
        <v>45826</v>
      </c>
      <c r="J358" s="192">
        <f t="shared" si="2"/>
        <v>45829</v>
      </c>
      <c r="K358" s="32">
        <v>0.0</v>
      </c>
      <c r="L358" s="32">
        <v>0.0</v>
      </c>
      <c r="M358" s="32">
        <f t="shared" si="3"/>
        <v>0</v>
      </c>
      <c r="N358" s="32" t="s">
        <v>376</v>
      </c>
      <c r="O358" s="32">
        <v>100.0</v>
      </c>
      <c r="P358" s="50" t="str">
        <f t="shared" si="6"/>
        <v>PASSED</v>
      </c>
      <c r="Q358" s="50" t="str">
        <f t="shared" si="5"/>
        <v>10</v>
      </c>
    </row>
    <row r="359" ht="22.5" customHeight="1">
      <c r="A359" s="26">
        <v>45825.0</v>
      </c>
      <c r="B359" s="32" t="s">
        <v>539</v>
      </c>
      <c r="C359" s="191" t="str">
        <f t="array" ref="C359">_xlfn.XLOOKUP(B359, DB[samplingPoint], DB[samplingTag])</f>
        <v>SV116.07</v>
      </c>
      <c r="D359" s="33" t="s">
        <v>59</v>
      </c>
      <c r="E359" s="39" t="str">
        <f t="array" ref="E359">_xlfn.XLOOKUP($B359, DB[samplingPoint], DB[noLocation])</f>
        <v>10-3-064</v>
      </c>
      <c r="F359" s="40" t="str">
        <f t="array" ref="F359">_xlfn.XLOOKUP($B359, DB[samplingPoint], DB[building])</f>
        <v>Building 10</v>
      </c>
      <c r="G359" s="40" t="str">
        <f t="array" ref="G359">_xlfn.XLOOKUP($B359, DB[samplingPoint], DB[location])</f>
        <v>COATING ROOM-5</v>
      </c>
      <c r="H359" s="40" t="str">
        <f t="array" ref="H359">_xlfn.XLOOKUP($B359, DB[samplingPoint], DB[waterType])</f>
        <v>PW</v>
      </c>
      <c r="I359" s="60">
        <f t="shared" si="1"/>
        <v>45826</v>
      </c>
      <c r="J359" s="192">
        <f t="shared" si="2"/>
        <v>45829</v>
      </c>
      <c r="K359" s="32">
        <v>0.0</v>
      </c>
      <c r="L359" s="32">
        <v>0.0</v>
      </c>
      <c r="M359" s="32">
        <f t="shared" si="3"/>
        <v>0</v>
      </c>
      <c r="N359" s="32" t="s">
        <v>376</v>
      </c>
      <c r="O359" s="32">
        <v>100.0</v>
      </c>
      <c r="P359" s="50" t="str">
        <f t="shared" si="6"/>
        <v>PASSED</v>
      </c>
      <c r="Q359" s="50" t="str">
        <f t="shared" si="5"/>
        <v>10</v>
      </c>
    </row>
    <row r="360" ht="22.5" customHeight="1">
      <c r="A360" s="26">
        <v>45825.0</v>
      </c>
      <c r="B360" s="32" t="s">
        <v>541</v>
      </c>
      <c r="C360" s="191" t="str">
        <f t="array" ref="C360">_xlfn.XLOOKUP(B360, DB[samplingPoint], DB[samplingTag])</f>
        <v>SV116.08</v>
      </c>
      <c r="D360" s="33" t="s">
        <v>59</v>
      </c>
      <c r="E360" s="39" t="str">
        <f t="array" ref="E360">_xlfn.XLOOKUP($B360, DB[samplingPoint], DB[noLocation])</f>
        <v>10-3-067</v>
      </c>
      <c r="F360" s="40" t="str">
        <f t="array" ref="F360">_xlfn.XLOOKUP($B360, DB[samplingPoint], DB[building])</f>
        <v>Building 10</v>
      </c>
      <c r="G360" s="40" t="str">
        <f t="array" ref="G360">_xlfn.XLOOKUP($B360, DB[samplingPoint], DB[location])</f>
        <v>COATING ROOM-6</v>
      </c>
      <c r="H360" s="40" t="str">
        <f t="array" ref="H360">_xlfn.XLOOKUP($B360, DB[samplingPoint], DB[waterType])</f>
        <v>PW</v>
      </c>
      <c r="I360" s="60">
        <f t="shared" si="1"/>
        <v>45826</v>
      </c>
      <c r="J360" s="192">
        <f t="shared" si="2"/>
        <v>45829</v>
      </c>
      <c r="K360" s="32">
        <v>0.0</v>
      </c>
      <c r="L360" s="32">
        <v>0.0</v>
      </c>
      <c r="M360" s="32">
        <f t="shared" si="3"/>
        <v>0</v>
      </c>
      <c r="N360" s="32" t="s">
        <v>376</v>
      </c>
      <c r="O360" s="32">
        <v>100.0</v>
      </c>
      <c r="P360" s="50" t="str">
        <f t="shared" si="6"/>
        <v>PASSED</v>
      </c>
      <c r="Q360" s="50" t="str">
        <f t="shared" si="5"/>
        <v>10</v>
      </c>
    </row>
    <row r="361" ht="22.5" customHeight="1">
      <c r="A361" s="26">
        <v>45825.0</v>
      </c>
      <c r="B361" s="32" t="s">
        <v>380</v>
      </c>
      <c r="C361" s="191" t="str">
        <f t="array" ref="C361">_xlfn.XLOOKUP(B361, DB[samplingPoint], DB[samplingTag])</f>
        <v>SV113.01</v>
      </c>
      <c r="D361" s="33" t="s">
        <v>59</v>
      </c>
      <c r="E361" s="39" t="str">
        <f t="array" ref="E361">_xlfn.XLOOKUP($B361, DB[samplingPoint], DB[noLocation])</f>
        <v>WATER SYSTEM (B10)</v>
      </c>
      <c r="F361" s="40" t="str">
        <f t="array" ref="F361">_xlfn.XLOOKUP($B361, DB[samplingPoint], DB[building])</f>
        <v>Building 10</v>
      </c>
      <c r="G361" s="40" t="str">
        <f t="array" ref="G361">_xlfn.XLOOKUP($B361, DB[samplingPoint], DB[location])</f>
        <v>After Storage tank (B10)</v>
      </c>
      <c r="H361" s="40" t="str">
        <f t="array" ref="H361">_xlfn.XLOOKUP($B361, DB[samplingPoint], DB[waterType])</f>
        <v>PW</v>
      </c>
      <c r="I361" s="60">
        <f t="shared" si="1"/>
        <v>45826</v>
      </c>
      <c r="J361" s="192">
        <f t="shared" si="2"/>
        <v>45829</v>
      </c>
      <c r="K361" s="32">
        <v>0.0</v>
      </c>
      <c r="L361" s="32">
        <v>0.0</v>
      </c>
      <c r="M361" s="32">
        <f t="shared" si="3"/>
        <v>0</v>
      </c>
      <c r="N361" s="32" t="s">
        <v>376</v>
      </c>
      <c r="O361" s="32">
        <v>100.0</v>
      </c>
      <c r="P361" s="50" t="str">
        <f t="shared" si="6"/>
        <v>PASSED</v>
      </c>
      <c r="Q361" s="50" t="str">
        <f t="shared" si="5"/>
        <v>WA</v>
      </c>
    </row>
    <row r="362" ht="22.5" customHeight="1">
      <c r="A362" s="26">
        <v>45825.0</v>
      </c>
      <c r="B362" s="32" t="s">
        <v>385</v>
      </c>
      <c r="C362" s="191" t="str">
        <f t="array" ref="C362">_xlfn.XLOOKUP(B362, DB[samplingPoint], DB[samplingTag])</f>
        <v>SV115.02</v>
      </c>
      <c r="D362" s="33" t="s">
        <v>59</v>
      </c>
      <c r="E362" s="39" t="str">
        <f t="array" ref="E362">_xlfn.XLOOKUP($B362, DB[samplingPoint], DB[noLocation])</f>
        <v>WATER SYSTEM (B10)</v>
      </c>
      <c r="F362" s="40" t="str">
        <f t="array" ref="F362">_xlfn.XLOOKUP($B362, DB[samplingPoint], DB[building])</f>
        <v>Building 10</v>
      </c>
      <c r="G362" s="40" t="str">
        <f t="array" ref="G362">_xlfn.XLOOKUP($B362, DB[samplingPoint], DB[location])</f>
        <v>After UV (B10)</v>
      </c>
      <c r="H362" s="40" t="str">
        <f t="array" ref="H362">_xlfn.XLOOKUP($B362, DB[samplingPoint], DB[waterType])</f>
        <v>PW</v>
      </c>
      <c r="I362" s="60">
        <f t="shared" si="1"/>
        <v>45826</v>
      </c>
      <c r="J362" s="192">
        <f t="shared" si="2"/>
        <v>45829</v>
      </c>
      <c r="K362" s="32">
        <v>0.0</v>
      </c>
      <c r="L362" s="32">
        <v>0.0</v>
      </c>
      <c r="M362" s="32">
        <f t="shared" si="3"/>
        <v>0</v>
      </c>
      <c r="N362" s="32" t="s">
        <v>376</v>
      </c>
      <c r="O362" s="32">
        <v>100.0</v>
      </c>
      <c r="P362" s="50" t="str">
        <f t="shared" si="6"/>
        <v>PASSED</v>
      </c>
      <c r="Q362" s="50" t="str">
        <f t="shared" si="5"/>
        <v>WA</v>
      </c>
    </row>
    <row r="363" ht="22.5" customHeight="1">
      <c r="A363" s="26">
        <v>45825.0</v>
      </c>
      <c r="B363" s="32" t="s">
        <v>390</v>
      </c>
      <c r="C363" s="191" t="str">
        <f t="array" ref="C363">_xlfn.XLOOKUP(B363, DB[samplingPoint], DB[samplingTag])</f>
        <v>SV117.01</v>
      </c>
      <c r="D363" s="33" t="s">
        <v>59</v>
      </c>
      <c r="E363" s="39" t="str">
        <f t="array" ref="E363">_xlfn.XLOOKUP($B363, DB[samplingPoint], DB[noLocation])</f>
        <v>WATER SYSTEM (B10)</v>
      </c>
      <c r="F363" s="40" t="str">
        <f t="array" ref="F363">_xlfn.XLOOKUP($B363, DB[samplingPoint], DB[building])</f>
        <v>Building 10</v>
      </c>
      <c r="G363" s="40" t="str">
        <f t="array" ref="G363">_xlfn.XLOOKUP($B363, DB[samplingPoint], DB[location])</f>
        <v>Return loop (B10)</v>
      </c>
      <c r="H363" s="40" t="str">
        <f t="array" ref="H363">_xlfn.XLOOKUP($B363, DB[samplingPoint], DB[waterType])</f>
        <v>PW</v>
      </c>
      <c r="I363" s="60">
        <f t="shared" si="1"/>
        <v>45826</v>
      </c>
      <c r="J363" s="192">
        <f t="shared" si="2"/>
        <v>45829</v>
      </c>
      <c r="K363" s="32">
        <v>0.0</v>
      </c>
      <c r="L363" s="32">
        <v>0.0</v>
      </c>
      <c r="M363" s="32">
        <f t="shared" si="3"/>
        <v>0</v>
      </c>
      <c r="N363" s="32" t="s">
        <v>376</v>
      </c>
      <c r="O363" s="32">
        <v>100.0</v>
      </c>
      <c r="P363" s="50" t="str">
        <f t="shared" si="6"/>
        <v>PASSED</v>
      </c>
      <c r="Q363" s="50" t="str">
        <f t="shared" si="5"/>
        <v>WA</v>
      </c>
    </row>
    <row r="364" ht="22.5" customHeight="1">
      <c r="A364" s="26">
        <v>45831.0</v>
      </c>
      <c r="B364" s="32" t="s">
        <v>349</v>
      </c>
      <c r="C364" s="191" t="str">
        <f t="array" ref="C364">_xlfn.XLOOKUP(B364, DB[samplingPoint], DB[samplingTag])</f>
        <v>VB-05(10)</v>
      </c>
      <c r="D364" s="33" t="s">
        <v>59</v>
      </c>
      <c r="E364" s="39" t="str">
        <f t="array" ref="E364">_xlfn.XLOOKUP($B364, DB[samplingPoint], DB[noLocation])</f>
        <v>WATER SYSTEM (B10)</v>
      </c>
      <c r="F364" s="40" t="str">
        <f t="array" ref="F364">_xlfn.XLOOKUP($B364, DB[samplingPoint], DB[building])</f>
        <v>Building 10</v>
      </c>
      <c r="G364" s="40" t="str">
        <f t="array" ref="G364">_xlfn.XLOOKUP($B364, DB[samplingPoint], DB[location])</f>
        <v>After Chlorine circulation tank (B10)</v>
      </c>
      <c r="H364" s="40" t="str">
        <f t="array" ref="H364">_xlfn.XLOOKUP($B364, DB[samplingPoint], DB[waterType])</f>
        <v>PRW</v>
      </c>
      <c r="I364" s="60">
        <f t="shared" si="1"/>
        <v>45832</v>
      </c>
      <c r="J364" s="192">
        <f t="shared" si="2"/>
        <v>45835</v>
      </c>
      <c r="K364" s="32">
        <v>35.0</v>
      </c>
      <c r="L364" s="32">
        <v>25.0</v>
      </c>
      <c r="M364" s="32">
        <f t="shared" si="3"/>
        <v>30</v>
      </c>
      <c r="N364" s="32" t="s">
        <v>376</v>
      </c>
      <c r="O364" s="32">
        <v>500.0</v>
      </c>
      <c r="P364" s="50" t="str">
        <f t="shared" si="6"/>
        <v>PASSED</v>
      </c>
      <c r="Q364" s="50" t="str">
        <f t="shared" si="5"/>
        <v>WA</v>
      </c>
    </row>
    <row r="365" ht="22.5" customHeight="1">
      <c r="A365" s="26">
        <v>45831.0</v>
      </c>
      <c r="B365" s="32" t="s">
        <v>366</v>
      </c>
      <c r="C365" s="191" t="str">
        <f t="array" ref="C365">_xlfn.XLOOKUP(B365, DB[samplingPoint], DB[samplingTag])</f>
        <v>V50-61(10)</v>
      </c>
      <c r="D365" s="33" t="s">
        <v>59</v>
      </c>
      <c r="E365" s="39" t="str">
        <f t="array" ref="E365">_xlfn.XLOOKUP($B365, DB[samplingPoint], DB[noLocation])</f>
        <v>WATER SYSTEM (B10)</v>
      </c>
      <c r="F365" s="40" t="str">
        <f t="array" ref="F365">_xlfn.XLOOKUP($B365, DB[samplingPoint], DB[building])</f>
        <v>Building 10</v>
      </c>
      <c r="G365" s="40" t="str">
        <f t="array" ref="G365">_xlfn.XLOOKUP($B365, DB[samplingPoint], DB[location])</f>
        <v>After Cartridge filter 5 µm (B10)</v>
      </c>
      <c r="H365" s="40" t="str">
        <f t="array" ref="H365">_xlfn.XLOOKUP($B365, DB[samplingPoint], DB[waterType])</f>
        <v>PRW</v>
      </c>
      <c r="I365" s="60">
        <f t="shared" si="1"/>
        <v>45832</v>
      </c>
      <c r="J365" s="192">
        <f t="shared" si="2"/>
        <v>45835</v>
      </c>
      <c r="K365" s="32">
        <v>999.0</v>
      </c>
      <c r="L365" s="32">
        <v>999.0</v>
      </c>
      <c r="M365" s="32">
        <f t="shared" si="3"/>
        <v>999</v>
      </c>
      <c r="N365" s="32" t="s">
        <v>376</v>
      </c>
      <c r="O365" s="32">
        <v>500.0</v>
      </c>
      <c r="P365" s="50" t="str">
        <f t="shared" si="6"/>
        <v>NOT-PASSED</v>
      </c>
      <c r="Q365" s="50" t="str">
        <f t="shared" si="5"/>
        <v>WA</v>
      </c>
    </row>
    <row r="366" ht="22.5" customHeight="1">
      <c r="A366" s="26">
        <v>45831.0</v>
      </c>
      <c r="B366" s="32" t="s">
        <v>368</v>
      </c>
      <c r="C366" s="191" t="str">
        <f t="array" ref="C366">_xlfn.XLOOKUP(B366, DB[samplingPoint], DB[samplingTag])</f>
        <v>V50-11C(10)</v>
      </c>
      <c r="D366" s="33" t="s">
        <v>59</v>
      </c>
      <c r="E366" s="39" t="str">
        <f t="array" ref="E366">_xlfn.XLOOKUP($B366, DB[samplingPoint], DB[noLocation])</f>
        <v>WATER SYSTEM (B10)</v>
      </c>
      <c r="F366" s="40" t="str">
        <f t="array" ref="F366">_xlfn.XLOOKUP($B366, DB[samplingPoint], DB[building])</f>
        <v>Building 10</v>
      </c>
      <c r="G366" s="40" t="str">
        <f t="array" ref="G366">_xlfn.XLOOKUP($B366, DB[samplingPoint], DB[location])</f>
        <v>After RO (Before EDI) (B10)</v>
      </c>
      <c r="H366" s="40" t="str">
        <f t="array" ref="H366">_xlfn.XLOOKUP($B366, DB[samplingPoint], DB[waterType])</f>
        <v>RO water</v>
      </c>
      <c r="I366" s="60">
        <f t="shared" si="1"/>
        <v>45832</v>
      </c>
      <c r="J366" s="192">
        <f t="shared" si="2"/>
        <v>45835</v>
      </c>
      <c r="K366" s="32">
        <v>0.0</v>
      </c>
      <c r="L366" s="32">
        <v>0.0</v>
      </c>
      <c r="M366" s="32">
        <f t="shared" si="3"/>
        <v>0</v>
      </c>
      <c r="N366" s="32" t="s">
        <v>376</v>
      </c>
      <c r="O366" s="32">
        <v>500.0</v>
      </c>
      <c r="P366" s="50" t="str">
        <f t="shared" si="6"/>
        <v>PASSED</v>
      </c>
      <c r="Q366" s="50" t="str">
        <f t="shared" si="5"/>
        <v>WA</v>
      </c>
    </row>
    <row r="367" ht="22.5" customHeight="1">
      <c r="A367" s="26">
        <v>45831.0</v>
      </c>
      <c r="B367" s="32" t="s">
        <v>410</v>
      </c>
      <c r="C367" s="191" t="str">
        <f t="array" ref="C367">_xlfn.XLOOKUP(B367, DB[samplingPoint], DB[samplingTag])</f>
        <v>DV116.22</v>
      </c>
      <c r="D367" s="33" t="s">
        <v>59</v>
      </c>
      <c r="E367" s="39" t="str">
        <f t="array" ref="E367">_xlfn.XLOOKUP($B367, DB[samplingPoint], DB[noLocation])</f>
        <v>10-3-152</v>
      </c>
      <c r="F367" s="40" t="str">
        <f t="array" ref="F367">_xlfn.XLOOKUP($B367, DB[samplingPoint], DB[building])</f>
        <v>Building 10</v>
      </c>
      <c r="G367" s="40" t="str">
        <f t="array" ref="G367">_xlfn.XLOOKUP($B367, DB[samplingPoint], DB[location])</f>
        <v>WASHING-P</v>
      </c>
      <c r="H367" s="40" t="str">
        <f t="array" ref="H367">_xlfn.XLOOKUP($B367, DB[samplingPoint], DB[waterType])</f>
        <v>PW</v>
      </c>
      <c r="I367" s="60">
        <f t="shared" si="1"/>
        <v>45832</v>
      </c>
      <c r="J367" s="192">
        <f t="shared" si="2"/>
        <v>45835</v>
      </c>
      <c r="K367" s="32">
        <v>0.0</v>
      </c>
      <c r="L367" s="32">
        <v>0.0</v>
      </c>
      <c r="M367" s="32">
        <f t="shared" si="3"/>
        <v>0</v>
      </c>
      <c r="N367" s="32" t="s">
        <v>376</v>
      </c>
      <c r="O367" s="32">
        <v>100.0</v>
      </c>
      <c r="P367" s="50" t="str">
        <f t="shared" si="6"/>
        <v>PASSED</v>
      </c>
      <c r="Q367" s="50" t="str">
        <f t="shared" si="5"/>
        <v>10</v>
      </c>
    </row>
    <row r="368" ht="22.5" customHeight="1">
      <c r="A368" s="26">
        <v>45831.0</v>
      </c>
      <c r="B368" s="32" t="s">
        <v>414</v>
      </c>
      <c r="C368" s="191" t="str">
        <f t="array" ref="C368">_xlfn.XLOOKUP(B368, DB[samplingPoint], DB[samplingTag])</f>
        <v>SV116.13</v>
      </c>
      <c r="D368" s="33" t="s">
        <v>59</v>
      </c>
      <c r="E368" s="39" t="str">
        <f t="array" ref="E368">_xlfn.XLOOKUP($B368, DB[samplingPoint], DB[noLocation])</f>
        <v>10-3-152</v>
      </c>
      <c r="F368" s="40" t="str">
        <f t="array" ref="F368">_xlfn.XLOOKUP($B368, DB[samplingPoint], DB[building])</f>
        <v>Building 10</v>
      </c>
      <c r="G368" s="40" t="str">
        <f t="array" ref="G368">_xlfn.XLOOKUP($B368, DB[samplingPoint], DB[location])</f>
        <v>WASHING-P</v>
      </c>
      <c r="H368" s="40" t="str">
        <f t="array" ref="H368">_xlfn.XLOOKUP($B368, DB[samplingPoint], DB[waterType])</f>
        <v>PW</v>
      </c>
      <c r="I368" s="60">
        <f t="shared" si="1"/>
        <v>45832</v>
      </c>
      <c r="J368" s="192">
        <f t="shared" si="2"/>
        <v>45835</v>
      </c>
      <c r="K368" s="32">
        <v>0.0</v>
      </c>
      <c r="L368" s="32">
        <v>0.0</v>
      </c>
      <c r="M368" s="32">
        <f t="shared" si="3"/>
        <v>0</v>
      </c>
      <c r="N368" s="32" t="s">
        <v>376</v>
      </c>
      <c r="O368" s="32">
        <v>100.0</v>
      </c>
      <c r="P368" s="50" t="str">
        <f t="shared" si="6"/>
        <v>PASSED</v>
      </c>
      <c r="Q368" s="50" t="str">
        <f t="shared" si="5"/>
        <v>10</v>
      </c>
    </row>
    <row r="369" ht="22.5" customHeight="1">
      <c r="A369" s="26">
        <v>45831.0</v>
      </c>
      <c r="B369" s="32" t="s">
        <v>401</v>
      </c>
      <c r="C369" s="191" t="str">
        <f t="array" ref="C369">_xlfn.XLOOKUP(B369, DB[samplingPoint], DB[samplingTag])</f>
        <v>DV116.23</v>
      </c>
      <c r="D369" s="33" t="s">
        <v>59</v>
      </c>
      <c r="E369" s="39" t="str">
        <f t="array" ref="E369">_xlfn.XLOOKUP($B369, DB[samplingPoint], DB[noLocation])</f>
        <v>10-3-159</v>
      </c>
      <c r="F369" s="40" t="str">
        <f t="array" ref="F369">_xlfn.XLOOKUP($B369, DB[samplingPoint], DB[building])</f>
        <v>Building 10</v>
      </c>
      <c r="G369" s="40" t="str">
        <f t="array" ref="G369">_xlfn.XLOOKUP($B369, DB[samplingPoint], DB[location])</f>
        <v>BINDER PREPARATION-P</v>
      </c>
      <c r="H369" s="40" t="str">
        <f t="array" ref="H369">_xlfn.XLOOKUP($B369, DB[samplingPoint], DB[waterType])</f>
        <v>PW</v>
      </c>
      <c r="I369" s="60">
        <f t="shared" si="1"/>
        <v>45832</v>
      </c>
      <c r="J369" s="192">
        <f t="shared" si="2"/>
        <v>45835</v>
      </c>
      <c r="K369" s="32">
        <v>7.0</v>
      </c>
      <c r="L369" s="32">
        <v>5.0</v>
      </c>
      <c r="M369" s="32">
        <f t="shared" si="3"/>
        <v>6</v>
      </c>
      <c r="N369" s="32" t="s">
        <v>376</v>
      </c>
      <c r="O369" s="32">
        <v>100.0</v>
      </c>
      <c r="P369" s="50" t="str">
        <f t="shared" si="6"/>
        <v>PASSED</v>
      </c>
      <c r="Q369" s="50" t="str">
        <f t="shared" si="5"/>
        <v>10</v>
      </c>
    </row>
    <row r="370" ht="22.5" customHeight="1">
      <c r="A370" s="26">
        <v>45831.0</v>
      </c>
      <c r="B370" s="32" t="s">
        <v>425</v>
      </c>
      <c r="C370" s="191" t="str">
        <f t="array" ref="C370">_xlfn.XLOOKUP(B370, DB[samplingPoint], DB[samplingTag])</f>
        <v>DV116.02</v>
      </c>
      <c r="D370" s="33" t="s">
        <v>59</v>
      </c>
      <c r="E370" s="39" t="str">
        <f t="array" ref="E370">_xlfn.XLOOKUP($B370, DB[samplingPoint], DB[noLocation])</f>
        <v>10-1-115</v>
      </c>
      <c r="F370" s="40" t="str">
        <f t="array" ref="F370">_xlfn.XLOOKUP($B370, DB[samplingPoint], DB[building])</f>
        <v>Building 10</v>
      </c>
      <c r="G370" s="40" t="str">
        <f t="array" ref="G370">_xlfn.XLOOKUP($B370, DB[samplingPoint], DB[location])</f>
        <v>WASHING</v>
      </c>
      <c r="H370" s="40" t="str">
        <f t="array" ref="H370">_xlfn.XLOOKUP($B370, DB[samplingPoint], DB[waterType])</f>
        <v>PW</v>
      </c>
      <c r="I370" s="60">
        <f t="shared" si="1"/>
        <v>45832</v>
      </c>
      <c r="J370" s="192">
        <f t="shared" si="2"/>
        <v>45835</v>
      </c>
      <c r="K370" s="32">
        <v>0.0</v>
      </c>
      <c r="L370" s="32">
        <v>0.0</v>
      </c>
      <c r="M370" s="32">
        <f t="shared" si="3"/>
        <v>0</v>
      </c>
      <c r="N370" s="32" t="s">
        <v>376</v>
      </c>
      <c r="O370" s="32">
        <v>100.0</v>
      </c>
      <c r="P370" s="50" t="str">
        <f t="shared" si="6"/>
        <v>PASSED</v>
      </c>
      <c r="Q370" s="50" t="str">
        <f t="shared" si="5"/>
        <v>10</v>
      </c>
    </row>
    <row r="371" ht="22.5" customHeight="1">
      <c r="A371" s="26">
        <v>45831.0</v>
      </c>
      <c r="B371" s="32" t="s">
        <v>423</v>
      </c>
      <c r="C371" s="191" t="str">
        <f t="array" ref="C371">_xlfn.XLOOKUP(B371, DB[samplingPoint], DB[samplingTag])</f>
        <v>SV116.12</v>
      </c>
      <c r="D371" s="33" t="s">
        <v>59</v>
      </c>
      <c r="E371" s="39" t="str">
        <f t="array" ref="E371">_xlfn.XLOOKUP($B371, DB[samplingPoint], DB[noLocation])</f>
        <v>10-3-144</v>
      </c>
      <c r="F371" s="40" t="str">
        <f t="array" ref="F371">_xlfn.XLOOKUP($B371, DB[samplingPoint], DB[building])</f>
        <v>Building 10</v>
      </c>
      <c r="G371" s="40" t="str">
        <f t="array" ref="G371">_xlfn.XLOOKUP($B371, DB[samplingPoint], DB[location])</f>
        <v>COATING-P</v>
      </c>
      <c r="H371" s="40" t="str">
        <f t="array" ref="H371">_xlfn.XLOOKUP($B371, DB[samplingPoint], DB[waterType])</f>
        <v>PW</v>
      </c>
      <c r="I371" s="60">
        <f t="shared" si="1"/>
        <v>45832</v>
      </c>
      <c r="J371" s="192">
        <f t="shared" si="2"/>
        <v>45835</v>
      </c>
      <c r="K371" s="32">
        <v>3.0</v>
      </c>
      <c r="L371" s="32">
        <v>0.0</v>
      </c>
      <c r="M371" s="32">
        <f t="shared" si="3"/>
        <v>2</v>
      </c>
      <c r="N371" s="32" t="s">
        <v>376</v>
      </c>
      <c r="O371" s="32">
        <v>100.0</v>
      </c>
      <c r="P371" s="50" t="str">
        <f t="shared" si="6"/>
        <v>PASSED</v>
      </c>
      <c r="Q371" s="50" t="str">
        <f t="shared" si="5"/>
        <v>10</v>
      </c>
    </row>
    <row r="372" ht="22.5" customHeight="1">
      <c r="A372" s="26">
        <v>45831.0</v>
      </c>
      <c r="B372" s="32" t="s">
        <v>398</v>
      </c>
      <c r="C372" s="191" t="str">
        <f t="array" ref="C372">_xlfn.XLOOKUP(B372, DB[samplingPoint], DB[samplingTag])</f>
        <v>DV116.24</v>
      </c>
      <c r="D372" s="33" t="s">
        <v>59</v>
      </c>
      <c r="E372" s="39" t="str">
        <f t="array" ref="E372">_xlfn.XLOOKUP($B372, DB[samplingPoint], DB[noLocation])</f>
        <v>10-3-163</v>
      </c>
      <c r="F372" s="40" t="str">
        <f t="array" ref="F372">_xlfn.XLOOKUP($B372, DB[samplingPoint], DB[building])</f>
        <v>Building 10</v>
      </c>
      <c r="G372" s="40" t="str">
        <f t="array" ref="G372">_xlfn.XLOOKUP($B372, DB[samplingPoint], DB[location])</f>
        <v>WET GRANULATION 1-P</v>
      </c>
      <c r="H372" s="40" t="str">
        <f t="array" ref="H372">_xlfn.XLOOKUP($B372, DB[samplingPoint], DB[waterType])</f>
        <v>PW</v>
      </c>
      <c r="I372" s="60">
        <f t="shared" si="1"/>
        <v>45832</v>
      </c>
      <c r="J372" s="192">
        <f t="shared" si="2"/>
        <v>45835</v>
      </c>
      <c r="K372" s="32">
        <v>3.0</v>
      </c>
      <c r="L372" s="32">
        <v>7.0</v>
      </c>
      <c r="M372" s="32">
        <f t="shared" si="3"/>
        <v>5</v>
      </c>
      <c r="N372" s="32" t="s">
        <v>376</v>
      </c>
      <c r="O372" s="32">
        <v>100.0</v>
      </c>
      <c r="P372" s="50" t="str">
        <f t="shared" si="6"/>
        <v>PASSED</v>
      </c>
      <c r="Q372" s="50" t="str">
        <f t="shared" si="5"/>
        <v>10</v>
      </c>
    </row>
    <row r="373" ht="22.5" customHeight="1">
      <c r="A373" s="26">
        <v>45831.0</v>
      </c>
      <c r="B373" s="32" t="s">
        <v>417</v>
      </c>
      <c r="C373" s="191" t="str">
        <f t="array" ref="C373">_xlfn.XLOOKUP(B373, DB[samplingPoint], DB[samplingTag])</f>
        <v>DV116.20</v>
      </c>
      <c r="D373" s="33" t="s">
        <v>59</v>
      </c>
      <c r="E373" s="39" t="str">
        <f t="array" ref="E373">_xlfn.XLOOKUP($B373, DB[samplingPoint], DB[noLocation])</f>
        <v>10-3-149</v>
      </c>
      <c r="F373" s="40" t="str">
        <f t="array" ref="F373">_xlfn.XLOOKUP($B373, DB[samplingPoint], DB[building])</f>
        <v>Building 10</v>
      </c>
      <c r="G373" s="40" t="str">
        <f t="array" ref="G373">_xlfn.XLOOKUP($B373, DB[samplingPoint], DB[location])</f>
        <v>IPQC-1-P</v>
      </c>
      <c r="H373" s="40" t="str">
        <f t="array" ref="H373">_xlfn.XLOOKUP($B373, DB[samplingPoint], DB[waterType])</f>
        <v>PW</v>
      </c>
      <c r="I373" s="60">
        <f t="shared" si="1"/>
        <v>45832</v>
      </c>
      <c r="J373" s="192">
        <f t="shared" si="2"/>
        <v>45835</v>
      </c>
      <c r="K373" s="32">
        <v>0.0</v>
      </c>
      <c r="L373" s="32">
        <v>0.0</v>
      </c>
      <c r="M373" s="32">
        <f t="shared" si="3"/>
        <v>0</v>
      </c>
      <c r="N373" s="32" t="s">
        <v>376</v>
      </c>
      <c r="O373" s="32">
        <v>100.0</v>
      </c>
      <c r="P373" s="50" t="str">
        <f t="shared" si="6"/>
        <v>PASSED</v>
      </c>
      <c r="Q373" s="50" t="str">
        <f t="shared" si="5"/>
        <v>10</v>
      </c>
    </row>
    <row r="374" ht="22.5" customHeight="1">
      <c r="A374" s="26">
        <v>45831.0</v>
      </c>
      <c r="B374" s="32" t="s">
        <v>406</v>
      </c>
      <c r="C374" s="191" t="str">
        <f t="array" ref="C374">_xlfn.XLOOKUP(B374, DB[samplingPoint], DB[samplingTag])</f>
        <v>DV116.21</v>
      </c>
      <c r="D374" s="33" t="s">
        <v>59</v>
      </c>
      <c r="E374" s="39" t="str">
        <f t="array" ref="E374">_xlfn.XLOOKUP($B374, DB[samplingPoint], DB[noLocation])</f>
        <v>10-3-152</v>
      </c>
      <c r="F374" s="40" t="str">
        <f t="array" ref="F374">_xlfn.XLOOKUP($B374, DB[samplingPoint], DB[building])</f>
        <v>Building 10</v>
      </c>
      <c r="G374" s="40" t="str">
        <f t="array" ref="G374">_xlfn.XLOOKUP($B374, DB[samplingPoint], DB[location])</f>
        <v>WASHING-P</v>
      </c>
      <c r="H374" s="40" t="str">
        <f t="array" ref="H374">_xlfn.XLOOKUP($B374, DB[samplingPoint], DB[waterType])</f>
        <v>PW</v>
      </c>
      <c r="I374" s="60">
        <f t="shared" si="1"/>
        <v>45832</v>
      </c>
      <c r="J374" s="192">
        <f t="shared" si="2"/>
        <v>45835</v>
      </c>
      <c r="K374" s="32">
        <v>0.0</v>
      </c>
      <c r="L374" s="32">
        <v>0.0</v>
      </c>
      <c r="M374" s="32">
        <f t="shared" si="3"/>
        <v>0</v>
      </c>
      <c r="N374" s="32" t="s">
        <v>376</v>
      </c>
      <c r="O374" s="32">
        <v>100.0</v>
      </c>
      <c r="P374" s="50" t="str">
        <f t="shared" si="6"/>
        <v>PASSED</v>
      </c>
      <c r="Q374" s="50" t="str">
        <f t="shared" si="5"/>
        <v>10</v>
      </c>
    </row>
    <row r="375" ht="22.5" customHeight="1">
      <c r="A375" s="26">
        <v>45831.0</v>
      </c>
      <c r="B375" s="32" t="s">
        <v>394</v>
      </c>
      <c r="C375" s="191" t="str">
        <f t="array" ref="C375">_xlfn.XLOOKUP(B375, DB[samplingPoint], DB[samplingTag])</f>
        <v>DV116.25</v>
      </c>
      <c r="D375" s="33" t="s">
        <v>59</v>
      </c>
      <c r="E375" s="39" t="str">
        <f t="array" ref="E375">_xlfn.XLOOKUP($B375, DB[samplingPoint], DB[noLocation])</f>
        <v>10-3-171</v>
      </c>
      <c r="F375" s="40" t="str">
        <f t="array" ref="F375">_xlfn.XLOOKUP($B375, DB[samplingPoint], DB[building])</f>
        <v>Building 10</v>
      </c>
      <c r="G375" s="40" t="str">
        <f t="array" ref="G375">_xlfn.XLOOKUP($B375, DB[samplingPoint], DB[location])</f>
        <v>TOOL WASHING-P</v>
      </c>
      <c r="H375" s="40" t="str">
        <f t="array" ref="H375">_xlfn.XLOOKUP($B375, DB[samplingPoint], DB[waterType])</f>
        <v>PW</v>
      </c>
      <c r="I375" s="60">
        <f t="shared" si="1"/>
        <v>45832</v>
      </c>
      <c r="J375" s="192">
        <f t="shared" si="2"/>
        <v>45835</v>
      </c>
      <c r="K375" s="32">
        <v>0.0</v>
      </c>
      <c r="L375" s="32">
        <v>0.0</v>
      </c>
      <c r="M375" s="32">
        <f t="shared" si="3"/>
        <v>0</v>
      </c>
      <c r="N375" s="32" t="s">
        <v>376</v>
      </c>
      <c r="O375" s="32">
        <v>100.0</v>
      </c>
      <c r="P375" s="50" t="str">
        <f t="shared" si="6"/>
        <v>PASSED</v>
      </c>
      <c r="Q375" s="50" t="str">
        <f t="shared" si="5"/>
        <v>10</v>
      </c>
    </row>
    <row r="376" ht="22.5" customHeight="1">
      <c r="A376" s="26">
        <v>45831.0</v>
      </c>
      <c r="B376" s="32" t="s">
        <v>421</v>
      </c>
      <c r="C376" s="191" t="str">
        <f t="array" ref="C376">_xlfn.XLOOKUP(B376, DB[samplingPoint], DB[samplingTag])</f>
        <v>DV116.19</v>
      </c>
      <c r="D376" s="33" t="s">
        <v>59</v>
      </c>
      <c r="E376" s="39" t="str">
        <f t="array" ref="E376">_xlfn.XLOOKUP($B376, DB[samplingPoint], DB[noLocation])</f>
        <v>10-3-143</v>
      </c>
      <c r="F376" s="40" t="str">
        <f t="array" ref="F376">_xlfn.XLOOKUP($B376, DB[samplingPoint], DB[building])</f>
        <v>Building 10</v>
      </c>
      <c r="G376" s="40" t="str">
        <f t="array" ref="G376">_xlfn.XLOOKUP($B376, DB[samplingPoint], DB[location])</f>
        <v>COATING SOLUTION PREP.-P</v>
      </c>
      <c r="H376" s="40" t="str">
        <f t="array" ref="H376">_xlfn.XLOOKUP($B376, DB[samplingPoint], DB[waterType])</f>
        <v>PW</v>
      </c>
      <c r="I376" s="60">
        <f t="shared" si="1"/>
        <v>45832</v>
      </c>
      <c r="J376" s="192">
        <f t="shared" si="2"/>
        <v>45835</v>
      </c>
      <c r="K376" s="32">
        <v>0.0</v>
      </c>
      <c r="L376" s="32">
        <v>0.0</v>
      </c>
      <c r="M376" s="32">
        <f t="shared" si="3"/>
        <v>0</v>
      </c>
      <c r="N376" s="32" t="s">
        <v>376</v>
      </c>
      <c r="O376" s="32">
        <v>100.0</v>
      </c>
      <c r="P376" s="50" t="str">
        <f t="shared" si="6"/>
        <v>PASSED</v>
      </c>
      <c r="Q376" s="50" t="str">
        <f t="shared" si="5"/>
        <v>10</v>
      </c>
    </row>
    <row r="377" ht="22.5" customHeight="1">
      <c r="A377" s="26">
        <v>45831.0</v>
      </c>
      <c r="B377" s="32" t="s">
        <v>428</v>
      </c>
      <c r="C377" s="191" t="str">
        <f t="array" ref="C377">_xlfn.XLOOKUP(B377, DB[samplingPoint], DB[samplingTag])</f>
        <v>DV116.01</v>
      </c>
      <c r="D377" s="33" t="s">
        <v>59</v>
      </c>
      <c r="E377" s="39" t="str">
        <f t="array" ref="E377">_xlfn.XLOOKUP($B377, DB[samplingPoint], DB[noLocation])</f>
        <v>10-1-057</v>
      </c>
      <c r="F377" s="40" t="str">
        <f t="array" ref="F377">_xlfn.XLOOKUP($B377, DB[samplingPoint], DB[building])</f>
        <v>Building 10</v>
      </c>
      <c r="G377" s="40" t="str">
        <f t="array" ref="G377">_xlfn.XLOOKUP($B377, DB[samplingPoint], DB[location])</f>
        <v>WASHING-P</v>
      </c>
      <c r="H377" s="40" t="str">
        <f t="array" ref="H377">_xlfn.XLOOKUP($B377, DB[samplingPoint], DB[waterType])</f>
        <v>PW</v>
      </c>
      <c r="I377" s="60">
        <f t="shared" si="1"/>
        <v>45832</v>
      </c>
      <c r="J377" s="192">
        <f t="shared" si="2"/>
        <v>45835</v>
      </c>
      <c r="K377" s="32">
        <v>0.0</v>
      </c>
      <c r="L377" s="32">
        <v>0.0</v>
      </c>
      <c r="M377" s="32">
        <f t="shared" si="3"/>
        <v>0</v>
      </c>
      <c r="N377" s="32" t="s">
        <v>376</v>
      </c>
      <c r="O377" s="32">
        <v>100.0</v>
      </c>
      <c r="P377" s="50" t="str">
        <f t="shared" si="6"/>
        <v>PASSED</v>
      </c>
      <c r="Q377" s="50" t="str">
        <f t="shared" si="5"/>
        <v>10</v>
      </c>
    </row>
    <row r="378" ht="22.5" customHeight="1">
      <c r="A378" s="26">
        <v>45831.0</v>
      </c>
      <c r="B378" s="32" t="s">
        <v>374</v>
      </c>
      <c r="C378" s="191" t="str">
        <f t="array" ref="C378">_xlfn.XLOOKUP(B378, DB[samplingPoint], DB[samplingTag])</f>
        <v>V50-39(10)</v>
      </c>
      <c r="D378" s="33" t="s">
        <v>59</v>
      </c>
      <c r="E378" s="39" t="str">
        <f t="array" ref="E378">_xlfn.XLOOKUP($B378, DB[samplingPoint], DB[noLocation])</f>
        <v>WATER SYSTEM (B10)</v>
      </c>
      <c r="F378" s="40" t="str">
        <f t="array" ref="F378">_xlfn.XLOOKUP($B378, DB[samplingPoint], DB[building])</f>
        <v>Building 10</v>
      </c>
      <c r="G378" s="40" t="str">
        <f t="array" ref="G378">_xlfn.XLOOKUP($B378, DB[samplingPoint], DB[location])</f>
        <v>After EDI (B10)</v>
      </c>
      <c r="H378" s="40" t="str">
        <f t="array" ref="H378">_xlfn.XLOOKUP($B378, DB[samplingPoint], DB[waterType])</f>
        <v>PW</v>
      </c>
      <c r="I378" s="60">
        <f t="shared" si="1"/>
        <v>45832</v>
      </c>
      <c r="J378" s="192">
        <f t="shared" si="2"/>
        <v>45835</v>
      </c>
      <c r="K378" s="32">
        <v>0.0</v>
      </c>
      <c r="L378" s="32">
        <v>0.0</v>
      </c>
      <c r="M378" s="32">
        <f t="shared" si="3"/>
        <v>0</v>
      </c>
      <c r="N378" s="32" t="s">
        <v>376</v>
      </c>
      <c r="O378" s="32">
        <v>100.0</v>
      </c>
      <c r="P378" s="50" t="str">
        <f t="shared" si="6"/>
        <v>PASSED</v>
      </c>
      <c r="Q378" s="50" t="str">
        <f t="shared" si="5"/>
        <v>WA</v>
      </c>
    </row>
    <row r="379" ht="22.5" customHeight="1">
      <c r="A379" s="26">
        <v>45835.0</v>
      </c>
      <c r="B379" s="32" t="s">
        <v>502</v>
      </c>
      <c r="C379" s="191" t="str">
        <f t="array" ref="C379">_xlfn.XLOOKUP(B379, DB[samplingPoint], DB[samplingTag])</f>
        <v>DV116.26</v>
      </c>
      <c r="D379" s="33" t="s">
        <v>59</v>
      </c>
      <c r="E379" s="39" t="str">
        <f t="array" ref="E379">_xlfn.XLOOKUP($B379, DB[samplingPoint], DB[noLocation])</f>
        <v>10-4-015</v>
      </c>
      <c r="F379" s="40" t="str">
        <f t="array" ref="F379">_xlfn.XLOOKUP($B379, DB[samplingPoint], DB[building])</f>
        <v>Building 10</v>
      </c>
      <c r="G379" s="40" t="str">
        <f t="array" ref="G379">_xlfn.XLOOKUP($B379, DB[samplingPoint], DB[location])</f>
        <v>WATER SYSTEM ROOM</v>
      </c>
      <c r="H379" s="40" t="str">
        <f t="array" ref="H379">_xlfn.XLOOKUP($B379, DB[samplingPoint], DB[waterType])</f>
        <v>PW</v>
      </c>
      <c r="I379" s="60">
        <f t="shared" si="1"/>
        <v>45836</v>
      </c>
      <c r="J379" s="192">
        <f t="shared" si="2"/>
        <v>45839</v>
      </c>
      <c r="K379" s="32">
        <v>0.0</v>
      </c>
      <c r="L379" s="32">
        <v>0.0</v>
      </c>
      <c r="M379" s="32">
        <f t="shared" si="3"/>
        <v>0</v>
      </c>
      <c r="N379" s="32" t="s">
        <v>376</v>
      </c>
      <c r="O379" s="32">
        <v>100.0</v>
      </c>
      <c r="P379" s="50" t="str">
        <f t="shared" si="6"/>
        <v>PASSED</v>
      </c>
      <c r="Q379" s="50" t="str">
        <f t="shared" si="5"/>
        <v>10</v>
      </c>
    </row>
    <row r="380" ht="22.5" customHeight="1">
      <c r="A380" s="26">
        <v>45835.0</v>
      </c>
      <c r="B380" s="32" t="s">
        <v>499</v>
      </c>
      <c r="C380" s="191" t="str">
        <f t="array" ref="C380">_xlfn.XLOOKUP(B380, DB[samplingPoint], DB[samplingTag])</f>
        <v>SV116.01</v>
      </c>
      <c r="D380" s="33" t="s">
        <v>59</v>
      </c>
      <c r="E380" s="39" t="str">
        <f t="array" ref="E380">_xlfn.XLOOKUP($B380, DB[samplingPoint], DB[noLocation])</f>
        <v>10-2-021</v>
      </c>
      <c r="F380" s="40" t="str">
        <f t="array" ref="F380">_xlfn.XLOOKUP($B380, DB[samplingPoint], DB[building])</f>
        <v>Building 10</v>
      </c>
      <c r="G380" s="40" t="str">
        <f t="array" ref="G380">_xlfn.XLOOKUP($B380, DB[samplingPoint], DB[location])</f>
        <v>INSTRUMENT-1</v>
      </c>
      <c r="H380" s="40" t="str">
        <f t="array" ref="H380">_xlfn.XLOOKUP($B380, DB[samplingPoint], DB[waterType])</f>
        <v>PW</v>
      </c>
      <c r="I380" s="60">
        <f t="shared" si="1"/>
        <v>45836</v>
      </c>
      <c r="J380" s="192">
        <f t="shared" si="2"/>
        <v>45839</v>
      </c>
      <c r="K380" s="32">
        <v>0.0</v>
      </c>
      <c r="L380" s="32">
        <v>0.0</v>
      </c>
      <c r="M380" s="32">
        <f t="shared" si="3"/>
        <v>0</v>
      </c>
      <c r="N380" s="32" t="s">
        <v>376</v>
      </c>
      <c r="O380" s="32">
        <v>100.0</v>
      </c>
      <c r="P380" s="50" t="str">
        <f t="shared" si="6"/>
        <v>PASSED</v>
      </c>
      <c r="Q380" s="50" t="str">
        <f t="shared" si="5"/>
        <v>10</v>
      </c>
    </row>
    <row r="381" ht="22.5" customHeight="1">
      <c r="A381" s="26">
        <v>45835.0</v>
      </c>
      <c r="B381" s="32" t="s">
        <v>496</v>
      </c>
      <c r="C381" s="191" t="str">
        <f t="array" ref="C381">_xlfn.XLOOKUP(B381, DB[samplingPoint], DB[samplingTag])</f>
        <v>SV116.19</v>
      </c>
      <c r="D381" s="33" t="s">
        <v>59</v>
      </c>
      <c r="E381" s="39" t="str">
        <f t="array" ref="E381">_xlfn.XLOOKUP($B381, DB[samplingPoint], DB[noLocation])</f>
        <v>10-4-012</v>
      </c>
      <c r="F381" s="40" t="str">
        <f t="array" ref="F381">_xlfn.XLOOKUP($B381, DB[samplingPoint], DB[building])</f>
        <v>Building 10</v>
      </c>
      <c r="G381" s="40" t="str">
        <f t="array" ref="G381">_xlfn.XLOOKUP($B381, DB[samplingPoint], DB[location])</f>
        <v>WIP SKID-2 FOR GRANULATION NON POTENT</v>
      </c>
      <c r="H381" s="40" t="str">
        <f t="array" ref="H381">_xlfn.XLOOKUP($B381, DB[samplingPoint], DB[waterType])</f>
        <v>PW</v>
      </c>
      <c r="I381" s="60">
        <f t="shared" si="1"/>
        <v>45836</v>
      </c>
      <c r="J381" s="192">
        <f t="shared" si="2"/>
        <v>45839</v>
      </c>
      <c r="K381" s="32">
        <v>0.0</v>
      </c>
      <c r="L381" s="32">
        <v>0.0</v>
      </c>
      <c r="M381" s="32">
        <f t="shared" si="3"/>
        <v>0</v>
      </c>
      <c r="N381" s="32" t="s">
        <v>376</v>
      </c>
      <c r="O381" s="32">
        <v>100.0</v>
      </c>
      <c r="P381" s="50" t="str">
        <f t="shared" si="6"/>
        <v>PASSED</v>
      </c>
      <c r="Q381" s="50" t="str">
        <f t="shared" si="5"/>
        <v>10</v>
      </c>
    </row>
    <row r="382" ht="22.5" customHeight="1">
      <c r="A382" s="26">
        <v>45835.0</v>
      </c>
      <c r="B382" s="32" t="s">
        <v>502</v>
      </c>
      <c r="C382" s="191" t="str">
        <f t="array" ref="C382">_xlfn.XLOOKUP(B382, DB[samplingPoint], DB[samplingTag])</f>
        <v>DV116.26</v>
      </c>
      <c r="D382" s="33" t="s">
        <v>59</v>
      </c>
      <c r="E382" s="39" t="str">
        <f t="array" ref="E382">_xlfn.XLOOKUP($B382, DB[samplingPoint], DB[noLocation])</f>
        <v>10-4-015</v>
      </c>
      <c r="F382" s="40" t="str">
        <f t="array" ref="F382">_xlfn.XLOOKUP($B382, DB[samplingPoint], DB[building])</f>
        <v>Building 10</v>
      </c>
      <c r="G382" s="40" t="str">
        <f t="array" ref="G382">_xlfn.XLOOKUP($B382, DB[samplingPoint], DB[location])</f>
        <v>WATER SYSTEM ROOM</v>
      </c>
      <c r="H382" s="40" t="str">
        <f t="array" ref="H382">_xlfn.XLOOKUP($B382, DB[samplingPoint], DB[waterType])</f>
        <v>PW</v>
      </c>
      <c r="I382" s="60">
        <f t="shared" si="1"/>
        <v>45836</v>
      </c>
      <c r="J382" s="192">
        <f t="shared" si="2"/>
        <v>45839</v>
      </c>
      <c r="K382" s="32">
        <v>0.0</v>
      </c>
      <c r="L382" s="32">
        <v>0.0</v>
      </c>
      <c r="M382" s="32">
        <f t="shared" si="3"/>
        <v>0</v>
      </c>
      <c r="N382" s="32" t="s">
        <v>376</v>
      </c>
      <c r="O382" s="32">
        <v>100.0</v>
      </c>
      <c r="P382" s="50" t="str">
        <f t="shared" si="6"/>
        <v>PASSED</v>
      </c>
      <c r="Q382" s="50" t="str">
        <f t="shared" si="5"/>
        <v>10</v>
      </c>
    </row>
    <row r="383" ht="22.5" customHeight="1">
      <c r="A383" s="26">
        <v>45835.0</v>
      </c>
      <c r="B383" s="32" t="s">
        <v>494</v>
      </c>
      <c r="C383" s="191" t="str">
        <f t="array" ref="C383">_xlfn.XLOOKUP(B383, DB[samplingPoint], DB[samplingTag])</f>
        <v>SV116.17</v>
      </c>
      <c r="D383" s="33" t="s">
        <v>59</v>
      </c>
      <c r="E383" s="39" t="str">
        <f t="array" ref="E383">_xlfn.XLOOKUP($B383, DB[samplingPoint], DB[noLocation])</f>
        <v>10-4-012</v>
      </c>
      <c r="F383" s="40" t="str">
        <f t="array" ref="F383">_xlfn.XLOOKUP($B383, DB[samplingPoint], DB[building])</f>
        <v>Building 10</v>
      </c>
      <c r="G383" s="40" t="str">
        <f t="array" ref="G383">_xlfn.XLOOKUP($B383, DB[samplingPoint], DB[location])</f>
        <v>CIP SKID-2 FOR BIN WASHING-1</v>
      </c>
      <c r="H383" s="40" t="str">
        <f t="array" ref="H383">_xlfn.XLOOKUP($B383, DB[samplingPoint], DB[waterType])</f>
        <v>PW</v>
      </c>
      <c r="I383" s="60">
        <f t="shared" si="1"/>
        <v>45836</v>
      </c>
      <c r="J383" s="192">
        <f t="shared" si="2"/>
        <v>45839</v>
      </c>
      <c r="K383" s="32">
        <v>0.0</v>
      </c>
      <c r="L383" s="32">
        <v>0.0</v>
      </c>
      <c r="M383" s="32">
        <f t="shared" si="3"/>
        <v>0</v>
      </c>
      <c r="N383" s="32" t="s">
        <v>376</v>
      </c>
      <c r="O383" s="32">
        <v>100.0</v>
      </c>
      <c r="P383" s="50" t="str">
        <f t="shared" si="6"/>
        <v>PASSED</v>
      </c>
      <c r="Q383" s="50" t="str">
        <f t="shared" si="5"/>
        <v>10</v>
      </c>
    </row>
    <row r="384" ht="22.5" customHeight="1">
      <c r="A384" s="26">
        <v>45835.0</v>
      </c>
      <c r="B384" s="32" t="s">
        <v>495</v>
      </c>
      <c r="C384" s="191" t="str">
        <f t="array" ref="C384">_xlfn.XLOOKUP(B384, DB[samplingPoint], DB[samplingTag])</f>
        <v>SV116.18</v>
      </c>
      <c r="D384" s="33" t="s">
        <v>59</v>
      </c>
      <c r="E384" s="39" t="str">
        <f t="array" ref="E384">_xlfn.XLOOKUP($B384, DB[samplingPoint], DB[noLocation])</f>
        <v>10-4-012</v>
      </c>
      <c r="F384" s="40" t="str">
        <f t="array" ref="F384">_xlfn.XLOOKUP($B384, DB[samplingPoint], DB[building])</f>
        <v>Building 10</v>
      </c>
      <c r="G384" s="40" t="str">
        <f t="array" ref="G384">_xlfn.XLOOKUP($B384, DB[samplingPoint], DB[location])</f>
        <v>WIP SKID-1 FOR GRANULATION NON POTENT</v>
      </c>
      <c r="H384" s="40" t="str">
        <f t="array" ref="H384">_xlfn.XLOOKUP($B384, DB[samplingPoint], DB[waterType])</f>
        <v>PW</v>
      </c>
      <c r="I384" s="60">
        <f t="shared" si="1"/>
        <v>45836</v>
      </c>
      <c r="J384" s="192">
        <f t="shared" si="2"/>
        <v>45839</v>
      </c>
      <c r="K384" s="32">
        <v>0.0</v>
      </c>
      <c r="L384" s="32">
        <v>0.0</v>
      </c>
      <c r="M384" s="32">
        <f t="shared" si="3"/>
        <v>0</v>
      </c>
      <c r="N384" s="32" t="s">
        <v>376</v>
      </c>
      <c r="O384" s="32">
        <v>100.0</v>
      </c>
      <c r="P384" s="50" t="str">
        <f t="shared" si="6"/>
        <v>PASSED</v>
      </c>
      <c r="Q384" s="50" t="str">
        <f t="shared" si="5"/>
        <v>10</v>
      </c>
    </row>
    <row r="385" ht="22.5" customHeight="1">
      <c r="A385" s="26">
        <v>45835.0</v>
      </c>
      <c r="B385" s="32" t="s">
        <v>491</v>
      </c>
      <c r="C385" s="191" t="str">
        <f t="array" ref="C385">_xlfn.XLOOKUP(B385, DB[samplingPoint], DB[samplingTag])</f>
        <v>SV116.15</v>
      </c>
      <c r="D385" s="33" t="s">
        <v>59</v>
      </c>
      <c r="E385" s="39" t="str">
        <f t="array" ref="E385">_xlfn.XLOOKUP($B385, DB[samplingPoint], DB[noLocation])</f>
        <v>10-4-012</v>
      </c>
      <c r="F385" s="40" t="str">
        <f t="array" ref="F385">_xlfn.XLOOKUP($B385, DB[samplingPoint], DB[building])</f>
        <v>Building 10</v>
      </c>
      <c r="G385" s="40" t="str">
        <f t="array" ref="G385">_xlfn.XLOOKUP($B385, DB[samplingPoint], DB[location])</f>
        <v>CIP SKID-1 FOR BIN WASHING-1</v>
      </c>
      <c r="H385" s="40" t="str">
        <f t="array" ref="H385">_xlfn.XLOOKUP($B385, DB[samplingPoint], DB[waterType])</f>
        <v>PW</v>
      </c>
      <c r="I385" s="60">
        <f t="shared" si="1"/>
        <v>45836</v>
      </c>
      <c r="J385" s="192">
        <f t="shared" si="2"/>
        <v>45839</v>
      </c>
      <c r="K385" s="32">
        <v>0.0</v>
      </c>
      <c r="L385" s="32">
        <v>0.0</v>
      </c>
      <c r="M385" s="32">
        <f t="shared" si="3"/>
        <v>0</v>
      </c>
      <c r="N385" s="32" t="s">
        <v>376</v>
      </c>
      <c r="O385" s="32">
        <v>100.0</v>
      </c>
      <c r="P385" s="50" t="str">
        <f t="shared" si="6"/>
        <v>PASSED</v>
      </c>
      <c r="Q385" s="50" t="str">
        <f t="shared" si="5"/>
        <v>10</v>
      </c>
    </row>
    <row r="386" ht="22.5" customHeight="1">
      <c r="A386" s="26">
        <v>45835.0</v>
      </c>
      <c r="B386" s="32" t="s">
        <v>493</v>
      </c>
      <c r="C386" s="191" t="str">
        <f t="array" ref="C386">_xlfn.XLOOKUP(B386, DB[samplingPoint], DB[samplingTag])</f>
        <v>SV116.16</v>
      </c>
      <c r="D386" s="33" t="s">
        <v>59</v>
      </c>
      <c r="E386" s="39" t="str">
        <f t="array" ref="E386">_xlfn.XLOOKUP($B386, DB[samplingPoint], DB[noLocation])</f>
        <v>10-4-012</v>
      </c>
      <c r="F386" s="40" t="str">
        <f t="array" ref="F386">_xlfn.XLOOKUP($B386, DB[samplingPoint], DB[building])</f>
        <v>Building 10</v>
      </c>
      <c r="G386" s="40" t="str">
        <f t="array" ref="G386">_xlfn.XLOOKUP($B386, DB[samplingPoint], DB[location])</f>
        <v>WIP SKID-3 FOR GRANULATION POTENT</v>
      </c>
      <c r="H386" s="40" t="str">
        <f t="array" ref="H386">_xlfn.XLOOKUP($B386, DB[samplingPoint], DB[waterType])</f>
        <v>PW</v>
      </c>
      <c r="I386" s="60">
        <f t="shared" si="1"/>
        <v>45836</v>
      </c>
      <c r="J386" s="192">
        <f t="shared" si="2"/>
        <v>45839</v>
      </c>
      <c r="K386" s="32">
        <v>0.0</v>
      </c>
      <c r="L386" s="32">
        <v>0.0</v>
      </c>
      <c r="M386" s="32">
        <f t="shared" si="3"/>
        <v>0</v>
      </c>
      <c r="N386" s="32" t="s">
        <v>376</v>
      </c>
      <c r="O386" s="32">
        <v>100.0</v>
      </c>
      <c r="P386" s="50" t="str">
        <f t="shared" si="6"/>
        <v>PASSED</v>
      </c>
      <c r="Q386" s="50" t="str">
        <f t="shared" si="5"/>
        <v>10</v>
      </c>
    </row>
    <row r="387" ht="22.5" customHeight="1">
      <c r="A387" s="26">
        <v>45835.0</v>
      </c>
      <c r="B387" s="32" t="s">
        <v>498</v>
      </c>
      <c r="C387" s="191" t="str">
        <f t="array" ref="C387">_xlfn.XLOOKUP(B387, DB[samplingPoint], DB[samplingTag])</f>
        <v>SV116.02</v>
      </c>
      <c r="D387" s="33" t="s">
        <v>59</v>
      </c>
      <c r="E387" s="39" t="str">
        <f t="array" ref="E387">_xlfn.XLOOKUP($B387, DB[samplingPoint], DB[noLocation])</f>
        <v>10-2-037</v>
      </c>
      <c r="F387" s="40" t="str">
        <f t="array" ref="F387">_xlfn.XLOOKUP($B387, DB[samplingPoint], DB[building])</f>
        <v>Building 10</v>
      </c>
      <c r="G387" s="40" t="str">
        <f t="array" ref="G387">_xlfn.XLOOKUP($B387, DB[samplingPoint], DB[location])</f>
        <v>SKID FOR BIN WASHING-2</v>
      </c>
      <c r="H387" s="40" t="str">
        <f t="array" ref="H387">_xlfn.XLOOKUP($B387, DB[samplingPoint], DB[waterType])</f>
        <v>PW</v>
      </c>
      <c r="I387" s="60">
        <f t="shared" si="1"/>
        <v>45836</v>
      </c>
      <c r="J387" s="192">
        <f t="shared" si="2"/>
        <v>45839</v>
      </c>
      <c r="K387" s="32">
        <v>0.0</v>
      </c>
      <c r="L387" s="32">
        <v>0.0</v>
      </c>
      <c r="M387" s="32">
        <f t="shared" si="3"/>
        <v>0</v>
      </c>
      <c r="N387" s="32" t="s">
        <v>376</v>
      </c>
      <c r="O387" s="32">
        <v>100.0</v>
      </c>
      <c r="P387" s="50" t="str">
        <f t="shared" si="6"/>
        <v>PASSED</v>
      </c>
      <c r="Q387" s="50" t="str">
        <f t="shared" si="5"/>
        <v>10</v>
      </c>
    </row>
    <row r="388" ht="22.5" customHeight="1">
      <c r="A388" s="26">
        <v>45835.0</v>
      </c>
      <c r="B388" s="32" t="s">
        <v>431</v>
      </c>
      <c r="C388" s="191" t="str">
        <f t="array" ref="C388">_xlfn.XLOOKUP(B388, DB[samplingPoint], DB[samplingTag])</f>
        <v>SV-14</v>
      </c>
      <c r="D388" s="33" t="s">
        <v>59</v>
      </c>
      <c r="E388" s="39" t="str">
        <f t="array" ref="E388">_xlfn.XLOOKUP($B388, DB[samplingPoint], DB[noLocation])</f>
        <v>PROCESS WATER (B19)</v>
      </c>
      <c r="F388" s="40" t="str">
        <f t="array" ref="F388">_xlfn.XLOOKUP($B388, DB[samplingPoint], DB[building])</f>
        <v>Building 19</v>
      </c>
      <c r="G388" s="40" t="str">
        <f t="array" ref="G388">_xlfn.XLOOKUP($B388, DB[samplingPoint], DB[location])</f>
        <v>AFTER RO SYSTEM NO.12 SV14</v>
      </c>
      <c r="H388" s="40" t="str">
        <f t="array" ref="H388">_xlfn.XLOOKUP($B388, DB[samplingPoint], DB[waterType])</f>
        <v>PRW</v>
      </c>
      <c r="I388" s="60">
        <f t="shared" si="1"/>
        <v>45836</v>
      </c>
      <c r="J388" s="192">
        <f t="shared" si="2"/>
        <v>45839</v>
      </c>
      <c r="K388" s="32">
        <v>0.0</v>
      </c>
      <c r="L388" s="32">
        <v>0.0</v>
      </c>
      <c r="M388" s="32">
        <f t="shared" si="3"/>
        <v>0</v>
      </c>
      <c r="N388" s="32" t="s">
        <v>376</v>
      </c>
      <c r="O388" s="32">
        <v>500.0</v>
      </c>
      <c r="P388" s="50" t="str">
        <f t="shared" si="6"/>
        <v>PASSED</v>
      </c>
      <c r="Q388" s="50" t="str">
        <f t="shared" si="5"/>
        <v>PR</v>
      </c>
    </row>
    <row r="389" ht="22.5" customHeight="1">
      <c r="A389" s="26">
        <v>45835.0</v>
      </c>
      <c r="B389" s="32" t="s">
        <v>380</v>
      </c>
      <c r="C389" s="191" t="str">
        <f t="array" ref="C389">_xlfn.XLOOKUP(B389, DB[samplingPoint], DB[samplingTag])</f>
        <v>SV113.01</v>
      </c>
      <c r="D389" s="33" t="s">
        <v>59</v>
      </c>
      <c r="E389" s="39" t="str">
        <f t="array" ref="E389">_xlfn.XLOOKUP($B389, DB[samplingPoint], DB[noLocation])</f>
        <v>WATER SYSTEM (B10)</v>
      </c>
      <c r="F389" s="40" t="str">
        <f t="array" ref="F389">_xlfn.XLOOKUP($B389, DB[samplingPoint], DB[building])</f>
        <v>Building 10</v>
      </c>
      <c r="G389" s="40" t="str">
        <f t="array" ref="G389">_xlfn.XLOOKUP($B389, DB[samplingPoint], DB[location])</f>
        <v>After Storage tank (B10)</v>
      </c>
      <c r="H389" s="40" t="str">
        <f t="array" ref="H389">_xlfn.XLOOKUP($B389, DB[samplingPoint], DB[waterType])</f>
        <v>PW</v>
      </c>
      <c r="I389" s="60">
        <f t="shared" si="1"/>
        <v>45836</v>
      </c>
      <c r="J389" s="192">
        <f t="shared" si="2"/>
        <v>45839</v>
      </c>
      <c r="K389" s="32">
        <v>0.0</v>
      </c>
      <c r="L389" s="32">
        <v>0.0</v>
      </c>
      <c r="M389" s="32">
        <f t="shared" si="3"/>
        <v>0</v>
      </c>
      <c r="N389" s="32" t="s">
        <v>376</v>
      </c>
      <c r="O389" s="32">
        <v>100.0</v>
      </c>
      <c r="P389" s="50" t="str">
        <f t="shared" si="6"/>
        <v>PASSED</v>
      </c>
      <c r="Q389" s="50" t="str">
        <f t="shared" si="5"/>
        <v>WA</v>
      </c>
    </row>
    <row r="390" ht="22.5" customHeight="1">
      <c r="A390" s="26">
        <v>45835.0</v>
      </c>
      <c r="B390" s="32" t="s">
        <v>385</v>
      </c>
      <c r="C390" s="191" t="str">
        <f t="array" ref="C390">_xlfn.XLOOKUP(B390, DB[samplingPoint], DB[samplingTag])</f>
        <v>SV115.02</v>
      </c>
      <c r="D390" s="33" t="s">
        <v>59</v>
      </c>
      <c r="E390" s="39" t="str">
        <f t="array" ref="E390">_xlfn.XLOOKUP($B390, DB[samplingPoint], DB[noLocation])</f>
        <v>WATER SYSTEM (B10)</v>
      </c>
      <c r="F390" s="40" t="str">
        <f t="array" ref="F390">_xlfn.XLOOKUP($B390, DB[samplingPoint], DB[building])</f>
        <v>Building 10</v>
      </c>
      <c r="G390" s="40" t="str">
        <f t="array" ref="G390">_xlfn.XLOOKUP($B390, DB[samplingPoint], DB[location])</f>
        <v>After UV (B10)</v>
      </c>
      <c r="H390" s="40" t="str">
        <f t="array" ref="H390">_xlfn.XLOOKUP($B390, DB[samplingPoint], DB[waterType])</f>
        <v>PW</v>
      </c>
      <c r="I390" s="60">
        <f t="shared" si="1"/>
        <v>45836</v>
      </c>
      <c r="J390" s="192">
        <f t="shared" si="2"/>
        <v>45839</v>
      </c>
      <c r="K390" s="32">
        <v>0.0</v>
      </c>
      <c r="L390" s="32">
        <v>0.0</v>
      </c>
      <c r="M390" s="32">
        <f t="shared" si="3"/>
        <v>0</v>
      </c>
      <c r="N390" s="32" t="s">
        <v>376</v>
      </c>
      <c r="O390" s="32">
        <v>100.0</v>
      </c>
      <c r="P390" s="50" t="str">
        <f t="shared" si="6"/>
        <v>PASSED</v>
      </c>
      <c r="Q390" s="50" t="str">
        <f t="shared" si="5"/>
        <v>WA</v>
      </c>
    </row>
    <row r="391" ht="22.5" customHeight="1">
      <c r="A391" s="26">
        <v>45835.0</v>
      </c>
      <c r="B391" s="32" t="s">
        <v>390</v>
      </c>
      <c r="C391" s="191" t="str">
        <f t="array" ref="C391">_xlfn.XLOOKUP(B391, DB[samplingPoint], DB[samplingTag])</f>
        <v>SV117.01</v>
      </c>
      <c r="D391" s="33" t="s">
        <v>59</v>
      </c>
      <c r="E391" s="39" t="str">
        <f t="array" ref="E391">_xlfn.XLOOKUP($B391, DB[samplingPoint], DB[noLocation])</f>
        <v>WATER SYSTEM (B10)</v>
      </c>
      <c r="F391" s="40" t="str">
        <f t="array" ref="F391">_xlfn.XLOOKUP($B391, DB[samplingPoint], DB[building])</f>
        <v>Building 10</v>
      </c>
      <c r="G391" s="40" t="str">
        <f t="array" ref="G391">_xlfn.XLOOKUP($B391, DB[samplingPoint], DB[location])</f>
        <v>Return loop (B10)</v>
      </c>
      <c r="H391" s="40" t="str">
        <f t="array" ref="H391">_xlfn.XLOOKUP($B391, DB[samplingPoint], DB[waterType])</f>
        <v>PW</v>
      </c>
      <c r="I391" s="60">
        <f t="shared" si="1"/>
        <v>45836</v>
      </c>
      <c r="J391" s="192">
        <f t="shared" si="2"/>
        <v>45839</v>
      </c>
      <c r="K391" s="32">
        <v>0.0</v>
      </c>
      <c r="L391" s="32">
        <v>0.0</v>
      </c>
      <c r="M391" s="32">
        <f t="shared" si="3"/>
        <v>0</v>
      </c>
      <c r="N391" s="32" t="s">
        <v>376</v>
      </c>
      <c r="O391" s="32">
        <v>100.0</v>
      </c>
      <c r="P391" s="50" t="str">
        <f t="shared" si="6"/>
        <v>PASSED</v>
      </c>
      <c r="Q391" s="50" t="str">
        <f t="shared" si="5"/>
        <v>WA</v>
      </c>
    </row>
    <row r="392" ht="22.5" customHeight="1">
      <c r="A392" s="26">
        <v>45845.0</v>
      </c>
      <c r="B392" s="32" t="s">
        <v>349</v>
      </c>
      <c r="C392" s="191" t="str">
        <f t="array" ref="C392">_xlfn.XLOOKUP(B392, DB[samplingPoint], DB[samplingTag])</f>
        <v>VB-05(10)</v>
      </c>
      <c r="D392" s="33" t="s">
        <v>59</v>
      </c>
      <c r="E392" s="39" t="str">
        <f t="array" ref="E392">_xlfn.XLOOKUP($B392, DB[samplingPoint], DB[noLocation])</f>
        <v>WATER SYSTEM (B10)</v>
      </c>
      <c r="F392" s="40" t="str">
        <f t="array" ref="F392">_xlfn.XLOOKUP($B392, DB[samplingPoint], DB[building])</f>
        <v>Building 10</v>
      </c>
      <c r="G392" s="40" t="str">
        <f t="array" ref="G392">_xlfn.XLOOKUP($B392, DB[samplingPoint], DB[location])</f>
        <v>After Chlorine circulation tank (B10)</v>
      </c>
      <c r="H392" s="40" t="str">
        <f t="array" ref="H392">_xlfn.XLOOKUP($B392, DB[samplingPoint], DB[waterType])</f>
        <v>PRW</v>
      </c>
      <c r="I392" s="60">
        <f t="shared" si="1"/>
        <v>45846</v>
      </c>
      <c r="J392" s="192">
        <f t="shared" si="2"/>
        <v>45849</v>
      </c>
      <c r="K392" s="32">
        <v>0.0</v>
      </c>
      <c r="L392" s="32">
        <v>0.0</v>
      </c>
      <c r="M392" s="32">
        <f t="shared" si="3"/>
        <v>0</v>
      </c>
      <c r="N392" s="32" t="s">
        <v>376</v>
      </c>
      <c r="O392" s="32">
        <v>500.0</v>
      </c>
      <c r="P392" s="50" t="str">
        <f t="shared" si="6"/>
        <v>PASSED</v>
      </c>
      <c r="Q392" s="50" t="str">
        <f t="shared" si="5"/>
        <v>WA</v>
      </c>
    </row>
    <row r="393" ht="22.5" customHeight="1">
      <c r="A393" s="26">
        <v>45845.0</v>
      </c>
      <c r="B393" s="32" t="s">
        <v>366</v>
      </c>
      <c r="C393" s="191" t="str">
        <f t="array" ref="C393">_xlfn.XLOOKUP(B393, DB[samplingPoint], DB[samplingTag])</f>
        <v>V50-61(10)</v>
      </c>
      <c r="D393" s="33" t="s">
        <v>59</v>
      </c>
      <c r="E393" s="39" t="str">
        <f t="array" ref="E393">_xlfn.XLOOKUP($B393, DB[samplingPoint], DB[noLocation])</f>
        <v>WATER SYSTEM (B10)</v>
      </c>
      <c r="F393" s="40" t="str">
        <f t="array" ref="F393">_xlfn.XLOOKUP($B393, DB[samplingPoint], DB[building])</f>
        <v>Building 10</v>
      </c>
      <c r="G393" s="40" t="str">
        <f t="array" ref="G393">_xlfn.XLOOKUP($B393, DB[samplingPoint], DB[location])</f>
        <v>After Cartridge filter 5 µm (B10)</v>
      </c>
      <c r="H393" s="40" t="str">
        <f t="array" ref="H393">_xlfn.XLOOKUP($B393, DB[samplingPoint], DB[waterType])</f>
        <v>PRW</v>
      </c>
      <c r="I393" s="60">
        <f t="shared" si="1"/>
        <v>45846</v>
      </c>
      <c r="J393" s="192">
        <f t="shared" si="2"/>
        <v>45849</v>
      </c>
      <c r="K393" s="32">
        <v>999.0</v>
      </c>
      <c r="L393" s="32">
        <v>999.0</v>
      </c>
      <c r="M393" s="32">
        <f t="shared" si="3"/>
        <v>999</v>
      </c>
      <c r="N393" s="32" t="s">
        <v>376</v>
      </c>
      <c r="O393" s="32">
        <v>500.0</v>
      </c>
      <c r="P393" s="50" t="str">
        <f t="shared" si="6"/>
        <v>NOT-PASSED</v>
      </c>
      <c r="Q393" s="50" t="str">
        <f t="shared" si="5"/>
        <v>WA</v>
      </c>
    </row>
    <row r="394" ht="22.5" customHeight="1">
      <c r="A394" s="26">
        <v>45845.0</v>
      </c>
      <c r="B394" s="32" t="s">
        <v>368</v>
      </c>
      <c r="C394" s="191" t="str">
        <f t="array" ref="C394">_xlfn.XLOOKUP(B394, DB[samplingPoint], DB[samplingTag])</f>
        <v>V50-11C(10)</v>
      </c>
      <c r="D394" s="33" t="s">
        <v>59</v>
      </c>
      <c r="E394" s="39" t="str">
        <f t="array" ref="E394">_xlfn.XLOOKUP($B394, DB[samplingPoint], DB[noLocation])</f>
        <v>WATER SYSTEM (B10)</v>
      </c>
      <c r="F394" s="40" t="str">
        <f t="array" ref="F394">_xlfn.XLOOKUP($B394, DB[samplingPoint], DB[building])</f>
        <v>Building 10</v>
      </c>
      <c r="G394" s="40" t="str">
        <f t="array" ref="G394">_xlfn.XLOOKUP($B394, DB[samplingPoint], DB[location])</f>
        <v>After RO (Before EDI) (B10)</v>
      </c>
      <c r="H394" s="40" t="str">
        <f t="array" ref="H394">_xlfn.XLOOKUP($B394, DB[samplingPoint], DB[waterType])</f>
        <v>RO water</v>
      </c>
      <c r="I394" s="60">
        <f t="shared" si="1"/>
        <v>45846</v>
      </c>
      <c r="J394" s="192">
        <f t="shared" si="2"/>
        <v>45849</v>
      </c>
      <c r="K394" s="32">
        <v>0.0</v>
      </c>
      <c r="L394" s="32">
        <v>0.0</v>
      </c>
      <c r="M394" s="32">
        <f t="shared" si="3"/>
        <v>0</v>
      </c>
      <c r="N394" s="32" t="s">
        <v>376</v>
      </c>
      <c r="O394" s="32">
        <v>500.0</v>
      </c>
      <c r="P394" s="50" t="str">
        <f t="shared" si="6"/>
        <v>PASSED</v>
      </c>
      <c r="Q394" s="50" t="str">
        <f t="shared" si="5"/>
        <v>WA</v>
      </c>
    </row>
    <row r="395" ht="22.5" customHeight="1">
      <c r="A395" s="26">
        <v>45845.0</v>
      </c>
      <c r="B395" s="32" t="s">
        <v>374</v>
      </c>
      <c r="C395" s="191" t="str">
        <f t="array" ref="C395">_xlfn.XLOOKUP(B395, DB[samplingPoint], DB[samplingTag])</f>
        <v>V50-39(10)</v>
      </c>
      <c r="D395" s="33" t="s">
        <v>59</v>
      </c>
      <c r="E395" s="39" t="str">
        <f t="array" ref="E395">_xlfn.XLOOKUP($B395, DB[samplingPoint], DB[noLocation])</f>
        <v>WATER SYSTEM (B10)</v>
      </c>
      <c r="F395" s="40" t="str">
        <f t="array" ref="F395">_xlfn.XLOOKUP($B395, DB[samplingPoint], DB[building])</f>
        <v>Building 10</v>
      </c>
      <c r="G395" s="40" t="str">
        <f t="array" ref="G395">_xlfn.XLOOKUP($B395, DB[samplingPoint], DB[location])</f>
        <v>After EDI (B10)</v>
      </c>
      <c r="H395" s="40" t="str">
        <f t="array" ref="H395">_xlfn.XLOOKUP($B395, DB[samplingPoint], DB[waterType])</f>
        <v>PW</v>
      </c>
      <c r="I395" s="60">
        <f t="shared" si="1"/>
        <v>45846</v>
      </c>
      <c r="J395" s="192">
        <f t="shared" si="2"/>
        <v>45849</v>
      </c>
      <c r="K395" s="32">
        <v>0.0</v>
      </c>
      <c r="L395" s="32">
        <v>0.0</v>
      </c>
      <c r="M395" s="32">
        <f t="shared" si="3"/>
        <v>0</v>
      </c>
      <c r="N395" s="32" t="s">
        <v>376</v>
      </c>
      <c r="O395" s="32">
        <v>100.0</v>
      </c>
      <c r="P395" s="50" t="str">
        <f t="shared" si="6"/>
        <v>PASSED</v>
      </c>
      <c r="Q395" s="50" t="str">
        <f t="shared" si="5"/>
        <v>WA</v>
      </c>
    </row>
    <row r="396" ht="22.5" customHeight="1">
      <c r="A396" s="26">
        <v>45845.0</v>
      </c>
      <c r="B396" s="32" t="s">
        <v>618</v>
      </c>
      <c r="C396" s="39" t="str">
        <f t="array" ref="C396">_xlfn.XLOOKUP(B396, DB[samplingPoint], DB[samplingTag])</f>
        <v>SV-15</v>
      </c>
      <c r="D396" s="33" t="s">
        <v>59</v>
      </c>
      <c r="E396" s="39" t="str">
        <f t="array" ref="E396">_xlfn.XLOOKUP($B396, DB[samplingPoint], DB[noLocation])</f>
        <v>PROCESS WATER (B19)</v>
      </c>
      <c r="F396" s="40" t="str">
        <f t="array" ref="F396">_xlfn.XLOOKUP($B396, DB[samplingPoint], DB[building])</f>
        <v>Building 19</v>
      </c>
      <c r="G396" s="40" t="str">
        <f t="array" ref="G396">_xlfn.XLOOKUP($B396, DB[samplingPoint], DB[location])</f>
        <v>AFTER RO SYSTEM NO.12 SV15</v>
      </c>
      <c r="H396" s="40" t="str">
        <f t="array" ref="H396">_xlfn.XLOOKUP($B396, DB[samplingPoint], DB[waterType])</f>
        <v>PRW</v>
      </c>
      <c r="I396" s="60">
        <f t="shared" si="1"/>
        <v>45846</v>
      </c>
      <c r="J396" s="192">
        <f t="shared" si="2"/>
        <v>45849</v>
      </c>
      <c r="K396" s="32">
        <v>169.0</v>
      </c>
      <c r="L396" s="32">
        <v>213.0</v>
      </c>
      <c r="M396" s="32">
        <f t="shared" si="3"/>
        <v>191</v>
      </c>
      <c r="N396" s="32" t="s">
        <v>376</v>
      </c>
      <c r="O396" s="32">
        <v>500.0</v>
      </c>
      <c r="P396" s="50" t="str">
        <f t="shared" si="6"/>
        <v>PASSED</v>
      </c>
      <c r="Q396" s="50" t="str">
        <f t="shared" si="5"/>
        <v>PR</v>
      </c>
    </row>
    <row r="397" ht="22.5" customHeight="1">
      <c r="A397" s="26">
        <v>45845.0</v>
      </c>
      <c r="B397" s="32" t="s">
        <v>431</v>
      </c>
      <c r="C397" s="191" t="str">
        <f t="array" ref="C397">_xlfn.XLOOKUP(B397, DB[samplingPoint], DB[samplingTag])</f>
        <v>SV-14</v>
      </c>
      <c r="D397" s="33" t="s">
        <v>59</v>
      </c>
      <c r="E397" s="39" t="str">
        <f t="array" ref="E397">_xlfn.XLOOKUP($B397, DB[samplingPoint], DB[noLocation])</f>
        <v>PROCESS WATER (B19)</v>
      </c>
      <c r="F397" s="40" t="str">
        <f t="array" ref="F397">_xlfn.XLOOKUP($B397, DB[samplingPoint], DB[building])</f>
        <v>Building 19</v>
      </c>
      <c r="G397" s="40" t="str">
        <f t="array" ref="G397">_xlfn.XLOOKUP($B397, DB[samplingPoint], DB[location])</f>
        <v>AFTER RO SYSTEM NO.12 SV14</v>
      </c>
      <c r="H397" s="40" t="str">
        <f t="array" ref="H397">_xlfn.XLOOKUP($B397, DB[samplingPoint], DB[waterType])</f>
        <v>PRW</v>
      </c>
      <c r="I397" s="60">
        <f t="shared" si="1"/>
        <v>45846</v>
      </c>
      <c r="J397" s="192">
        <f t="shared" si="2"/>
        <v>45849</v>
      </c>
      <c r="K397" s="32">
        <v>664.0</v>
      </c>
      <c r="L397" s="32">
        <v>541.0</v>
      </c>
      <c r="M397" s="32">
        <f t="shared" si="3"/>
        <v>603</v>
      </c>
      <c r="N397" s="32" t="s">
        <v>376</v>
      </c>
      <c r="O397" s="32">
        <v>500.0</v>
      </c>
      <c r="P397" s="50" t="str">
        <f t="shared" si="6"/>
        <v>NOT-PASSED</v>
      </c>
      <c r="Q397" s="50" t="str">
        <f t="shared" si="5"/>
        <v>PR</v>
      </c>
    </row>
    <row r="398" ht="22.5" customHeight="1">
      <c r="A398" s="26">
        <v>45845.0</v>
      </c>
      <c r="B398" s="32" t="s">
        <v>490</v>
      </c>
      <c r="C398" s="191" t="str">
        <f t="array" ref="C398">_xlfn.XLOOKUP(B398, DB[samplingPoint], DB[samplingTag])</f>
        <v>SV116.09</v>
      </c>
      <c r="D398" s="33" t="s">
        <v>59</v>
      </c>
      <c r="E398" s="39" t="str">
        <f t="array" ref="E398">_xlfn.XLOOKUP($B398, DB[samplingPoint], DB[noLocation])</f>
        <v>10-3-078</v>
      </c>
      <c r="F398" s="40" t="str">
        <f t="array" ref="F398">_xlfn.XLOOKUP($B398, DB[samplingPoint], DB[building])</f>
        <v>Building 10</v>
      </c>
      <c r="G398" s="40" t="str">
        <f t="array" ref="G398">_xlfn.XLOOKUP($B398, DB[samplingPoint], DB[location])</f>
        <v>WASHING</v>
      </c>
      <c r="H398" s="40" t="str">
        <f t="array" ref="H398">_xlfn.XLOOKUP($B398, DB[samplingPoint], DB[waterType])</f>
        <v>PW</v>
      </c>
      <c r="I398" s="60">
        <f t="shared" si="1"/>
        <v>45846</v>
      </c>
      <c r="J398" s="192">
        <f t="shared" si="2"/>
        <v>45849</v>
      </c>
      <c r="K398" s="32">
        <v>0.0</v>
      </c>
      <c r="L398" s="32">
        <v>0.0</v>
      </c>
      <c r="M398" s="32">
        <f t="shared" si="3"/>
        <v>0</v>
      </c>
      <c r="N398" s="32" t="s">
        <v>376</v>
      </c>
      <c r="O398" s="32">
        <v>100.0</v>
      </c>
      <c r="P398" s="50" t="str">
        <f t="shared" si="6"/>
        <v>PASSED</v>
      </c>
      <c r="Q398" s="50" t="str">
        <f t="shared" si="5"/>
        <v>10</v>
      </c>
    </row>
    <row r="399" ht="22.5" customHeight="1">
      <c r="A399" s="26">
        <v>45845.0</v>
      </c>
      <c r="B399" s="32" t="s">
        <v>492</v>
      </c>
      <c r="C399" s="191" t="str">
        <f t="array" ref="C399">_xlfn.XLOOKUP(B399, DB[samplingPoint], DB[samplingTag])</f>
        <v>SV116.11</v>
      </c>
      <c r="D399" s="33" t="s">
        <v>59</v>
      </c>
      <c r="E399" s="39" t="str">
        <f t="array" ref="E399">_xlfn.XLOOKUP($B399, DB[samplingPoint], DB[noLocation])</f>
        <v>10-3-107</v>
      </c>
      <c r="F399" s="40" t="str">
        <f t="array" ref="F399">_xlfn.XLOOKUP($B399, DB[samplingPoint], DB[building])</f>
        <v>Building 10</v>
      </c>
      <c r="G399" s="40" t="str">
        <f t="array" ref="G399">_xlfn.XLOOKUP($B399, DB[samplingPoint], DB[location])</f>
        <v>WET GRANULATION-2</v>
      </c>
      <c r="H399" s="40" t="str">
        <f t="array" ref="H399">_xlfn.XLOOKUP($B399, DB[samplingPoint], DB[waterType])</f>
        <v>PW</v>
      </c>
      <c r="I399" s="60">
        <f t="shared" si="1"/>
        <v>45846</v>
      </c>
      <c r="J399" s="192">
        <f t="shared" si="2"/>
        <v>45849</v>
      </c>
      <c r="K399" s="32">
        <v>0.0</v>
      </c>
      <c r="L399" s="32">
        <v>0.0</v>
      </c>
      <c r="M399" s="32">
        <f t="shared" si="3"/>
        <v>0</v>
      </c>
      <c r="N399" s="32" t="s">
        <v>376</v>
      </c>
      <c r="O399" s="32">
        <v>100.0</v>
      </c>
      <c r="P399" s="50" t="str">
        <f t="shared" si="6"/>
        <v>PASSED</v>
      </c>
      <c r="Q399" s="50" t="str">
        <f t="shared" si="5"/>
        <v>10</v>
      </c>
    </row>
    <row r="400" ht="22.5" customHeight="1">
      <c r="A400" s="26">
        <v>45845.0</v>
      </c>
      <c r="B400" s="32" t="s">
        <v>476</v>
      </c>
      <c r="C400" s="191" t="str">
        <f t="array" ref="C400">_xlfn.XLOOKUP(B400, DB[samplingPoint], DB[samplingTag])</f>
        <v>DV116.12</v>
      </c>
      <c r="D400" s="33" t="s">
        <v>59</v>
      </c>
      <c r="E400" s="39" t="str">
        <f t="array" ref="E400">_xlfn.XLOOKUP($B400, DB[samplingPoint], DB[noLocation])</f>
        <v>10-3-078</v>
      </c>
      <c r="F400" s="40" t="str">
        <f t="array" ref="F400">_xlfn.XLOOKUP($B400, DB[samplingPoint], DB[building])</f>
        <v>Building 10</v>
      </c>
      <c r="G400" s="40" t="str">
        <f t="array" ref="G400">_xlfn.XLOOKUP($B400, DB[samplingPoint], DB[location])</f>
        <v>WASHING</v>
      </c>
      <c r="H400" s="40" t="str">
        <f t="array" ref="H400">_xlfn.XLOOKUP($B400, DB[samplingPoint], DB[waterType])</f>
        <v>PW</v>
      </c>
      <c r="I400" s="60">
        <f t="shared" si="1"/>
        <v>45846</v>
      </c>
      <c r="J400" s="192">
        <f t="shared" si="2"/>
        <v>45849</v>
      </c>
      <c r="K400" s="32">
        <v>0.0</v>
      </c>
      <c r="L400" s="32">
        <v>0.0</v>
      </c>
      <c r="M400" s="32">
        <f t="shared" si="3"/>
        <v>0</v>
      </c>
      <c r="N400" s="32" t="s">
        <v>376</v>
      </c>
      <c r="O400" s="32">
        <v>100.0</v>
      </c>
      <c r="P400" s="50" t="str">
        <f t="shared" si="6"/>
        <v>PASSED</v>
      </c>
      <c r="Q400" s="50" t="str">
        <f t="shared" si="5"/>
        <v>10</v>
      </c>
    </row>
    <row r="401" ht="22.5" customHeight="1">
      <c r="A401" s="26">
        <v>45845.0</v>
      </c>
      <c r="B401" s="32" t="s">
        <v>479</v>
      </c>
      <c r="C401" s="191" t="str">
        <f t="array" ref="C401">_xlfn.XLOOKUP(B401, DB[samplingPoint], DB[samplingTag])</f>
        <v>DV116.13</v>
      </c>
      <c r="D401" s="33" t="s">
        <v>59</v>
      </c>
      <c r="E401" s="39" t="str">
        <f t="array" ref="E401">_xlfn.XLOOKUP($B401, DB[samplingPoint], DB[noLocation])</f>
        <v>10-3-078</v>
      </c>
      <c r="F401" s="40" t="str">
        <f t="array" ref="F401">_xlfn.XLOOKUP($B401, DB[samplingPoint], DB[building])</f>
        <v>Building 10</v>
      </c>
      <c r="G401" s="40" t="str">
        <f t="array" ref="G401">_xlfn.XLOOKUP($B401, DB[samplingPoint], DB[location])</f>
        <v>WASHING</v>
      </c>
      <c r="H401" s="40" t="str">
        <f t="array" ref="H401">_xlfn.XLOOKUP($B401, DB[samplingPoint], DB[waterType])</f>
        <v>PW</v>
      </c>
      <c r="I401" s="60">
        <f t="shared" si="1"/>
        <v>45846</v>
      </c>
      <c r="J401" s="192">
        <f t="shared" si="2"/>
        <v>45849</v>
      </c>
      <c r="K401" s="32">
        <v>0.0</v>
      </c>
      <c r="L401" s="32">
        <v>0.0</v>
      </c>
      <c r="M401" s="32">
        <f t="shared" si="3"/>
        <v>0</v>
      </c>
      <c r="N401" s="32" t="s">
        <v>376</v>
      </c>
      <c r="O401" s="32">
        <v>100.0</v>
      </c>
      <c r="P401" s="50" t="str">
        <f t="shared" si="6"/>
        <v>PASSED</v>
      </c>
      <c r="Q401" s="50" t="str">
        <f t="shared" si="5"/>
        <v>10</v>
      </c>
    </row>
    <row r="402" ht="22.5" customHeight="1">
      <c r="A402" s="26">
        <v>45845.0</v>
      </c>
      <c r="B402" s="32" t="s">
        <v>482</v>
      </c>
      <c r="C402" s="191" t="str">
        <f t="array" ref="C402">_xlfn.XLOOKUP(B402, DB[samplingPoint], DB[samplingTag])</f>
        <v>DV116.14</v>
      </c>
      <c r="D402" s="33" t="s">
        <v>59</v>
      </c>
      <c r="E402" s="39" t="str">
        <f t="array" ref="E402">_xlfn.XLOOKUP($B402, DB[samplingPoint], DB[noLocation])</f>
        <v>10-3-086</v>
      </c>
      <c r="F402" s="40" t="str">
        <f t="array" ref="F402">_xlfn.XLOOKUP($B402, DB[samplingPoint], DB[building])</f>
        <v>Building 10</v>
      </c>
      <c r="G402" s="40" t="str">
        <f t="array" ref="G402">_xlfn.XLOOKUP($B402, DB[samplingPoint], DB[location])</f>
        <v>TOOL WASHING</v>
      </c>
      <c r="H402" s="40" t="str">
        <f t="array" ref="H402">_xlfn.XLOOKUP($B402, DB[samplingPoint], DB[waterType])</f>
        <v>PW</v>
      </c>
      <c r="I402" s="60">
        <f t="shared" si="1"/>
        <v>45846</v>
      </c>
      <c r="J402" s="192">
        <f t="shared" si="2"/>
        <v>45849</v>
      </c>
      <c r="K402" s="32">
        <v>0.0</v>
      </c>
      <c r="L402" s="32">
        <v>0.0</v>
      </c>
      <c r="M402" s="32">
        <f t="shared" si="3"/>
        <v>0</v>
      </c>
      <c r="N402" s="32" t="s">
        <v>376</v>
      </c>
      <c r="O402" s="32">
        <v>100.0</v>
      </c>
      <c r="P402" s="50" t="str">
        <f t="shared" si="6"/>
        <v>PASSED</v>
      </c>
      <c r="Q402" s="50" t="str">
        <f t="shared" si="5"/>
        <v>10</v>
      </c>
    </row>
    <row r="403" ht="22.5" customHeight="1">
      <c r="A403" s="26">
        <v>45845.0</v>
      </c>
      <c r="B403" s="32" t="s">
        <v>119</v>
      </c>
      <c r="C403" s="191" t="str">
        <f t="array" ref="C403">_xlfn.XLOOKUP(B403, DB[samplingPoint], DB[samplingTag])</f>
        <v>DV116.15</v>
      </c>
      <c r="D403" s="33" t="s">
        <v>59</v>
      </c>
      <c r="E403" s="39" t="str">
        <f t="array" ref="E403">_xlfn.XLOOKUP($B403, DB[samplingPoint], DB[noLocation])</f>
        <v>10-3-104</v>
      </c>
      <c r="F403" s="40" t="str">
        <f t="array" ref="F403">_xlfn.XLOOKUP($B403, DB[samplingPoint], DB[building])</f>
        <v>Building 10</v>
      </c>
      <c r="G403" s="40" t="str">
        <f t="array" ref="G403">_xlfn.XLOOKUP($B403, DB[samplingPoint], DB[location])</f>
        <v>BINDER PREPARATION</v>
      </c>
      <c r="H403" s="40" t="str">
        <f t="array" ref="H403">_xlfn.XLOOKUP($B403, DB[samplingPoint], DB[waterType])</f>
        <v>PW</v>
      </c>
      <c r="I403" s="60">
        <f t="shared" si="1"/>
        <v>45846</v>
      </c>
      <c r="J403" s="192">
        <f t="shared" si="2"/>
        <v>45849</v>
      </c>
      <c r="K403" s="32">
        <v>0.0</v>
      </c>
      <c r="L403" s="32">
        <v>0.0</v>
      </c>
      <c r="M403" s="32">
        <f t="shared" si="3"/>
        <v>0</v>
      </c>
      <c r="N403" s="32" t="s">
        <v>376</v>
      </c>
      <c r="O403" s="32">
        <v>100.0</v>
      </c>
      <c r="P403" s="50" t="str">
        <f t="shared" si="6"/>
        <v>PASSED</v>
      </c>
      <c r="Q403" s="50" t="str">
        <f t="shared" si="5"/>
        <v>10</v>
      </c>
    </row>
    <row r="404" ht="22.5" customHeight="1">
      <c r="A404" s="26">
        <v>45845.0</v>
      </c>
      <c r="B404" s="32" t="s">
        <v>485</v>
      </c>
      <c r="C404" s="191" t="str">
        <f t="array" ref="C404">_xlfn.XLOOKUP(B404, DB[samplingPoint], DB[samplingTag])</f>
        <v>DV116.16</v>
      </c>
      <c r="D404" s="33" t="s">
        <v>59</v>
      </c>
      <c r="E404" s="39" t="str">
        <f t="array" ref="E404">_xlfn.XLOOKUP($B404, DB[samplingPoint], DB[noLocation])</f>
        <v>10-3-107</v>
      </c>
      <c r="F404" s="40" t="str">
        <f t="array" ref="F404">_xlfn.XLOOKUP($B404, DB[samplingPoint], DB[building])</f>
        <v>Building 10</v>
      </c>
      <c r="G404" s="40" t="str">
        <f t="array" ref="G404">_xlfn.XLOOKUP($B404, DB[samplingPoint], DB[location])</f>
        <v>WET GRANULATION-2</v>
      </c>
      <c r="H404" s="40" t="str">
        <f t="array" ref="H404">_xlfn.XLOOKUP($B404, DB[samplingPoint], DB[waterType])</f>
        <v>PW</v>
      </c>
      <c r="I404" s="60">
        <f t="shared" si="1"/>
        <v>45846</v>
      </c>
      <c r="J404" s="192">
        <f t="shared" si="2"/>
        <v>45849</v>
      </c>
      <c r="K404" s="32">
        <v>0.0</v>
      </c>
      <c r="L404" s="32">
        <v>0.0</v>
      </c>
      <c r="M404" s="32">
        <f t="shared" si="3"/>
        <v>0</v>
      </c>
      <c r="N404" s="32" t="s">
        <v>376</v>
      </c>
      <c r="O404" s="32">
        <v>100.0</v>
      </c>
      <c r="P404" s="50" t="str">
        <f t="shared" si="6"/>
        <v>PASSED</v>
      </c>
      <c r="Q404" s="50" t="str">
        <f t="shared" si="5"/>
        <v>10</v>
      </c>
    </row>
    <row r="405" ht="22.5" customHeight="1">
      <c r="A405" s="26">
        <v>45845.0</v>
      </c>
      <c r="B405" s="32" t="s">
        <v>488</v>
      </c>
      <c r="C405" s="191" t="str">
        <f t="array" ref="C405">_xlfn.XLOOKUP(B405, DB[samplingPoint], DB[samplingTag])</f>
        <v>DV116.17</v>
      </c>
      <c r="D405" s="33" t="s">
        <v>59</v>
      </c>
      <c r="E405" s="39" t="str">
        <f t="array" ref="E405">_xlfn.XLOOKUP($B405, DB[samplingPoint], DB[noLocation])</f>
        <v>10-3-117</v>
      </c>
      <c r="F405" s="40" t="str">
        <f t="array" ref="F405">_xlfn.XLOOKUP($B405, DB[samplingPoint], DB[building])</f>
        <v>Building 10</v>
      </c>
      <c r="G405" s="40" t="str">
        <f t="array" ref="G405">_xlfn.XLOOKUP($B405, DB[samplingPoint], DB[location])</f>
        <v>IPQC-2</v>
      </c>
      <c r="H405" s="40" t="str">
        <f t="array" ref="H405">_xlfn.XLOOKUP($B405, DB[samplingPoint], DB[waterType])</f>
        <v>PW</v>
      </c>
      <c r="I405" s="60">
        <f t="shared" si="1"/>
        <v>45846</v>
      </c>
      <c r="J405" s="192">
        <f t="shared" si="2"/>
        <v>45849</v>
      </c>
      <c r="K405" s="32">
        <v>0.0</v>
      </c>
      <c r="L405" s="32">
        <v>0.0</v>
      </c>
      <c r="M405" s="32">
        <f t="shared" si="3"/>
        <v>0</v>
      </c>
      <c r="N405" s="32" t="s">
        <v>376</v>
      </c>
      <c r="O405" s="32">
        <v>100.0</v>
      </c>
      <c r="P405" s="50" t="str">
        <f t="shared" si="6"/>
        <v>PASSED</v>
      </c>
      <c r="Q405" s="50" t="str">
        <f t="shared" si="5"/>
        <v>10</v>
      </c>
    </row>
    <row r="406" ht="22.5" customHeight="1">
      <c r="A406" s="26">
        <v>45845.0</v>
      </c>
      <c r="B406" s="32" t="s">
        <v>489</v>
      </c>
      <c r="C406" s="191" t="str">
        <f t="array" ref="C406">_xlfn.XLOOKUP(B406, DB[samplingPoint], DB[samplingTag])</f>
        <v>DV116.18</v>
      </c>
      <c r="D406" s="33" t="s">
        <v>59</v>
      </c>
      <c r="E406" s="39" t="str">
        <f t="array" ref="E406">_xlfn.XLOOKUP($B406, DB[samplingPoint], DB[noLocation])</f>
        <v>10-3-111</v>
      </c>
      <c r="F406" s="40" t="str">
        <f t="array" ref="F406">_xlfn.XLOOKUP($B406, DB[samplingPoint], DB[building])</f>
        <v>Building 10</v>
      </c>
      <c r="G406" s="40" t="str">
        <f t="array" ref="G406">_xlfn.XLOOKUP($B406, DB[samplingPoint], DB[location])</f>
        <v>WET GRANULATION-5</v>
      </c>
      <c r="H406" s="40" t="str">
        <f t="array" ref="H406">_xlfn.XLOOKUP($B406, DB[samplingPoint], DB[waterType])</f>
        <v>PW</v>
      </c>
      <c r="I406" s="60">
        <f t="shared" si="1"/>
        <v>45846</v>
      </c>
      <c r="J406" s="192">
        <f t="shared" si="2"/>
        <v>45849</v>
      </c>
      <c r="K406" s="32">
        <v>0.0</v>
      </c>
      <c r="L406" s="32">
        <v>0.0</v>
      </c>
      <c r="M406" s="32">
        <f t="shared" si="3"/>
        <v>0</v>
      </c>
      <c r="N406" s="32" t="s">
        <v>376</v>
      </c>
      <c r="O406" s="32">
        <v>100.0</v>
      </c>
      <c r="P406" s="50" t="str">
        <f t="shared" si="6"/>
        <v>PASSED</v>
      </c>
      <c r="Q406" s="50" t="str">
        <f t="shared" si="5"/>
        <v>10</v>
      </c>
    </row>
    <row r="407" ht="22.5" customHeight="1">
      <c r="A407" s="26">
        <v>45852.0</v>
      </c>
      <c r="B407" s="32" t="s">
        <v>349</v>
      </c>
      <c r="C407" s="191" t="str">
        <f t="array" ref="C407">_xlfn.XLOOKUP(B407, DB[samplingPoint], DB[samplingTag])</f>
        <v>VB-05(10)</v>
      </c>
      <c r="D407" s="33" t="s">
        <v>59</v>
      </c>
      <c r="E407" s="39" t="str">
        <f t="array" ref="E407">_xlfn.XLOOKUP($B407, DB[samplingPoint], DB[noLocation])</f>
        <v>WATER SYSTEM (B10)</v>
      </c>
      <c r="F407" s="40" t="str">
        <f t="array" ref="F407">_xlfn.XLOOKUP($B407, DB[samplingPoint], DB[building])</f>
        <v>Building 10</v>
      </c>
      <c r="G407" s="40" t="str">
        <f t="array" ref="G407">_xlfn.XLOOKUP($B407, DB[samplingPoint], DB[location])</f>
        <v>After Chlorine circulation tank (B10)</v>
      </c>
      <c r="H407" s="40" t="str">
        <f t="array" ref="H407">_xlfn.XLOOKUP($B407, DB[samplingPoint], DB[waterType])</f>
        <v>PRW</v>
      </c>
      <c r="I407" s="60">
        <f t="shared" si="1"/>
        <v>45853</v>
      </c>
      <c r="J407" s="192">
        <f t="shared" si="2"/>
        <v>45856</v>
      </c>
      <c r="K407" s="32">
        <v>23.0</v>
      </c>
      <c r="L407" s="32">
        <v>21.0</v>
      </c>
      <c r="M407" s="32">
        <f t="shared" si="3"/>
        <v>22</v>
      </c>
      <c r="N407" s="32" t="s">
        <v>376</v>
      </c>
      <c r="O407" s="32">
        <v>500.0</v>
      </c>
      <c r="P407" s="50" t="str">
        <f t="shared" si="6"/>
        <v>PASSED</v>
      </c>
      <c r="Q407" s="50" t="str">
        <f t="shared" si="5"/>
        <v>WA</v>
      </c>
    </row>
    <row r="408" ht="22.5" customHeight="1">
      <c r="A408" s="26">
        <v>45852.0</v>
      </c>
      <c r="B408" s="32" t="s">
        <v>366</v>
      </c>
      <c r="C408" s="191" t="str">
        <f t="array" ref="C408">_xlfn.XLOOKUP(B408, DB[samplingPoint], DB[samplingTag])</f>
        <v>V50-61(10)</v>
      </c>
      <c r="D408" s="33" t="s">
        <v>59</v>
      </c>
      <c r="E408" s="39" t="str">
        <f t="array" ref="E408">_xlfn.XLOOKUP($B408, DB[samplingPoint], DB[noLocation])</f>
        <v>WATER SYSTEM (B10)</v>
      </c>
      <c r="F408" s="40" t="str">
        <f t="array" ref="F408">_xlfn.XLOOKUP($B408, DB[samplingPoint], DB[building])</f>
        <v>Building 10</v>
      </c>
      <c r="G408" s="40" t="str">
        <f t="array" ref="G408">_xlfn.XLOOKUP($B408, DB[samplingPoint], DB[location])</f>
        <v>After Cartridge filter 5 µm (B10)</v>
      </c>
      <c r="H408" s="40" t="str">
        <f t="array" ref="H408">_xlfn.XLOOKUP($B408, DB[samplingPoint], DB[waterType])</f>
        <v>PRW</v>
      </c>
      <c r="I408" s="60">
        <f t="shared" si="1"/>
        <v>45853</v>
      </c>
      <c r="J408" s="192">
        <f t="shared" si="2"/>
        <v>45856</v>
      </c>
      <c r="K408" s="32">
        <v>999.0</v>
      </c>
      <c r="L408" s="32">
        <v>999.0</v>
      </c>
      <c r="M408" s="32">
        <f t="shared" si="3"/>
        <v>999</v>
      </c>
      <c r="N408" s="32" t="s">
        <v>376</v>
      </c>
      <c r="O408" s="32">
        <v>500.0</v>
      </c>
      <c r="P408" s="50" t="str">
        <f t="shared" si="6"/>
        <v>NOT-PASSED</v>
      </c>
      <c r="Q408" s="50" t="str">
        <f t="shared" si="5"/>
        <v>WA</v>
      </c>
    </row>
    <row r="409" ht="22.5" customHeight="1">
      <c r="A409" s="26">
        <v>45852.0</v>
      </c>
      <c r="B409" s="32" t="s">
        <v>368</v>
      </c>
      <c r="C409" s="191" t="str">
        <f t="array" ref="C409">_xlfn.XLOOKUP(B409, DB[samplingPoint], DB[samplingTag])</f>
        <v>V50-11C(10)</v>
      </c>
      <c r="D409" s="33" t="s">
        <v>59</v>
      </c>
      <c r="E409" s="39" t="str">
        <f t="array" ref="E409">_xlfn.XLOOKUP($B409, DB[samplingPoint], DB[noLocation])</f>
        <v>WATER SYSTEM (B10)</v>
      </c>
      <c r="F409" s="40" t="str">
        <f t="array" ref="F409">_xlfn.XLOOKUP($B409, DB[samplingPoint], DB[building])</f>
        <v>Building 10</v>
      </c>
      <c r="G409" s="40" t="str">
        <f t="array" ref="G409">_xlfn.XLOOKUP($B409, DB[samplingPoint], DB[location])</f>
        <v>After RO (Before EDI) (B10)</v>
      </c>
      <c r="H409" s="40" t="str">
        <f t="array" ref="H409">_xlfn.XLOOKUP($B409, DB[samplingPoint], DB[waterType])</f>
        <v>RO water</v>
      </c>
      <c r="I409" s="60">
        <f t="shared" si="1"/>
        <v>45853</v>
      </c>
      <c r="J409" s="192">
        <f t="shared" si="2"/>
        <v>45856</v>
      </c>
      <c r="K409" s="32">
        <v>0.0</v>
      </c>
      <c r="L409" s="32">
        <v>0.0</v>
      </c>
      <c r="M409" s="32">
        <f t="shared" si="3"/>
        <v>0</v>
      </c>
      <c r="N409" s="32" t="s">
        <v>376</v>
      </c>
      <c r="O409" s="32">
        <v>500.0</v>
      </c>
      <c r="P409" s="50" t="str">
        <f t="shared" si="6"/>
        <v>PASSED</v>
      </c>
      <c r="Q409" s="50" t="str">
        <f t="shared" si="5"/>
        <v>WA</v>
      </c>
    </row>
    <row r="410" ht="22.5" customHeight="1">
      <c r="A410" s="26">
        <v>45852.0</v>
      </c>
      <c r="B410" s="32" t="s">
        <v>374</v>
      </c>
      <c r="C410" s="191" t="str">
        <f t="array" ref="C410">_xlfn.XLOOKUP(B410, DB[samplingPoint], DB[samplingTag])</f>
        <v>V50-39(10)</v>
      </c>
      <c r="D410" s="33" t="s">
        <v>59</v>
      </c>
      <c r="E410" s="39" t="str">
        <f t="array" ref="E410">_xlfn.XLOOKUP($B410, DB[samplingPoint], DB[noLocation])</f>
        <v>WATER SYSTEM (B10)</v>
      </c>
      <c r="F410" s="40" t="str">
        <f t="array" ref="F410">_xlfn.XLOOKUP($B410, DB[samplingPoint], DB[building])</f>
        <v>Building 10</v>
      </c>
      <c r="G410" s="40" t="str">
        <f t="array" ref="G410">_xlfn.XLOOKUP($B410, DB[samplingPoint], DB[location])</f>
        <v>After EDI (B10)</v>
      </c>
      <c r="H410" s="40" t="str">
        <f t="array" ref="H410">_xlfn.XLOOKUP($B410, DB[samplingPoint], DB[waterType])</f>
        <v>PW</v>
      </c>
      <c r="I410" s="60">
        <f t="shared" si="1"/>
        <v>45853</v>
      </c>
      <c r="J410" s="192">
        <f t="shared" si="2"/>
        <v>45856</v>
      </c>
      <c r="K410" s="32">
        <v>0.0</v>
      </c>
      <c r="L410" s="32">
        <v>0.0</v>
      </c>
      <c r="M410" s="32">
        <f t="shared" si="3"/>
        <v>0</v>
      </c>
      <c r="N410" s="32" t="s">
        <v>376</v>
      </c>
      <c r="O410" s="32">
        <v>100.0</v>
      </c>
      <c r="P410" s="50" t="str">
        <f t="shared" si="6"/>
        <v>PASSED</v>
      </c>
      <c r="Q410" s="50" t="str">
        <f t="shared" si="5"/>
        <v>WA</v>
      </c>
    </row>
    <row r="411" ht="22.5" customHeight="1">
      <c r="A411" s="26">
        <v>45852.0</v>
      </c>
      <c r="B411" s="32" t="s">
        <v>531</v>
      </c>
      <c r="C411" s="191" t="str">
        <f t="array" ref="C411">_xlfn.XLOOKUP(B411, DB[samplingPoint], DB[samplingTag])</f>
        <v>DV116.10</v>
      </c>
      <c r="D411" s="33" t="s">
        <v>59</v>
      </c>
      <c r="E411" s="39" t="str">
        <f t="array" ref="E411">_xlfn.XLOOKUP($B411, DB[samplingPoint], DB[noLocation])</f>
        <v>10-3-065</v>
      </c>
      <c r="F411" s="40" t="str">
        <f t="array" ref="F411">_xlfn.XLOOKUP($B411, DB[samplingPoint], DB[building])</f>
        <v>Building 10</v>
      </c>
      <c r="G411" s="40" t="str">
        <f t="array" ref="G411">_xlfn.XLOOKUP($B411, DB[samplingPoint], DB[location])</f>
        <v>COATING SOLUTION PREP.-3</v>
      </c>
      <c r="H411" s="40" t="str">
        <f t="array" ref="H411">_xlfn.XLOOKUP($B411, DB[samplingPoint], DB[waterType])</f>
        <v>PW</v>
      </c>
      <c r="I411" s="60">
        <f t="shared" si="1"/>
        <v>45853</v>
      </c>
      <c r="J411" s="192">
        <f t="shared" si="2"/>
        <v>45856</v>
      </c>
      <c r="K411" s="32">
        <v>0.0</v>
      </c>
      <c r="L411" s="32">
        <v>0.0</v>
      </c>
      <c r="M411" s="32">
        <f t="shared" si="3"/>
        <v>0</v>
      </c>
      <c r="N411" s="32" t="s">
        <v>376</v>
      </c>
      <c r="O411" s="32">
        <v>100.0</v>
      </c>
      <c r="P411" s="50" t="str">
        <f t="shared" si="6"/>
        <v>PASSED</v>
      </c>
      <c r="Q411" s="50" t="str">
        <f t="shared" si="5"/>
        <v>10</v>
      </c>
    </row>
    <row r="412" ht="22.5" customHeight="1">
      <c r="A412" s="26">
        <v>45852.0</v>
      </c>
      <c r="B412" s="32" t="s">
        <v>532</v>
      </c>
      <c r="C412" s="191" t="str">
        <f t="array" ref="C412">_xlfn.XLOOKUP(B412, DB[samplingPoint], DB[samplingTag])</f>
        <v>DV116.11</v>
      </c>
      <c r="D412" s="33" t="s">
        <v>59</v>
      </c>
      <c r="E412" s="39" t="str">
        <f t="array" ref="E412">_xlfn.XLOOKUP($B412, DB[samplingPoint], DB[noLocation])</f>
        <v>10-3-066</v>
      </c>
      <c r="F412" s="40" t="str">
        <f t="array" ref="F412">_xlfn.XLOOKUP($B412, DB[samplingPoint], DB[building])</f>
        <v>Building 10</v>
      </c>
      <c r="G412" s="40" t="str">
        <f t="array" ref="G412">_xlfn.XLOOKUP($B412, DB[samplingPoint], DB[location])</f>
        <v>COATING SOLUTION PREP.-4</v>
      </c>
      <c r="H412" s="40" t="str">
        <f t="array" ref="H412">_xlfn.XLOOKUP($B412, DB[samplingPoint], DB[waterType])</f>
        <v>PW</v>
      </c>
      <c r="I412" s="60">
        <f t="shared" si="1"/>
        <v>45853</v>
      </c>
      <c r="J412" s="192">
        <f t="shared" si="2"/>
        <v>45856</v>
      </c>
      <c r="K412" s="32">
        <v>0.0</v>
      </c>
      <c r="L412" s="32">
        <v>0.0</v>
      </c>
      <c r="M412" s="32">
        <f t="shared" si="3"/>
        <v>0</v>
      </c>
      <c r="N412" s="32" t="s">
        <v>376</v>
      </c>
      <c r="O412" s="32">
        <v>100.0</v>
      </c>
      <c r="P412" s="50" t="str">
        <f t="shared" si="6"/>
        <v>PASSED</v>
      </c>
      <c r="Q412" s="50" t="str">
        <f t="shared" si="5"/>
        <v>10</v>
      </c>
    </row>
    <row r="413" ht="22.5" customHeight="1">
      <c r="A413" s="26">
        <v>45852.0</v>
      </c>
      <c r="B413" s="32" t="s">
        <v>538</v>
      </c>
      <c r="C413" s="191" t="str">
        <f t="array" ref="C413">_xlfn.XLOOKUP(B413, DB[samplingPoint], DB[samplingTag])</f>
        <v>SV116.06</v>
      </c>
      <c r="D413" s="33" t="s">
        <v>59</v>
      </c>
      <c r="E413" s="39" t="str">
        <f t="array" ref="E413">_xlfn.XLOOKUP($B413, DB[samplingPoint], DB[noLocation])</f>
        <v>10-3-063</v>
      </c>
      <c r="F413" s="40" t="str">
        <f t="array" ref="F413">_xlfn.XLOOKUP($B413, DB[samplingPoint], DB[building])</f>
        <v>Building 10</v>
      </c>
      <c r="G413" s="40" t="str">
        <f t="array" ref="G413">_xlfn.XLOOKUP($B413, DB[samplingPoint], DB[location])</f>
        <v>COATING ROOM-4</v>
      </c>
      <c r="H413" s="40" t="str">
        <f t="array" ref="H413">_xlfn.XLOOKUP($B413, DB[samplingPoint], DB[waterType])</f>
        <v>PW</v>
      </c>
      <c r="I413" s="60">
        <f t="shared" si="1"/>
        <v>45853</v>
      </c>
      <c r="J413" s="192">
        <f t="shared" si="2"/>
        <v>45856</v>
      </c>
      <c r="K413" s="32">
        <v>0.0</v>
      </c>
      <c r="L413" s="32">
        <v>0.0</v>
      </c>
      <c r="M413" s="32">
        <f t="shared" si="3"/>
        <v>0</v>
      </c>
      <c r="N413" s="32" t="s">
        <v>376</v>
      </c>
      <c r="O413" s="32">
        <v>100.0</v>
      </c>
      <c r="P413" s="50" t="str">
        <f t="shared" si="6"/>
        <v>PASSED</v>
      </c>
      <c r="Q413" s="50" t="str">
        <f t="shared" si="5"/>
        <v>10</v>
      </c>
    </row>
    <row r="414" ht="22.5" customHeight="1">
      <c r="A414" s="26">
        <v>45852.0</v>
      </c>
      <c r="B414" s="32" t="s">
        <v>541</v>
      </c>
      <c r="C414" s="191" t="str">
        <f t="array" ref="C414">_xlfn.XLOOKUP(B414, DB[samplingPoint], DB[samplingTag])</f>
        <v>SV116.08</v>
      </c>
      <c r="D414" s="33" t="s">
        <v>59</v>
      </c>
      <c r="E414" s="39" t="str">
        <f t="array" ref="E414">_xlfn.XLOOKUP($B414, DB[samplingPoint], DB[noLocation])</f>
        <v>10-3-067</v>
      </c>
      <c r="F414" s="40" t="str">
        <f t="array" ref="F414">_xlfn.XLOOKUP($B414, DB[samplingPoint], DB[building])</f>
        <v>Building 10</v>
      </c>
      <c r="G414" s="40" t="str">
        <f t="array" ref="G414">_xlfn.XLOOKUP($B414, DB[samplingPoint], DB[location])</f>
        <v>COATING ROOM-6</v>
      </c>
      <c r="H414" s="40" t="str">
        <f t="array" ref="H414">_xlfn.XLOOKUP($B414, DB[samplingPoint], DB[waterType])</f>
        <v>PW</v>
      </c>
      <c r="I414" s="60">
        <f t="shared" si="1"/>
        <v>45853</v>
      </c>
      <c r="J414" s="192">
        <f t="shared" si="2"/>
        <v>45856</v>
      </c>
      <c r="K414" s="32">
        <v>0.0</v>
      </c>
      <c r="L414" s="32">
        <v>0.0</v>
      </c>
      <c r="M414" s="32">
        <f t="shared" si="3"/>
        <v>0</v>
      </c>
      <c r="N414" s="32" t="s">
        <v>376</v>
      </c>
      <c r="O414" s="32">
        <v>100.0</v>
      </c>
      <c r="P414" s="50" t="str">
        <f t="shared" si="6"/>
        <v>PASSED</v>
      </c>
      <c r="Q414" s="50" t="str">
        <f t="shared" si="5"/>
        <v>10</v>
      </c>
    </row>
    <row r="415" ht="22.5" customHeight="1">
      <c r="A415" s="26">
        <v>45852.0</v>
      </c>
      <c r="B415" s="32" t="s">
        <v>524</v>
      </c>
      <c r="C415" s="191" t="str">
        <f t="array" ref="C415">_xlfn.XLOOKUP(B415, DB[samplingPoint], DB[samplingTag])</f>
        <v>DV116.05</v>
      </c>
      <c r="D415" s="33" t="s">
        <v>59</v>
      </c>
      <c r="E415" s="39" t="str">
        <f t="array" ref="E415">_xlfn.XLOOKUP($B415, DB[samplingPoint], DB[noLocation])</f>
        <v>10-2-032</v>
      </c>
      <c r="F415" s="40" t="str">
        <f t="array" ref="F415">_xlfn.XLOOKUP($B415, DB[samplingPoint], DB[building])</f>
        <v>Building 10</v>
      </c>
      <c r="G415" s="40" t="str">
        <f t="array" ref="G415">_xlfn.XLOOKUP($B415, DB[samplingPoint], DB[location])</f>
        <v>GLASS-WARE WASHING</v>
      </c>
      <c r="H415" s="40" t="str">
        <f t="array" ref="H415">_xlfn.XLOOKUP($B415, DB[samplingPoint], DB[waterType])</f>
        <v>PW</v>
      </c>
      <c r="I415" s="60">
        <f t="shared" si="1"/>
        <v>45853</v>
      </c>
      <c r="J415" s="192">
        <f t="shared" si="2"/>
        <v>45856</v>
      </c>
      <c r="K415" s="32">
        <v>0.0</v>
      </c>
      <c r="L415" s="32">
        <v>0.0</v>
      </c>
      <c r="M415" s="32">
        <f t="shared" si="3"/>
        <v>0</v>
      </c>
      <c r="N415" s="32" t="s">
        <v>376</v>
      </c>
      <c r="O415" s="32">
        <v>100.0</v>
      </c>
      <c r="P415" s="50" t="str">
        <f t="shared" si="6"/>
        <v>PASSED</v>
      </c>
      <c r="Q415" s="50" t="str">
        <f t="shared" si="5"/>
        <v>10</v>
      </c>
    </row>
    <row r="416" ht="22.5" customHeight="1">
      <c r="A416" s="26">
        <v>45852.0</v>
      </c>
      <c r="B416" s="32" t="s">
        <v>526</v>
      </c>
      <c r="C416" s="191" t="str">
        <f t="array" ref="C416">_xlfn.XLOOKUP(B416, DB[samplingPoint], DB[samplingTag])</f>
        <v>DV116.06</v>
      </c>
      <c r="D416" s="33" t="s">
        <v>59</v>
      </c>
      <c r="E416" s="39" t="str">
        <f t="array" ref="E416">_xlfn.XLOOKUP($B416, DB[samplingPoint], DB[noLocation])</f>
        <v>10-2-034</v>
      </c>
      <c r="F416" s="40" t="str">
        <f t="array" ref="F416">_xlfn.XLOOKUP($B416, DB[samplingPoint], DB[building])</f>
        <v>Building 10</v>
      </c>
      <c r="G416" s="40" t="str">
        <f t="array" ref="G416">_xlfn.XLOOKUP($B416, DB[samplingPoint], DB[location])</f>
        <v>SAMPLE PREPARATION</v>
      </c>
      <c r="H416" s="40" t="str">
        <f t="array" ref="H416">_xlfn.XLOOKUP($B416, DB[samplingPoint], DB[waterType])</f>
        <v>PW</v>
      </c>
      <c r="I416" s="60">
        <f t="shared" si="1"/>
        <v>45853</v>
      </c>
      <c r="J416" s="192">
        <f t="shared" si="2"/>
        <v>45856</v>
      </c>
      <c r="K416" s="32">
        <v>0.0</v>
      </c>
      <c r="L416" s="32">
        <v>0.0</v>
      </c>
      <c r="M416" s="32">
        <f t="shared" si="3"/>
        <v>0</v>
      </c>
      <c r="N416" s="32" t="s">
        <v>376</v>
      </c>
      <c r="O416" s="32">
        <v>100.0</v>
      </c>
      <c r="P416" s="50" t="str">
        <f t="shared" si="6"/>
        <v>PASSED</v>
      </c>
      <c r="Q416" s="50" t="str">
        <f t="shared" si="5"/>
        <v>10</v>
      </c>
    </row>
    <row r="417" ht="22.5" customHeight="1">
      <c r="A417" s="26">
        <v>45852.0</v>
      </c>
      <c r="B417" s="32" t="s">
        <v>534</v>
      </c>
      <c r="C417" s="191" t="str">
        <f t="array" ref="C417">_xlfn.XLOOKUP(B417, DB[samplingPoint], DB[samplingTag])</f>
        <v>SV116.03</v>
      </c>
      <c r="D417" s="33" t="s">
        <v>59</v>
      </c>
      <c r="E417" s="39" t="str">
        <f t="array" ref="E417">_xlfn.XLOOKUP($B417, DB[samplingPoint], DB[noLocation])</f>
        <v>10-3-058</v>
      </c>
      <c r="F417" s="40" t="str">
        <f t="array" ref="F417">_xlfn.XLOOKUP($B417, DB[samplingPoint], DB[building])</f>
        <v>Building 10</v>
      </c>
      <c r="G417" s="40" t="str">
        <f t="array" ref="G417">_xlfn.XLOOKUP($B417, DB[samplingPoint], DB[location])</f>
        <v>COATING ROOM-1</v>
      </c>
      <c r="H417" s="40" t="str">
        <f t="array" ref="H417">_xlfn.XLOOKUP($B417, DB[samplingPoint], DB[waterType])</f>
        <v>PW</v>
      </c>
      <c r="I417" s="60">
        <f t="shared" si="1"/>
        <v>45853</v>
      </c>
      <c r="J417" s="192">
        <f t="shared" si="2"/>
        <v>45856</v>
      </c>
      <c r="K417" s="32">
        <v>0.0</v>
      </c>
      <c r="L417" s="32">
        <v>0.0</v>
      </c>
      <c r="M417" s="32">
        <f t="shared" si="3"/>
        <v>0</v>
      </c>
      <c r="N417" s="32" t="s">
        <v>376</v>
      </c>
      <c r="O417" s="32">
        <v>100.0</v>
      </c>
      <c r="P417" s="50" t="str">
        <f t="shared" si="6"/>
        <v>PASSED</v>
      </c>
      <c r="Q417" s="50" t="str">
        <f t="shared" si="5"/>
        <v>10</v>
      </c>
    </row>
    <row r="418" ht="22.5" customHeight="1">
      <c r="A418" s="26">
        <v>45852.0</v>
      </c>
      <c r="B418" s="32" t="s">
        <v>539</v>
      </c>
      <c r="C418" s="191" t="str">
        <f t="array" ref="C418">_xlfn.XLOOKUP(B418, DB[samplingPoint], DB[samplingTag])</f>
        <v>SV116.07</v>
      </c>
      <c r="D418" s="33" t="s">
        <v>59</v>
      </c>
      <c r="E418" s="39" t="str">
        <f t="array" ref="E418">_xlfn.XLOOKUP($B418, DB[samplingPoint], DB[noLocation])</f>
        <v>10-3-064</v>
      </c>
      <c r="F418" s="40" t="str">
        <f t="array" ref="F418">_xlfn.XLOOKUP($B418, DB[samplingPoint], DB[building])</f>
        <v>Building 10</v>
      </c>
      <c r="G418" s="40" t="str">
        <f t="array" ref="G418">_xlfn.XLOOKUP($B418, DB[samplingPoint], DB[location])</f>
        <v>COATING ROOM-5</v>
      </c>
      <c r="H418" s="40" t="str">
        <f t="array" ref="H418">_xlfn.XLOOKUP($B418, DB[samplingPoint], DB[waterType])</f>
        <v>PW</v>
      </c>
      <c r="I418" s="60">
        <f t="shared" si="1"/>
        <v>45853</v>
      </c>
      <c r="J418" s="192">
        <f t="shared" si="2"/>
        <v>45856</v>
      </c>
      <c r="K418" s="32">
        <v>0.0</v>
      </c>
      <c r="L418" s="32">
        <v>0.0</v>
      </c>
      <c r="M418" s="32">
        <f t="shared" si="3"/>
        <v>0</v>
      </c>
      <c r="N418" s="32" t="s">
        <v>376</v>
      </c>
      <c r="O418" s="32">
        <v>100.0</v>
      </c>
      <c r="P418" s="50" t="str">
        <f t="shared" si="6"/>
        <v>PASSED</v>
      </c>
      <c r="Q418" s="50" t="str">
        <f t="shared" si="5"/>
        <v>10</v>
      </c>
    </row>
    <row r="419" ht="22.5" customHeight="1">
      <c r="A419" s="26">
        <v>45852.0</v>
      </c>
      <c r="B419" s="32" t="s">
        <v>535</v>
      </c>
      <c r="C419" s="191" t="str">
        <f t="array" ref="C419">_xlfn.XLOOKUP(B419, DB[samplingPoint], DB[samplingTag])</f>
        <v>SV116.04</v>
      </c>
      <c r="D419" s="33" t="s">
        <v>59</v>
      </c>
      <c r="E419" s="39" t="str">
        <f t="array" ref="E419">_xlfn.XLOOKUP($B419, DB[samplingPoint], DB[noLocation])</f>
        <v>10-3-061</v>
      </c>
      <c r="F419" s="40" t="str">
        <f t="array" ref="F419">_xlfn.XLOOKUP($B419, DB[samplingPoint], DB[building])</f>
        <v>Building 10</v>
      </c>
      <c r="G419" s="40" t="str">
        <f t="array" ref="G419">_xlfn.XLOOKUP($B419, DB[samplingPoint], DB[location])</f>
        <v>COATING ROOM-2</v>
      </c>
      <c r="H419" s="40" t="str">
        <f t="array" ref="H419">_xlfn.XLOOKUP($B419, DB[samplingPoint], DB[waterType])</f>
        <v>PW</v>
      </c>
      <c r="I419" s="60">
        <f t="shared" si="1"/>
        <v>45853</v>
      </c>
      <c r="J419" s="192">
        <f t="shared" si="2"/>
        <v>45856</v>
      </c>
      <c r="K419" s="32">
        <v>0.0</v>
      </c>
      <c r="L419" s="32">
        <v>0.0</v>
      </c>
      <c r="M419" s="32">
        <f t="shared" si="3"/>
        <v>0</v>
      </c>
      <c r="N419" s="32" t="s">
        <v>376</v>
      </c>
      <c r="O419" s="32">
        <v>100.0</v>
      </c>
      <c r="P419" s="50" t="str">
        <f t="shared" si="6"/>
        <v>PASSED</v>
      </c>
      <c r="Q419" s="50" t="str">
        <f t="shared" si="5"/>
        <v>10</v>
      </c>
    </row>
    <row r="420" ht="22.5" customHeight="1">
      <c r="A420" s="26">
        <v>45852.0</v>
      </c>
      <c r="B420" s="32" t="s">
        <v>536</v>
      </c>
      <c r="C420" s="191" t="str">
        <f t="array" ref="C420">_xlfn.XLOOKUP(B420, DB[samplingPoint], DB[samplingTag])</f>
        <v>SV116.05</v>
      </c>
      <c r="D420" s="33" t="s">
        <v>59</v>
      </c>
      <c r="E420" s="39" t="str">
        <f t="array" ref="E420">_xlfn.XLOOKUP($B420, DB[samplingPoint], DB[noLocation])</f>
        <v>10-3-062</v>
      </c>
      <c r="F420" s="40" t="str">
        <f t="array" ref="F420">_xlfn.XLOOKUP($B420, DB[samplingPoint], DB[building])</f>
        <v>Building 10</v>
      </c>
      <c r="G420" s="40" t="str">
        <f t="array" ref="G420">_xlfn.XLOOKUP($B420, DB[samplingPoint], DB[location])</f>
        <v>COATING ROOM-3</v>
      </c>
      <c r="H420" s="40" t="str">
        <f t="array" ref="H420">_xlfn.XLOOKUP($B420, DB[samplingPoint], DB[waterType])</f>
        <v>PW</v>
      </c>
      <c r="I420" s="60">
        <f t="shared" si="1"/>
        <v>45853</v>
      </c>
      <c r="J420" s="192">
        <f t="shared" si="2"/>
        <v>45856</v>
      </c>
      <c r="K420" s="32">
        <v>0.0</v>
      </c>
      <c r="L420" s="32">
        <v>0.0</v>
      </c>
      <c r="M420" s="32">
        <f t="shared" si="3"/>
        <v>0</v>
      </c>
      <c r="N420" s="32" t="s">
        <v>376</v>
      </c>
      <c r="O420" s="32">
        <v>100.0</v>
      </c>
      <c r="P420" s="50" t="str">
        <f t="shared" si="6"/>
        <v>PASSED</v>
      </c>
      <c r="Q420" s="50" t="str">
        <f t="shared" si="5"/>
        <v>10</v>
      </c>
    </row>
    <row r="421" ht="22.5" customHeight="1">
      <c r="A421" s="26">
        <v>45852.0</v>
      </c>
      <c r="B421" s="32" t="s">
        <v>527</v>
      </c>
      <c r="C421" s="191" t="str">
        <f t="array" ref="C421">_xlfn.XLOOKUP(B421, DB[samplingPoint], DB[samplingTag])</f>
        <v>DV116.07</v>
      </c>
      <c r="D421" s="33" t="s">
        <v>59</v>
      </c>
      <c r="E421" s="39" t="str">
        <f t="array" ref="E421">_xlfn.XLOOKUP($B421, DB[samplingPoint], DB[noLocation])</f>
        <v>10-2-032</v>
      </c>
      <c r="F421" s="40" t="str">
        <f t="array" ref="F421">_xlfn.XLOOKUP($B421, DB[samplingPoint], DB[building])</f>
        <v>Building 10</v>
      </c>
      <c r="G421" s="40" t="str">
        <f t="array" ref="G421">_xlfn.XLOOKUP($B421, DB[samplingPoint], DB[location])</f>
        <v>GLASS-WARE WASHING</v>
      </c>
      <c r="H421" s="40" t="str">
        <f t="array" ref="H421">_xlfn.XLOOKUP($B421, DB[samplingPoint], DB[waterType])</f>
        <v>PW</v>
      </c>
      <c r="I421" s="60">
        <f t="shared" si="1"/>
        <v>45853</v>
      </c>
      <c r="J421" s="192">
        <f t="shared" si="2"/>
        <v>45856</v>
      </c>
      <c r="K421" s="32">
        <v>0.0</v>
      </c>
      <c r="L421" s="32">
        <v>0.0</v>
      </c>
      <c r="M421" s="32">
        <f t="shared" si="3"/>
        <v>0</v>
      </c>
      <c r="N421" s="32" t="s">
        <v>376</v>
      </c>
      <c r="O421" s="32">
        <v>100.0</v>
      </c>
      <c r="P421" s="50" t="str">
        <f t="shared" si="6"/>
        <v>PASSED</v>
      </c>
      <c r="Q421" s="50" t="str">
        <f t="shared" si="5"/>
        <v>10</v>
      </c>
    </row>
    <row r="422" ht="22.5" customHeight="1">
      <c r="A422" s="26">
        <v>45852.0</v>
      </c>
      <c r="B422" s="32" t="s">
        <v>529</v>
      </c>
      <c r="C422" s="191" t="str">
        <f t="array" ref="C422">_xlfn.XLOOKUP(B422, DB[samplingPoint], DB[samplingTag])</f>
        <v>DV116.09</v>
      </c>
      <c r="D422" s="33" t="s">
        <v>59</v>
      </c>
      <c r="E422" s="39" t="str">
        <f t="array" ref="E422">_xlfn.XLOOKUP($B422, DB[samplingPoint], DB[noLocation])</f>
        <v>10-3-060</v>
      </c>
      <c r="F422" s="40" t="str">
        <f t="array" ref="F422">_xlfn.XLOOKUP($B422, DB[samplingPoint], DB[building])</f>
        <v>Building 10</v>
      </c>
      <c r="G422" s="40" t="str">
        <f t="array" ref="G422">_xlfn.XLOOKUP($B422, DB[samplingPoint], DB[location])</f>
        <v>COATING SOLUTION PREP.-2</v>
      </c>
      <c r="H422" s="40" t="str">
        <f t="array" ref="H422">_xlfn.XLOOKUP($B422, DB[samplingPoint], DB[waterType])</f>
        <v>PW</v>
      </c>
      <c r="I422" s="60">
        <f t="shared" si="1"/>
        <v>45853</v>
      </c>
      <c r="J422" s="192">
        <f t="shared" si="2"/>
        <v>45856</v>
      </c>
      <c r="K422" s="32">
        <v>0.0</v>
      </c>
      <c r="L422" s="32">
        <v>0.0</v>
      </c>
      <c r="M422" s="32">
        <f t="shared" si="3"/>
        <v>0</v>
      </c>
      <c r="N422" s="32" t="s">
        <v>376</v>
      </c>
      <c r="O422" s="32">
        <v>100.0</v>
      </c>
      <c r="P422" s="50" t="str">
        <f t="shared" si="6"/>
        <v>PASSED</v>
      </c>
      <c r="Q422" s="50" t="str">
        <f t="shared" si="5"/>
        <v>10</v>
      </c>
    </row>
    <row r="423" ht="22.5" customHeight="1">
      <c r="A423" s="26">
        <v>45852.0</v>
      </c>
      <c r="B423" s="32" t="s">
        <v>520</v>
      </c>
      <c r="C423" s="191" t="str">
        <f t="array" ref="C423">_xlfn.XLOOKUP(B423, DB[samplingPoint], DB[samplingTag])</f>
        <v>DV116.03</v>
      </c>
      <c r="D423" s="33" t="s">
        <v>59</v>
      </c>
      <c r="E423" s="39" t="str">
        <f t="array" ref="E423">_xlfn.XLOOKUP($B423, DB[samplingPoint], DB[noLocation])</f>
        <v>10-2-034</v>
      </c>
      <c r="F423" s="40" t="str">
        <f t="array" ref="F423">_xlfn.XLOOKUP($B423, DB[samplingPoint], DB[building])</f>
        <v>Building 10</v>
      </c>
      <c r="G423" s="40" t="str">
        <f t="array" ref="G423">_xlfn.XLOOKUP($B423, DB[samplingPoint], DB[location])</f>
        <v>SAMPLE PREPARATION</v>
      </c>
      <c r="H423" s="40" t="str">
        <f t="array" ref="H423">_xlfn.XLOOKUP($B423, DB[samplingPoint], DB[waterType])</f>
        <v>PW</v>
      </c>
      <c r="I423" s="60">
        <f t="shared" si="1"/>
        <v>45853</v>
      </c>
      <c r="J423" s="192">
        <f t="shared" si="2"/>
        <v>45856</v>
      </c>
      <c r="K423" s="32">
        <v>0.0</v>
      </c>
      <c r="L423" s="32">
        <v>0.0</v>
      </c>
      <c r="M423" s="32">
        <f t="shared" si="3"/>
        <v>0</v>
      </c>
      <c r="N423" s="32" t="s">
        <v>376</v>
      </c>
      <c r="O423" s="32">
        <v>100.0</v>
      </c>
      <c r="P423" s="50" t="str">
        <f t="shared" si="6"/>
        <v>PASSED</v>
      </c>
      <c r="Q423" s="50" t="str">
        <f t="shared" si="5"/>
        <v>10</v>
      </c>
    </row>
    <row r="424" ht="22.5" customHeight="1">
      <c r="A424" s="26">
        <v>45852.0</v>
      </c>
      <c r="B424" s="32" t="s">
        <v>522</v>
      </c>
      <c r="C424" s="191" t="str">
        <f t="array" ref="C424">_xlfn.XLOOKUP(B424, DB[samplingPoint], DB[samplingTag])</f>
        <v>DV116.04</v>
      </c>
      <c r="D424" s="33" t="s">
        <v>59</v>
      </c>
      <c r="E424" s="39" t="str">
        <f t="array" ref="E424">_xlfn.XLOOKUP($B424, DB[samplingPoint], DB[noLocation])</f>
        <v>10-2-037</v>
      </c>
      <c r="F424" s="40" t="str">
        <f t="array" ref="F424">_xlfn.XLOOKUP($B424, DB[samplingPoint], DB[building])</f>
        <v>Building 10</v>
      </c>
      <c r="G424" s="40" t="str">
        <f t="array" ref="G424">_xlfn.XLOOKUP($B424, DB[samplingPoint], DB[location])</f>
        <v>SKID FOR BIN WASHING-1</v>
      </c>
      <c r="H424" s="40" t="str">
        <f t="array" ref="H424">_xlfn.XLOOKUP($B424, DB[samplingPoint], DB[waterType])</f>
        <v>PW</v>
      </c>
      <c r="I424" s="60">
        <f t="shared" si="1"/>
        <v>45853</v>
      </c>
      <c r="J424" s="192">
        <f t="shared" si="2"/>
        <v>45856</v>
      </c>
      <c r="K424" s="32">
        <v>0.0</v>
      </c>
      <c r="L424" s="32">
        <v>0.0</v>
      </c>
      <c r="M424" s="32">
        <f t="shared" si="3"/>
        <v>0</v>
      </c>
      <c r="N424" s="32" t="s">
        <v>376</v>
      </c>
      <c r="O424" s="32">
        <v>100.0</v>
      </c>
      <c r="P424" s="50" t="str">
        <f t="shared" si="6"/>
        <v>PASSED</v>
      </c>
      <c r="Q424" s="50" t="str">
        <f t="shared" si="5"/>
        <v>10</v>
      </c>
    </row>
    <row r="425" ht="22.5" customHeight="1">
      <c r="A425" s="26">
        <v>45852.0</v>
      </c>
      <c r="B425" s="32" t="s">
        <v>528</v>
      </c>
      <c r="C425" s="191" t="str">
        <f t="array" ref="C425">_xlfn.XLOOKUP(B425, DB[samplingPoint], DB[samplingTag])</f>
        <v>DV116.08</v>
      </c>
      <c r="D425" s="33" t="s">
        <v>59</v>
      </c>
      <c r="E425" s="39" t="str">
        <f t="array" ref="E425">_xlfn.XLOOKUP($B425, DB[samplingPoint], DB[noLocation])</f>
        <v>10-3-059</v>
      </c>
      <c r="F425" s="40" t="str">
        <f t="array" ref="F425">_xlfn.XLOOKUP($B425, DB[samplingPoint], DB[building])</f>
        <v>Building 10</v>
      </c>
      <c r="G425" s="40" t="str">
        <f t="array" ref="G425">_xlfn.XLOOKUP($B425, DB[samplingPoint], DB[location])</f>
        <v>COATING SOLUTION PREP.-1</v>
      </c>
      <c r="H425" s="40" t="str">
        <f t="array" ref="H425">_xlfn.XLOOKUP($B425, DB[samplingPoint], DB[waterType])</f>
        <v>PW</v>
      </c>
      <c r="I425" s="60">
        <f t="shared" si="1"/>
        <v>45853</v>
      </c>
      <c r="J425" s="192">
        <f t="shared" si="2"/>
        <v>45856</v>
      </c>
      <c r="K425" s="32">
        <v>0.0</v>
      </c>
      <c r="L425" s="32">
        <v>0.0</v>
      </c>
      <c r="M425" s="32">
        <f t="shared" si="3"/>
        <v>0</v>
      </c>
      <c r="N425" s="32" t="s">
        <v>376</v>
      </c>
      <c r="O425" s="32">
        <v>100.0</v>
      </c>
      <c r="P425" s="50" t="str">
        <f t="shared" si="6"/>
        <v>PASSED</v>
      </c>
      <c r="Q425" s="50" t="str">
        <f t="shared" si="5"/>
        <v>10</v>
      </c>
    </row>
    <row r="426" ht="22.5" customHeight="1">
      <c r="A426" s="26">
        <v>45852.0</v>
      </c>
      <c r="B426" s="32" t="s">
        <v>380</v>
      </c>
      <c r="C426" s="191" t="str">
        <f t="array" ref="C426">_xlfn.XLOOKUP(B426, DB[samplingPoint], DB[samplingTag])</f>
        <v>SV113.01</v>
      </c>
      <c r="D426" s="33" t="s">
        <v>59</v>
      </c>
      <c r="E426" s="39" t="str">
        <f t="array" ref="E426">_xlfn.XLOOKUP($B426, DB[samplingPoint], DB[noLocation])</f>
        <v>WATER SYSTEM (B10)</v>
      </c>
      <c r="F426" s="40" t="str">
        <f t="array" ref="F426">_xlfn.XLOOKUP($B426, DB[samplingPoint], DB[building])</f>
        <v>Building 10</v>
      </c>
      <c r="G426" s="40" t="str">
        <f t="array" ref="G426">_xlfn.XLOOKUP($B426, DB[samplingPoint], DB[location])</f>
        <v>After Storage tank (B10)</v>
      </c>
      <c r="H426" s="40" t="str">
        <f t="array" ref="H426">_xlfn.XLOOKUP($B426, DB[samplingPoint], DB[waterType])</f>
        <v>PW</v>
      </c>
      <c r="I426" s="60">
        <f t="shared" si="1"/>
        <v>45853</v>
      </c>
      <c r="J426" s="192">
        <f t="shared" si="2"/>
        <v>45856</v>
      </c>
      <c r="K426" s="32">
        <v>0.0</v>
      </c>
      <c r="L426" s="32">
        <v>0.0</v>
      </c>
      <c r="M426" s="32">
        <f t="shared" si="3"/>
        <v>0</v>
      </c>
      <c r="N426" s="32" t="s">
        <v>376</v>
      </c>
      <c r="O426" s="32">
        <v>100.0</v>
      </c>
      <c r="P426" s="50" t="str">
        <f t="shared" si="6"/>
        <v>PASSED</v>
      </c>
      <c r="Q426" s="50" t="str">
        <f t="shared" si="5"/>
        <v>WA</v>
      </c>
    </row>
    <row r="427" ht="22.5" customHeight="1">
      <c r="A427" s="26">
        <v>45852.0</v>
      </c>
      <c r="B427" s="32" t="s">
        <v>385</v>
      </c>
      <c r="C427" s="191" t="str">
        <f t="array" ref="C427">_xlfn.XLOOKUP(B427, DB[samplingPoint], DB[samplingTag])</f>
        <v>SV115.02</v>
      </c>
      <c r="D427" s="33" t="s">
        <v>59</v>
      </c>
      <c r="E427" s="39" t="str">
        <f t="array" ref="E427">_xlfn.XLOOKUP($B427, DB[samplingPoint], DB[noLocation])</f>
        <v>WATER SYSTEM (B10)</v>
      </c>
      <c r="F427" s="40" t="str">
        <f t="array" ref="F427">_xlfn.XLOOKUP($B427, DB[samplingPoint], DB[building])</f>
        <v>Building 10</v>
      </c>
      <c r="G427" s="40" t="str">
        <f t="array" ref="G427">_xlfn.XLOOKUP($B427, DB[samplingPoint], DB[location])</f>
        <v>After UV (B10)</v>
      </c>
      <c r="H427" s="40" t="str">
        <f t="array" ref="H427">_xlfn.XLOOKUP($B427, DB[samplingPoint], DB[waterType])</f>
        <v>PW</v>
      </c>
      <c r="I427" s="60">
        <f t="shared" si="1"/>
        <v>45853</v>
      </c>
      <c r="J427" s="192">
        <f t="shared" si="2"/>
        <v>45856</v>
      </c>
      <c r="K427" s="32">
        <v>0.0</v>
      </c>
      <c r="L427" s="32">
        <v>0.0</v>
      </c>
      <c r="M427" s="32">
        <f t="shared" si="3"/>
        <v>0</v>
      </c>
      <c r="N427" s="32" t="s">
        <v>376</v>
      </c>
      <c r="O427" s="32">
        <v>100.0</v>
      </c>
      <c r="P427" s="50" t="str">
        <f t="shared" si="6"/>
        <v>PASSED</v>
      </c>
      <c r="Q427" s="50" t="str">
        <f t="shared" si="5"/>
        <v>WA</v>
      </c>
    </row>
    <row r="428" ht="22.5" customHeight="1">
      <c r="A428" s="26">
        <v>45852.0</v>
      </c>
      <c r="B428" s="32" t="s">
        <v>390</v>
      </c>
      <c r="C428" s="191" t="str">
        <f t="array" ref="C428">_xlfn.XLOOKUP(B428, DB[samplingPoint], DB[samplingTag])</f>
        <v>SV117.01</v>
      </c>
      <c r="D428" s="33" t="s">
        <v>59</v>
      </c>
      <c r="E428" s="39" t="str">
        <f t="array" ref="E428">_xlfn.XLOOKUP($B428, DB[samplingPoint], DB[noLocation])</f>
        <v>WATER SYSTEM (B10)</v>
      </c>
      <c r="F428" s="40" t="str">
        <f t="array" ref="F428">_xlfn.XLOOKUP($B428, DB[samplingPoint], DB[building])</f>
        <v>Building 10</v>
      </c>
      <c r="G428" s="40" t="str">
        <f t="array" ref="G428">_xlfn.XLOOKUP($B428, DB[samplingPoint], DB[location])</f>
        <v>Return loop (B10)</v>
      </c>
      <c r="H428" s="40" t="str">
        <f t="array" ref="H428">_xlfn.XLOOKUP($B428, DB[samplingPoint], DB[waterType])</f>
        <v>PW</v>
      </c>
      <c r="I428" s="60">
        <f t="shared" si="1"/>
        <v>45853</v>
      </c>
      <c r="J428" s="192">
        <f t="shared" si="2"/>
        <v>45856</v>
      </c>
      <c r="K428" s="32">
        <v>0.0</v>
      </c>
      <c r="L428" s="32">
        <v>0.0</v>
      </c>
      <c r="M428" s="32">
        <f t="shared" si="3"/>
        <v>0</v>
      </c>
      <c r="N428" s="32" t="s">
        <v>376</v>
      </c>
      <c r="O428" s="32">
        <v>100.0</v>
      </c>
      <c r="P428" s="50" t="str">
        <f t="shared" si="6"/>
        <v>PASSED</v>
      </c>
      <c r="Q428" s="50" t="str">
        <f t="shared" si="5"/>
        <v>WA</v>
      </c>
    </row>
    <row r="429" ht="22.5" customHeight="1">
      <c r="A429" s="26">
        <v>45859.0</v>
      </c>
      <c r="B429" s="32" t="s">
        <v>471</v>
      </c>
      <c r="C429" s="191" t="str">
        <f t="array" ref="C429">_xlfn.XLOOKUP(B429, DB[samplingPoint], DB[samplingTag])</f>
        <v>VB-05 (16)</v>
      </c>
      <c r="D429" s="33" t="s">
        <v>59</v>
      </c>
      <c r="E429" s="39" t="str">
        <f t="array" ref="E429">_xlfn.XLOOKUP($B429, DB[samplingPoint], DB[noLocation])</f>
        <v>WATER SYSTEM (B16)</v>
      </c>
      <c r="F429" s="40" t="str">
        <f t="array" ref="F429">_xlfn.XLOOKUP($B429, DB[samplingPoint], DB[building])</f>
        <v>Building 16</v>
      </c>
      <c r="G429" s="40" t="str">
        <f t="array" ref="G429">_xlfn.XLOOKUP($B429, DB[samplingPoint], DB[location])</f>
        <v>After Chlorine circulation tank (B16)</v>
      </c>
      <c r="H429" s="40" t="str">
        <f t="array" ref="H429">_xlfn.XLOOKUP($B429, DB[samplingPoint], DB[waterType])</f>
        <v>PRW</v>
      </c>
      <c r="I429" s="60">
        <f t="shared" si="1"/>
        <v>45860</v>
      </c>
      <c r="J429" s="192">
        <f t="shared" si="2"/>
        <v>45863</v>
      </c>
      <c r="K429" s="32">
        <v>2.0</v>
      </c>
      <c r="L429" s="32">
        <v>3.0</v>
      </c>
      <c r="M429" s="32">
        <f t="shared" si="3"/>
        <v>3</v>
      </c>
      <c r="N429" s="32" t="s">
        <v>376</v>
      </c>
      <c r="O429" s="32">
        <v>500.0</v>
      </c>
      <c r="P429" s="50" t="str">
        <f t="shared" si="6"/>
        <v>PASSED</v>
      </c>
      <c r="Q429" s="50" t="str">
        <f t="shared" si="5"/>
        <v>WA</v>
      </c>
    </row>
    <row r="430" ht="22.5" customHeight="1">
      <c r="A430" s="26">
        <v>45859.0</v>
      </c>
      <c r="B430" s="32" t="s">
        <v>366</v>
      </c>
      <c r="C430" s="191" t="str">
        <f t="array" ref="C430">_xlfn.XLOOKUP(B430, DB[samplingPoint], DB[samplingTag])</f>
        <v>V50-61(10)</v>
      </c>
      <c r="D430" s="33" t="s">
        <v>59</v>
      </c>
      <c r="E430" s="39" t="str">
        <f t="array" ref="E430">_xlfn.XLOOKUP($B430, DB[samplingPoint], DB[noLocation])</f>
        <v>WATER SYSTEM (B10)</v>
      </c>
      <c r="F430" s="40" t="str">
        <f t="array" ref="F430">_xlfn.XLOOKUP($B430, DB[samplingPoint], DB[building])</f>
        <v>Building 10</v>
      </c>
      <c r="G430" s="40" t="str">
        <f t="array" ref="G430">_xlfn.XLOOKUP($B430, DB[samplingPoint], DB[location])</f>
        <v>After Cartridge filter 5 µm (B10)</v>
      </c>
      <c r="H430" s="40" t="str">
        <f t="array" ref="H430">_xlfn.XLOOKUP($B430, DB[samplingPoint], DB[waterType])</f>
        <v>PRW</v>
      </c>
      <c r="I430" s="60">
        <f t="shared" si="1"/>
        <v>45860</v>
      </c>
      <c r="J430" s="192">
        <f t="shared" si="2"/>
        <v>45863</v>
      </c>
      <c r="K430" s="32">
        <v>2.0</v>
      </c>
      <c r="L430" s="32">
        <v>0.0</v>
      </c>
      <c r="M430" s="32">
        <f t="shared" si="3"/>
        <v>1</v>
      </c>
      <c r="N430" s="32" t="s">
        <v>376</v>
      </c>
      <c r="O430" s="32">
        <v>500.0</v>
      </c>
      <c r="P430" s="50" t="str">
        <f t="shared" si="6"/>
        <v>PASSED</v>
      </c>
      <c r="Q430" s="50" t="str">
        <f t="shared" si="5"/>
        <v>WA</v>
      </c>
    </row>
    <row r="431" ht="22.5" customHeight="1">
      <c r="A431" s="26">
        <v>45859.0</v>
      </c>
      <c r="B431" s="32" t="s">
        <v>368</v>
      </c>
      <c r="C431" s="191" t="str">
        <f t="array" ref="C431">_xlfn.XLOOKUP(B431, DB[samplingPoint], DB[samplingTag])</f>
        <v>V50-11C(10)</v>
      </c>
      <c r="D431" s="33" t="s">
        <v>59</v>
      </c>
      <c r="E431" s="39" t="str">
        <f t="array" ref="E431">_xlfn.XLOOKUP($B431, DB[samplingPoint], DB[noLocation])</f>
        <v>WATER SYSTEM (B10)</v>
      </c>
      <c r="F431" s="40" t="str">
        <f t="array" ref="F431">_xlfn.XLOOKUP($B431, DB[samplingPoint], DB[building])</f>
        <v>Building 10</v>
      </c>
      <c r="G431" s="40" t="str">
        <f t="array" ref="G431">_xlfn.XLOOKUP($B431, DB[samplingPoint], DB[location])</f>
        <v>After RO (Before EDI) (B10)</v>
      </c>
      <c r="H431" s="40" t="str">
        <f t="array" ref="H431">_xlfn.XLOOKUP($B431, DB[samplingPoint], DB[waterType])</f>
        <v>RO water</v>
      </c>
      <c r="I431" s="60">
        <f t="shared" si="1"/>
        <v>45860</v>
      </c>
      <c r="J431" s="192">
        <f t="shared" si="2"/>
        <v>45863</v>
      </c>
      <c r="K431" s="32">
        <v>1.0</v>
      </c>
      <c r="L431" s="32">
        <v>0.0</v>
      </c>
      <c r="M431" s="32">
        <f t="shared" si="3"/>
        <v>1</v>
      </c>
      <c r="N431" s="32" t="s">
        <v>376</v>
      </c>
      <c r="O431" s="32">
        <v>500.0</v>
      </c>
      <c r="P431" s="50" t="str">
        <f t="shared" si="6"/>
        <v>PASSED</v>
      </c>
      <c r="Q431" s="50" t="str">
        <f t="shared" si="5"/>
        <v>WA</v>
      </c>
    </row>
    <row r="432" ht="22.5" customHeight="1">
      <c r="A432" s="26">
        <v>45859.0</v>
      </c>
      <c r="B432" s="32" t="s">
        <v>431</v>
      </c>
      <c r="C432" s="191" t="str">
        <f t="array" ref="C432">_xlfn.XLOOKUP(B432, DB[samplingPoint], DB[samplingTag])</f>
        <v>SV-14</v>
      </c>
      <c r="D432" s="33" t="s">
        <v>59</v>
      </c>
      <c r="E432" s="39" t="str">
        <f t="array" ref="E432">_xlfn.XLOOKUP($B432, DB[samplingPoint], DB[noLocation])</f>
        <v>PROCESS WATER (B19)</v>
      </c>
      <c r="F432" s="40" t="str">
        <f t="array" ref="F432">_xlfn.XLOOKUP($B432, DB[samplingPoint], DB[building])</f>
        <v>Building 19</v>
      </c>
      <c r="G432" s="40" t="str">
        <f t="array" ref="G432">_xlfn.XLOOKUP($B432, DB[samplingPoint], DB[location])</f>
        <v>AFTER RO SYSTEM NO.12 SV14</v>
      </c>
      <c r="H432" s="40" t="str">
        <f t="array" ref="H432">_xlfn.XLOOKUP($B432, DB[samplingPoint], DB[waterType])</f>
        <v>PRW</v>
      </c>
      <c r="I432" s="60">
        <f t="shared" si="1"/>
        <v>45860</v>
      </c>
      <c r="J432" s="192">
        <f t="shared" si="2"/>
        <v>45863</v>
      </c>
      <c r="K432" s="32">
        <v>2.0</v>
      </c>
      <c r="L432" s="32">
        <v>2.0</v>
      </c>
      <c r="M432" s="32">
        <f t="shared" si="3"/>
        <v>2</v>
      </c>
      <c r="N432" s="32" t="s">
        <v>376</v>
      </c>
      <c r="O432" s="32">
        <v>500.0</v>
      </c>
      <c r="P432" s="50" t="str">
        <f t="shared" si="6"/>
        <v>PASSED</v>
      </c>
      <c r="Q432" s="50" t="str">
        <f t="shared" si="5"/>
        <v>PR</v>
      </c>
    </row>
    <row r="433" ht="22.5" customHeight="1">
      <c r="A433" s="26">
        <v>45859.0</v>
      </c>
      <c r="B433" s="32" t="s">
        <v>618</v>
      </c>
      <c r="C433" s="39" t="str">
        <f t="array" ref="C433">_xlfn.XLOOKUP(B433, DB[samplingPoint], DB[samplingTag])</f>
        <v>SV-15</v>
      </c>
      <c r="D433" s="33" t="s">
        <v>59</v>
      </c>
      <c r="E433" s="39" t="str">
        <f t="array" ref="E433">_xlfn.XLOOKUP($B433, DB[samplingPoint], DB[noLocation])</f>
        <v>PROCESS WATER (B19)</v>
      </c>
      <c r="F433" s="40" t="str">
        <f t="array" ref="F433">_xlfn.XLOOKUP($B433, DB[samplingPoint], DB[building])</f>
        <v>Building 19</v>
      </c>
      <c r="G433" s="40" t="str">
        <f t="array" ref="G433">_xlfn.XLOOKUP($B433, DB[samplingPoint], DB[location])</f>
        <v>AFTER RO SYSTEM NO.12 SV15</v>
      </c>
      <c r="H433" s="40" t="str">
        <f t="array" ref="H433">_xlfn.XLOOKUP($B433, DB[samplingPoint], DB[waterType])</f>
        <v>PRW</v>
      </c>
      <c r="I433" s="60">
        <f t="shared" si="1"/>
        <v>45860</v>
      </c>
      <c r="J433" s="192">
        <f t="shared" si="2"/>
        <v>45863</v>
      </c>
      <c r="K433" s="32">
        <v>1.0</v>
      </c>
      <c r="L433" s="32">
        <v>4.0</v>
      </c>
      <c r="M433" s="32">
        <f t="shared" si="3"/>
        <v>3</v>
      </c>
      <c r="N433" s="32" t="s">
        <v>376</v>
      </c>
      <c r="O433" s="32">
        <v>500.0</v>
      </c>
      <c r="P433" s="50" t="str">
        <f t="shared" si="6"/>
        <v>PASSED</v>
      </c>
      <c r="Q433" s="50" t="str">
        <f t="shared" si="5"/>
        <v>PR</v>
      </c>
    </row>
    <row r="434" ht="22.5" customHeight="1">
      <c r="A434" s="26">
        <v>45859.0</v>
      </c>
      <c r="B434" s="32" t="s">
        <v>423</v>
      </c>
      <c r="C434" s="191" t="str">
        <f t="array" ref="C434">_xlfn.XLOOKUP(B434, DB[samplingPoint], DB[samplingTag])</f>
        <v>SV116.12</v>
      </c>
      <c r="D434" s="33" t="s">
        <v>59</v>
      </c>
      <c r="E434" s="39" t="str">
        <f t="array" ref="E434">_xlfn.XLOOKUP($B434, DB[samplingPoint], DB[noLocation])</f>
        <v>10-3-144</v>
      </c>
      <c r="F434" s="40" t="str">
        <f t="array" ref="F434">_xlfn.XLOOKUP($B434, DB[samplingPoint], DB[building])</f>
        <v>Building 10</v>
      </c>
      <c r="G434" s="40" t="str">
        <f t="array" ref="G434">_xlfn.XLOOKUP($B434, DB[samplingPoint], DB[location])</f>
        <v>COATING-P</v>
      </c>
      <c r="H434" s="40" t="str">
        <f t="array" ref="H434">_xlfn.XLOOKUP($B434, DB[samplingPoint], DB[waterType])</f>
        <v>PW</v>
      </c>
      <c r="I434" s="60">
        <f t="shared" si="1"/>
        <v>45860</v>
      </c>
      <c r="J434" s="192">
        <f t="shared" si="2"/>
        <v>45863</v>
      </c>
      <c r="K434" s="32">
        <v>0.0</v>
      </c>
      <c r="L434" s="32">
        <v>0.0</v>
      </c>
      <c r="M434" s="32">
        <f t="shared" si="3"/>
        <v>0</v>
      </c>
      <c r="N434" s="32" t="s">
        <v>376</v>
      </c>
      <c r="O434" s="32">
        <v>100.0</v>
      </c>
      <c r="P434" s="50" t="str">
        <f t="shared" si="6"/>
        <v>PASSED</v>
      </c>
      <c r="Q434" s="50" t="str">
        <f t="shared" si="5"/>
        <v>10</v>
      </c>
    </row>
    <row r="435" ht="22.5" customHeight="1">
      <c r="A435" s="26">
        <v>45859.0</v>
      </c>
      <c r="B435" s="32" t="s">
        <v>414</v>
      </c>
      <c r="C435" s="191" t="str">
        <f t="array" ref="C435">_xlfn.XLOOKUP(B435, DB[samplingPoint], DB[samplingTag])</f>
        <v>SV116.13</v>
      </c>
      <c r="D435" s="33" t="s">
        <v>59</v>
      </c>
      <c r="E435" s="39" t="str">
        <f t="array" ref="E435">_xlfn.XLOOKUP($B435, DB[samplingPoint], DB[noLocation])</f>
        <v>10-3-152</v>
      </c>
      <c r="F435" s="40" t="str">
        <f t="array" ref="F435">_xlfn.XLOOKUP($B435, DB[samplingPoint], DB[building])</f>
        <v>Building 10</v>
      </c>
      <c r="G435" s="40" t="str">
        <f t="array" ref="G435">_xlfn.XLOOKUP($B435, DB[samplingPoint], DB[location])</f>
        <v>WASHING-P</v>
      </c>
      <c r="H435" s="40" t="str">
        <f t="array" ref="H435">_xlfn.XLOOKUP($B435, DB[samplingPoint], DB[waterType])</f>
        <v>PW</v>
      </c>
      <c r="I435" s="60">
        <f t="shared" si="1"/>
        <v>45860</v>
      </c>
      <c r="J435" s="192">
        <f t="shared" si="2"/>
        <v>45863</v>
      </c>
      <c r="K435" s="32">
        <v>0.0</v>
      </c>
      <c r="L435" s="32">
        <v>0.0</v>
      </c>
      <c r="M435" s="32">
        <f t="shared" si="3"/>
        <v>0</v>
      </c>
      <c r="N435" s="32" t="s">
        <v>376</v>
      </c>
      <c r="O435" s="32">
        <v>100.0</v>
      </c>
      <c r="P435" s="50" t="str">
        <f t="shared" si="6"/>
        <v>PASSED</v>
      </c>
      <c r="Q435" s="50" t="str">
        <f t="shared" si="5"/>
        <v>10</v>
      </c>
    </row>
    <row r="436" ht="22.5" customHeight="1">
      <c r="A436" s="26">
        <v>45859.0</v>
      </c>
      <c r="B436" s="32" t="s">
        <v>406</v>
      </c>
      <c r="C436" s="191" t="str">
        <f t="array" ref="C436">_xlfn.XLOOKUP(B436, DB[samplingPoint], DB[samplingTag])</f>
        <v>DV116.21</v>
      </c>
      <c r="D436" s="33" t="s">
        <v>59</v>
      </c>
      <c r="E436" s="39" t="str">
        <f t="array" ref="E436">_xlfn.XLOOKUP($B436, DB[samplingPoint], DB[noLocation])</f>
        <v>10-3-152</v>
      </c>
      <c r="F436" s="40" t="str">
        <f t="array" ref="F436">_xlfn.XLOOKUP($B436, DB[samplingPoint], DB[building])</f>
        <v>Building 10</v>
      </c>
      <c r="G436" s="40" t="str">
        <f t="array" ref="G436">_xlfn.XLOOKUP($B436, DB[samplingPoint], DB[location])</f>
        <v>WASHING-P</v>
      </c>
      <c r="H436" s="40" t="str">
        <f t="array" ref="H436">_xlfn.XLOOKUP($B436, DB[samplingPoint], DB[waterType])</f>
        <v>PW</v>
      </c>
      <c r="I436" s="60">
        <f t="shared" si="1"/>
        <v>45860</v>
      </c>
      <c r="J436" s="192">
        <f t="shared" si="2"/>
        <v>45863</v>
      </c>
      <c r="K436" s="32">
        <v>0.0</v>
      </c>
      <c r="L436" s="32">
        <v>0.0</v>
      </c>
      <c r="M436" s="32">
        <f t="shared" si="3"/>
        <v>0</v>
      </c>
      <c r="N436" s="32" t="s">
        <v>376</v>
      </c>
      <c r="O436" s="32">
        <v>100.0</v>
      </c>
      <c r="P436" s="50" t="str">
        <f t="shared" si="6"/>
        <v>PASSED</v>
      </c>
      <c r="Q436" s="50" t="str">
        <f t="shared" si="5"/>
        <v>10</v>
      </c>
    </row>
    <row r="437" ht="22.5" customHeight="1">
      <c r="A437" s="26">
        <v>45859.0</v>
      </c>
      <c r="B437" s="32" t="s">
        <v>421</v>
      </c>
      <c r="C437" s="191" t="str">
        <f t="array" ref="C437">_xlfn.XLOOKUP(B437, DB[samplingPoint], DB[samplingTag])</f>
        <v>DV116.19</v>
      </c>
      <c r="D437" s="33" t="s">
        <v>59</v>
      </c>
      <c r="E437" s="39" t="str">
        <f t="array" ref="E437">_xlfn.XLOOKUP($B437, DB[samplingPoint], DB[noLocation])</f>
        <v>10-3-143</v>
      </c>
      <c r="F437" s="40" t="str">
        <f t="array" ref="F437">_xlfn.XLOOKUP($B437, DB[samplingPoint], DB[building])</f>
        <v>Building 10</v>
      </c>
      <c r="G437" s="40" t="str">
        <f t="array" ref="G437">_xlfn.XLOOKUP($B437, DB[samplingPoint], DB[location])</f>
        <v>COATING SOLUTION PREP.-P</v>
      </c>
      <c r="H437" s="40" t="str">
        <f t="array" ref="H437">_xlfn.XLOOKUP($B437, DB[samplingPoint], DB[waterType])</f>
        <v>PW</v>
      </c>
      <c r="I437" s="60">
        <f t="shared" si="1"/>
        <v>45860</v>
      </c>
      <c r="J437" s="192">
        <f t="shared" si="2"/>
        <v>45863</v>
      </c>
      <c r="K437" s="32">
        <v>0.0</v>
      </c>
      <c r="L437" s="32">
        <v>0.0</v>
      </c>
      <c r="M437" s="32">
        <f t="shared" si="3"/>
        <v>0</v>
      </c>
      <c r="N437" s="32" t="s">
        <v>376</v>
      </c>
      <c r="O437" s="32">
        <v>100.0</v>
      </c>
      <c r="P437" s="50" t="str">
        <f t="shared" si="6"/>
        <v>PASSED</v>
      </c>
      <c r="Q437" s="50" t="str">
        <f t="shared" si="5"/>
        <v>10</v>
      </c>
    </row>
    <row r="438" ht="22.5" customHeight="1">
      <c r="A438" s="26">
        <v>45859.0</v>
      </c>
      <c r="B438" s="32" t="s">
        <v>417</v>
      </c>
      <c r="C438" s="191" t="str">
        <f t="array" ref="C438">_xlfn.XLOOKUP(B438, DB[samplingPoint], DB[samplingTag])</f>
        <v>DV116.20</v>
      </c>
      <c r="D438" s="33" t="s">
        <v>59</v>
      </c>
      <c r="E438" s="39" t="str">
        <f t="array" ref="E438">_xlfn.XLOOKUP($B438, DB[samplingPoint], DB[noLocation])</f>
        <v>10-3-149</v>
      </c>
      <c r="F438" s="40" t="str">
        <f t="array" ref="F438">_xlfn.XLOOKUP($B438, DB[samplingPoint], DB[building])</f>
        <v>Building 10</v>
      </c>
      <c r="G438" s="40" t="str">
        <f t="array" ref="G438">_xlfn.XLOOKUP($B438, DB[samplingPoint], DB[location])</f>
        <v>IPQC-1-P</v>
      </c>
      <c r="H438" s="40" t="str">
        <f t="array" ref="H438">_xlfn.XLOOKUP($B438, DB[samplingPoint], DB[waterType])</f>
        <v>PW</v>
      </c>
      <c r="I438" s="60">
        <f t="shared" si="1"/>
        <v>45860</v>
      </c>
      <c r="J438" s="192">
        <f t="shared" si="2"/>
        <v>45863</v>
      </c>
      <c r="K438" s="32">
        <v>0.0</v>
      </c>
      <c r="L438" s="32">
        <v>0.0</v>
      </c>
      <c r="M438" s="32">
        <f t="shared" si="3"/>
        <v>0</v>
      </c>
      <c r="N438" s="32" t="s">
        <v>376</v>
      </c>
      <c r="O438" s="32">
        <v>100.0</v>
      </c>
      <c r="P438" s="50" t="str">
        <f t="shared" si="6"/>
        <v>PASSED</v>
      </c>
      <c r="Q438" s="50" t="str">
        <f t="shared" si="5"/>
        <v>10</v>
      </c>
    </row>
    <row r="439" ht="22.5" customHeight="1">
      <c r="A439" s="26">
        <v>45859.0</v>
      </c>
      <c r="B439" s="32" t="s">
        <v>398</v>
      </c>
      <c r="C439" s="191" t="str">
        <f t="array" ref="C439">_xlfn.XLOOKUP(B439, DB[samplingPoint], DB[samplingTag])</f>
        <v>DV116.24</v>
      </c>
      <c r="D439" s="33" t="s">
        <v>59</v>
      </c>
      <c r="E439" s="39" t="str">
        <f t="array" ref="E439">_xlfn.XLOOKUP($B439, DB[samplingPoint], DB[noLocation])</f>
        <v>10-3-163</v>
      </c>
      <c r="F439" s="40" t="str">
        <f t="array" ref="F439">_xlfn.XLOOKUP($B439, DB[samplingPoint], DB[building])</f>
        <v>Building 10</v>
      </c>
      <c r="G439" s="40" t="str">
        <f t="array" ref="G439">_xlfn.XLOOKUP($B439, DB[samplingPoint], DB[location])</f>
        <v>WET GRANULATION 1-P</v>
      </c>
      <c r="H439" s="40" t="str">
        <f t="array" ref="H439">_xlfn.XLOOKUP($B439, DB[samplingPoint], DB[waterType])</f>
        <v>PW</v>
      </c>
      <c r="I439" s="60">
        <f t="shared" si="1"/>
        <v>45860</v>
      </c>
      <c r="J439" s="192">
        <f t="shared" si="2"/>
        <v>45863</v>
      </c>
      <c r="K439" s="32">
        <v>0.0</v>
      </c>
      <c r="L439" s="32">
        <v>0.0</v>
      </c>
      <c r="M439" s="32">
        <f t="shared" si="3"/>
        <v>0</v>
      </c>
      <c r="N439" s="32" t="s">
        <v>376</v>
      </c>
      <c r="O439" s="32">
        <v>100.0</v>
      </c>
      <c r="P439" s="50" t="str">
        <f t="shared" si="6"/>
        <v>PASSED</v>
      </c>
      <c r="Q439" s="50" t="str">
        <f t="shared" si="5"/>
        <v>10</v>
      </c>
    </row>
    <row r="440" ht="22.5" customHeight="1">
      <c r="A440" s="26">
        <v>45859.0</v>
      </c>
      <c r="B440" s="32" t="s">
        <v>394</v>
      </c>
      <c r="C440" s="191" t="str">
        <f t="array" ref="C440">_xlfn.XLOOKUP(B440, DB[samplingPoint], DB[samplingTag])</f>
        <v>DV116.25</v>
      </c>
      <c r="D440" s="33" t="s">
        <v>59</v>
      </c>
      <c r="E440" s="39" t="str">
        <f t="array" ref="E440">_xlfn.XLOOKUP($B440, DB[samplingPoint], DB[noLocation])</f>
        <v>10-3-171</v>
      </c>
      <c r="F440" s="40" t="str">
        <f t="array" ref="F440">_xlfn.XLOOKUP($B440, DB[samplingPoint], DB[building])</f>
        <v>Building 10</v>
      </c>
      <c r="G440" s="40" t="str">
        <f t="array" ref="G440">_xlfn.XLOOKUP($B440, DB[samplingPoint], DB[location])</f>
        <v>TOOL WASHING-P</v>
      </c>
      <c r="H440" s="40" t="str">
        <f t="array" ref="H440">_xlfn.XLOOKUP($B440, DB[samplingPoint], DB[waterType])</f>
        <v>PW</v>
      </c>
      <c r="I440" s="60">
        <f t="shared" si="1"/>
        <v>45860</v>
      </c>
      <c r="J440" s="192">
        <f t="shared" si="2"/>
        <v>45863</v>
      </c>
      <c r="K440" s="32">
        <v>0.0</v>
      </c>
      <c r="L440" s="32">
        <v>0.0</v>
      </c>
      <c r="M440" s="32">
        <f t="shared" si="3"/>
        <v>0</v>
      </c>
      <c r="N440" s="32" t="s">
        <v>376</v>
      </c>
      <c r="O440" s="32">
        <v>100.0</v>
      </c>
      <c r="P440" s="50" t="str">
        <f t="shared" si="6"/>
        <v>PASSED</v>
      </c>
      <c r="Q440" s="50" t="str">
        <f t="shared" si="5"/>
        <v>10</v>
      </c>
    </row>
    <row r="441" ht="22.5" customHeight="1">
      <c r="A441" s="26">
        <v>45859.0</v>
      </c>
      <c r="B441" s="32" t="s">
        <v>410</v>
      </c>
      <c r="C441" s="191" t="str">
        <f t="array" ref="C441">_xlfn.XLOOKUP(B441, DB[samplingPoint], DB[samplingTag])</f>
        <v>DV116.22</v>
      </c>
      <c r="D441" s="33" t="s">
        <v>59</v>
      </c>
      <c r="E441" s="39" t="str">
        <f t="array" ref="E441">_xlfn.XLOOKUP($B441, DB[samplingPoint], DB[noLocation])</f>
        <v>10-3-152</v>
      </c>
      <c r="F441" s="40" t="str">
        <f t="array" ref="F441">_xlfn.XLOOKUP($B441, DB[samplingPoint], DB[building])</f>
        <v>Building 10</v>
      </c>
      <c r="G441" s="40" t="str">
        <f t="array" ref="G441">_xlfn.XLOOKUP($B441, DB[samplingPoint], DB[location])</f>
        <v>WASHING-P</v>
      </c>
      <c r="H441" s="40" t="str">
        <f t="array" ref="H441">_xlfn.XLOOKUP($B441, DB[samplingPoint], DB[waterType])</f>
        <v>PW</v>
      </c>
      <c r="I441" s="60">
        <f t="shared" si="1"/>
        <v>45860</v>
      </c>
      <c r="J441" s="192">
        <f t="shared" si="2"/>
        <v>45863</v>
      </c>
      <c r="K441" s="32">
        <v>0.0</v>
      </c>
      <c r="L441" s="32">
        <v>0.0</v>
      </c>
      <c r="M441" s="32">
        <f t="shared" si="3"/>
        <v>0</v>
      </c>
      <c r="N441" s="32" t="s">
        <v>376</v>
      </c>
      <c r="O441" s="32">
        <v>100.0</v>
      </c>
      <c r="P441" s="50" t="str">
        <f t="shared" si="6"/>
        <v>PASSED</v>
      </c>
      <c r="Q441" s="50" t="str">
        <f t="shared" si="5"/>
        <v>10</v>
      </c>
    </row>
    <row r="442" ht="22.5" customHeight="1">
      <c r="A442" s="26">
        <v>45859.0</v>
      </c>
      <c r="B442" s="32" t="s">
        <v>401</v>
      </c>
      <c r="C442" s="191" t="str">
        <f t="array" ref="C442">_xlfn.XLOOKUP(B442, DB[samplingPoint], DB[samplingTag])</f>
        <v>DV116.23</v>
      </c>
      <c r="D442" s="33" t="s">
        <v>59</v>
      </c>
      <c r="E442" s="39" t="str">
        <f t="array" ref="E442">_xlfn.XLOOKUP($B442, DB[samplingPoint], DB[noLocation])</f>
        <v>10-3-159</v>
      </c>
      <c r="F442" s="40" t="str">
        <f t="array" ref="F442">_xlfn.XLOOKUP($B442, DB[samplingPoint], DB[building])</f>
        <v>Building 10</v>
      </c>
      <c r="G442" s="40" t="str">
        <f t="array" ref="G442">_xlfn.XLOOKUP($B442, DB[samplingPoint], DB[location])</f>
        <v>BINDER PREPARATION-P</v>
      </c>
      <c r="H442" s="40" t="str">
        <f t="array" ref="H442">_xlfn.XLOOKUP($B442, DB[samplingPoint], DB[waterType])</f>
        <v>PW</v>
      </c>
      <c r="I442" s="60">
        <f t="shared" si="1"/>
        <v>45860</v>
      </c>
      <c r="J442" s="192">
        <f t="shared" si="2"/>
        <v>45863</v>
      </c>
      <c r="K442" s="32">
        <v>0.0</v>
      </c>
      <c r="L442" s="32">
        <v>0.0</v>
      </c>
      <c r="M442" s="32">
        <f t="shared" si="3"/>
        <v>0</v>
      </c>
      <c r="N442" s="32" t="s">
        <v>376</v>
      </c>
      <c r="O442" s="32">
        <v>100.0</v>
      </c>
      <c r="P442" s="50" t="str">
        <f t="shared" si="6"/>
        <v>PASSED</v>
      </c>
      <c r="Q442" s="50" t="str">
        <f t="shared" si="5"/>
        <v>10</v>
      </c>
    </row>
    <row r="443" ht="22.5" customHeight="1">
      <c r="A443" s="26">
        <v>45867.0</v>
      </c>
      <c r="B443" s="32" t="s">
        <v>428</v>
      </c>
      <c r="C443" s="191" t="str">
        <f t="array" ref="C443">_xlfn.XLOOKUP(B443, DB[samplingPoint], DB[samplingTag])</f>
        <v>DV116.01</v>
      </c>
      <c r="D443" s="33" t="s">
        <v>59</v>
      </c>
      <c r="E443" s="39" t="str">
        <f t="array" ref="E443">_xlfn.XLOOKUP($B443, DB[samplingPoint], DB[noLocation])</f>
        <v>10-1-057</v>
      </c>
      <c r="F443" s="40" t="str">
        <f t="array" ref="F443">_xlfn.XLOOKUP($B443, DB[samplingPoint], DB[building])</f>
        <v>Building 10</v>
      </c>
      <c r="G443" s="40" t="str">
        <f t="array" ref="G443">_xlfn.XLOOKUP($B443, DB[samplingPoint], DB[location])</f>
        <v>WASHING-P</v>
      </c>
      <c r="H443" s="40" t="str">
        <f t="array" ref="H443">_xlfn.XLOOKUP($B443, DB[samplingPoint], DB[waterType])</f>
        <v>PW</v>
      </c>
      <c r="I443" s="60">
        <f t="shared" si="1"/>
        <v>45868</v>
      </c>
      <c r="J443" s="192">
        <f t="shared" si="2"/>
        <v>45871</v>
      </c>
      <c r="K443" s="32">
        <v>0.0</v>
      </c>
      <c r="L443" s="32">
        <v>0.0</v>
      </c>
      <c r="M443" s="32">
        <f t="shared" si="3"/>
        <v>0</v>
      </c>
      <c r="N443" s="32" t="s">
        <v>376</v>
      </c>
      <c r="O443" s="32">
        <v>100.0</v>
      </c>
      <c r="P443" s="50" t="str">
        <f t="shared" si="6"/>
        <v>PASSED</v>
      </c>
      <c r="Q443" s="50" t="str">
        <f t="shared" si="5"/>
        <v>10</v>
      </c>
    </row>
    <row r="444" ht="22.5" customHeight="1">
      <c r="A444" s="26">
        <v>45867.0</v>
      </c>
      <c r="B444" s="32" t="s">
        <v>425</v>
      </c>
      <c r="C444" s="191" t="str">
        <f t="array" ref="C444">_xlfn.XLOOKUP(B444, DB[samplingPoint], DB[samplingTag])</f>
        <v>DV116.02</v>
      </c>
      <c r="D444" s="33" t="s">
        <v>59</v>
      </c>
      <c r="E444" s="39" t="str">
        <f t="array" ref="E444">_xlfn.XLOOKUP($B444, DB[samplingPoint], DB[noLocation])</f>
        <v>10-1-115</v>
      </c>
      <c r="F444" s="40" t="str">
        <f t="array" ref="F444">_xlfn.XLOOKUP($B444, DB[samplingPoint], DB[building])</f>
        <v>Building 10</v>
      </c>
      <c r="G444" s="40" t="str">
        <f t="array" ref="G444">_xlfn.XLOOKUP($B444, DB[samplingPoint], DB[location])</f>
        <v>WASHING</v>
      </c>
      <c r="H444" s="40" t="str">
        <f t="array" ref="H444">_xlfn.XLOOKUP($B444, DB[samplingPoint], DB[waterType])</f>
        <v>PW</v>
      </c>
      <c r="I444" s="60">
        <f t="shared" si="1"/>
        <v>45868</v>
      </c>
      <c r="J444" s="192">
        <f t="shared" si="2"/>
        <v>45871</v>
      </c>
      <c r="K444" s="32">
        <v>0.0</v>
      </c>
      <c r="L444" s="32">
        <v>0.0</v>
      </c>
      <c r="M444" s="32">
        <f t="shared" si="3"/>
        <v>0</v>
      </c>
      <c r="N444" s="32" t="s">
        <v>376</v>
      </c>
      <c r="O444" s="32">
        <v>100.0</v>
      </c>
      <c r="P444" s="50" t="str">
        <f t="shared" si="6"/>
        <v>PASSED</v>
      </c>
      <c r="Q444" s="50" t="str">
        <f t="shared" si="5"/>
        <v>10</v>
      </c>
    </row>
    <row r="445" ht="22.5" customHeight="1">
      <c r="A445" s="26">
        <v>45867.0</v>
      </c>
      <c r="B445" s="32" t="s">
        <v>499</v>
      </c>
      <c r="C445" s="191" t="str">
        <f t="array" ref="C445">_xlfn.XLOOKUP(B445, DB[samplingPoint], DB[samplingTag])</f>
        <v>SV116.01</v>
      </c>
      <c r="D445" s="33" t="s">
        <v>59</v>
      </c>
      <c r="E445" s="39" t="str">
        <f t="array" ref="E445">_xlfn.XLOOKUP($B445, DB[samplingPoint], DB[noLocation])</f>
        <v>10-2-021</v>
      </c>
      <c r="F445" s="40" t="str">
        <f t="array" ref="F445">_xlfn.XLOOKUP($B445, DB[samplingPoint], DB[building])</f>
        <v>Building 10</v>
      </c>
      <c r="G445" s="40" t="str">
        <f t="array" ref="G445">_xlfn.XLOOKUP($B445, DB[samplingPoint], DB[location])</f>
        <v>INSTRUMENT-1</v>
      </c>
      <c r="H445" s="40" t="str">
        <f t="array" ref="H445">_xlfn.XLOOKUP($B445, DB[samplingPoint], DB[waterType])</f>
        <v>PW</v>
      </c>
      <c r="I445" s="60">
        <f t="shared" si="1"/>
        <v>45868</v>
      </c>
      <c r="J445" s="192">
        <f t="shared" si="2"/>
        <v>45871</v>
      </c>
      <c r="K445" s="32">
        <v>0.0</v>
      </c>
      <c r="L445" s="32">
        <v>0.0</v>
      </c>
      <c r="M445" s="32">
        <f t="shared" si="3"/>
        <v>0</v>
      </c>
      <c r="N445" s="32" t="s">
        <v>376</v>
      </c>
      <c r="O445" s="32">
        <v>100.0</v>
      </c>
      <c r="P445" s="50" t="str">
        <f t="shared" si="6"/>
        <v>PASSED</v>
      </c>
      <c r="Q445" s="50" t="str">
        <f t="shared" si="5"/>
        <v>10</v>
      </c>
    </row>
    <row r="446" ht="22.5" customHeight="1">
      <c r="A446" s="26">
        <v>45867.0</v>
      </c>
      <c r="B446" s="32" t="s">
        <v>498</v>
      </c>
      <c r="C446" s="191" t="str">
        <f t="array" ref="C446">_xlfn.XLOOKUP(B446, DB[samplingPoint], DB[samplingTag])</f>
        <v>SV116.02</v>
      </c>
      <c r="D446" s="33" t="s">
        <v>59</v>
      </c>
      <c r="E446" s="39" t="str">
        <f t="array" ref="E446">_xlfn.XLOOKUP($B446, DB[samplingPoint], DB[noLocation])</f>
        <v>10-2-037</v>
      </c>
      <c r="F446" s="40" t="str">
        <f t="array" ref="F446">_xlfn.XLOOKUP($B446, DB[samplingPoint], DB[building])</f>
        <v>Building 10</v>
      </c>
      <c r="G446" s="40" t="str">
        <f t="array" ref="G446">_xlfn.XLOOKUP($B446, DB[samplingPoint], DB[location])</f>
        <v>SKID FOR BIN WASHING-2</v>
      </c>
      <c r="H446" s="40" t="str">
        <f t="array" ref="H446">_xlfn.XLOOKUP($B446, DB[samplingPoint], DB[waterType])</f>
        <v>PW</v>
      </c>
      <c r="I446" s="60">
        <f t="shared" si="1"/>
        <v>45868</v>
      </c>
      <c r="J446" s="192">
        <f t="shared" si="2"/>
        <v>45871</v>
      </c>
      <c r="K446" s="32">
        <v>0.0</v>
      </c>
      <c r="L446" s="32">
        <v>0.0</v>
      </c>
      <c r="M446" s="32">
        <f t="shared" si="3"/>
        <v>0</v>
      </c>
      <c r="N446" s="32" t="s">
        <v>376</v>
      </c>
      <c r="O446" s="32">
        <v>100.0</v>
      </c>
      <c r="P446" s="50" t="str">
        <f t="shared" si="6"/>
        <v>PASSED</v>
      </c>
      <c r="Q446" s="50" t="str">
        <f t="shared" si="5"/>
        <v>10</v>
      </c>
    </row>
    <row r="447" ht="22.5" customHeight="1">
      <c r="A447" s="26">
        <v>45867.0</v>
      </c>
      <c r="B447" s="32" t="s">
        <v>491</v>
      </c>
      <c r="C447" s="191" t="str">
        <f t="array" ref="C447">_xlfn.XLOOKUP(B447, DB[samplingPoint], DB[samplingTag])</f>
        <v>SV116.15</v>
      </c>
      <c r="D447" s="33" t="s">
        <v>59</v>
      </c>
      <c r="E447" s="39" t="str">
        <f t="array" ref="E447">_xlfn.XLOOKUP($B447, DB[samplingPoint], DB[noLocation])</f>
        <v>10-4-012</v>
      </c>
      <c r="F447" s="40" t="str">
        <f t="array" ref="F447">_xlfn.XLOOKUP($B447, DB[samplingPoint], DB[building])</f>
        <v>Building 10</v>
      </c>
      <c r="G447" s="40" t="str">
        <f t="array" ref="G447">_xlfn.XLOOKUP($B447, DB[samplingPoint], DB[location])</f>
        <v>CIP SKID-1 FOR BIN WASHING-1</v>
      </c>
      <c r="H447" s="40" t="str">
        <f t="array" ref="H447">_xlfn.XLOOKUP($B447, DB[samplingPoint], DB[waterType])</f>
        <v>PW</v>
      </c>
      <c r="I447" s="60">
        <f t="shared" si="1"/>
        <v>45868</v>
      </c>
      <c r="J447" s="192">
        <f t="shared" si="2"/>
        <v>45871</v>
      </c>
      <c r="K447" s="32">
        <v>0.0</v>
      </c>
      <c r="L447" s="32">
        <v>0.0</v>
      </c>
      <c r="M447" s="32">
        <f t="shared" si="3"/>
        <v>0</v>
      </c>
      <c r="N447" s="32" t="s">
        <v>376</v>
      </c>
      <c r="O447" s="32">
        <v>100.0</v>
      </c>
      <c r="P447" s="50" t="str">
        <f t="shared" si="6"/>
        <v>PASSED</v>
      </c>
      <c r="Q447" s="50" t="str">
        <f t="shared" si="5"/>
        <v>10</v>
      </c>
    </row>
    <row r="448" ht="22.5" customHeight="1">
      <c r="A448" s="26">
        <v>45867.0</v>
      </c>
      <c r="B448" s="32" t="s">
        <v>493</v>
      </c>
      <c r="C448" s="191" t="str">
        <f t="array" ref="C448">_xlfn.XLOOKUP(B448, DB[samplingPoint], DB[samplingTag])</f>
        <v>SV116.16</v>
      </c>
      <c r="D448" s="33" t="s">
        <v>59</v>
      </c>
      <c r="E448" s="39" t="str">
        <f t="array" ref="E448">_xlfn.XLOOKUP($B448, DB[samplingPoint], DB[noLocation])</f>
        <v>10-4-012</v>
      </c>
      <c r="F448" s="40" t="str">
        <f t="array" ref="F448">_xlfn.XLOOKUP($B448, DB[samplingPoint], DB[building])</f>
        <v>Building 10</v>
      </c>
      <c r="G448" s="40" t="str">
        <f t="array" ref="G448">_xlfn.XLOOKUP($B448, DB[samplingPoint], DB[location])</f>
        <v>WIP SKID-3 FOR GRANULATION POTENT</v>
      </c>
      <c r="H448" s="40" t="str">
        <f t="array" ref="H448">_xlfn.XLOOKUP($B448, DB[samplingPoint], DB[waterType])</f>
        <v>PW</v>
      </c>
      <c r="I448" s="60">
        <f t="shared" si="1"/>
        <v>45868</v>
      </c>
      <c r="J448" s="192">
        <f t="shared" si="2"/>
        <v>45871</v>
      </c>
      <c r="K448" s="32">
        <v>0.0</v>
      </c>
      <c r="L448" s="32">
        <v>0.0</v>
      </c>
      <c r="M448" s="32">
        <f t="shared" si="3"/>
        <v>0</v>
      </c>
      <c r="N448" s="32" t="s">
        <v>376</v>
      </c>
      <c r="O448" s="32">
        <v>100.0</v>
      </c>
      <c r="P448" s="50" t="str">
        <f t="shared" si="6"/>
        <v>PASSED</v>
      </c>
      <c r="Q448" s="50" t="str">
        <f t="shared" si="5"/>
        <v>10</v>
      </c>
    </row>
    <row r="449" ht="22.5" customHeight="1">
      <c r="A449" s="26">
        <v>45867.0</v>
      </c>
      <c r="B449" s="32" t="s">
        <v>494</v>
      </c>
      <c r="C449" s="191" t="str">
        <f t="array" ref="C449">_xlfn.XLOOKUP(B449, DB[samplingPoint], DB[samplingTag])</f>
        <v>SV116.17</v>
      </c>
      <c r="D449" s="33" t="s">
        <v>59</v>
      </c>
      <c r="E449" s="39" t="str">
        <f t="array" ref="E449">_xlfn.XLOOKUP($B449, DB[samplingPoint], DB[noLocation])</f>
        <v>10-4-012</v>
      </c>
      <c r="F449" s="40" t="str">
        <f t="array" ref="F449">_xlfn.XLOOKUP($B449, DB[samplingPoint], DB[building])</f>
        <v>Building 10</v>
      </c>
      <c r="G449" s="40" t="str">
        <f t="array" ref="G449">_xlfn.XLOOKUP($B449, DB[samplingPoint], DB[location])</f>
        <v>CIP SKID-2 FOR BIN WASHING-1</v>
      </c>
      <c r="H449" s="40" t="str">
        <f t="array" ref="H449">_xlfn.XLOOKUP($B449, DB[samplingPoint], DB[waterType])</f>
        <v>PW</v>
      </c>
      <c r="I449" s="60">
        <f t="shared" si="1"/>
        <v>45868</v>
      </c>
      <c r="J449" s="192">
        <f t="shared" si="2"/>
        <v>45871</v>
      </c>
      <c r="K449" s="32">
        <v>0.0</v>
      </c>
      <c r="L449" s="32">
        <v>0.0</v>
      </c>
      <c r="M449" s="32">
        <f t="shared" si="3"/>
        <v>0</v>
      </c>
      <c r="N449" s="32" t="s">
        <v>376</v>
      </c>
      <c r="O449" s="32">
        <v>100.0</v>
      </c>
      <c r="P449" s="50" t="str">
        <f t="shared" si="6"/>
        <v>PASSED</v>
      </c>
      <c r="Q449" s="50" t="str">
        <f t="shared" si="5"/>
        <v>10</v>
      </c>
    </row>
    <row r="450" ht="22.5" customHeight="1">
      <c r="A450" s="26">
        <v>45867.0</v>
      </c>
      <c r="B450" s="32" t="s">
        <v>495</v>
      </c>
      <c r="C450" s="191" t="str">
        <f t="array" ref="C450">_xlfn.XLOOKUP(B450, DB[samplingPoint], DB[samplingTag])</f>
        <v>SV116.18</v>
      </c>
      <c r="D450" s="33" t="s">
        <v>59</v>
      </c>
      <c r="E450" s="39" t="str">
        <f t="array" ref="E450">_xlfn.XLOOKUP($B450, DB[samplingPoint], DB[noLocation])</f>
        <v>10-4-012</v>
      </c>
      <c r="F450" s="40" t="str">
        <f t="array" ref="F450">_xlfn.XLOOKUP($B450, DB[samplingPoint], DB[building])</f>
        <v>Building 10</v>
      </c>
      <c r="G450" s="40" t="str">
        <f t="array" ref="G450">_xlfn.XLOOKUP($B450, DB[samplingPoint], DB[location])</f>
        <v>WIP SKID-1 FOR GRANULATION NON POTENT</v>
      </c>
      <c r="H450" s="40" t="str">
        <f t="array" ref="H450">_xlfn.XLOOKUP($B450, DB[samplingPoint], DB[waterType])</f>
        <v>PW</v>
      </c>
      <c r="I450" s="60">
        <f t="shared" si="1"/>
        <v>45868</v>
      </c>
      <c r="J450" s="192">
        <f t="shared" si="2"/>
        <v>45871</v>
      </c>
      <c r="K450" s="32">
        <v>1.0</v>
      </c>
      <c r="L450" s="32">
        <v>0.0</v>
      </c>
      <c r="M450" s="32">
        <f t="shared" si="3"/>
        <v>1</v>
      </c>
      <c r="N450" s="32" t="s">
        <v>376</v>
      </c>
      <c r="O450" s="32">
        <v>100.0</v>
      </c>
      <c r="P450" s="50" t="str">
        <f t="shared" si="6"/>
        <v>PASSED</v>
      </c>
      <c r="Q450" s="50" t="str">
        <f t="shared" si="5"/>
        <v>10</v>
      </c>
    </row>
    <row r="451" ht="22.5" customHeight="1">
      <c r="A451" s="26">
        <v>45867.0</v>
      </c>
      <c r="B451" s="32" t="s">
        <v>496</v>
      </c>
      <c r="C451" s="191" t="str">
        <f t="array" ref="C451">_xlfn.XLOOKUP(B451, DB[samplingPoint], DB[samplingTag])</f>
        <v>SV116.19</v>
      </c>
      <c r="D451" s="33" t="s">
        <v>59</v>
      </c>
      <c r="E451" s="39" t="str">
        <f t="array" ref="E451">_xlfn.XLOOKUP($B451, DB[samplingPoint], DB[noLocation])</f>
        <v>10-4-012</v>
      </c>
      <c r="F451" s="40" t="str">
        <f t="array" ref="F451">_xlfn.XLOOKUP($B451, DB[samplingPoint], DB[building])</f>
        <v>Building 10</v>
      </c>
      <c r="G451" s="40" t="str">
        <f t="array" ref="G451">_xlfn.XLOOKUP($B451, DB[samplingPoint], DB[location])</f>
        <v>WIP SKID-2 FOR GRANULATION NON POTENT</v>
      </c>
      <c r="H451" s="40" t="str">
        <f t="array" ref="H451">_xlfn.XLOOKUP($B451, DB[samplingPoint], DB[waterType])</f>
        <v>PW</v>
      </c>
      <c r="I451" s="60">
        <f t="shared" si="1"/>
        <v>45868</v>
      </c>
      <c r="J451" s="192">
        <f t="shared" si="2"/>
        <v>45871</v>
      </c>
      <c r="K451" s="32">
        <v>0.0</v>
      </c>
      <c r="L451" s="32">
        <v>0.0</v>
      </c>
      <c r="M451" s="32">
        <f t="shared" si="3"/>
        <v>0</v>
      </c>
      <c r="N451" s="32" t="s">
        <v>376</v>
      </c>
      <c r="O451" s="32">
        <v>100.0</v>
      </c>
      <c r="P451" s="50" t="str">
        <f t="shared" si="6"/>
        <v>PASSED</v>
      </c>
      <c r="Q451" s="50" t="str">
        <f t="shared" si="5"/>
        <v>10</v>
      </c>
    </row>
    <row r="452" ht="22.5" customHeight="1">
      <c r="A452" s="26">
        <v>45867.0</v>
      </c>
      <c r="B452" s="32" t="s">
        <v>502</v>
      </c>
      <c r="C452" s="191" t="str">
        <f t="array" ref="C452">_xlfn.XLOOKUP(B452, DB[samplingPoint], DB[samplingTag])</f>
        <v>DV116.26</v>
      </c>
      <c r="D452" s="33" t="s">
        <v>59</v>
      </c>
      <c r="E452" s="39" t="str">
        <f t="array" ref="E452">_xlfn.XLOOKUP($B452, DB[samplingPoint], DB[noLocation])</f>
        <v>10-4-015</v>
      </c>
      <c r="F452" s="40" t="str">
        <f t="array" ref="F452">_xlfn.XLOOKUP($B452, DB[samplingPoint], DB[building])</f>
        <v>Building 10</v>
      </c>
      <c r="G452" s="40" t="str">
        <f t="array" ref="G452">_xlfn.XLOOKUP($B452, DB[samplingPoint], DB[location])</f>
        <v>WATER SYSTEM ROOM</v>
      </c>
      <c r="H452" s="40" t="str">
        <f t="array" ref="H452">_xlfn.XLOOKUP($B452, DB[samplingPoint], DB[waterType])</f>
        <v>PW</v>
      </c>
      <c r="I452" s="60">
        <f t="shared" si="1"/>
        <v>45868</v>
      </c>
      <c r="J452" s="192">
        <f t="shared" si="2"/>
        <v>45871</v>
      </c>
      <c r="K452" s="32">
        <v>0.0</v>
      </c>
      <c r="L452" s="32">
        <v>0.0</v>
      </c>
      <c r="M452" s="32">
        <f t="shared" si="3"/>
        <v>0</v>
      </c>
      <c r="N452" s="32" t="s">
        <v>376</v>
      </c>
      <c r="O452" s="32">
        <v>100.0</v>
      </c>
      <c r="P452" s="50" t="str">
        <f t="shared" si="6"/>
        <v>PASSED</v>
      </c>
      <c r="Q452" s="50" t="str">
        <f t="shared" si="5"/>
        <v>10</v>
      </c>
    </row>
    <row r="453" ht="22.5" customHeight="1">
      <c r="A453" s="26">
        <v>45867.0</v>
      </c>
      <c r="B453" s="32" t="s">
        <v>380</v>
      </c>
      <c r="C453" s="191" t="str">
        <f t="array" ref="C453">_xlfn.XLOOKUP(B453, DB[samplingPoint], DB[samplingTag])</f>
        <v>SV113.01</v>
      </c>
      <c r="D453" s="33" t="s">
        <v>59</v>
      </c>
      <c r="E453" s="39" t="str">
        <f t="array" ref="E453">_xlfn.XLOOKUP($B453, DB[samplingPoint], DB[noLocation])</f>
        <v>WATER SYSTEM (B10)</v>
      </c>
      <c r="F453" s="40" t="str">
        <f t="array" ref="F453">_xlfn.XLOOKUP($B453, DB[samplingPoint], DB[building])</f>
        <v>Building 10</v>
      </c>
      <c r="G453" s="40" t="str">
        <f t="array" ref="G453">_xlfn.XLOOKUP($B453, DB[samplingPoint], DB[location])</f>
        <v>After Storage tank (B10)</v>
      </c>
      <c r="H453" s="40" t="str">
        <f t="array" ref="H453">_xlfn.XLOOKUP($B453, DB[samplingPoint], DB[waterType])</f>
        <v>PW</v>
      </c>
      <c r="I453" s="60">
        <f t="shared" si="1"/>
        <v>45868</v>
      </c>
      <c r="J453" s="192">
        <f t="shared" si="2"/>
        <v>45871</v>
      </c>
      <c r="K453" s="32">
        <v>0.0</v>
      </c>
      <c r="L453" s="32">
        <v>0.0</v>
      </c>
      <c r="M453" s="32">
        <f t="shared" si="3"/>
        <v>0</v>
      </c>
      <c r="N453" s="32" t="s">
        <v>376</v>
      </c>
      <c r="O453" s="32">
        <v>100.0</v>
      </c>
      <c r="P453" s="50" t="str">
        <f t="shared" si="6"/>
        <v>PASSED</v>
      </c>
      <c r="Q453" s="50" t="str">
        <f t="shared" si="5"/>
        <v>WA</v>
      </c>
    </row>
    <row r="454" ht="22.5" customHeight="1">
      <c r="A454" s="26">
        <v>45867.0</v>
      </c>
      <c r="B454" s="32" t="s">
        <v>385</v>
      </c>
      <c r="C454" s="191" t="str">
        <f t="array" ref="C454">_xlfn.XLOOKUP(B454, DB[samplingPoint], DB[samplingTag])</f>
        <v>SV115.02</v>
      </c>
      <c r="D454" s="33" t="s">
        <v>59</v>
      </c>
      <c r="E454" s="39" t="str">
        <f t="array" ref="E454">_xlfn.XLOOKUP($B454, DB[samplingPoint], DB[noLocation])</f>
        <v>WATER SYSTEM (B10)</v>
      </c>
      <c r="F454" s="40" t="str">
        <f t="array" ref="F454">_xlfn.XLOOKUP($B454, DB[samplingPoint], DB[building])</f>
        <v>Building 10</v>
      </c>
      <c r="G454" s="40" t="str">
        <f t="array" ref="G454">_xlfn.XLOOKUP($B454, DB[samplingPoint], DB[location])</f>
        <v>After UV (B10)</v>
      </c>
      <c r="H454" s="40" t="str">
        <f t="array" ref="H454">_xlfn.XLOOKUP($B454, DB[samplingPoint], DB[waterType])</f>
        <v>PW</v>
      </c>
      <c r="I454" s="60">
        <f t="shared" si="1"/>
        <v>45868</v>
      </c>
      <c r="J454" s="192">
        <f t="shared" si="2"/>
        <v>45871</v>
      </c>
      <c r="K454" s="32">
        <v>0.0</v>
      </c>
      <c r="L454" s="32">
        <v>0.0</v>
      </c>
      <c r="M454" s="32">
        <f t="shared" si="3"/>
        <v>0</v>
      </c>
      <c r="N454" s="32" t="s">
        <v>376</v>
      </c>
      <c r="O454" s="32">
        <v>100.0</v>
      </c>
      <c r="P454" s="50" t="str">
        <f t="shared" si="6"/>
        <v>PASSED</v>
      </c>
      <c r="Q454" s="50" t="str">
        <f t="shared" si="5"/>
        <v>WA</v>
      </c>
    </row>
    <row r="455" ht="22.5" customHeight="1">
      <c r="A455" s="26">
        <v>45867.0</v>
      </c>
      <c r="B455" s="32" t="s">
        <v>390</v>
      </c>
      <c r="C455" s="191" t="str">
        <f t="array" ref="C455">_xlfn.XLOOKUP(B455, DB[samplingPoint], DB[samplingTag])</f>
        <v>SV117.01</v>
      </c>
      <c r="D455" s="33" t="s">
        <v>59</v>
      </c>
      <c r="E455" s="39" t="str">
        <f t="array" ref="E455">_xlfn.XLOOKUP($B455, DB[samplingPoint], DB[noLocation])</f>
        <v>WATER SYSTEM (B10)</v>
      </c>
      <c r="F455" s="40" t="str">
        <f t="array" ref="F455">_xlfn.XLOOKUP($B455, DB[samplingPoint], DB[building])</f>
        <v>Building 10</v>
      </c>
      <c r="G455" s="40" t="str">
        <f t="array" ref="G455">_xlfn.XLOOKUP($B455, DB[samplingPoint], DB[location])</f>
        <v>Return loop (B10)</v>
      </c>
      <c r="H455" s="40" t="str">
        <f t="array" ref="H455">_xlfn.XLOOKUP($B455, DB[samplingPoint], DB[waterType])</f>
        <v>PW</v>
      </c>
      <c r="I455" s="60">
        <f t="shared" si="1"/>
        <v>45868</v>
      </c>
      <c r="J455" s="192">
        <f t="shared" si="2"/>
        <v>45871</v>
      </c>
      <c r="K455" s="32">
        <v>0.0</v>
      </c>
      <c r="L455" s="32">
        <v>0.0</v>
      </c>
      <c r="M455" s="32">
        <f t="shared" si="3"/>
        <v>0</v>
      </c>
      <c r="N455" s="32" t="s">
        <v>376</v>
      </c>
      <c r="O455" s="32">
        <v>100.0</v>
      </c>
      <c r="P455" s="50" t="str">
        <f t="shared" si="6"/>
        <v>PASSED</v>
      </c>
      <c r="Q455" s="50" t="str">
        <f t="shared" si="5"/>
        <v>WA</v>
      </c>
    </row>
    <row r="456" ht="22.5" customHeight="1">
      <c r="A456" s="26">
        <v>45873.0</v>
      </c>
      <c r="B456" s="32" t="s">
        <v>349</v>
      </c>
      <c r="C456" s="191" t="str">
        <f t="array" ref="C456">_xlfn.XLOOKUP(B456, DB[samplingPoint], DB[samplingTag])</f>
        <v>VB-05(10)</v>
      </c>
      <c r="D456" s="33" t="s">
        <v>59</v>
      </c>
      <c r="E456" s="39" t="str">
        <f t="array" ref="E456">_xlfn.XLOOKUP($B456, DB[samplingPoint], DB[noLocation])</f>
        <v>WATER SYSTEM (B10)</v>
      </c>
      <c r="F456" s="40" t="str">
        <f t="array" ref="F456">_xlfn.XLOOKUP($B456, DB[samplingPoint], DB[building])</f>
        <v>Building 10</v>
      </c>
      <c r="G456" s="40" t="str">
        <f t="array" ref="G456">_xlfn.XLOOKUP($B456, DB[samplingPoint], DB[location])</f>
        <v>After Chlorine circulation tank (B10)</v>
      </c>
      <c r="H456" s="40" t="str">
        <f t="array" ref="H456">_xlfn.XLOOKUP($B456, DB[samplingPoint], DB[waterType])</f>
        <v>PRW</v>
      </c>
      <c r="I456" s="60">
        <f t="shared" si="1"/>
        <v>45874</v>
      </c>
      <c r="J456" s="192">
        <f t="shared" si="2"/>
        <v>45877</v>
      </c>
      <c r="K456" s="32">
        <v>0.0</v>
      </c>
      <c r="L456" s="32">
        <v>0.0</v>
      </c>
      <c r="M456" s="32">
        <f t="shared" si="3"/>
        <v>0</v>
      </c>
      <c r="N456" s="32" t="s">
        <v>376</v>
      </c>
      <c r="O456" s="32">
        <v>500.0</v>
      </c>
      <c r="P456" s="50" t="str">
        <f t="shared" si="6"/>
        <v>PASSED</v>
      </c>
      <c r="Q456" s="50" t="str">
        <f t="shared" si="5"/>
        <v>WA</v>
      </c>
    </row>
    <row r="457" ht="22.5" customHeight="1">
      <c r="A457" s="26">
        <v>45873.0</v>
      </c>
      <c r="B457" s="32" t="s">
        <v>366</v>
      </c>
      <c r="C457" s="191" t="str">
        <f t="array" ref="C457">_xlfn.XLOOKUP(B457, DB[samplingPoint], DB[samplingTag])</f>
        <v>V50-61(10)</v>
      </c>
      <c r="D457" s="33" t="s">
        <v>59</v>
      </c>
      <c r="E457" s="39" t="str">
        <f t="array" ref="E457">_xlfn.XLOOKUP($B457, DB[samplingPoint], DB[noLocation])</f>
        <v>WATER SYSTEM (B10)</v>
      </c>
      <c r="F457" s="40" t="str">
        <f t="array" ref="F457">_xlfn.XLOOKUP($B457, DB[samplingPoint], DB[building])</f>
        <v>Building 10</v>
      </c>
      <c r="G457" s="40" t="str">
        <f t="array" ref="G457">_xlfn.XLOOKUP($B457, DB[samplingPoint], DB[location])</f>
        <v>After Cartridge filter 5 µm (B10)</v>
      </c>
      <c r="H457" s="40" t="str">
        <f t="array" ref="H457">_xlfn.XLOOKUP($B457, DB[samplingPoint], DB[waterType])</f>
        <v>PRW</v>
      </c>
      <c r="I457" s="60">
        <f t="shared" si="1"/>
        <v>45874</v>
      </c>
      <c r="J457" s="192">
        <f t="shared" si="2"/>
        <v>45877</v>
      </c>
      <c r="K457" s="32">
        <v>251.0</v>
      </c>
      <c r="L457" s="32">
        <v>255.0</v>
      </c>
      <c r="M457" s="32">
        <f t="shared" si="3"/>
        <v>253</v>
      </c>
      <c r="N457" s="32" t="s">
        <v>376</v>
      </c>
      <c r="O457" s="32">
        <v>500.0</v>
      </c>
      <c r="P457" s="50" t="str">
        <f t="shared" si="6"/>
        <v>PASSED</v>
      </c>
      <c r="Q457" s="50" t="str">
        <f t="shared" si="5"/>
        <v>WA</v>
      </c>
    </row>
    <row r="458" ht="22.5" customHeight="1">
      <c r="A458" s="26">
        <v>45873.0</v>
      </c>
      <c r="B458" s="32" t="s">
        <v>368</v>
      </c>
      <c r="C458" s="191" t="str">
        <f t="array" ref="C458">_xlfn.XLOOKUP(B458, DB[samplingPoint], DB[samplingTag])</f>
        <v>V50-11C(10)</v>
      </c>
      <c r="D458" s="33" t="s">
        <v>59</v>
      </c>
      <c r="E458" s="39" t="str">
        <f t="array" ref="E458">_xlfn.XLOOKUP($B458, DB[samplingPoint], DB[noLocation])</f>
        <v>WATER SYSTEM (B10)</v>
      </c>
      <c r="F458" s="40" t="str">
        <f t="array" ref="F458">_xlfn.XLOOKUP($B458, DB[samplingPoint], DB[building])</f>
        <v>Building 10</v>
      </c>
      <c r="G458" s="40" t="str">
        <f t="array" ref="G458">_xlfn.XLOOKUP($B458, DB[samplingPoint], DB[location])</f>
        <v>After RO (Before EDI) (B10)</v>
      </c>
      <c r="H458" s="40" t="str">
        <f t="array" ref="H458">_xlfn.XLOOKUP($B458, DB[samplingPoint], DB[waterType])</f>
        <v>RO water</v>
      </c>
      <c r="I458" s="60">
        <f t="shared" si="1"/>
        <v>45874</v>
      </c>
      <c r="J458" s="192">
        <f t="shared" si="2"/>
        <v>45877</v>
      </c>
      <c r="K458" s="32">
        <v>0.0</v>
      </c>
      <c r="L458" s="32">
        <v>0.0</v>
      </c>
      <c r="M458" s="32">
        <f t="shared" si="3"/>
        <v>0</v>
      </c>
      <c r="N458" s="32" t="s">
        <v>376</v>
      </c>
      <c r="O458" s="32">
        <v>500.0</v>
      </c>
      <c r="P458" s="50" t="str">
        <f t="shared" si="6"/>
        <v>PASSED</v>
      </c>
      <c r="Q458" s="50" t="str">
        <f t="shared" si="5"/>
        <v>WA</v>
      </c>
    </row>
    <row r="459" ht="22.5" customHeight="1">
      <c r="A459" s="26">
        <v>45873.0</v>
      </c>
      <c r="B459" s="32" t="s">
        <v>374</v>
      </c>
      <c r="C459" s="191" t="str">
        <f t="array" ref="C459">_xlfn.XLOOKUP(B459, DB[samplingPoint], DB[samplingTag])</f>
        <v>V50-39(10)</v>
      </c>
      <c r="D459" s="33" t="s">
        <v>59</v>
      </c>
      <c r="E459" s="39" t="str">
        <f t="array" ref="E459">_xlfn.XLOOKUP($B459, DB[samplingPoint], DB[noLocation])</f>
        <v>WATER SYSTEM (B10)</v>
      </c>
      <c r="F459" s="40" t="str">
        <f t="array" ref="F459">_xlfn.XLOOKUP($B459, DB[samplingPoint], DB[building])</f>
        <v>Building 10</v>
      </c>
      <c r="G459" s="40" t="str">
        <f t="array" ref="G459">_xlfn.XLOOKUP($B459, DB[samplingPoint], DB[location])</f>
        <v>After EDI (B10)</v>
      </c>
      <c r="H459" s="40" t="str">
        <f t="array" ref="H459">_xlfn.XLOOKUP($B459, DB[samplingPoint], DB[waterType])</f>
        <v>PW</v>
      </c>
      <c r="I459" s="60">
        <f t="shared" si="1"/>
        <v>45874</v>
      </c>
      <c r="J459" s="192">
        <f t="shared" si="2"/>
        <v>45877</v>
      </c>
      <c r="K459" s="32">
        <v>0.0</v>
      </c>
      <c r="L459" s="32">
        <v>0.0</v>
      </c>
      <c r="M459" s="32">
        <f t="shared" si="3"/>
        <v>0</v>
      </c>
      <c r="N459" s="32" t="s">
        <v>376</v>
      </c>
      <c r="O459" s="32">
        <v>100.0</v>
      </c>
      <c r="P459" s="50" t="str">
        <f t="shared" si="6"/>
        <v>PASSED</v>
      </c>
      <c r="Q459" s="50" t="str">
        <f t="shared" si="5"/>
        <v>WA</v>
      </c>
    </row>
    <row r="460" ht="22.5" customHeight="1">
      <c r="A460" s="26">
        <v>45873.0</v>
      </c>
      <c r="B460" s="32" t="s">
        <v>492</v>
      </c>
      <c r="C460" s="191" t="str">
        <f t="array" ref="C460">_xlfn.XLOOKUP(B460, DB[samplingPoint], DB[samplingTag])</f>
        <v>SV116.11</v>
      </c>
      <c r="D460" s="33" t="s">
        <v>59</v>
      </c>
      <c r="E460" s="39" t="str">
        <f t="array" ref="E460">_xlfn.XLOOKUP($B460, DB[samplingPoint], DB[noLocation])</f>
        <v>10-3-107</v>
      </c>
      <c r="F460" s="40" t="str">
        <f t="array" ref="F460">_xlfn.XLOOKUP($B460, DB[samplingPoint], DB[building])</f>
        <v>Building 10</v>
      </c>
      <c r="G460" s="40" t="str">
        <f t="array" ref="G460">_xlfn.XLOOKUP($B460, DB[samplingPoint], DB[location])</f>
        <v>WET GRANULATION-2</v>
      </c>
      <c r="H460" s="40" t="str">
        <f t="array" ref="H460">_xlfn.XLOOKUP($B460, DB[samplingPoint], DB[waterType])</f>
        <v>PW</v>
      </c>
      <c r="I460" s="60">
        <f t="shared" si="1"/>
        <v>45874</v>
      </c>
      <c r="J460" s="192">
        <f t="shared" si="2"/>
        <v>45877</v>
      </c>
      <c r="K460" s="32">
        <v>0.0</v>
      </c>
      <c r="L460" s="32">
        <v>0.0</v>
      </c>
      <c r="M460" s="32">
        <f t="shared" si="3"/>
        <v>0</v>
      </c>
      <c r="N460" s="32" t="s">
        <v>376</v>
      </c>
      <c r="O460" s="32">
        <v>100.0</v>
      </c>
      <c r="P460" s="50" t="str">
        <f t="shared" si="6"/>
        <v>PASSED</v>
      </c>
      <c r="Q460" s="50" t="str">
        <f t="shared" si="5"/>
        <v>10</v>
      </c>
    </row>
    <row r="461" ht="22.5" customHeight="1">
      <c r="A461" s="26">
        <v>45873.0</v>
      </c>
      <c r="B461" s="32" t="s">
        <v>476</v>
      </c>
      <c r="C461" s="191" t="str">
        <f t="array" ref="C461">_xlfn.XLOOKUP(B461, DB[samplingPoint], DB[samplingTag])</f>
        <v>DV116.12</v>
      </c>
      <c r="D461" s="33" t="s">
        <v>59</v>
      </c>
      <c r="E461" s="39" t="str">
        <f t="array" ref="E461">_xlfn.XLOOKUP($B461, DB[samplingPoint], DB[noLocation])</f>
        <v>10-3-078</v>
      </c>
      <c r="F461" s="40" t="str">
        <f t="array" ref="F461">_xlfn.XLOOKUP($B461, DB[samplingPoint], DB[building])</f>
        <v>Building 10</v>
      </c>
      <c r="G461" s="40" t="str">
        <f t="array" ref="G461">_xlfn.XLOOKUP($B461, DB[samplingPoint], DB[location])</f>
        <v>WASHING</v>
      </c>
      <c r="H461" s="40" t="str">
        <f t="array" ref="H461">_xlfn.XLOOKUP($B461, DB[samplingPoint], DB[waterType])</f>
        <v>PW</v>
      </c>
      <c r="I461" s="60">
        <f t="shared" si="1"/>
        <v>45874</v>
      </c>
      <c r="J461" s="192">
        <f t="shared" si="2"/>
        <v>45877</v>
      </c>
      <c r="K461" s="32">
        <v>0.0</v>
      </c>
      <c r="L461" s="32">
        <v>0.0</v>
      </c>
      <c r="M461" s="32">
        <f t="shared" si="3"/>
        <v>0</v>
      </c>
      <c r="N461" s="32" t="s">
        <v>376</v>
      </c>
      <c r="O461" s="32">
        <v>100.0</v>
      </c>
      <c r="P461" s="50" t="str">
        <f t="shared" si="6"/>
        <v>PASSED</v>
      </c>
      <c r="Q461" s="50" t="str">
        <f t="shared" si="5"/>
        <v>10</v>
      </c>
    </row>
    <row r="462" ht="22.5" customHeight="1">
      <c r="A462" s="26">
        <v>45873.0</v>
      </c>
      <c r="B462" s="32" t="s">
        <v>479</v>
      </c>
      <c r="C462" s="191" t="str">
        <f t="array" ref="C462">_xlfn.XLOOKUP(B462, DB[samplingPoint], DB[samplingTag])</f>
        <v>DV116.13</v>
      </c>
      <c r="D462" s="33" t="s">
        <v>59</v>
      </c>
      <c r="E462" s="39" t="str">
        <f t="array" ref="E462">_xlfn.XLOOKUP($B462, DB[samplingPoint], DB[noLocation])</f>
        <v>10-3-078</v>
      </c>
      <c r="F462" s="40" t="str">
        <f t="array" ref="F462">_xlfn.XLOOKUP($B462, DB[samplingPoint], DB[building])</f>
        <v>Building 10</v>
      </c>
      <c r="G462" s="40" t="str">
        <f t="array" ref="G462">_xlfn.XLOOKUP($B462, DB[samplingPoint], DB[location])</f>
        <v>WASHING</v>
      </c>
      <c r="H462" s="40" t="str">
        <f t="array" ref="H462">_xlfn.XLOOKUP($B462, DB[samplingPoint], DB[waterType])</f>
        <v>PW</v>
      </c>
      <c r="I462" s="60">
        <f t="shared" si="1"/>
        <v>45874</v>
      </c>
      <c r="J462" s="192">
        <f t="shared" si="2"/>
        <v>45877</v>
      </c>
      <c r="K462" s="32">
        <v>0.0</v>
      </c>
      <c r="L462" s="32">
        <v>0.0</v>
      </c>
      <c r="M462" s="32">
        <f t="shared" si="3"/>
        <v>0</v>
      </c>
      <c r="N462" s="32" t="s">
        <v>376</v>
      </c>
      <c r="O462" s="32">
        <v>100.0</v>
      </c>
      <c r="P462" s="50" t="str">
        <f t="shared" si="6"/>
        <v>PASSED</v>
      </c>
      <c r="Q462" s="50" t="str">
        <f t="shared" si="5"/>
        <v>10</v>
      </c>
    </row>
    <row r="463" ht="22.5" customHeight="1">
      <c r="A463" s="26">
        <v>45873.0</v>
      </c>
      <c r="B463" s="32" t="s">
        <v>482</v>
      </c>
      <c r="C463" s="191" t="str">
        <f t="array" ref="C463">_xlfn.XLOOKUP(B463, DB[samplingPoint], DB[samplingTag])</f>
        <v>DV116.14</v>
      </c>
      <c r="D463" s="33" t="s">
        <v>59</v>
      </c>
      <c r="E463" s="39" t="str">
        <f t="array" ref="E463">_xlfn.XLOOKUP($B463, DB[samplingPoint], DB[noLocation])</f>
        <v>10-3-086</v>
      </c>
      <c r="F463" s="40" t="str">
        <f t="array" ref="F463">_xlfn.XLOOKUP($B463, DB[samplingPoint], DB[building])</f>
        <v>Building 10</v>
      </c>
      <c r="G463" s="40" t="str">
        <f t="array" ref="G463">_xlfn.XLOOKUP($B463, DB[samplingPoint], DB[location])</f>
        <v>TOOL WASHING</v>
      </c>
      <c r="H463" s="40" t="str">
        <f t="array" ref="H463">_xlfn.XLOOKUP($B463, DB[samplingPoint], DB[waterType])</f>
        <v>PW</v>
      </c>
      <c r="I463" s="60">
        <f t="shared" si="1"/>
        <v>45874</v>
      </c>
      <c r="J463" s="192">
        <f t="shared" si="2"/>
        <v>45877</v>
      </c>
      <c r="K463" s="32">
        <v>0.0</v>
      </c>
      <c r="L463" s="32">
        <v>0.0</v>
      </c>
      <c r="M463" s="32">
        <f t="shared" si="3"/>
        <v>0</v>
      </c>
      <c r="N463" s="32" t="s">
        <v>376</v>
      </c>
      <c r="O463" s="32">
        <v>100.0</v>
      </c>
      <c r="P463" s="50" t="str">
        <f t="shared" si="6"/>
        <v>PASSED</v>
      </c>
      <c r="Q463" s="50" t="str">
        <f t="shared" si="5"/>
        <v>10</v>
      </c>
    </row>
    <row r="464" ht="22.5" customHeight="1">
      <c r="A464" s="26">
        <v>45873.0</v>
      </c>
      <c r="B464" s="32" t="s">
        <v>119</v>
      </c>
      <c r="C464" s="191" t="str">
        <f t="array" ref="C464">_xlfn.XLOOKUP(B464, DB[samplingPoint], DB[samplingTag])</f>
        <v>DV116.15</v>
      </c>
      <c r="D464" s="33" t="s">
        <v>59</v>
      </c>
      <c r="E464" s="39" t="str">
        <f t="array" ref="E464">_xlfn.XLOOKUP($B464, DB[samplingPoint], DB[noLocation])</f>
        <v>10-3-104</v>
      </c>
      <c r="F464" s="40" t="str">
        <f t="array" ref="F464">_xlfn.XLOOKUP($B464, DB[samplingPoint], DB[building])</f>
        <v>Building 10</v>
      </c>
      <c r="G464" s="40" t="str">
        <f t="array" ref="G464">_xlfn.XLOOKUP($B464, DB[samplingPoint], DB[location])</f>
        <v>BINDER PREPARATION</v>
      </c>
      <c r="H464" s="40" t="str">
        <f t="array" ref="H464">_xlfn.XLOOKUP($B464, DB[samplingPoint], DB[waterType])</f>
        <v>PW</v>
      </c>
      <c r="I464" s="60">
        <f t="shared" si="1"/>
        <v>45874</v>
      </c>
      <c r="J464" s="192">
        <f t="shared" si="2"/>
        <v>45877</v>
      </c>
      <c r="K464" s="32">
        <v>0.0</v>
      </c>
      <c r="L464" s="32">
        <v>0.0</v>
      </c>
      <c r="M464" s="32">
        <f t="shared" si="3"/>
        <v>0</v>
      </c>
      <c r="N464" s="32" t="s">
        <v>376</v>
      </c>
      <c r="O464" s="32">
        <v>100.0</v>
      </c>
      <c r="P464" s="50" t="str">
        <f t="shared" si="6"/>
        <v>PASSED</v>
      </c>
      <c r="Q464" s="50" t="str">
        <f t="shared" si="5"/>
        <v>10</v>
      </c>
    </row>
    <row r="465" ht="22.5" customHeight="1">
      <c r="A465" s="26">
        <v>45873.0</v>
      </c>
      <c r="B465" s="32" t="s">
        <v>485</v>
      </c>
      <c r="C465" s="191" t="str">
        <f t="array" ref="C465">_xlfn.XLOOKUP(B465, DB[samplingPoint], DB[samplingTag])</f>
        <v>DV116.16</v>
      </c>
      <c r="D465" s="33" t="s">
        <v>59</v>
      </c>
      <c r="E465" s="39" t="str">
        <f t="array" ref="E465">_xlfn.XLOOKUP($B465, DB[samplingPoint], DB[noLocation])</f>
        <v>10-3-107</v>
      </c>
      <c r="F465" s="40" t="str">
        <f t="array" ref="F465">_xlfn.XLOOKUP($B465, DB[samplingPoint], DB[building])</f>
        <v>Building 10</v>
      </c>
      <c r="G465" s="40" t="str">
        <f t="array" ref="G465">_xlfn.XLOOKUP($B465, DB[samplingPoint], DB[location])</f>
        <v>WET GRANULATION-2</v>
      </c>
      <c r="H465" s="40" t="str">
        <f t="array" ref="H465">_xlfn.XLOOKUP($B465, DB[samplingPoint], DB[waterType])</f>
        <v>PW</v>
      </c>
      <c r="I465" s="60">
        <f t="shared" si="1"/>
        <v>45874</v>
      </c>
      <c r="J465" s="192">
        <f t="shared" si="2"/>
        <v>45877</v>
      </c>
      <c r="K465" s="32">
        <v>0.0</v>
      </c>
      <c r="L465" s="32">
        <v>0.0</v>
      </c>
      <c r="M465" s="32">
        <f t="shared" si="3"/>
        <v>0</v>
      </c>
      <c r="N465" s="32" t="s">
        <v>376</v>
      </c>
      <c r="O465" s="32">
        <v>100.0</v>
      </c>
      <c r="P465" s="50" t="str">
        <f t="shared" si="6"/>
        <v>PASSED</v>
      </c>
      <c r="Q465" s="50" t="str">
        <f t="shared" si="5"/>
        <v>10</v>
      </c>
    </row>
    <row r="466" ht="22.5" customHeight="1">
      <c r="A466" s="26">
        <v>45873.0</v>
      </c>
      <c r="B466" s="32" t="s">
        <v>488</v>
      </c>
      <c r="C466" s="191" t="str">
        <f t="array" ref="C466">_xlfn.XLOOKUP(B466, DB[samplingPoint], DB[samplingTag])</f>
        <v>DV116.17</v>
      </c>
      <c r="D466" s="33" t="s">
        <v>59</v>
      </c>
      <c r="E466" s="39" t="str">
        <f t="array" ref="E466">_xlfn.XLOOKUP($B466, DB[samplingPoint], DB[noLocation])</f>
        <v>10-3-117</v>
      </c>
      <c r="F466" s="40" t="str">
        <f t="array" ref="F466">_xlfn.XLOOKUP($B466, DB[samplingPoint], DB[building])</f>
        <v>Building 10</v>
      </c>
      <c r="G466" s="40" t="str">
        <f t="array" ref="G466">_xlfn.XLOOKUP($B466, DB[samplingPoint], DB[location])</f>
        <v>IPQC-2</v>
      </c>
      <c r="H466" s="40" t="str">
        <f t="array" ref="H466">_xlfn.XLOOKUP($B466, DB[samplingPoint], DB[waterType])</f>
        <v>PW</v>
      </c>
      <c r="I466" s="60">
        <f t="shared" si="1"/>
        <v>45874</v>
      </c>
      <c r="J466" s="192">
        <f t="shared" si="2"/>
        <v>45877</v>
      </c>
      <c r="K466" s="32">
        <v>0.0</v>
      </c>
      <c r="L466" s="32">
        <v>0.0</v>
      </c>
      <c r="M466" s="32">
        <f t="shared" si="3"/>
        <v>0</v>
      </c>
      <c r="N466" s="32" t="s">
        <v>376</v>
      </c>
      <c r="O466" s="32">
        <v>100.0</v>
      </c>
      <c r="P466" s="50" t="str">
        <f t="shared" si="6"/>
        <v>PASSED</v>
      </c>
      <c r="Q466" s="50" t="str">
        <f t="shared" si="5"/>
        <v>10</v>
      </c>
    </row>
    <row r="467" ht="22.5" customHeight="1">
      <c r="A467" s="26">
        <v>45873.0</v>
      </c>
      <c r="B467" s="32" t="s">
        <v>489</v>
      </c>
      <c r="C467" s="191" t="str">
        <f t="array" ref="C467">_xlfn.XLOOKUP(B467, DB[samplingPoint], DB[samplingTag])</f>
        <v>DV116.18</v>
      </c>
      <c r="D467" s="33" t="s">
        <v>59</v>
      </c>
      <c r="E467" s="39" t="str">
        <f t="array" ref="E467">_xlfn.XLOOKUP($B467, DB[samplingPoint], DB[noLocation])</f>
        <v>10-3-111</v>
      </c>
      <c r="F467" s="40" t="str">
        <f t="array" ref="F467">_xlfn.XLOOKUP($B467, DB[samplingPoint], DB[building])</f>
        <v>Building 10</v>
      </c>
      <c r="G467" s="40" t="str">
        <f t="array" ref="G467">_xlfn.XLOOKUP($B467, DB[samplingPoint], DB[location])</f>
        <v>WET GRANULATION-5</v>
      </c>
      <c r="H467" s="40" t="str">
        <f t="array" ref="H467">_xlfn.XLOOKUP($B467, DB[samplingPoint], DB[waterType])</f>
        <v>PW</v>
      </c>
      <c r="I467" s="60">
        <f t="shared" si="1"/>
        <v>45874</v>
      </c>
      <c r="J467" s="192">
        <f t="shared" si="2"/>
        <v>45877</v>
      </c>
      <c r="K467" s="32">
        <v>0.0</v>
      </c>
      <c r="L467" s="32">
        <v>0.0</v>
      </c>
      <c r="M467" s="32">
        <f t="shared" si="3"/>
        <v>0</v>
      </c>
      <c r="N467" s="32" t="s">
        <v>376</v>
      </c>
      <c r="O467" s="32">
        <v>100.0</v>
      </c>
      <c r="P467" s="50" t="str">
        <f t="shared" si="6"/>
        <v>PASSED</v>
      </c>
      <c r="Q467" s="50" t="str">
        <f t="shared" si="5"/>
        <v>10</v>
      </c>
    </row>
    <row r="468" ht="22.5" customHeight="1">
      <c r="A468" s="26">
        <v>45873.0</v>
      </c>
      <c r="B468" s="32" t="s">
        <v>490</v>
      </c>
      <c r="C468" s="191" t="str">
        <f t="array" ref="C468">_xlfn.XLOOKUP(B468, DB[samplingPoint], DB[samplingTag])</f>
        <v>SV116.09</v>
      </c>
      <c r="D468" s="33" t="s">
        <v>59</v>
      </c>
      <c r="E468" s="39" t="str">
        <f t="array" ref="E468">_xlfn.XLOOKUP($B468, DB[samplingPoint], DB[noLocation])</f>
        <v>10-3-078</v>
      </c>
      <c r="F468" s="40" t="str">
        <f t="array" ref="F468">_xlfn.XLOOKUP($B468, DB[samplingPoint], DB[building])</f>
        <v>Building 10</v>
      </c>
      <c r="G468" s="40" t="str">
        <f t="array" ref="G468">_xlfn.XLOOKUP($B468, DB[samplingPoint], DB[location])</f>
        <v>WASHING</v>
      </c>
      <c r="H468" s="40" t="str">
        <f t="array" ref="H468">_xlfn.XLOOKUP($B468, DB[samplingPoint], DB[waterType])</f>
        <v>PW</v>
      </c>
      <c r="I468" s="60">
        <f t="shared" si="1"/>
        <v>45874</v>
      </c>
      <c r="J468" s="192">
        <f t="shared" si="2"/>
        <v>45877</v>
      </c>
      <c r="K468" s="32">
        <v>0.0</v>
      </c>
      <c r="L468" s="32">
        <v>0.0</v>
      </c>
      <c r="M468" s="32">
        <f t="shared" si="3"/>
        <v>0</v>
      </c>
      <c r="N468" s="32" t="s">
        <v>376</v>
      </c>
      <c r="O468" s="32">
        <v>100.0</v>
      </c>
      <c r="P468" s="50" t="str">
        <f t="shared" si="6"/>
        <v>PASSED</v>
      </c>
      <c r="Q468" s="50" t="str">
        <f t="shared" si="5"/>
        <v>10</v>
      </c>
    </row>
    <row r="469" ht="22.5" customHeight="1">
      <c r="A469" s="26">
        <v>45873.0</v>
      </c>
      <c r="B469" s="32" t="s">
        <v>431</v>
      </c>
      <c r="C469" s="191" t="str">
        <f t="array" ref="C469">_xlfn.XLOOKUP(B469, DB[samplingPoint], DB[samplingTag])</f>
        <v>SV-14</v>
      </c>
      <c r="D469" s="33" t="s">
        <v>59</v>
      </c>
      <c r="E469" s="39" t="str">
        <f t="array" ref="E469">_xlfn.XLOOKUP($B469, DB[samplingPoint], DB[noLocation])</f>
        <v>PROCESS WATER (B19)</v>
      </c>
      <c r="F469" s="40" t="str">
        <f t="array" ref="F469">_xlfn.XLOOKUP($B469, DB[samplingPoint], DB[building])</f>
        <v>Building 19</v>
      </c>
      <c r="G469" s="40" t="str">
        <f t="array" ref="G469">_xlfn.XLOOKUP($B469, DB[samplingPoint], DB[location])</f>
        <v>AFTER RO SYSTEM NO.12 SV14</v>
      </c>
      <c r="H469" s="40" t="str">
        <f t="array" ref="H469">_xlfn.XLOOKUP($B469, DB[samplingPoint], DB[waterType])</f>
        <v>PRW</v>
      </c>
      <c r="I469" s="60">
        <f t="shared" si="1"/>
        <v>45874</v>
      </c>
      <c r="J469" s="192">
        <f t="shared" si="2"/>
        <v>45877</v>
      </c>
      <c r="K469" s="32">
        <v>999.0</v>
      </c>
      <c r="L469" s="32">
        <v>999.0</v>
      </c>
      <c r="M469" s="32">
        <f t="shared" si="3"/>
        <v>999</v>
      </c>
      <c r="N469" s="32" t="s">
        <v>376</v>
      </c>
      <c r="O469" s="32">
        <v>500.0</v>
      </c>
      <c r="P469" s="50" t="str">
        <f t="shared" si="6"/>
        <v>NOT-PASSED</v>
      </c>
      <c r="Q469" s="50" t="str">
        <f t="shared" si="5"/>
        <v>PR</v>
      </c>
    </row>
    <row r="470" ht="22.5" customHeight="1">
      <c r="A470" s="26">
        <v>45873.0</v>
      </c>
      <c r="B470" s="32" t="s">
        <v>618</v>
      </c>
      <c r="C470" s="39" t="str">
        <f t="array" ref="C470">_xlfn.XLOOKUP(B470, DB[samplingPoint], DB[samplingTag])</f>
        <v>SV-15</v>
      </c>
      <c r="D470" s="33" t="s">
        <v>59</v>
      </c>
      <c r="E470" s="39" t="str">
        <f t="array" ref="E470">_xlfn.XLOOKUP($B470, DB[samplingPoint], DB[noLocation])</f>
        <v>PROCESS WATER (B19)</v>
      </c>
      <c r="F470" s="40" t="str">
        <f t="array" ref="F470">_xlfn.XLOOKUP($B470, DB[samplingPoint], DB[building])</f>
        <v>Building 19</v>
      </c>
      <c r="G470" s="40" t="str">
        <f t="array" ref="G470">_xlfn.XLOOKUP($B470, DB[samplingPoint], DB[location])</f>
        <v>AFTER RO SYSTEM NO.12 SV15</v>
      </c>
      <c r="H470" s="40" t="str">
        <f t="array" ref="H470">_xlfn.XLOOKUP($B470, DB[samplingPoint], DB[waterType])</f>
        <v>PRW</v>
      </c>
      <c r="I470" s="60">
        <f t="shared" si="1"/>
        <v>45874</v>
      </c>
      <c r="J470" s="192">
        <f t="shared" si="2"/>
        <v>45877</v>
      </c>
      <c r="K470" s="32">
        <v>999.0</v>
      </c>
      <c r="L470" s="32">
        <v>999.0</v>
      </c>
      <c r="M470" s="32">
        <f t="shared" si="3"/>
        <v>999</v>
      </c>
      <c r="N470" s="32" t="s">
        <v>376</v>
      </c>
      <c r="O470" s="32">
        <v>500.0</v>
      </c>
      <c r="P470" s="50" t="str">
        <f t="shared" si="6"/>
        <v>NOT-PASSED</v>
      </c>
      <c r="Q470" s="50" t="str">
        <f t="shared" si="5"/>
        <v>PR</v>
      </c>
    </row>
    <row r="471" ht="22.5" customHeight="1">
      <c r="A471" s="26">
        <v>45882.0</v>
      </c>
      <c r="B471" s="32" t="s">
        <v>528</v>
      </c>
      <c r="C471" s="191" t="str">
        <f t="array" ref="C471">_xlfn.XLOOKUP(B471, DB[samplingPoint], DB[samplingTag])</f>
        <v>DV116.08</v>
      </c>
      <c r="D471" s="33" t="s">
        <v>59</v>
      </c>
      <c r="E471" s="39" t="str">
        <f t="array" ref="E471">_xlfn.XLOOKUP($B471, DB[samplingPoint], DB[noLocation])</f>
        <v>10-3-059</v>
      </c>
      <c r="F471" s="40" t="str">
        <f t="array" ref="F471">_xlfn.XLOOKUP($B471, DB[samplingPoint], DB[building])</f>
        <v>Building 10</v>
      </c>
      <c r="G471" s="40" t="str">
        <f t="array" ref="G471">_xlfn.XLOOKUP($B471, DB[samplingPoint], DB[location])</f>
        <v>COATING SOLUTION PREP.-1</v>
      </c>
      <c r="H471" s="40" t="str">
        <f t="array" ref="H471">_xlfn.XLOOKUP($B471, DB[samplingPoint], DB[waterType])</f>
        <v>PW</v>
      </c>
      <c r="I471" s="60">
        <f t="shared" si="1"/>
        <v>45883</v>
      </c>
      <c r="J471" s="192">
        <f t="shared" si="2"/>
        <v>45886</v>
      </c>
      <c r="K471" s="32">
        <v>0.0</v>
      </c>
      <c r="L471" s="32">
        <v>0.0</v>
      </c>
      <c r="M471" s="32">
        <f t="shared" si="3"/>
        <v>0</v>
      </c>
      <c r="N471" s="32" t="s">
        <v>376</v>
      </c>
      <c r="O471" s="32">
        <v>100.0</v>
      </c>
      <c r="P471" s="50" t="str">
        <f t="shared" si="6"/>
        <v>PASSED</v>
      </c>
      <c r="Q471" s="50" t="str">
        <f t="shared" si="5"/>
        <v>10</v>
      </c>
    </row>
    <row r="472" ht="22.5" customHeight="1">
      <c r="A472" s="26">
        <v>45882.0</v>
      </c>
      <c r="B472" s="32" t="s">
        <v>529</v>
      </c>
      <c r="C472" s="191" t="str">
        <f t="array" ref="C472">_xlfn.XLOOKUP(B472, DB[samplingPoint], DB[samplingTag])</f>
        <v>DV116.09</v>
      </c>
      <c r="D472" s="33" t="s">
        <v>59</v>
      </c>
      <c r="E472" s="39" t="str">
        <f t="array" ref="E472">_xlfn.XLOOKUP($B472, DB[samplingPoint], DB[noLocation])</f>
        <v>10-3-060</v>
      </c>
      <c r="F472" s="40" t="str">
        <f t="array" ref="F472">_xlfn.XLOOKUP($B472, DB[samplingPoint], DB[building])</f>
        <v>Building 10</v>
      </c>
      <c r="G472" s="40" t="str">
        <f t="array" ref="G472">_xlfn.XLOOKUP($B472, DB[samplingPoint], DB[location])</f>
        <v>COATING SOLUTION PREP.-2</v>
      </c>
      <c r="H472" s="40" t="str">
        <f t="array" ref="H472">_xlfn.XLOOKUP($B472, DB[samplingPoint], DB[waterType])</f>
        <v>PW</v>
      </c>
      <c r="I472" s="60">
        <f t="shared" si="1"/>
        <v>45883</v>
      </c>
      <c r="J472" s="192">
        <f t="shared" si="2"/>
        <v>45886</v>
      </c>
      <c r="K472" s="32">
        <v>0.0</v>
      </c>
      <c r="L472" s="32">
        <v>0.0</v>
      </c>
      <c r="M472" s="32">
        <f t="shared" si="3"/>
        <v>0</v>
      </c>
      <c r="N472" s="32" t="s">
        <v>376</v>
      </c>
      <c r="O472" s="32">
        <v>100.0</v>
      </c>
      <c r="P472" s="50" t="str">
        <f t="shared" si="6"/>
        <v>PASSED</v>
      </c>
      <c r="Q472" s="50" t="str">
        <f t="shared" si="5"/>
        <v>10</v>
      </c>
    </row>
    <row r="473" ht="22.5" customHeight="1">
      <c r="A473" s="26">
        <v>45882.0</v>
      </c>
      <c r="B473" s="32" t="s">
        <v>380</v>
      </c>
      <c r="C473" s="191" t="str">
        <f t="array" ref="C473">_xlfn.XLOOKUP(B473, DB[samplingPoint], DB[samplingTag])</f>
        <v>SV113.01</v>
      </c>
      <c r="D473" s="33" t="s">
        <v>59</v>
      </c>
      <c r="E473" s="39" t="str">
        <f t="array" ref="E473">_xlfn.XLOOKUP($B473, DB[samplingPoint], DB[noLocation])</f>
        <v>WATER SYSTEM (B10)</v>
      </c>
      <c r="F473" s="40" t="str">
        <f t="array" ref="F473">_xlfn.XLOOKUP($B473, DB[samplingPoint], DB[building])</f>
        <v>Building 10</v>
      </c>
      <c r="G473" s="40" t="str">
        <f t="array" ref="G473">_xlfn.XLOOKUP($B473, DB[samplingPoint], DB[location])</f>
        <v>After Storage tank (B10)</v>
      </c>
      <c r="H473" s="40" t="str">
        <f t="array" ref="H473">_xlfn.XLOOKUP($B473, DB[samplingPoint], DB[waterType])</f>
        <v>PW</v>
      </c>
      <c r="I473" s="60">
        <f t="shared" si="1"/>
        <v>45883</v>
      </c>
      <c r="J473" s="192">
        <f t="shared" si="2"/>
        <v>45886</v>
      </c>
      <c r="K473" s="32">
        <v>0.0</v>
      </c>
      <c r="L473" s="32">
        <v>0.0</v>
      </c>
      <c r="M473" s="32">
        <f t="shared" si="3"/>
        <v>0</v>
      </c>
      <c r="N473" s="32" t="s">
        <v>376</v>
      </c>
      <c r="O473" s="32">
        <v>100.0</v>
      </c>
      <c r="P473" s="50" t="str">
        <f t="shared" si="6"/>
        <v>PASSED</v>
      </c>
      <c r="Q473" s="50" t="str">
        <f t="shared" si="5"/>
        <v>WA</v>
      </c>
    </row>
    <row r="474" ht="22.5" customHeight="1">
      <c r="A474" s="26">
        <v>45882.0</v>
      </c>
      <c r="B474" s="32" t="s">
        <v>534</v>
      </c>
      <c r="C474" s="191" t="str">
        <f t="array" ref="C474">_xlfn.XLOOKUP(B474, DB[samplingPoint], DB[samplingTag])</f>
        <v>SV116.03</v>
      </c>
      <c r="D474" s="33" t="s">
        <v>59</v>
      </c>
      <c r="E474" s="39" t="str">
        <f t="array" ref="E474">_xlfn.XLOOKUP($B474, DB[samplingPoint], DB[noLocation])</f>
        <v>10-3-058</v>
      </c>
      <c r="F474" s="40" t="str">
        <f t="array" ref="F474">_xlfn.XLOOKUP($B474, DB[samplingPoint], DB[building])</f>
        <v>Building 10</v>
      </c>
      <c r="G474" s="40" t="str">
        <f t="array" ref="G474">_xlfn.XLOOKUP($B474, DB[samplingPoint], DB[location])</f>
        <v>COATING ROOM-1</v>
      </c>
      <c r="H474" s="40" t="str">
        <f t="array" ref="H474">_xlfn.XLOOKUP($B474, DB[samplingPoint], DB[waterType])</f>
        <v>PW</v>
      </c>
      <c r="I474" s="60">
        <f t="shared" si="1"/>
        <v>45883</v>
      </c>
      <c r="J474" s="192">
        <f t="shared" si="2"/>
        <v>45886</v>
      </c>
      <c r="K474" s="32">
        <v>0.0</v>
      </c>
      <c r="L474" s="32">
        <v>0.0</v>
      </c>
      <c r="M474" s="32">
        <f t="shared" si="3"/>
        <v>0</v>
      </c>
      <c r="N474" s="32" t="s">
        <v>376</v>
      </c>
      <c r="O474" s="32">
        <v>100.0</v>
      </c>
      <c r="P474" s="50" t="str">
        <f t="shared" si="6"/>
        <v>PASSED</v>
      </c>
      <c r="Q474" s="50" t="str">
        <f t="shared" si="5"/>
        <v>10</v>
      </c>
    </row>
    <row r="475" ht="22.5" customHeight="1">
      <c r="A475" s="26">
        <v>45882.0</v>
      </c>
      <c r="B475" s="32" t="s">
        <v>535</v>
      </c>
      <c r="C475" s="191" t="str">
        <f t="array" ref="C475">_xlfn.XLOOKUP(B475, DB[samplingPoint], DB[samplingTag])</f>
        <v>SV116.04</v>
      </c>
      <c r="D475" s="33" t="s">
        <v>59</v>
      </c>
      <c r="E475" s="39" t="str">
        <f t="array" ref="E475">_xlfn.XLOOKUP($B475, DB[samplingPoint], DB[noLocation])</f>
        <v>10-3-061</v>
      </c>
      <c r="F475" s="40" t="str">
        <f t="array" ref="F475">_xlfn.XLOOKUP($B475, DB[samplingPoint], DB[building])</f>
        <v>Building 10</v>
      </c>
      <c r="G475" s="40" t="str">
        <f t="array" ref="G475">_xlfn.XLOOKUP($B475, DB[samplingPoint], DB[location])</f>
        <v>COATING ROOM-2</v>
      </c>
      <c r="H475" s="40" t="str">
        <f t="array" ref="H475">_xlfn.XLOOKUP($B475, DB[samplingPoint], DB[waterType])</f>
        <v>PW</v>
      </c>
      <c r="I475" s="60">
        <f t="shared" si="1"/>
        <v>45883</v>
      </c>
      <c r="J475" s="192">
        <f t="shared" si="2"/>
        <v>45886</v>
      </c>
      <c r="K475" s="32">
        <v>0.0</v>
      </c>
      <c r="L475" s="32">
        <v>0.0</v>
      </c>
      <c r="M475" s="32">
        <f t="shared" si="3"/>
        <v>0</v>
      </c>
      <c r="N475" s="32" t="s">
        <v>376</v>
      </c>
      <c r="O475" s="32">
        <v>100.0</v>
      </c>
      <c r="P475" s="50" t="str">
        <f t="shared" si="6"/>
        <v>PASSED</v>
      </c>
      <c r="Q475" s="50" t="str">
        <f t="shared" si="5"/>
        <v>10</v>
      </c>
    </row>
    <row r="476" ht="22.5" customHeight="1">
      <c r="A476" s="26">
        <v>45882.0</v>
      </c>
      <c r="B476" s="32" t="s">
        <v>536</v>
      </c>
      <c r="C476" s="191" t="str">
        <f t="array" ref="C476">_xlfn.XLOOKUP(B476, DB[samplingPoint], DB[samplingTag])</f>
        <v>SV116.05</v>
      </c>
      <c r="D476" s="33" t="s">
        <v>59</v>
      </c>
      <c r="E476" s="39" t="str">
        <f t="array" ref="E476">_xlfn.XLOOKUP($B476, DB[samplingPoint], DB[noLocation])</f>
        <v>10-3-062</v>
      </c>
      <c r="F476" s="40" t="str">
        <f t="array" ref="F476">_xlfn.XLOOKUP($B476, DB[samplingPoint], DB[building])</f>
        <v>Building 10</v>
      </c>
      <c r="G476" s="40" t="str">
        <f t="array" ref="G476">_xlfn.XLOOKUP($B476, DB[samplingPoint], DB[location])</f>
        <v>COATING ROOM-3</v>
      </c>
      <c r="H476" s="40" t="str">
        <f t="array" ref="H476">_xlfn.XLOOKUP($B476, DB[samplingPoint], DB[waterType])</f>
        <v>PW</v>
      </c>
      <c r="I476" s="60">
        <f t="shared" si="1"/>
        <v>45883</v>
      </c>
      <c r="J476" s="192">
        <f t="shared" si="2"/>
        <v>45886</v>
      </c>
      <c r="K476" s="32">
        <v>0.0</v>
      </c>
      <c r="L476" s="32">
        <v>0.0</v>
      </c>
      <c r="M476" s="32">
        <f t="shared" si="3"/>
        <v>0</v>
      </c>
      <c r="N476" s="32" t="s">
        <v>376</v>
      </c>
      <c r="O476" s="32">
        <v>100.0</v>
      </c>
      <c r="P476" s="50" t="str">
        <f t="shared" si="6"/>
        <v>PASSED</v>
      </c>
      <c r="Q476" s="50" t="str">
        <f t="shared" si="5"/>
        <v>10</v>
      </c>
    </row>
    <row r="477" ht="22.5" customHeight="1">
      <c r="A477" s="26">
        <v>45882.0</v>
      </c>
      <c r="B477" s="32" t="s">
        <v>538</v>
      </c>
      <c r="C477" s="191" t="str">
        <f t="array" ref="C477">_xlfn.XLOOKUP(B477, DB[samplingPoint], DB[samplingTag])</f>
        <v>SV116.06</v>
      </c>
      <c r="D477" s="33" t="s">
        <v>59</v>
      </c>
      <c r="E477" s="39" t="str">
        <f t="array" ref="E477">_xlfn.XLOOKUP($B477, DB[samplingPoint], DB[noLocation])</f>
        <v>10-3-063</v>
      </c>
      <c r="F477" s="40" t="str">
        <f t="array" ref="F477">_xlfn.XLOOKUP($B477, DB[samplingPoint], DB[building])</f>
        <v>Building 10</v>
      </c>
      <c r="G477" s="40" t="str">
        <f t="array" ref="G477">_xlfn.XLOOKUP($B477, DB[samplingPoint], DB[location])</f>
        <v>COATING ROOM-4</v>
      </c>
      <c r="H477" s="40" t="str">
        <f t="array" ref="H477">_xlfn.XLOOKUP($B477, DB[samplingPoint], DB[waterType])</f>
        <v>PW</v>
      </c>
      <c r="I477" s="60">
        <f t="shared" si="1"/>
        <v>45883</v>
      </c>
      <c r="J477" s="192">
        <f t="shared" si="2"/>
        <v>45886</v>
      </c>
      <c r="K477" s="32">
        <v>0.0</v>
      </c>
      <c r="L477" s="32">
        <v>0.0</v>
      </c>
      <c r="M477" s="32">
        <f t="shared" si="3"/>
        <v>0</v>
      </c>
      <c r="N477" s="32" t="s">
        <v>376</v>
      </c>
      <c r="O477" s="32">
        <v>100.0</v>
      </c>
      <c r="P477" s="50" t="str">
        <f t="shared" si="6"/>
        <v>PASSED</v>
      </c>
      <c r="Q477" s="50" t="str">
        <f t="shared" si="5"/>
        <v>10</v>
      </c>
    </row>
    <row r="478" ht="22.5" customHeight="1">
      <c r="A478" s="26">
        <v>45882.0</v>
      </c>
      <c r="B478" s="32" t="s">
        <v>539</v>
      </c>
      <c r="C478" s="191" t="str">
        <f t="array" ref="C478">_xlfn.XLOOKUP(B478, DB[samplingPoint], DB[samplingTag])</f>
        <v>SV116.07</v>
      </c>
      <c r="D478" s="33" t="s">
        <v>59</v>
      </c>
      <c r="E478" s="39" t="str">
        <f t="array" ref="E478">_xlfn.XLOOKUP($B478, DB[samplingPoint], DB[noLocation])</f>
        <v>10-3-064</v>
      </c>
      <c r="F478" s="40" t="str">
        <f t="array" ref="F478">_xlfn.XLOOKUP($B478, DB[samplingPoint], DB[building])</f>
        <v>Building 10</v>
      </c>
      <c r="G478" s="40" t="str">
        <f t="array" ref="G478">_xlfn.XLOOKUP($B478, DB[samplingPoint], DB[location])</f>
        <v>COATING ROOM-5</v>
      </c>
      <c r="H478" s="40" t="str">
        <f t="array" ref="H478">_xlfn.XLOOKUP($B478, DB[samplingPoint], DB[waterType])</f>
        <v>PW</v>
      </c>
      <c r="I478" s="60">
        <f t="shared" si="1"/>
        <v>45883</v>
      </c>
      <c r="J478" s="192">
        <f t="shared" si="2"/>
        <v>45886</v>
      </c>
      <c r="K478" s="32">
        <v>0.0</v>
      </c>
      <c r="L478" s="32">
        <v>0.0</v>
      </c>
      <c r="M478" s="32">
        <f t="shared" si="3"/>
        <v>0</v>
      </c>
      <c r="N478" s="32" t="s">
        <v>376</v>
      </c>
      <c r="O478" s="32">
        <v>100.0</v>
      </c>
      <c r="P478" s="50" t="str">
        <f t="shared" si="6"/>
        <v>PASSED</v>
      </c>
      <c r="Q478" s="50" t="str">
        <f t="shared" si="5"/>
        <v>10</v>
      </c>
    </row>
    <row r="479" ht="22.5" customHeight="1">
      <c r="A479" s="26">
        <v>45882.0</v>
      </c>
      <c r="B479" s="32" t="s">
        <v>541</v>
      </c>
      <c r="C479" s="191" t="str">
        <f t="array" ref="C479">_xlfn.XLOOKUP(B479, DB[samplingPoint], DB[samplingTag])</f>
        <v>SV116.08</v>
      </c>
      <c r="D479" s="33" t="s">
        <v>59</v>
      </c>
      <c r="E479" s="39" t="str">
        <f t="array" ref="E479">_xlfn.XLOOKUP($B479, DB[samplingPoint], DB[noLocation])</f>
        <v>10-3-067</v>
      </c>
      <c r="F479" s="40" t="str">
        <f t="array" ref="F479">_xlfn.XLOOKUP($B479, DB[samplingPoint], DB[building])</f>
        <v>Building 10</v>
      </c>
      <c r="G479" s="40" t="str">
        <f t="array" ref="G479">_xlfn.XLOOKUP($B479, DB[samplingPoint], DB[location])</f>
        <v>COATING ROOM-6</v>
      </c>
      <c r="H479" s="40" t="str">
        <f t="array" ref="H479">_xlfn.XLOOKUP($B479, DB[samplingPoint], DB[waterType])</f>
        <v>PW</v>
      </c>
      <c r="I479" s="60">
        <f t="shared" si="1"/>
        <v>45883</v>
      </c>
      <c r="J479" s="192">
        <f t="shared" si="2"/>
        <v>45886</v>
      </c>
      <c r="K479" s="32">
        <v>0.0</v>
      </c>
      <c r="L479" s="32">
        <v>0.0</v>
      </c>
      <c r="M479" s="32">
        <f t="shared" si="3"/>
        <v>0</v>
      </c>
      <c r="N479" s="32" t="s">
        <v>376</v>
      </c>
      <c r="O479" s="32">
        <v>100.0</v>
      </c>
      <c r="P479" s="50" t="str">
        <f t="shared" si="6"/>
        <v>PASSED</v>
      </c>
      <c r="Q479" s="50" t="str">
        <f t="shared" si="5"/>
        <v>10</v>
      </c>
    </row>
    <row r="480" ht="22.5" customHeight="1">
      <c r="A480" s="26">
        <v>45882.0</v>
      </c>
      <c r="B480" s="32" t="s">
        <v>520</v>
      </c>
      <c r="C480" s="191" t="str">
        <f t="array" ref="C480">_xlfn.XLOOKUP(B480, DB[samplingPoint], DB[samplingTag])</f>
        <v>DV116.03</v>
      </c>
      <c r="D480" s="33" t="s">
        <v>59</v>
      </c>
      <c r="E480" s="39" t="str">
        <f t="array" ref="E480">_xlfn.XLOOKUP($B480, DB[samplingPoint], DB[noLocation])</f>
        <v>10-2-034</v>
      </c>
      <c r="F480" s="40" t="str">
        <f t="array" ref="F480">_xlfn.XLOOKUP($B480, DB[samplingPoint], DB[building])</f>
        <v>Building 10</v>
      </c>
      <c r="G480" s="40" t="str">
        <f t="array" ref="G480">_xlfn.XLOOKUP($B480, DB[samplingPoint], DB[location])</f>
        <v>SAMPLE PREPARATION</v>
      </c>
      <c r="H480" s="40" t="str">
        <f t="array" ref="H480">_xlfn.XLOOKUP($B480, DB[samplingPoint], DB[waterType])</f>
        <v>PW</v>
      </c>
      <c r="I480" s="60">
        <f t="shared" si="1"/>
        <v>45883</v>
      </c>
      <c r="J480" s="192">
        <f t="shared" si="2"/>
        <v>45886</v>
      </c>
      <c r="K480" s="32">
        <v>0.0</v>
      </c>
      <c r="L480" s="32">
        <v>0.0</v>
      </c>
      <c r="M480" s="32">
        <f t="shared" si="3"/>
        <v>0</v>
      </c>
      <c r="N480" s="32" t="s">
        <v>376</v>
      </c>
      <c r="O480" s="32">
        <v>100.0</v>
      </c>
      <c r="P480" s="50" t="str">
        <f t="shared" si="6"/>
        <v>PASSED</v>
      </c>
      <c r="Q480" s="50" t="str">
        <f t="shared" si="5"/>
        <v>10</v>
      </c>
    </row>
    <row r="481" ht="22.5" customHeight="1">
      <c r="A481" s="26">
        <v>45882.0</v>
      </c>
      <c r="B481" s="32" t="s">
        <v>522</v>
      </c>
      <c r="C481" s="191" t="str">
        <f t="array" ref="C481">_xlfn.XLOOKUP(B481, DB[samplingPoint], DB[samplingTag])</f>
        <v>DV116.04</v>
      </c>
      <c r="D481" s="33" t="s">
        <v>59</v>
      </c>
      <c r="E481" s="39" t="str">
        <f t="array" ref="E481">_xlfn.XLOOKUP($B481, DB[samplingPoint], DB[noLocation])</f>
        <v>10-2-037</v>
      </c>
      <c r="F481" s="40" t="str">
        <f t="array" ref="F481">_xlfn.XLOOKUP($B481, DB[samplingPoint], DB[building])</f>
        <v>Building 10</v>
      </c>
      <c r="G481" s="40" t="str">
        <f t="array" ref="G481">_xlfn.XLOOKUP($B481, DB[samplingPoint], DB[location])</f>
        <v>SKID FOR BIN WASHING-1</v>
      </c>
      <c r="H481" s="40" t="str">
        <f t="array" ref="H481">_xlfn.XLOOKUP($B481, DB[samplingPoint], DB[waterType])</f>
        <v>PW</v>
      </c>
      <c r="I481" s="60">
        <f t="shared" si="1"/>
        <v>45883</v>
      </c>
      <c r="J481" s="192">
        <f t="shared" si="2"/>
        <v>45886</v>
      </c>
      <c r="K481" s="32">
        <v>0.0</v>
      </c>
      <c r="L481" s="32">
        <v>0.0</v>
      </c>
      <c r="M481" s="32">
        <f t="shared" si="3"/>
        <v>0</v>
      </c>
      <c r="N481" s="32" t="s">
        <v>376</v>
      </c>
      <c r="O481" s="32">
        <v>100.0</v>
      </c>
      <c r="P481" s="50" t="str">
        <f t="shared" si="6"/>
        <v>PASSED</v>
      </c>
      <c r="Q481" s="50" t="str">
        <f t="shared" si="5"/>
        <v>10</v>
      </c>
    </row>
    <row r="482" ht="22.5" customHeight="1">
      <c r="A482" s="26">
        <v>45882.0</v>
      </c>
      <c r="B482" s="32" t="s">
        <v>524</v>
      </c>
      <c r="C482" s="191" t="str">
        <f t="array" ref="C482">_xlfn.XLOOKUP(B482, DB[samplingPoint], DB[samplingTag])</f>
        <v>DV116.05</v>
      </c>
      <c r="D482" s="33" t="s">
        <v>59</v>
      </c>
      <c r="E482" s="39" t="str">
        <f t="array" ref="E482">_xlfn.XLOOKUP($B482, DB[samplingPoint], DB[noLocation])</f>
        <v>10-2-032</v>
      </c>
      <c r="F482" s="40" t="str">
        <f t="array" ref="F482">_xlfn.XLOOKUP($B482, DB[samplingPoint], DB[building])</f>
        <v>Building 10</v>
      </c>
      <c r="G482" s="40" t="str">
        <f t="array" ref="G482">_xlfn.XLOOKUP($B482, DB[samplingPoint], DB[location])</f>
        <v>GLASS-WARE WASHING</v>
      </c>
      <c r="H482" s="40" t="str">
        <f t="array" ref="H482">_xlfn.XLOOKUP($B482, DB[samplingPoint], DB[waterType])</f>
        <v>PW</v>
      </c>
      <c r="I482" s="60">
        <f t="shared" si="1"/>
        <v>45883</v>
      </c>
      <c r="J482" s="192">
        <f t="shared" si="2"/>
        <v>45886</v>
      </c>
      <c r="K482" s="32">
        <v>0.0</v>
      </c>
      <c r="L482" s="32">
        <v>0.0</v>
      </c>
      <c r="M482" s="32">
        <f t="shared" si="3"/>
        <v>0</v>
      </c>
      <c r="N482" s="32" t="s">
        <v>376</v>
      </c>
      <c r="O482" s="32">
        <v>100.0</v>
      </c>
      <c r="P482" s="50" t="str">
        <f t="shared" si="6"/>
        <v>PASSED</v>
      </c>
      <c r="Q482" s="50" t="str">
        <f t="shared" si="5"/>
        <v>10</v>
      </c>
    </row>
    <row r="483" ht="22.5" customHeight="1">
      <c r="A483" s="26">
        <v>45882.0</v>
      </c>
      <c r="B483" s="32" t="s">
        <v>526</v>
      </c>
      <c r="C483" s="191" t="str">
        <f t="array" ref="C483">_xlfn.XLOOKUP(B483, DB[samplingPoint], DB[samplingTag])</f>
        <v>DV116.06</v>
      </c>
      <c r="D483" s="33" t="s">
        <v>59</v>
      </c>
      <c r="E483" s="39" t="str">
        <f t="array" ref="E483">_xlfn.XLOOKUP($B483, DB[samplingPoint], DB[noLocation])</f>
        <v>10-2-034</v>
      </c>
      <c r="F483" s="40" t="str">
        <f t="array" ref="F483">_xlfn.XLOOKUP($B483, DB[samplingPoint], DB[building])</f>
        <v>Building 10</v>
      </c>
      <c r="G483" s="40" t="str">
        <f t="array" ref="G483">_xlfn.XLOOKUP($B483, DB[samplingPoint], DB[location])</f>
        <v>SAMPLE PREPARATION</v>
      </c>
      <c r="H483" s="40" t="str">
        <f t="array" ref="H483">_xlfn.XLOOKUP($B483, DB[samplingPoint], DB[waterType])</f>
        <v>PW</v>
      </c>
      <c r="I483" s="60">
        <f t="shared" si="1"/>
        <v>45883</v>
      </c>
      <c r="J483" s="192">
        <f t="shared" si="2"/>
        <v>45886</v>
      </c>
      <c r="K483" s="32">
        <v>0.0</v>
      </c>
      <c r="L483" s="32">
        <v>0.0</v>
      </c>
      <c r="M483" s="32">
        <f t="shared" si="3"/>
        <v>0</v>
      </c>
      <c r="N483" s="32" t="s">
        <v>376</v>
      </c>
      <c r="O483" s="32">
        <v>100.0</v>
      </c>
      <c r="P483" s="50" t="str">
        <f t="shared" si="6"/>
        <v>PASSED</v>
      </c>
      <c r="Q483" s="50" t="str">
        <f t="shared" si="5"/>
        <v>10</v>
      </c>
    </row>
    <row r="484" ht="22.5" customHeight="1">
      <c r="A484" s="26">
        <v>45882.0</v>
      </c>
      <c r="B484" s="32" t="s">
        <v>527</v>
      </c>
      <c r="C484" s="191" t="str">
        <f t="array" ref="C484">_xlfn.XLOOKUP(B484, DB[samplingPoint], DB[samplingTag])</f>
        <v>DV116.07</v>
      </c>
      <c r="D484" s="33" t="s">
        <v>59</v>
      </c>
      <c r="E484" s="39" t="str">
        <f t="array" ref="E484">_xlfn.XLOOKUP($B484, DB[samplingPoint], DB[noLocation])</f>
        <v>10-2-032</v>
      </c>
      <c r="F484" s="40" t="str">
        <f t="array" ref="F484">_xlfn.XLOOKUP($B484, DB[samplingPoint], DB[building])</f>
        <v>Building 10</v>
      </c>
      <c r="G484" s="40" t="str">
        <f t="array" ref="G484">_xlfn.XLOOKUP($B484, DB[samplingPoint], DB[location])</f>
        <v>GLASS-WARE WASHING</v>
      </c>
      <c r="H484" s="40" t="str">
        <f t="array" ref="H484">_xlfn.XLOOKUP($B484, DB[samplingPoint], DB[waterType])</f>
        <v>PW</v>
      </c>
      <c r="I484" s="60">
        <f t="shared" si="1"/>
        <v>45883</v>
      </c>
      <c r="J484" s="192">
        <f t="shared" si="2"/>
        <v>45886</v>
      </c>
      <c r="K484" s="32">
        <v>0.0</v>
      </c>
      <c r="L484" s="32">
        <v>0.0</v>
      </c>
      <c r="M484" s="32">
        <f t="shared" si="3"/>
        <v>0</v>
      </c>
      <c r="N484" s="32" t="s">
        <v>376</v>
      </c>
      <c r="O484" s="32">
        <v>100.0</v>
      </c>
      <c r="P484" s="50" t="str">
        <f t="shared" si="6"/>
        <v>PASSED</v>
      </c>
      <c r="Q484" s="50" t="str">
        <f t="shared" si="5"/>
        <v>10</v>
      </c>
    </row>
    <row r="485" ht="22.5" customHeight="1">
      <c r="A485" s="26">
        <v>45882.0</v>
      </c>
      <c r="B485" s="32" t="s">
        <v>531</v>
      </c>
      <c r="C485" s="191" t="str">
        <f t="array" ref="C485">_xlfn.XLOOKUP(B485, DB[samplingPoint], DB[samplingTag])</f>
        <v>DV116.10</v>
      </c>
      <c r="D485" s="33" t="s">
        <v>59</v>
      </c>
      <c r="E485" s="39" t="str">
        <f t="array" ref="E485">_xlfn.XLOOKUP($B485, DB[samplingPoint], DB[noLocation])</f>
        <v>10-3-065</v>
      </c>
      <c r="F485" s="40" t="str">
        <f t="array" ref="F485">_xlfn.XLOOKUP($B485, DB[samplingPoint], DB[building])</f>
        <v>Building 10</v>
      </c>
      <c r="G485" s="40" t="str">
        <f t="array" ref="G485">_xlfn.XLOOKUP($B485, DB[samplingPoint], DB[location])</f>
        <v>COATING SOLUTION PREP.-3</v>
      </c>
      <c r="H485" s="40" t="str">
        <f t="array" ref="H485">_xlfn.XLOOKUP($B485, DB[samplingPoint], DB[waterType])</f>
        <v>PW</v>
      </c>
      <c r="I485" s="60">
        <f t="shared" si="1"/>
        <v>45883</v>
      </c>
      <c r="J485" s="192">
        <f t="shared" si="2"/>
        <v>45886</v>
      </c>
      <c r="K485" s="32">
        <v>0.0</v>
      </c>
      <c r="L485" s="32">
        <v>0.0</v>
      </c>
      <c r="M485" s="32">
        <f t="shared" si="3"/>
        <v>0</v>
      </c>
      <c r="N485" s="32" t="s">
        <v>376</v>
      </c>
      <c r="O485" s="32">
        <v>100.0</v>
      </c>
      <c r="P485" s="50" t="str">
        <f t="shared" si="6"/>
        <v>PASSED</v>
      </c>
      <c r="Q485" s="50" t="str">
        <f t="shared" si="5"/>
        <v>10</v>
      </c>
    </row>
    <row r="486" ht="22.5" customHeight="1">
      <c r="A486" s="26">
        <v>45882.0</v>
      </c>
      <c r="B486" s="32" t="s">
        <v>532</v>
      </c>
      <c r="C486" s="191" t="str">
        <f t="array" ref="C486">_xlfn.XLOOKUP(B486, DB[samplingPoint], DB[samplingTag])</f>
        <v>DV116.11</v>
      </c>
      <c r="D486" s="33" t="s">
        <v>59</v>
      </c>
      <c r="E486" s="39" t="str">
        <f t="array" ref="E486">_xlfn.XLOOKUP($B486, DB[samplingPoint], DB[noLocation])</f>
        <v>10-3-066</v>
      </c>
      <c r="F486" s="40" t="str">
        <f t="array" ref="F486">_xlfn.XLOOKUP($B486, DB[samplingPoint], DB[building])</f>
        <v>Building 10</v>
      </c>
      <c r="G486" s="40" t="str">
        <f t="array" ref="G486">_xlfn.XLOOKUP($B486, DB[samplingPoint], DB[location])</f>
        <v>COATING SOLUTION PREP.-4</v>
      </c>
      <c r="H486" s="40" t="str">
        <f t="array" ref="H486">_xlfn.XLOOKUP($B486, DB[samplingPoint], DB[waterType])</f>
        <v>PW</v>
      </c>
      <c r="I486" s="60">
        <f t="shared" si="1"/>
        <v>45883</v>
      </c>
      <c r="J486" s="192">
        <f t="shared" si="2"/>
        <v>45886</v>
      </c>
      <c r="K486" s="32">
        <v>0.0</v>
      </c>
      <c r="L486" s="32">
        <v>0.0</v>
      </c>
      <c r="M486" s="32">
        <f t="shared" si="3"/>
        <v>0</v>
      </c>
      <c r="N486" s="32" t="s">
        <v>376</v>
      </c>
      <c r="O486" s="32">
        <v>100.0</v>
      </c>
      <c r="P486" s="50" t="str">
        <f t="shared" si="6"/>
        <v>PASSED</v>
      </c>
      <c r="Q486" s="50" t="str">
        <f t="shared" si="5"/>
        <v>10</v>
      </c>
    </row>
    <row r="487" ht="22.5" customHeight="1">
      <c r="A487" s="26">
        <v>45882.0</v>
      </c>
      <c r="B487" s="32" t="s">
        <v>385</v>
      </c>
      <c r="C487" s="191" t="str">
        <f t="array" ref="C487">_xlfn.XLOOKUP(B487, DB[samplingPoint], DB[samplingTag])</f>
        <v>SV115.02</v>
      </c>
      <c r="D487" s="33" t="s">
        <v>59</v>
      </c>
      <c r="E487" s="39" t="str">
        <f t="array" ref="E487">_xlfn.XLOOKUP($B487, DB[samplingPoint], DB[noLocation])</f>
        <v>WATER SYSTEM (B10)</v>
      </c>
      <c r="F487" s="40" t="str">
        <f t="array" ref="F487">_xlfn.XLOOKUP($B487, DB[samplingPoint], DB[building])</f>
        <v>Building 10</v>
      </c>
      <c r="G487" s="40" t="str">
        <f t="array" ref="G487">_xlfn.XLOOKUP($B487, DB[samplingPoint], DB[location])</f>
        <v>After UV (B10)</v>
      </c>
      <c r="H487" s="40" t="str">
        <f t="array" ref="H487">_xlfn.XLOOKUP($B487, DB[samplingPoint], DB[waterType])</f>
        <v>PW</v>
      </c>
      <c r="I487" s="60">
        <f t="shared" si="1"/>
        <v>45883</v>
      </c>
      <c r="J487" s="192">
        <f t="shared" si="2"/>
        <v>45886</v>
      </c>
      <c r="K487" s="32">
        <v>0.0</v>
      </c>
      <c r="L487" s="32">
        <v>0.0</v>
      </c>
      <c r="M487" s="32">
        <f t="shared" si="3"/>
        <v>0</v>
      </c>
      <c r="N487" s="32" t="s">
        <v>376</v>
      </c>
      <c r="O487" s="32">
        <v>100.0</v>
      </c>
      <c r="P487" s="50" t="str">
        <f t="shared" si="6"/>
        <v>PASSED</v>
      </c>
      <c r="Q487" s="50" t="str">
        <f t="shared" si="5"/>
        <v>WA</v>
      </c>
    </row>
    <row r="488" ht="22.5" customHeight="1">
      <c r="A488" s="26">
        <v>45882.0</v>
      </c>
      <c r="B488" s="32" t="s">
        <v>390</v>
      </c>
      <c r="C488" s="191" t="str">
        <f t="array" ref="C488">_xlfn.XLOOKUP(B488, DB[samplingPoint], DB[samplingTag])</f>
        <v>SV117.01</v>
      </c>
      <c r="D488" s="33" t="s">
        <v>59</v>
      </c>
      <c r="E488" s="39" t="str">
        <f t="array" ref="E488">_xlfn.XLOOKUP($B488, DB[samplingPoint], DB[noLocation])</f>
        <v>WATER SYSTEM (B10)</v>
      </c>
      <c r="F488" s="40" t="str">
        <f t="array" ref="F488">_xlfn.XLOOKUP($B488, DB[samplingPoint], DB[building])</f>
        <v>Building 10</v>
      </c>
      <c r="G488" s="40" t="str">
        <f t="array" ref="G488">_xlfn.XLOOKUP($B488, DB[samplingPoint], DB[location])</f>
        <v>Return loop (B10)</v>
      </c>
      <c r="H488" s="40" t="str">
        <f t="array" ref="H488">_xlfn.XLOOKUP($B488, DB[samplingPoint], DB[waterType])</f>
        <v>PW</v>
      </c>
      <c r="I488" s="60">
        <f t="shared" si="1"/>
        <v>45883</v>
      </c>
      <c r="J488" s="192">
        <f t="shared" si="2"/>
        <v>45886</v>
      </c>
      <c r="K488" s="32">
        <v>0.0</v>
      </c>
      <c r="L488" s="32">
        <v>0.0</v>
      </c>
      <c r="M488" s="32">
        <f t="shared" si="3"/>
        <v>0</v>
      </c>
      <c r="N488" s="32" t="s">
        <v>376</v>
      </c>
      <c r="O488" s="32">
        <v>100.0</v>
      </c>
      <c r="P488" s="50" t="str">
        <f t="shared" si="6"/>
        <v>PASSED</v>
      </c>
      <c r="Q488" s="50" t="str">
        <f t="shared" si="5"/>
        <v>WA</v>
      </c>
    </row>
    <row r="489" ht="22.5" customHeight="1">
      <c r="A489" s="26">
        <v>45887.0</v>
      </c>
      <c r="B489" s="32" t="s">
        <v>349</v>
      </c>
      <c r="C489" s="191" t="str">
        <f t="array" ref="C489">_xlfn.XLOOKUP(B489, DB[samplingPoint], DB[samplingTag])</f>
        <v>VB-05(10)</v>
      </c>
      <c r="D489" s="33" t="s">
        <v>59</v>
      </c>
      <c r="E489" s="39" t="str">
        <f t="array" ref="E489">_xlfn.XLOOKUP($B489, DB[samplingPoint], DB[noLocation])</f>
        <v>WATER SYSTEM (B10)</v>
      </c>
      <c r="F489" s="40" t="str">
        <f t="array" ref="F489">_xlfn.XLOOKUP($B489, DB[samplingPoint], DB[building])</f>
        <v>Building 10</v>
      </c>
      <c r="G489" s="40" t="str">
        <f t="array" ref="G489">_xlfn.XLOOKUP($B489, DB[samplingPoint], DB[location])</f>
        <v>After Chlorine circulation tank (B10)</v>
      </c>
      <c r="H489" s="40" t="str">
        <f t="array" ref="H489">_xlfn.XLOOKUP($B489, DB[samplingPoint], DB[waterType])</f>
        <v>PRW</v>
      </c>
      <c r="I489" s="60">
        <f t="shared" si="1"/>
        <v>45888</v>
      </c>
      <c r="J489" s="192">
        <f t="shared" si="2"/>
        <v>45891</v>
      </c>
      <c r="K489" s="32">
        <v>0.0</v>
      </c>
      <c r="L489" s="32">
        <v>0.0</v>
      </c>
      <c r="M489" s="32">
        <f t="shared" si="3"/>
        <v>0</v>
      </c>
      <c r="N489" s="32" t="s">
        <v>376</v>
      </c>
      <c r="O489" s="32">
        <v>500.0</v>
      </c>
      <c r="P489" s="50" t="str">
        <f t="shared" si="6"/>
        <v>PASSED</v>
      </c>
      <c r="Q489" s="50" t="str">
        <f t="shared" si="5"/>
        <v>WA</v>
      </c>
    </row>
    <row r="490" ht="22.5" customHeight="1">
      <c r="A490" s="26">
        <v>45887.0</v>
      </c>
      <c r="B490" s="32" t="s">
        <v>366</v>
      </c>
      <c r="C490" s="191" t="str">
        <f t="array" ref="C490">_xlfn.XLOOKUP(B490, DB[samplingPoint], DB[samplingTag])</f>
        <v>V50-61(10)</v>
      </c>
      <c r="D490" s="33" t="s">
        <v>59</v>
      </c>
      <c r="E490" s="39" t="str">
        <f t="array" ref="E490">_xlfn.XLOOKUP($B490, DB[samplingPoint], DB[noLocation])</f>
        <v>WATER SYSTEM (B10)</v>
      </c>
      <c r="F490" s="40" t="str">
        <f t="array" ref="F490">_xlfn.XLOOKUP($B490, DB[samplingPoint], DB[building])</f>
        <v>Building 10</v>
      </c>
      <c r="G490" s="40" t="str">
        <f t="array" ref="G490">_xlfn.XLOOKUP($B490, DB[samplingPoint], DB[location])</f>
        <v>After Cartridge filter 5 µm (B10)</v>
      </c>
      <c r="H490" s="40" t="str">
        <f t="array" ref="H490">_xlfn.XLOOKUP($B490, DB[samplingPoint], DB[waterType])</f>
        <v>PRW</v>
      </c>
      <c r="I490" s="60">
        <f t="shared" si="1"/>
        <v>45888</v>
      </c>
      <c r="J490" s="192">
        <f t="shared" si="2"/>
        <v>45891</v>
      </c>
      <c r="K490" s="32">
        <v>176.0</v>
      </c>
      <c r="L490" s="32">
        <v>173.0</v>
      </c>
      <c r="M490" s="32">
        <f t="shared" si="3"/>
        <v>175</v>
      </c>
      <c r="N490" s="32" t="s">
        <v>376</v>
      </c>
      <c r="O490" s="32">
        <v>500.0</v>
      </c>
      <c r="P490" s="50" t="str">
        <f t="shared" si="6"/>
        <v>PASSED</v>
      </c>
      <c r="Q490" s="50" t="str">
        <f t="shared" si="5"/>
        <v>WA</v>
      </c>
    </row>
    <row r="491" ht="22.5" customHeight="1">
      <c r="A491" s="26">
        <v>45887.0</v>
      </c>
      <c r="B491" s="32" t="s">
        <v>368</v>
      </c>
      <c r="C491" s="191" t="str">
        <f t="array" ref="C491">_xlfn.XLOOKUP(B491, DB[samplingPoint], DB[samplingTag])</f>
        <v>V50-11C(10)</v>
      </c>
      <c r="D491" s="33" t="s">
        <v>59</v>
      </c>
      <c r="E491" s="39" t="str">
        <f t="array" ref="E491">_xlfn.XLOOKUP($B491, DB[samplingPoint], DB[noLocation])</f>
        <v>WATER SYSTEM (B10)</v>
      </c>
      <c r="F491" s="40" t="str">
        <f t="array" ref="F491">_xlfn.XLOOKUP($B491, DB[samplingPoint], DB[building])</f>
        <v>Building 10</v>
      </c>
      <c r="G491" s="40" t="str">
        <f t="array" ref="G491">_xlfn.XLOOKUP($B491, DB[samplingPoint], DB[location])</f>
        <v>After RO (Before EDI) (B10)</v>
      </c>
      <c r="H491" s="40" t="str">
        <f t="array" ref="H491">_xlfn.XLOOKUP($B491, DB[samplingPoint], DB[waterType])</f>
        <v>RO water</v>
      </c>
      <c r="I491" s="60">
        <f t="shared" si="1"/>
        <v>45888</v>
      </c>
      <c r="J491" s="192">
        <f t="shared" si="2"/>
        <v>45891</v>
      </c>
      <c r="K491" s="32">
        <v>0.0</v>
      </c>
      <c r="L491" s="32">
        <v>0.0</v>
      </c>
      <c r="M491" s="32">
        <f t="shared" si="3"/>
        <v>0</v>
      </c>
      <c r="N491" s="32" t="s">
        <v>376</v>
      </c>
      <c r="O491" s="32">
        <v>500.0</v>
      </c>
      <c r="P491" s="50" t="str">
        <f t="shared" si="6"/>
        <v>PASSED</v>
      </c>
      <c r="Q491" s="50" t="str">
        <f t="shared" si="5"/>
        <v>WA</v>
      </c>
    </row>
    <row r="492" ht="22.5" customHeight="1">
      <c r="A492" s="26">
        <v>45887.0</v>
      </c>
      <c r="B492" s="32" t="s">
        <v>374</v>
      </c>
      <c r="C492" s="191" t="str">
        <f t="array" ref="C492">_xlfn.XLOOKUP(B492, DB[samplingPoint], DB[samplingTag])</f>
        <v>V50-39(10)</v>
      </c>
      <c r="D492" s="33" t="s">
        <v>59</v>
      </c>
      <c r="E492" s="39" t="str">
        <f t="array" ref="E492">_xlfn.XLOOKUP($B492, DB[samplingPoint], DB[noLocation])</f>
        <v>WATER SYSTEM (B10)</v>
      </c>
      <c r="F492" s="40" t="str">
        <f t="array" ref="F492">_xlfn.XLOOKUP($B492, DB[samplingPoint], DB[building])</f>
        <v>Building 10</v>
      </c>
      <c r="G492" s="40" t="str">
        <f t="array" ref="G492">_xlfn.XLOOKUP($B492, DB[samplingPoint], DB[location])</f>
        <v>After EDI (B10)</v>
      </c>
      <c r="H492" s="40" t="str">
        <f t="array" ref="H492">_xlfn.XLOOKUP($B492, DB[samplingPoint], DB[waterType])</f>
        <v>PW</v>
      </c>
      <c r="I492" s="60">
        <f t="shared" si="1"/>
        <v>45888</v>
      </c>
      <c r="J492" s="192">
        <f t="shared" si="2"/>
        <v>45891</v>
      </c>
      <c r="K492" s="32">
        <v>0.0</v>
      </c>
      <c r="L492" s="32">
        <v>0.0</v>
      </c>
      <c r="M492" s="32">
        <f t="shared" si="3"/>
        <v>0</v>
      </c>
      <c r="N492" s="32" t="s">
        <v>376</v>
      </c>
      <c r="O492" s="32">
        <v>100.0</v>
      </c>
      <c r="P492" s="50" t="str">
        <f t="shared" si="6"/>
        <v>PASSED</v>
      </c>
      <c r="Q492" s="50" t="str">
        <f t="shared" si="5"/>
        <v>WA</v>
      </c>
    </row>
    <row r="493" ht="22.5" customHeight="1">
      <c r="A493" s="26">
        <v>45887.0</v>
      </c>
      <c r="B493" s="32" t="s">
        <v>618</v>
      </c>
      <c r="C493" s="39" t="str">
        <f t="array" ref="C493">_xlfn.XLOOKUP(B493, DB[samplingPoint], DB[samplingTag])</f>
        <v>SV-15</v>
      </c>
      <c r="D493" s="33" t="s">
        <v>59</v>
      </c>
      <c r="E493" s="39" t="str">
        <f t="array" ref="E493">_xlfn.XLOOKUP($B493, DB[samplingPoint], DB[noLocation])</f>
        <v>PROCESS WATER (B19)</v>
      </c>
      <c r="F493" s="40" t="str">
        <f t="array" ref="F493">_xlfn.XLOOKUP($B493, DB[samplingPoint], DB[building])</f>
        <v>Building 19</v>
      </c>
      <c r="G493" s="40" t="str">
        <f t="array" ref="G493">_xlfn.XLOOKUP($B493, DB[samplingPoint], DB[location])</f>
        <v>AFTER RO SYSTEM NO.12 SV15</v>
      </c>
      <c r="H493" s="40" t="str">
        <f t="array" ref="H493">_xlfn.XLOOKUP($B493, DB[samplingPoint], DB[waterType])</f>
        <v>PRW</v>
      </c>
      <c r="I493" s="60">
        <f t="shared" si="1"/>
        <v>45888</v>
      </c>
      <c r="J493" s="192">
        <f t="shared" si="2"/>
        <v>45891</v>
      </c>
      <c r="K493" s="32">
        <v>999.0</v>
      </c>
      <c r="L493" s="32">
        <v>999.0</v>
      </c>
      <c r="M493" s="32">
        <f t="shared" si="3"/>
        <v>999</v>
      </c>
      <c r="N493" s="32" t="s">
        <v>376</v>
      </c>
      <c r="O493" s="32">
        <v>500.0</v>
      </c>
      <c r="P493" s="50" t="str">
        <f t="shared" si="6"/>
        <v>NOT-PASSED</v>
      </c>
      <c r="Q493" s="50" t="str">
        <f t="shared" si="5"/>
        <v>PR</v>
      </c>
    </row>
    <row r="494" ht="22.5" customHeight="1">
      <c r="A494" s="26">
        <v>45887.0</v>
      </c>
      <c r="B494" s="32" t="s">
        <v>410</v>
      </c>
      <c r="C494" s="191" t="str">
        <f t="array" ref="C494">_xlfn.XLOOKUP(B494, DB[samplingPoint], DB[samplingTag])</f>
        <v>DV116.22</v>
      </c>
      <c r="D494" s="33" t="s">
        <v>59</v>
      </c>
      <c r="E494" s="39" t="str">
        <f t="array" ref="E494">_xlfn.XLOOKUP($B494, DB[samplingPoint], DB[noLocation])</f>
        <v>10-3-152</v>
      </c>
      <c r="F494" s="40" t="str">
        <f t="array" ref="F494">_xlfn.XLOOKUP($B494, DB[samplingPoint], DB[building])</f>
        <v>Building 10</v>
      </c>
      <c r="G494" s="40" t="str">
        <f t="array" ref="G494">_xlfn.XLOOKUP($B494, DB[samplingPoint], DB[location])</f>
        <v>WASHING-P</v>
      </c>
      <c r="H494" s="40" t="str">
        <f t="array" ref="H494">_xlfn.XLOOKUP($B494, DB[samplingPoint], DB[waterType])</f>
        <v>PW</v>
      </c>
      <c r="I494" s="60">
        <f t="shared" si="1"/>
        <v>45888</v>
      </c>
      <c r="J494" s="192">
        <f t="shared" si="2"/>
        <v>45891</v>
      </c>
      <c r="K494" s="32">
        <v>0.0</v>
      </c>
      <c r="L494" s="32">
        <v>0.0</v>
      </c>
      <c r="M494" s="32">
        <f t="shared" si="3"/>
        <v>0</v>
      </c>
      <c r="N494" s="32" t="s">
        <v>376</v>
      </c>
      <c r="O494" s="32">
        <v>100.0</v>
      </c>
      <c r="P494" s="50" t="str">
        <f t="shared" si="6"/>
        <v>PASSED</v>
      </c>
      <c r="Q494" s="50" t="str">
        <f t="shared" si="5"/>
        <v>10</v>
      </c>
    </row>
    <row r="495" ht="22.5" customHeight="1">
      <c r="A495" s="26">
        <v>45887.0</v>
      </c>
      <c r="B495" s="32" t="s">
        <v>401</v>
      </c>
      <c r="C495" s="191" t="str">
        <f t="array" ref="C495">_xlfn.XLOOKUP(B495, DB[samplingPoint], DB[samplingTag])</f>
        <v>DV116.23</v>
      </c>
      <c r="D495" s="33" t="s">
        <v>59</v>
      </c>
      <c r="E495" s="39" t="str">
        <f t="array" ref="E495">_xlfn.XLOOKUP($B495, DB[samplingPoint], DB[noLocation])</f>
        <v>10-3-159</v>
      </c>
      <c r="F495" s="40" t="str">
        <f t="array" ref="F495">_xlfn.XLOOKUP($B495, DB[samplingPoint], DB[building])</f>
        <v>Building 10</v>
      </c>
      <c r="G495" s="40" t="str">
        <f t="array" ref="G495">_xlfn.XLOOKUP($B495, DB[samplingPoint], DB[location])</f>
        <v>BINDER PREPARATION-P</v>
      </c>
      <c r="H495" s="40" t="str">
        <f t="array" ref="H495">_xlfn.XLOOKUP($B495, DB[samplingPoint], DB[waterType])</f>
        <v>PW</v>
      </c>
      <c r="I495" s="60">
        <f t="shared" si="1"/>
        <v>45888</v>
      </c>
      <c r="J495" s="192">
        <f t="shared" si="2"/>
        <v>45891</v>
      </c>
      <c r="K495" s="32">
        <v>0.0</v>
      </c>
      <c r="L495" s="32">
        <v>0.0</v>
      </c>
      <c r="M495" s="32">
        <f t="shared" si="3"/>
        <v>0</v>
      </c>
      <c r="N495" s="32" t="s">
        <v>376</v>
      </c>
      <c r="O495" s="32">
        <v>100.0</v>
      </c>
      <c r="P495" s="50" t="str">
        <f t="shared" si="6"/>
        <v>PASSED</v>
      </c>
      <c r="Q495" s="50" t="str">
        <f t="shared" si="5"/>
        <v>10</v>
      </c>
    </row>
    <row r="496" ht="22.5" customHeight="1">
      <c r="A496" s="26">
        <v>45887.0</v>
      </c>
      <c r="B496" s="32" t="s">
        <v>398</v>
      </c>
      <c r="C496" s="191" t="str">
        <f t="array" ref="C496">_xlfn.XLOOKUP(B496, DB[samplingPoint], DB[samplingTag])</f>
        <v>DV116.24</v>
      </c>
      <c r="D496" s="33" t="s">
        <v>59</v>
      </c>
      <c r="E496" s="39" t="str">
        <f t="array" ref="E496">_xlfn.XLOOKUP($B496, DB[samplingPoint], DB[noLocation])</f>
        <v>10-3-163</v>
      </c>
      <c r="F496" s="40" t="str">
        <f t="array" ref="F496">_xlfn.XLOOKUP($B496, DB[samplingPoint], DB[building])</f>
        <v>Building 10</v>
      </c>
      <c r="G496" s="40" t="str">
        <f t="array" ref="G496">_xlfn.XLOOKUP($B496, DB[samplingPoint], DB[location])</f>
        <v>WET GRANULATION 1-P</v>
      </c>
      <c r="H496" s="40" t="str">
        <f t="array" ref="H496">_xlfn.XLOOKUP($B496, DB[samplingPoint], DB[waterType])</f>
        <v>PW</v>
      </c>
      <c r="I496" s="60">
        <f t="shared" si="1"/>
        <v>45888</v>
      </c>
      <c r="J496" s="192">
        <f t="shared" si="2"/>
        <v>45891</v>
      </c>
      <c r="K496" s="32">
        <v>0.0</v>
      </c>
      <c r="L496" s="32">
        <v>0.0</v>
      </c>
      <c r="M496" s="32">
        <f t="shared" si="3"/>
        <v>0</v>
      </c>
      <c r="N496" s="32" t="s">
        <v>376</v>
      </c>
      <c r="O496" s="32">
        <v>100.0</v>
      </c>
      <c r="P496" s="50" t="str">
        <f t="shared" si="6"/>
        <v>PASSED</v>
      </c>
      <c r="Q496" s="50" t="str">
        <f t="shared" si="5"/>
        <v>10</v>
      </c>
    </row>
    <row r="497" ht="22.5" customHeight="1">
      <c r="A497" s="26">
        <v>45887.0</v>
      </c>
      <c r="B497" s="32" t="s">
        <v>394</v>
      </c>
      <c r="C497" s="191" t="str">
        <f t="array" ref="C497">_xlfn.XLOOKUP(B497, DB[samplingPoint], DB[samplingTag])</f>
        <v>DV116.25</v>
      </c>
      <c r="D497" s="33" t="s">
        <v>59</v>
      </c>
      <c r="E497" s="39" t="str">
        <f t="array" ref="E497">_xlfn.XLOOKUP($B497, DB[samplingPoint], DB[noLocation])</f>
        <v>10-3-171</v>
      </c>
      <c r="F497" s="40" t="str">
        <f t="array" ref="F497">_xlfn.XLOOKUP($B497, DB[samplingPoint], DB[building])</f>
        <v>Building 10</v>
      </c>
      <c r="G497" s="40" t="str">
        <f t="array" ref="G497">_xlfn.XLOOKUP($B497, DB[samplingPoint], DB[location])</f>
        <v>TOOL WASHING-P</v>
      </c>
      <c r="H497" s="40" t="str">
        <f t="array" ref="H497">_xlfn.XLOOKUP($B497, DB[samplingPoint], DB[waterType])</f>
        <v>PW</v>
      </c>
      <c r="I497" s="60">
        <f t="shared" si="1"/>
        <v>45888</v>
      </c>
      <c r="J497" s="192">
        <f t="shared" si="2"/>
        <v>45891</v>
      </c>
      <c r="K497" s="32">
        <v>0.0</v>
      </c>
      <c r="L497" s="32">
        <v>0.0</v>
      </c>
      <c r="M497" s="32">
        <f t="shared" si="3"/>
        <v>0</v>
      </c>
      <c r="N497" s="32" t="s">
        <v>376</v>
      </c>
      <c r="O497" s="32">
        <v>100.0</v>
      </c>
      <c r="P497" s="50" t="str">
        <f t="shared" si="6"/>
        <v>PASSED</v>
      </c>
      <c r="Q497" s="50" t="str">
        <f t="shared" si="5"/>
        <v>10</v>
      </c>
    </row>
    <row r="498" ht="22.5" customHeight="1">
      <c r="A498" s="26">
        <v>45887.0</v>
      </c>
      <c r="B498" s="32" t="s">
        <v>431</v>
      </c>
      <c r="C498" s="191" t="str">
        <f t="array" ref="C498">_xlfn.XLOOKUP(B498, DB[samplingPoint], DB[samplingTag])</f>
        <v>SV-14</v>
      </c>
      <c r="D498" s="33" t="s">
        <v>59</v>
      </c>
      <c r="E498" s="39" t="str">
        <f t="array" ref="E498">_xlfn.XLOOKUP($B498, DB[samplingPoint], DB[noLocation])</f>
        <v>PROCESS WATER (B19)</v>
      </c>
      <c r="F498" s="40" t="str">
        <f t="array" ref="F498">_xlfn.XLOOKUP($B498, DB[samplingPoint], DB[building])</f>
        <v>Building 19</v>
      </c>
      <c r="G498" s="40" t="str">
        <f t="array" ref="G498">_xlfn.XLOOKUP($B498, DB[samplingPoint], DB[location])</f>
        <v>AFTER RO SYSTEM NO.12 SV14</v>
      </c>
      <c r="H498" s="40" t="str">
        <f t="array" ref="H498">_xlfn.XLOOKUP($B498, DB[samplingPoint], DB[waterType])</f>
        <v>PRW</v>
      </c>
      <c r="I498" s="60">
        <f t="shared" si="1"/>
        <v>45888</v>
      </c>
      <c r="J498" s="192">
        <f t="shared" si="2"/>
        <v>45891</v>
      </c>
      <c r="K498" s="32">
        <v>176.0</v>
      </c>
      <c r="L498" s="32">
        <v>173.0</v>
      </c>
      <c r="M498" s="32">
        <f t="shared" si="3"/>
        <v>175</v>
      </c>
      <c r="N498" s="32" t="s">
        <v>376</v>
      </c>
      <c r="O498" s="32">
        <v>500.0</v>
      </c>
      <c r="P498" s="50" t="str">
        <f t="shared" si="6"/>
        <v>PASSED</v>
      </c>
      <c r="Q498" s="50" t="str">
        <f t="shared" si="5"/>
        <v>PR</v>
      </c>
    </row>
    <row r="499" ht="22.5" customHeight="1">
      <c r="A499" s="26">
        <v>45887.0</v>
      </c>
      <c r="B499" s="32" t="s">
        <v>428</v>
      </c>
      <c r="C499" s="191" t="str">
        <f t="array" ref="C499">_xlfn.XLOOKUP(B499, DB[samplingPoint], DB[samplingTag])</f>
        <v>DV116.01</v>
      </c>
      <c r="D499" s="33" t="s">
        <v>59</v>
      </c>
      <c r="E499" s="39" t="str">
        <f t="array" ref="E499">_xlfn.XLOOKUP($B499, DB[samplingPoint], DB[noLocation])</f>
        <v>10-1-057</v>
      </c>
      <c r="F499" s="40" t="str">
        <f t="array" ref="F499">_xlfn.XLOOKUP($B499, DB[samplingPoint], DB[building])</f>
        <v>Building 10</v>
      </c>
      <c r="G499" s="40" t="str">
        <f t="array" ref="G499">_xlfn.XLOOKUP($B499, DB[samplingPoint], DB[location])</f>
        <v>WASHING-P</v>
      </c>
      <c r="H499" s="40" t="str">
        <f t="array" ref="H499">_xlfn.XLOOKUP($B499, DB[samplingPoint], DB[waterType])</f>
        <v>PW</v>
      </c>
      <c r="I499" s="60">
        <f t="shared" si="1"/>
        <v>45888</v>
      </c>
      <c r="J499" s="192">
        <f t="shared" si="2"/>
        <v>45891</v>
      </c>
      <c r="K499" s="32">
        <v>0.0</v>
      </c>
      <c r="L499" s="32">
        <v>0.0</v>
      </c>
      <c r="M499" s="32">
        <f t="shared" si="3"/>
        <v>0</v>
      </c>
      <c r="N499" s="32" t="s">
        <v>376</v>
      </c>
      <c r="O499" s="32">
        <v>100.0</v>
      </c>
      <c r="P499" s="50" t="str">
        <f t="shared" si="6"/>
        <v>PASSED</v>
      </c>
      <c r="Q499" s="50" t="str">
        <f t="shared" si="5"/>
        <v>10</v>
      </c>
    </row>
    <row r="500" ht="22.5" customHeight="1">
      <c r="A500" s="26">
        <v>45887.0</v>
      </c>
      <c r="B500" s="32" t="s">
        <v>417</v>
      </c>
      <c r="C500" s="191" t="str">
        <f t="array" ref="C500">_xlfn.XLOOKUP(B500, DB[samplingPoint], DB[samplingTag])</f>
        <v>DV116.20</v>
      </c>
      <c r="D500" s="33" t="s">
        <v>59</v>
      </c>
      <c r="E500" s="39" t="str">
        <f t="array" ref="E500">_xlfn.XLOOKUP($B500, DB[samplingPoint], DB[noLocation])</f>
        <v>10-3-149</v>
      </c>
      <c r="F500" s="40" t="str">
        <f t="array" ref="F500">_xlfn.XLOOKUP($B500, DB[samplingPoint], DB[building])</f>
        <v>Building 10</v>
      </c>
      <c r="G500" s="40" t="str">
        <f t="array" ref="G500">_xlfn.XLOOKUP($B500, DB[samplingPoint], DB[location])</f>
        <v>IPQC-1-P</v>
      </c>
      <c r="H500" s="40" t="str">
        <f t="array" ref="H500">_xlfn.XLOOKUP($B500, DB[samplingPoint], DB[waterType])</f>
        <v>PW</v>
      </c>
      <c r="I500" s="60">
        <f t="shared" si="1"/>
        <v>45888</v>
      </c>
      <c r="J500" s="192">
        <f t="shared" si="2"/>
        <v>45891</v>
      </c>
      <c r="K500" s="32">
        <v>0.0</v>
      </c>
      <c r="L500" s="32">
        <v>0.0</v>
      </c>
      <c r="M500" s="32">
        <f t="shared" si="3"/>
        <v>0</v>
      </c>
      <c r="N500" s="32" t="s">
        <v>376</v>
      </c>
      <c r="O500" s="32">
        <v>100.0</v>
      </c>
      <c r="P500" s="50" t="str">
        <f t="shared" si="6"/>
        <v>PASSED</v>
      </c>
      <c r="Q500" s="50" t="str">
        <f t="shared" si="5"/>
        <v>10</v>
      </c>
    </row>
    <row r="501" ht="22.5" customHeight="1">
      <c r="A501" s="26">
        <v>45887.0</v>
      </c>
      <c r="B501" s="32" t="s">
        <v>425</v>
      </c>
      <c r="C501" s="191" t="str">
        <f t="array" ref="C501">_xlfn.XLOOKUP(B501, DB[samplingPoint], DB[samplingTag])</f>
        <v>DV116.02</v>
      </c>
      <c r="D501" s="33" t="s">
        <v>59</v>
      </c>
      <c r="E501" s="39" t="str">
        <f t="array" ref="E501">_xlfn.XLOOKUP($B501, DB[samplingPoint], DB[noLocation])</f>
        <v>10-1-115</v>
      </c>
      <c r="F501" s="40" t="str">
        <f t="array" ref="F501">_xlfn.XLOOKUP($B501, DB[samplingPoint], DB[building])</f>
        <v>Building 10</v>
      </c>
      <c r="G501" s="40" t="str">
        <f t="array" ref="G501">_xlfn.XLOOKUP($B501, DB[samplingPoint], DB[location])</f>
        <v>WASHING</v>
      </c>
      <c r="H501" s="40" t="str">
        <f t="array" ref="H501">_xlfn.XLOOKUP($B501, DB[samplingPoint], DB[waterType])</f>
        <v>PW</v>
      </c>
      <c r="I501" s="60">
        <f t="shared" si="1"/>
        <v>45888</v>
      </c>
      <c r="J501" s="192">
        <f t="shared" si="2"/>
        <v>45891</v>
      </c>
      <c r="K501" s="32">
        <v>0.0</v>
      </c>
      <c r="L501" s="32">
        <v>0.0</v>
      </c>
      <c r="M501" s="32">
        <f t="shared" si="3"/>
        <v>0</v>
      </c>
      <c r="N501" s="32" t="s">
        <v>376</v>
      </c>
      <c r="O501" s="32">
        <v>100.0</v>
      </c>
      <c r="P501" s="50" t="str">
        <f t="shared" si="6"/>
        <v>PASSED</v>
      </c>
      <c r="Q501" s="50" t="str">
        <f t="shared" si="5"/>
        <v>10</v>
      </c>
    </row>
    <row r="502" ht="22.5" customHeight="1">
      <c r="A502" s="26">
        <v>45887.0</v>
      </c>
      <c r="B502" s="32" t="s">
        <v>421</v>
      </c>
      <c r="C502" s="191" t="str">
        <f t="array" ref="C502">_xlfn.XLOOKUP(B502, DB[samplingPoint], DB[samplingTag])</f>
        <v>DV116.19</v>
      </c>
      <c r="D502" s="33" t="s">
        <v>59</v>
      </c>
      <c r="E502" s="39" t="str">
        <f t="array" ref="E502">_xlfn.XLOOKUP($B502, DB[samplingPoint], DB[noLocation])</f>
        <v>10-3-143</v>
      </c>
      <c r="F502" s="40" t="str">
        <f t="array" ref="F502">_xlfn.XLOOKUP($B502, DB[samplingPoint], DB[building])</f>
        <v>Building 10</v>
      </c>
      <c r="G502" s="40" t="str">
        <f t="array" ref="G502">_xlfn.XLOOKUP($B502, DB[samplingPoint], DB[location])</f>
        <v>COATING SOLUTION PREP.-P</v>
      </c>
      <c r="H502" s="40" t="str">
        <f t="array" ref="H502">_xlfn.XLOOKUP($B502, DB[samplingPoint], DB[waterType])</f>
        <v>PW</v>
      </c>
      <c r="I502" s="60">
        <f t="shared" si="1"/>
        <v>45888</v>
      </c>
      <c r="J502" s="192">
        <f t="shared" si="2"/>
        <v>45891</v>
      </c>
      <c r="K502" s="32">
        <v>0.0</v>
      </c>
      <c r="L502" s="32">
        <v>0.0</v>
      </c>
      <c r="M502" s="32">
        <f t="shared" si="3"/>
        <v>0</v>
      </c>
      <c r="N502" s="32" t="s">
        <v>376</v>
      </c>
      <c r="O502" s="32">
        <v>100.0</v>
      </c>
      <c r="P502" s="50" t="str">
        <f t="shared" si="6"/>
        <v>PASSED</v>
      </c>
      <c r="Q502" s="50" t="str">
        <f t="shared" si="5"/>
        <v>10</v>
      </c>
    </row>
    <row r="503" ht="22.5" customHeight="1">
      <c r="A503" s="26">
        <v>45887.0</v>
      </c>
      <c r="B503" s="32" t="s">
        <v>423</v>
      </c>
      <c r="C503" s="191" t="str">
        <f t="array" ref="C503">_xlfn.XLOOKUP(B503, DB[samplingPoint], DB[samplingTag])</f>
        <v>SV116.12</v>
      </c>
      <c r="D503" s="33" t="s">
        <v>59</v>
      </c>
      <c r="E503" s="39" t="str">
        <f t="array" ref="E503">_xlfn.XLOOKUP($B503, DB[samplingPoint], DB[noLocation])</f>
        <v>10-3-144</v>
      </c>
      <c r="F503" s="40" t="str">
        <f t="array" ref="F503">_xlfn.XLOOKUP($B503, DB[samplingPoint], DB[building])</f>
        <v>Building 10</v>
      </c>
      <c r="G503" s="40" t="str">
        <f t="array" ref="G503">_xlfn.XLOOKUP($B503, DB[samplingPoint], DB[location])</f>
        <v>COATING-P</v>
      </c>
      <c r="H503" s="40" t="str">
        <f t="array" ref="H503">_xlfn.XLOOKUP($B503, DB[samplingPoint], DB[waterType])</f>
        <v>PW</v>
      </c>
      <c r="I503" s="60">
        <f t="shared" si="1"/>
        <v>45888</v>
      </c>
      <c r="J503" s="192">
        <f t="shared" si="2"/>
        <v>45891</v>
      </c>
      <c r="K503" s="32">
        <v>0.0</v>
      </c>
      <c r="L503" s="32">
        <v>0.0</v>
      </c>
      <c r="M503" s="32">
        <f t="shared" si="3"/>
        <v>0</v>
      </c>
      <c r="N503" s="32" t="s">
        <v>376</v>
      </c>
      <c r="O503" s="32">
        <v>100.0</v>
      </c>
      <c r="P503" s="50" t="str">
        <f t="shared" si="6"/>
        <v>PASSED</v>
      </c>
      <c r="Q503" s="50" t="str">
        <f t="shared" si="5"/>
        <v>10</v>
      </c>
    </row>
    <row r="504" ht="22.5" customHeight="1">
      <c r="A504" s="26">
        <v>45887.0</v>
      </c>
      <c r="B504" s="32" t="s">
        <v>414</v>
      </c>
      <c r="C504" s="191" t="str">
        <f t="array" ref="C504">_xlfn.XLOOKUP(B504, DB[samplingPoint], DB[samplingTag])</f>
        <v>SV116.13</v>
      </c>
      <c r="D504" s="33" t="s">
        <v>59</v>
      </c>
      <c r="E504" s="39" t="str">
        <f t="array" ref="E504">_xlfn.XLOOKUP($B504, DB[samplingPoint], DB[noLocation])</f>
        <v>10-3-152</v>
      </c>
      <c r="F504" s="40" t="str">
        <f t="array" ref="F504">_xlfn.XLOOKUP($B504, DB[samplingPoint], DB[building])</f>
        <v>Building 10</v>
      </c>
      <c r="G504" s="40" t="str">
        <f t="array" ref="G504">_xlfn.XLOOKUP($B504, DB[samplingPoint], DB[location])</f>
        <v>WASHING-P</v>
      </c>
      <c r="H504" s="40" t="str">
        <f t="array" ref="H504">_xlfn.XLOOKUP($B504, DB[samplingPoint], DB[waterType])</f>
        <v>PW</v>
      </c>
      <c r="I504" s="60">
        <f t="shared" si="1"/>
        <v>45888</v>
      </c>
      <c r="J504" s="192">
        <f t="shared" si="2"/>
        <v>45891</v>
      </c>
      <c r="K504" s="32">
        <v>0.0</v>
      </c>
      <c r="L504" s="32">
        <v>0.0</v>
      </c>
      <c r="M504" s="32">
        <f t="shared" si="3"/>
        <v>0</v>
      </c>
      <c r="N504" s="32" t="s">
        <v>376</v>
      </c>
      <c r="O504" s="32">
        <v>100.0</v>
      </c>
      <c r="P504" s="50" t="str">
        <f t="shared" si="6"/>
        <v>PASSED</v>
      </c>
      <c r="Q504" s="50" t="str">
        <f t="shared" si="5"/>
        <v>10</v>
      </c>
    </row>
    <row r="505" ht="22.5" customHeight="1">
      <c r="A505" s="26">
        <v>45887.0</v>
      </c>
      <c r="B505" s="32" t="s">
        <v>406</v>
      </c>
      <c r="C505" s="191" t="str">
        <f t="array" ref="C505">_xlfn.XLOOKUP(B505, DB[samplingPoint], DB[samplingTag])</f>
        <v>DV116.21</v>
      </c>
      <c r="D505" s="33" t="s">
        <v>59</v>
      </c>
      <c r="E505" s="39" t="str">
        <f t="array" ref="E505">_xlfn.XLOOKUP($B505, DB[samplingPoint], DB[noLocation])</f>
        <v>10-3-152</v>
      </c>
      <c r="F505" s="40" t="str">
        <f t="array" ref="F505">_xlfn.XLOOKUP($B505, DB[samplingPoint], DB[building])</f>
        <v>Building 10</v>
      </c>
      <c r="G505" s="40" t="str">
        <f t="array" ref="G505">_xlfn.XLOOKUP($B505, DB[samplingPoint], DB[location])</f>
        <v>WASHING-P</v>
      </c>
      <c r="H505" s="40" t="str">
        <f t="array" ref="H505">_xlfn.XLOOKUP($B505, DB[samplingPoint], DB[waterType])</f>
        <v>PW</v>
      </c>
      <c r="I505" s="60">
        <f t="shared" si="1"/>
        <v>45888</v>
      </c>
      <c r="J505" s="192">
        <f t="shared" si="2"/>
        <v>45891</v>
      </c>
      <c r="K505" s="32">
        <v>0.0</v>
      </c>
      <c r="L505" s="32">
        <v>0.0</v>
      </c>
      <c r="M505" s="32">
        <f t="shared" si="3"/>
        <v>0</v>
      </c>
      <c r="N505" s="32" t="s">
        <v>376</v>
      </c>
      <c r="O505" s="32">
        <v>100.0</v>
      </c>
      <c r="P505" s="50" t="str">
        <f t="shared" si="6"/>
        <v>PASSED</v>
      </c>
      <c r="Q505" s="50" t="str">
        <f t="shared" si="5"/>
        <v>10</v>
      </c>
    </row>
    <row r="506" ht="22.5" customHeight="1">
      <c r="A506" s="26">
        <v>45894.0</v>
      </c>
      <c r="B506" s="32" t="s">
        <v>380</v>
      </c>
      <c r="C506" s="191" t="str">
        <f t="array" ref="C506">_xlfn.XLOOKUP(B506, DB[samplingPoint], DB[samplingTag])</f>
        <v>SV113.01</v>
      </c>
      <c r="D506" s="33" t="s">
        <v>59</v>
      </c>
      <c r="E506" s="39" t="str">
        <f t="array" ref="E506">_xlfn.XLOOKUP($B506, DB[samplingPoint], DB[noLocation])</f>
        <v>WATER SYSTEM (B10)</v>
      </c>
      <c r="F506" s="40" t="str">
        <f t="array" ref="F506">_xlfn.XLOOKUP($B506, DB[samplingPoint], DB[building])</f>
        <v>Building 10</v>
      </c>
      <c r="G506" s="40" t="str">
        <f t="array" ref="G506">_xlfn.XLOOKUP($B506, DB[samplingPoint], DB[location])</f>
        <v>After Storage tank (B10)</v>
      </c>
      <c r="H506" s="40" t="str">
        <f t="array" ref="H506">_xlfn.XLOOKUP($B506, DB[samplingPoint], DB[waterType])</f>
        <v>PW</v>
      </c>
      <c r="I506" s="60">
        <f t="shared" si="1"/>
        <v>45895</v>
      </c>
      <c r="J506" s="192">
        <f t="shared" si="2"/>
        <v>45898</v>
      </c>
      <c r="K506" s="32">
        <v>0.0</v>
      </c>
      <c r="L506" s="32">
        <v>0.0</v>
      </c>
      <c r="M506" s="32">
        <f t="shared" si="3"/>
        <v>0</v>
      </c>
      <c r="N506" s="32" t="s">
        <v>376</v>
      </c>
      <c r="O506" s="32">
        <v>100.0</v>
      </c>
      <c r="P506" s="50" t="str">
        <f t="shared" si="6"/>
        <v>PASSED</v>
      </c>
      <c r="Q506" s="50" t="str">
        <f t="shared" si="5"/>
        <v>WA</v>
      </c>
    </row>
    <row r="507" ht="22.5" customHeight="1">
      <c r="A507" s="26">
        <v>45894.0</v>
      </c>
      <c r="B507" s="32" t="s">
        <v>498</v>
      </c>
      <c r="C507" s="191" t="str">
        <f t="array" ref="C507">_xlfn.XLOOKUP(B507, DB[samplingPoint], DB[samplingTag])</f>
        <v>SV116.02</v>
      </c>
      <c r="D507" s="33" t="s">
        <v>59</v>
      </c>
      <c r="E507" s="39" t="str">
        <f t="array" ref="E507">_xlfn.XLOOKUP($B507, DB[samplingPoint], DB[noLocation])</f>
        <v>10-2-037</v>
      </c>
      <c r="F507" s="40" t="str">
        <f t="array" ref="F507">_xlfn.XLOOKUP($B507, DB[samplingPoint], DB[building])</f>
        <v>Building 10</v>
      </c>
      <c r="G507" s="40" t="str">
        <f t="array" ref="G507">_xlfn.XLOOKUP($B507, DB[samplingPoint], DB[location])</f>
        <v>SKID FOR BIN WASHING-2</v>
      </c>
      <c r="H507" s="40" t="str">
        <f t="array" ref="H507">_xlfn.XLOOKUP($B507, DB[samplingPoint], DB[waterType])</f>
        <v>PW</v>
      </c>
      <c r="I507" s="60">
        <f t="shared" si="1"/>
        <v>45895</v>
      </c>
      <c r="J507" s="192">
        <f t="shared" si="2"/>
        <v>45898</v>
      </c>
      <c r="K507" s="32">
        <v>0.0</v>
      </c>
      <c r="L507" s="32">
        <v>0.0</v>
      </c>
      <c r="M507" s="32">
        <f t="shared" si="3"/>
        <v>0</v>
      </c>
      <c r="N507" s="32" t="s">
        <v>376</v>
      </c>
      <c r="O507" s="32">
        <v>100.0</v>
      </c>
      <c r="P507" s="50" t="str">
        <f t="shared" si="6"/>
        <v>PASSED</v>
      </c>
      <c r="Q507" s="50" t="str">
        <f t="shared" si="5"/>
        <v>10</v>
      </c>
    </row>
    <row r="508" ht="22.5" customHeight="1">
      <c r="A508" s="26">
        <v>45894.0</v>
      </c>
      <c r="B508" s="32" t="s">
        <v>499</v>
      </c>
      <c r="C508" s="191" t="str">
        <f t="array" ref="C508">_xlfn.XLOOKUP(B508, DB[samplingPoint], DB[samplingTag])</f>
        <v>SV116.01</v>
      </c>
      <c r="D508" s="33" t="s">
        <v>59</v>
      </c>
      <c r="E508" s="39" t="str">
        <f t="array" ref="E508">_xlfn.XLOOKUP($B508, DB[samplingPoint], DB[noLocation])</f>
        <v>10-2-021</v>
      </c>
      <c r="F508" s="40" t="str">
        <f t="array" ref="F508">_xlfn.XLOOKUP($B508, DB[samplingPoint], DB[building])</f>
        <v>Building 10</v>
      </c>
      <c r="G508" s="40" t="str">
        <f t="array" ref="G508">_xlfn.XLOOKUP($B508, DB[samplingPoint], DB[location])</f>
        <v>INSTRUMENT-1</v>
      </c>
      <c r="H508" s="40" t="str">
        <f t="array" ref="H508">_xlfn.XLOOKUP($B508, DB[samplingPoint], DB[waterType])</f>
        <v>PW</v>
      </c>
      <c r="I508" s="60">
        <f t="shared" si="1"/>
        <v>45895</v>
      </c>
      <c r="J508" s="192">
        <f t="shared" si="2"/>
        <v>45898</v>
      </c>
      <c r="K508" s="32">
        <v>0.0</v>
      </c>
      <c r="L508" s="32">
        <v>0.0</v>
      </c>
      <c r="M508" s="32">
        <f t="shared" si="3"/>
        <v>0</v>
      </c>
      <c r="N508" s="32" t="s">
        <v>376</v>
      </c>
      <c r="O508" s="32">
        <v>100.0</v>
      </c>
      <c r="P508" s="50" t="str">
        <f t="shared" si="6"/>
        <v>PASSED</v>
      </c>
      <c r="Q508" s="50" t="str">
        <f t="shared" si="5"/>
        <v>10</v>
      </c>
    </row>
    <row r="509" ht="22.5" customHeight="1">
      <c r="A509" s="26">
        <v>45894.0</v>
      </c>
      <c r="B509" s="32" t="s">
        <v>495</v>
      </c>
      <c r="C509" s="191" t="str">
        <f t="array" ref="C509">_xlfn.XLOOKUP(B509, DB[samplingPoint], DB[samplingTag])</f>
        <v>SV116.18</v>
      </c>
      <c r="D509" s="33" t="s">
        <v>59</v>
      </c>
      <c r="E509" s="39" t="str">
        <f t="array" ref="E509">_xlfn.XLOOKUP($B509, DB[samplingPoint], DB[noLocation])</f>
        <v>10-4-012</v>
      </c>
      <c r="F509" s="40" t="str">
        <f t="array" ref="F509">_xlfn.XLOOKUP($B509, DB[samplingPoint], DB[building])</f>
        <v>Building 10</v>
      </c>
      <c r="G509" s="40" t="str">
        <f t="array" ref="G509">_xlfn.XLOOKUP($B509, DB[samplingPoint], DB[location])</f>
        <v>WIP SKID-1 FOR GRANULATION NON POTENT</v>
      </c>
      <c r="H509" s="40" t="str">
        <f t="array" ref="H509">_xlfn.XLOOKUP($B509, DB[samplingPoint], DB[waterType])</f>
        <v>PW</v>
      </c>
      <c r="I509" s="60">
        <f t="shared" si="1"/>
        <v>45895</v>
      </c>
      <c r="J509" s="192">
        <f t="shared" si="2"/>
        <v>45898</v>
      </c>
      <c r="K509" s="32">
        <v>0.0</v>
      </c>
      <c r="L509" s="32">
        <v>0.0</v>
      </c>
      <c r="M509" s="32">
        <f t="shared" si="3"/>
        <v>0</v>
      </c>
      <c r="N509" s="32" t="s">
        <v>376</v>
      </c>
      <c r="O509" s="32">
        <v>100.0</v>
      </c>
      <c r="P509" s="50" t="str">
        <f t="shared" si="6"/>
        <v>PASSED</v>
      </c>
      <c r="Q509" s="50" t="str">
        <f t="shared" si="5"/>
        <v>10</v>
      </c>
    </row>
    <row r="510" ht="22.5" customHeight="1">
      <c r="A510" s="26">
        <v>45894.0</v>
      </c>
      <c r="B510" s="32" t="s">
        <v>494</v>
      </c>
      <c r="C510" s="191" t="str">
        <f t="array" ref="C510">_xlfn.XLOOKUP(B510, DB[samplingPoint], DB[samplingTag])</f>
        <v>SV116.17</v>
      </c>
      <c r="D510" s="33" t="s">
        <v>59</v>
      </c>
      <c r="E510" s="39" t="str">
        <f t="array" ref="E510">_xlfn.XLOOKUP($B510, DB[samplingPoint], DB[noLocation])</f>
        <v>10-4-012</v>
      </c>
      <c r="F510" s="40" t="str">
        <f t="array" ref="F510">_xlfn.XLOOKUP($B510, DB[samplingPoint], DB[building])</f>
        <v>Building 10</v>
      </c>
      <c r="G510" s="40" t="str">
        <f t="array" ref="G510">_xlfn.XLOOKUP($B510, DB[samplingPoint], DB[location])</f>
        <v>CIP SKID-2 FOR BIN WASHING-1</v>
      </c>
      <c r="H510" s="40" t="str">
        <f t="array" ref="H510">_xlfn.XLOOKUP($B510, DB[samplingPoint], DB[waterType])</f>
        <v>PW</v>
      </c>
      <c r="I510" s="60">
        <f t="shared" si="1"/>
        <v>45895</v>
      </c>
      <c r="J510" s="192">
        <f t="shared" si="2"/>
        <v>45898</v>
      </c>
      <c r="K510" s="32">
        <v>0.0</v>
      </c>
      <c r="L510" s="32">
        <v>0.0</v>
      </c>
      <c r="M510" s="32">
        <f t="shared" si="3"/>
        <v>0</v>
      </c>
      <c r="N510" s="32" t="s">
        <v>376</v>
      </c>
      <c r="O510" s="32">
        <v>100.0</v>
      </c>
      <c r="P510" s="50" t="str">
        <f t="shared" si="6"/>
        <v>PASSED</v>
      </c>
      <c r="Q510" s="50" t="str">
        <f t="shared" si="5"/>
        <v>10</v>
      </c>
    </row>
    <row r="511" ht="22.5" customHeight="1">
      <c r="A511" s="26">
        <v>45894.0</v>
      </c>
      <c r="B511" s="32" t="s">
        <v>493</v>
      </c>
      <c r="C511" s="191" t="str">
        <f t="array" ref="C511">_xlfn.XLOOKUP(B511, DB[samplingPoint], DB[samplingTag])</f>
        <v>SV116.16</v>
      </c>
      <c r="D511" s="33" t="s">
        <v>59</v>
      </c>
      <c r="E511" s="39" t="str">
        <f t="array" ref="E511">_xlfn.XLOOKUP($B511, DB[samplingPoint], DB[noLocation])</f>
        <v>10-4-012</v>
      </c>
      <c r="F511" s="40" t="str">
        <f t="array" ref="F511">_xlfn.XLOOKUP($B511, DB[samplingPoint], DB[building])</f>
        <v>Building 10</v>
      </c>
      <c r="G511" s="40" t="str">
        <f t="array" ref="G511">_xlfn.XLOOKUP($B511, DB[samplingPoint], DB[location])</f>
        <v>WIP SKID-3 FOR GRANULATION POTENT</v>
      </c>
      <c r="H511" s="40" t="str">
        <f t="array" ref="H511">_xlfn.XLOOKUP($B511, DB[samplingPoint], DB[waterType])</f>
        <v>PW</v>
      </c>
      <c r="I511" s="60">
        <f t="shared" si="1"/>
        <v>45895</v>
      </c>
      <c r="J511" s="192">
        <f t="shared" si="2"/>
        <v>45898</v>
      </c>
      <c r="K511" s="32">
        <v>0.0</v>
      </c>
      <c r="L511" s="32">
        <v>0.0</v>
      </c>
      <c r="M511" s="32">
        <f t="shared" si="3"/>
        <v>0</v>
      </c>
      <c r="N511" s="32" t="s">
        <v>376</v>
      </c>
      <c r="O511" s="32">
        <v>100.0</v>
      </c>
      <c r="P511" s="50" t="str">
        <f t="shared" si="6"/>
        <v>PASSED</v>
      </c>
      <c r="Q511" s="50" t="str">
        <f t="shared" si="5"/>
        <v>10</v>
      </c>
    </row>
    <row r="512" ht="22.5" customHeight="1">
      <c r="A512" s="26">
        <v>45894.0</v>
      </c>
      <c r="B512" s="32" t="s">
        <v>491</v>
      </c>
      <c r="C512" s="191" t="str">
        <f t="array" ref="C512">_xlfn.XLOOKUP(B512, DB[samplingPoint], DB[samplingTag])</f>
        <v>SV116.15</v>
      </c>
      <c r="D512" s="33" t="s">
        <v>59</v>
      </c>
      <c r="E512" s="39" t="str">
        <f t="array" ref="E512">_xlfn.XLOOKUP($B512, DB[samplingPoint], DB[noLocation])</f>
        <v>10-4-012</v>
      </c>
      <c r="F512" s="40" t="str">
        <f t="array" ref="F512">_xlfn.XLOOKUP($B512, DB[samplingPoint], DB[building])</f>
        <v>Building 10</v>
      </c>
      <c r="G512" s="40" t="str">
        <f t="array" ref="G512">_xlfn.XLOOKUP($B512, DB[samplingPoint], DB[location])</f>
        <v>CIP SKID-1 FOR BIN WASHING-1</v>
      </c>
      <c r="H512" s="40" t="str">
        <f t="array" ref="H512">_xlfn.XLOOKUP($B512, DB[samplingPoint], DB[waterType])</f>
        <v>PW</v>
      </c>
      <c r="I512" s="60">
        <f t="shared" si="1"/>
        <v>45895</v>
      </c>
      <c r="J512" s="192">
        <f t="shared" si="2"/>
        <v>45898</v>
      </c>
      <c r="K512" s="32">
        <v>0.0</v>
      </c>
      <c r="L512" s="32">
        <v>0.0</v>
      </c>
      <c r="M512" s="32">
        <f t="shared" si="3"/>
        <v>0</v>
      </c>
      <c r="N512" s="32" t="s">
        <v>376</v>
      </c>
      <c r="O512" s="32">
        <v>100.0</v>
      </c>
      <c r="P512" s="50" t="str">
        <f t="shared" si="6"/>
        <v>PASSED</v>
      </c>
      <c r="Q512" s="50" t="str">
        <f t="shared" si="5"/>
        <v>10</v>
      </c>
    </row>
    <row r="513" ht="22.5" customHeight="1">
      <c r="A513" s="26">
        <v>45894.0</v>
      </c>
      <c r="B513" s="32" t="s">
        <v>502</v>
      </c>
      <c r="C513" s="191" t="str">
        <f t="array" ref="C513">_xlfn.XLOOKUP(B513, DB[samplingPoint], DB[samplingTag])</f>
        <v>DV116.26</v>
      </c>
      <c r="D513" s="33" t="s">
        <v>59</v>
      </c>
      <c r="E513" s="39" t="str">
        <f t="array" ref="E513">_xlfn.XLOOKUP($B513, DB[samplingPoint], DB[noLocation])</f>
        <v>10-4-015</v>
      </c>
      <c r="F513" s="40" t="str">
        <f t="array" ref="F513">_xlfn.XLOOKUP($B513, DB[samplingPoint], DB[building])</f>
        <v>Building 10</v>
      </c>
      <c r="G513" s="40" t="str">
        <f t="array" ref="G513">_xlfn.XLOOKUP($B513, DB[samplingPoint], DB[location])</f>
        <v>WATER SYSTEM ROOM</v>
      </c>
      <c r="H513" s="40" t="str">
        <f t="array" ref="H513">_xlfn.XLOOKUP($B513, DB[samplingPoint], DB[waterType])</f>
        <v>PW</v>
      </c>
      <c r="I513" s="60">
        <f t="shared" si="1"/>
        <v>45895</v>
      </c>
      <c r="J513" s="192">
        <f t="shared" si="2"/>
        <v>45898</v>
      </c>
      <c r="K513" s="32">
        <v>0.0</v>
      </c>
      <c r="L513" s="32">
        <v>0.0</v>
      </c>
      <c r="M513" s="32">
        <f t="shared" si="3"/>
        <v>0</v>
      </c>
      <c r="N513" s="32" t="s">
        <v>376</v>
      </c>
      <c r="O513" s="32">
        <v>100.0</v>
      </c>
      <c r="P513" s="50" t="str">
        <f t="shared" si="6"/>
        <v>PASSED</v>
      </c>
      <c r="Q513" s="50" t="str">
        <f t="shared" si="5"/>
        <v>10</v>
      </c>
    </row>
    <row r="514" ht="22.5" customHeight="1">
      <c r="A514" s="26">
        <v>45894.0</v>
      </c>
      <c r="B514" s="32" t="s">
        <v>496</v>
      </c>
      <c r="C514" s="191" t="str">
        <f t="array" ref="C514">_xlfn.XLOOKUP(B514, DB[samplingPoint], DB[samplingTag])</f>
        <v>SV116.19</v>
      </c>
      <c r="D514" s="33" t="s">
        <v>59</v>
      </c>
      <c r="E514" s="39" t="str">
        <f t="array" ref="E514">_xlfn.XLOOKUP($B514, DB[samplingPoint], DB[noLocation])</f>
        <v>10-4-012</v>
      </c>
      <c r="F514" s="40" t="str">
        <f t="array" ref="F514">_xlfn.XLOOKUP($B514, DB[samplingPoint], DB[building])</f>
        <v>Building 10</v>
      </c>
      <c r="G514" s="40" t="str">
        <f t="array" ref="G514">_xlfn.XLOOKUP($B514, DB[samplingPoint], DB[location])</f>
        <v>WIP SKID-2 FOR GRANULATION NON POTENT</v>
      </c>
      <c r="H514" s="40" t="str">
        <f t="array" ref="H514">_xlfn.XLOOKUP($B514, DB[samplingPoint], DB[waterType])</f>
        <v>PW</v>
      </c>
      <c r="I514" s="60">
        <f t="shared" si="1"/>
        <v>45895</v>
      </c>
      <c r="J514" s="192">
        <f t="shared" si="2"/>
        <v>45898</v>
      </c>
      <c r="K514" s="32">
        <v>3.0</v>
      </c>
      <c r="L514" s="32">
        <v>5.0</v>
      </c>
      <c r="M514" s="32">
        <f t="shared" si="3"/>
        <v>4</v>
      </c>
      <c r="N514" s="32" t="s">
        <v>376</v>
      </c>
      <c r="O514" s="32">
        <v>100.0</v>
      </c>
      <c r="P514" s="50" t="str">
        <f t="shared" si="6"/>
        <v>PASSED</v>
      </c>
      <c r="Q514" s="50" t="str">
        <f t="shared" si="5"/>
        <v>10</v>
      </c>
    </row>
    <row r="515" ht="22.5" customHeight="1">
      <c r="A515" s="26">
        <v>45894.0</v>
      </c>
      <c r="B515" s="32" t="s">
        <v>385</v>
      </c>
      <c r="C515" s="191" t="str">
        <f t="array" ref="C515">_xlfn.XLOOKUP(B515, DB[samplingPoint], DB[samplingTag])</f>
        <v>SV115.02</v>
      </c>
      <c r="D515" s="33" t="s">
        <v>59</v>
      </c>
      <c r="E515" s="39" t="str">
        <f t="array" ref="E515">_xlfn.XLOOKUP($B515, DB[samplingPoint], DB[noLocation])</f>
        <v>WATER SYSTEM (B10)</v>
      </c>
      <c r="F515" s="40" t="str">
        <f t="array" ref="F515">_xlfn.XLOOKUP($B515, DB[samplingPoint], DB[building])</f>
        <v>Building 10</v>
      </c>
      <c r="G515" s="40" t="str">
        <f t="array" ref="G515">_xlfn.XLOOKUP($B515, DB[samplingPoint], DB[location])</f>
        <v>After UV (B10)</v>
      </c>
      <c r="H515" s="40" t="str">
        <f t="array" ref="H515">_xlfn.XLOOKUP($B515, DB[samplingPoint], DB[waterType])</f>
        <v>PW</v>
      </c>
      <c r="I515" s="60">
        <f t="shared" si="1"/>
        <v>45895</v>
      </c>
      <c r="J515" s="192">
        <f t="shared" si="2"/>
        <v>45898</v>
      </c>
      <c r="K515" s="32">
        <v>0.0</v>
      </c>
      <c r="L515" s="32">
        <v>0.0</v>
      </c>
      <c r="M515" s="32">
        <f t="shared" si="3"/>
        <v>0</v>
      </c>
      <c r="N515" s="32" t="s">
        <v>376</v>
      </c>
      <c r="O515" s="32">
        <v>100.0</v>
      </c>
      <c r="P515" s="50" t="str">
        <f t="shared" si="6"/>
        <v>PASSED</v>
      </c>
      <c r="Q515" s="50" t="str">
        <f t="shared" si="5"/>
        <v>WA</v>
      </c>
    </row>
    <row r="516" ht="22.5" customHeight="1">
      <c r="A516" s="26">
        <v>45894.0</v>
      </c>
      <c r="B516" s="32" t="s">
        <v>390</v>
      </c>
      <c r="C516" s="191" t="str">
        <f t="array" ref="C516">_xlfn.XLOOKUP(B516, DB[samplingPoint], DB[samplingTag])</f>
        <v>SV117.01</v>
      </c>
      <c r="D516" s="33" t="s">
        <v>59</v>
      </c>
      <c r="E516" s="39" t="str">
        <f t="array" ref="E516">_xlfn.XLOOKUP($B516, DB[samplingPoint], DB[noLocation])</f>
        <v>WATER SYSTEM (B10)</v>
      </c>
      <c r="F516" s="40" t="str">
        <f t="array" ref="F516">_xlfn.XLOOKUP($B516, DB[samplingPoint], DB[building])</f>
        <v>Building 10</v>
      </c>
      <c r="G516" s="40" t="str">
        <f t="array" ref="G516">_xlfn.XLOOKUP($B516, DB[samplingPoint], DB[location])</f>
        <v>Return loop (B10)</v>
      </c>
      <c r="H516" s="40" t="str">
        <f t="array" ref="H516">_xlfn.XLOOKUP($B516, DB[samplingPoint], DB[waterType])</f>
        <v>PW</v>
      </c>
      <c r="I516" s="60">
        <f t="shared" si="1"/>
        <v>45895</v>
      </c>
      <c r="J516" s="192">
        <f t="shared" si="2"/>
        <v>45898</v>
      </c>
      <c r="K516" s="32">
        <v>0.0</v>
      </c>
      <c r="L516" s="32">
        <v>0.0</v>
      </c>
      <c r="M516" s="32">
        <f t="shared" si="3"/>
        <v>0</v>
      </c>
      <c r="N516" s="32" t="s">
        <v>376</v>
      </c>
      <c r="O516" s="32">
        <v>100.0</v>
      </c>
      <c r="P516" s="50" t="str">
        <f t="shared" si="6"/>
        <v>PASSED</v>
      </c>
      <c r="Q516" s="50" t="str">
        <f t="shared" si="5"/>
        <v>WA</v>
      </c>
    </row>
    <row r="517" ht="22.5" customHeight="1">
      <c r="A517" s="26">
        <v>45905.0</v>
      </c>
      <c r="B517" s="32" t="s">
        <v>349</v>
      </c>
      <c r="C517" s="191" t="str">
        <f t="array" ref="C517">_xlfn.XLOOKUP(B517, DB[samplingPoint], DB[samplingTag])</f>
        <v>VB-05(10)</v>
      </c>
      <c r="D517" s="33" t="s">
        <v>59</v>
      </c>
      <c r="E517" s="39" t="str">
        <f t="array" ref="E517">_xlfn.XLOOKUP($B517, DB[samplingPoint], DB[noLocation])</f>
        <v>WATER SYSTEM (B10)</v>
      </c>
      <c r="F517" s="40" t="str">
        <f t="array" ref="F517">_xlfn.XLOOKUP($B517, DB[samplingPoint], DB[building])</f>
        <v>Building 10</v>
      </c>
      <c r="G517" s="40" t="str">
        <f t="array" ref="G517">_xlfn.XLOOKUP($B517, DB[samplingPoint], DB[location])</f>
        <v>After Chlorine circulation tank (B10)</v>
      </c>
      <c r="H517" s="40" t="str">
        <f t="array" ref="H517">_xlfn.XLOOKUP($B517, DB[samplingPoint], DB[waterType])</f>
        <v>PRW</v>
      </c>
      <c r="I517" s="60">
        <f t="shared" si="1"/>
        <v>45906</v>
      </c>
      <c r="J517" s="192">
        <f t="shared" si="2"/>
        <v>45909</v>
      </c>
      <c r="K517" s="32">
        <v>0.0</v>
      </c>
      <c r="L517" s="32">
        <v>0.0</v>
      </c>
      <c r="M517" s="32">
        <f t="shared" si="3"/>
        <v>0</v>
      </c>
      <c r="N517" s="32" t="s">
        <v>376</v>
      </c>
      <c r="O517" s="32">
        <v>500.0</v>
      </c>
      <c r="P517" s="50" t="str">
        <f t="shared" si="6"/>
        <v>PASSED</v>
      </c>
      <c r="Q517" s="50" t="str">
        <f t="shared" si="5"/>
        <v>WA</v>
      </c>
    </row>
    <row r="518" ht="22.5" customHeight="1">
      <c r="A518" s="26">
        <v>45905.0</v>
      </c>
      <c r="B518" s="32" t="s">
        <v>366</v>
      </c>
      <c r="C518" s="191" t="str">
        <f t="array" ref="C518">_xlfn.XLOOKUP(B518, DB[samplingPoint], DB[samplingTag])</f>
        <v>V50-61(10)</v>
      </c>
      <c r="D518" s="33" t="s">
        <v>59</v>
      </c>
      <c r="E518" s="39" t="str">
        <f t="array" ref="E518">_xlfn.XLOOKUP($B518, DB[samplingPoint], DB[noLocation])</f>
        <v>WATER SYSTEM (B10)</v>
      </c>
      <c r="F518" s="40" t="str">
        <f t="array" ref="F518">_xlfn.XLOOKUP($B518, DB[samplingPoint], DB[building])</f>
        <v>Building 10</v>
      </c>
      <c r="G518" s="40" t="str">
        <f t="array" ref="G518">_xlfn.XLOOKUP($B518, DB[samplingPoint], DB[location])</f>
        <v>After Cartridge filter 5 µm (B10)</v>
      </c>
      <c r="H518" s="40" t="str">
        <f t="array" ref="H518">_xlfn.XLOOKUP($B518, DB[samplingPoint], DB[waterType])</f>
        <v>PRW</v>
      </c>
      <c r="I518" s="60">
        <f t="shared" si="1"/>
        <v>45906</v>
      </c>
      <c r="J518" s="192">
        <f t="shared" si="2"/>
        <v>45909</v>
      </c>
      <c r="K518" s="32">
        <v>279.0</v>
      </c>
      <c r="L518" s="32">
        <v>295.0</v>
      </c>
      <c r="M518" s="32">
        <f t="shared" si="3"/>
        <v>287</v>
      </c>
      <c r="N518" s="32" t="s">
        <v>376</v>
      </c>
      <c r="O518" s="32">
        <v>500.0</v>
      </c>
      <c r="P518" s="50" t="str">
        <f t="shared" si="6"/>
        <v>PASSED</v>
      </c>
      <c r="Q518" s="50" t="str">
        <f t="shared" si="5"/>
        <v>WA</v>
      </c>
    </row>
    <row r="519" ht="22.5" customHeight="1">
      <c r="A519" s="26">
        <v>45905.0</v>
      </c>
      <c r="B519" s="32" t="s">
        <v>368</v>
      </c>
      <c r="C519" s="191" t="str">
        <f t="array" ref="C519">_xlfn.XLOOKUP(B519, DB[samplingPoint], DB[samplingTag])</f>
        <v>V50-11C(10)</v>
      </c>
      <c r="D519" s="33" t="s">
        <v>59</v>
      </c>
      <c r="E519" s="39" t="str">
        <f t="array" ref="E519">_xlfn.XLOOKUP($B519, DB[samplingPoint], DB[noLocation])</f>
        <v>WATER SYSTEM (B10)</v>
      </c>
      <c r="F519" s="40" t="str">
        <f t="array" ref="F519">_xlfn.XLOOKUP($B519, DB[samplingPoint], DB[building])</f>
        <v>Building 10</v>
      </c>
      <c r="G519" s="40" t="str">
        <f t="array" ref="G519">_xlfn.XLOOKUP($B519, DB[samplingPoint], DB[location])</f>
        <v>After RO (Before EDI) (B10)</v>
      </c>
      <c r="H519" s="40" t="str">
        <f t="array" ref="H519">_xlfn.XLOOKUP($B519, DB[samplingPoint], DB[waterType])</f>
        <v>RO water</v>
      </c>
      <c r="I519" s="60">
        <f t="shared" si="1"/>
        <v>45906</v>
      </c>
      <c r="J519" s="192">
        <f t="shared" si="2"/>
        <v>45909</v>
      </c>
      <c r="K519" s="32">
        <v>0.0</v>
      </c>
      <c r="L519" s="32">
        <v>0.0</v>
      </c>
      <c r="M519" s="32">
        <f t="shared" si="3"/>
        <v>0</v>
      </c>
      <c r="N519" s="32" t="s">
        <v>376</v>
      </c>
      <c r="O519" s="32">
        <v>500.0</v>
      </c>
      <c r="P519" s="50" t="str">
        <f t="shared" si="6"/>
        <v>PASSED</v>
      </c>
      <c r="Q519" s="50" t="str">
        <f t="shared" si="5"/>
        <v>WA</v>
      </c>
    </row>
    <row r="520" ht="22.5" customHeight="1">
      <c r="A520" s="26">
        <v>45905.0</v>
      </c>
      <c r="B520" s="32" t="s">
        <v>374</v>
      </c>
      <c r="C520" s="191" t="str">
        <f t="array" ref="C520">_xlfn.XLOOKUP(B520, DB[samplingPoint], DB[samplingTag])</f>
        <v>V50-39(10)</v>
      </c>
      <c r="D520" s="33" t="s">
        <v>59</v>
      </c>
      <c r="E520" s="39" t="str">
        <f t="array" ref="E520">_xlfn.XLOOKUP($B520, DB[samplingPoint], DB[noLocation])</f>
        <v>WATER SYSTEM (B10)</v>
      </c>
      <c r="F520" s="40" t="str">
        <f t="array" ref="F520">_xlfn.XLOOKUP($B520, DB[samplingPoint], DB[building])</f>
        <v>Building 10</v>
      </c>
      <c r="G520" s="40" t="str">
        <f t="array" ref="G520">_xlfn.XLOOKUP($B520, DB[samplingPoint], DB[location])</f>
        <v>After EDI (B10)</v>
      </c>
      <c r="H520" s="40" t="str">
        <f t="array" ref="H520">_xlfn.XLOOKUP($B520, DB[samplingPoint], DB[waterType])</f>
        <v>PW</v>
      </c>
      <c r="I520" s="60">
        <f t="shared" si="1"/>
        <v>45906</v>
      </c>
      <c r="J520" s="192">
        <f t="shared" si="2"/>
        <v>45909</v>
      </c>
      <c r="K520" s="32">
        <v>0.0</v>
      </c>
      <c r="L520" s="32">
        <v>0.0</v>
      </c>
      <c r="M520" s="32">
        <f t="shared" si="3"/>
        <v>0</v>
      </c>
      <c r="N520" s="32" t="s">
        <v>376</v>
      </c>
      <c r="O520" s="32">
        <v>100.0</v>
      </c>
      <c r="P520" s="50" t="str">
        <f t="shared" si="6"/>
        <v>PASSED</v>
      </c>
      <c r="Q520" s="50" t="str">
        <f t="shared" si="5"/>
        <v>WA</v>
      </c>
    </row>
    <row r="521" ht="22.5" customHeight="1">
      <c r="A521" s="26">
        <v>45905.0</v>
      </c>
      <c r="B521" s="32" t="s">
        <v>489</v>
      </c>
      <c r="C521" s="191" t="str">
        <f t="array" ref="C521">_xlfn.XLOOKUP(B521, DB[samplingPoint], DB[samplingTag])</f>
        <v>DV116.18</v>
      </c>
      <c r="D521" s="33" t="s">
        <v>59</v>
      </c>
      <c r="E521" s="39" t="str">
        <f t="array" ref="E521">_xlfn.XLOOKUP($B521, DB[samplingPoint], DB[noLocation])</f>
        <v>10-3-111</v>
      </c>
      <c r="F521" s="40" t="str">
        <f t="array" ref="F521">_xlfn.XLOOKUP($B521, DB[samplingPoint], DB[building])</f>
        <v>Building 10</v>
      </c>
      <c r="G521" s="40" t="str">
        <f t="array" ref="G521">_xlfn.XLOOKUP($B521, DB[samplingPoint], DB[location])</f>
        <v>WET GRANULATION-5</v>
      </c>
      <c r="H521" s="40" t="str">
        <f t="array" ref="H521">_xlfn.XLOOKUP($B521, DB[samplingPoint], DB[waterType])</f>
        <v>PW</v>
      </c>
      <c r="I521" s="60">
        <f t="shared" si="1"/>
        <v>45906</v>
      </c>
      <c r="J521" s="192">
        <f t="shared" si="2"/>
        <v>45909</v>
      </c>
      <c r="K521" s="32">
        <v>0.0</v>
      </c>
      <c r="L521" s="32">
        <v>0.0</v>
      </c>
      <c r="M521" s="32">
        <f t="shared" si="3"/>
        <v>0</v>
      </c>
      <c r="N521" s="32" t="s">
        <v>376</v>
      </c>
      <c r="O521" s="32">
        <v>100.0</v>
      </c>
      <c r="P521" s="50" t="str">
        <f t="shared" si="6"/>
        <v>PASSED</v>
      </c>
      <c r="Q521" s="50" t="str">
        <f t="shared" si="5"/>
        <v>10</v>
      </c>
    </row>
    <row r="522" ht="22.5" customHeight="1">
      <c r="A522" s="26">
        <v>45905.0</v>
      </c>
      <c r="B522" s="32" t="s">
        <v>476</v>
      </c>
      <c r="C522" s="191" t="str">
        <f t="array" ref="C522">_xlfn.XLOOKUP(B522, DB[samplingPoint], DB[samplingTag])</f>
        <v>DV116.12</v>
      </c>
      <c r="D522" s="33" t="s">
        <v>59</v>
      </c>
      <c r="E522" s="39" t="str">
        <f t="array" ref="E522">_xlfn.XLOOKUP($B522, DB[samplingPoint], DB[noLocation])</f>
        <v>10-3-078</v>
      </c>
      <c r="F522" s="40" t="str">
        <f t="array" ref="F522">_xlfn.XLOOKUP($B522, DB[samplingPoint], DB[building])</f>
        <v>Building 10</v>
      </c>
      <c r="G522" s="40" t="str">
        <f t="array" ref="G522">_xlfn.XLOOKUP($B522, DB[samplingPoint], DB[location])</f>
        <v>WASHING</v>
      </c>
      <c r="H522" s="40" t="str">
        <f t="array" ref="H522">_xlfn.XLOOKUP($B522, DB[samplingPoint], DB[waterType])</f>
        <v>PW</v>
      </c>
      <c r="I522" s="60">
        <f t="shared" si="1"/>
        <v>45906</v>
      </c>
      <c r="J522" s="192">
        <f t="shared" si="2"/>
        <v>45909</v>
      </c>
      <c r="K522" s="32">
        <v>0.0</v>
      </c>
      <c r="L522" s="32">
        <v>0.0</v>
      </c>
      <c r="M522" s="32">
        <f t="shared" si="3"/>
        <v>0</v>
      </c>
      <c r="N522" s="32" t="s">
        <v>376</v>
      </c>
      <c r="O522" s="32">
        <v>100.0</v>
      </c>
      <c r="P522" s="50" t="str">
        <f t="shared" si="6"/>
        <v>PASSED</v>
      </c>
      <c r="Q522" s="50" t="str">
        <f t="shared" si="5"/>
        <v>10</v>
      </c>
    </row>
    <row r="523" ht="22.5" customHeight="1">
      <c r="A523" s="26">
        <v>45905.0</v>
      </c>
      <c r="B523" s="32" t="s">
        <v>479</v>
      </c>
      <c r="C523" s="191" t="str">
        <f t="array" ref="C523">_xlfn.XLOOKUP(B523, DB[samplingPoint], DB[samplingTag])</f>
        <v>DV116.13</v>
      </c>
      <c r="D523" s="33" t="s">
        <v>59</v>
      </c>
      <c r="E523" s="39" t="str">
        <f t="array" ref="E523">_xlfn.XLOOKUP($B523, DB[samplingPoint], DB[noLocation])</f>
        <v>10-3-078</v>
      </c>
      <c r="F523" s="40" t="str">
        <f t="array" ref="F523">_xlfn.XLOOKUP($B523, DB[samplingPoint], DB[building])</f>
        <v>Building 10</v>
      </c>
      <c r="G523" s="40" t="str">
        <f t="array" ref="G523">_xlfn.XLOOKUP($B523, DB[samplingPoint], DB[location])</f>
        <v>WASHING</v>
      </c>
      <c r="H523" s="40" t="str">
        <f t="array" ref="H523">_xlfn.XLOOKUP($B523, DB[samplingPoint], DB[waterType])</f>
        <v>PW</v>
      </c>
      <c r="I523" s="60">
        <f t="shared" si="1"/>
        <v>45906</v>
      </c>
      <c r="J523" s="192">
        <f t="shared" si="2"/>
        <v>45909</v>
      </c>
      <c r="K523" s="32">
        <v>0.0</v>
      </c>
      <c r="L523" s="32">
        <v>0.0</v>
      </c>
      <c r="M523" s="32">
        <f t="shared" si="3"/>
        <v>0</v>
      </c>
      <c r="N523" s="32" t="s">
        <v>376</v>
      </c>
      <c r="O523" s="32">
        <v>100.0</v>
      </c>
      <c r="P523" s="50" t="str">
        <f t="shared" si="6"/>
        <v>PASSED</v>
      </c>
      <c r="Q523" s="50" t="str">
        <f t="shared" si="5"/>
        <v>10</v>
      </c>
    </row>
    <row r="524" ht="22.5" customHeight="1">
      <c r="A524" s="26">
        <v>45905.0</v>
      </c>
      <c r="B524" s="32" t="s">
        <v>482</v>
      </c>
      <c r="C524" s="191" t="str">
        <f t="array" ref="C524">_xlfn.XLOOKUP(B524, DB[samplingPoint], DB[samplingTag])</f>
        <v>DV116.14</v>
      </c>
      <c r="D524" s="33" t="s">
        <v>59</v>
      </c>
      <c r="E524" s="39" t="str">
        <f t="array" ref="E524">_xlfn.XLOOKUP($B524, DB[samplingPoint], DB[noLocation])</f>
        <v>10-3-086</v>
      </c>
      <c r="F524" s="40" t="str">
        <f t="array" ref="F524">_xlfn.XLOOKUP($B524, DB[samplingPoint], DB[building])</f>
        <v>Building 10</v>
      </c>
      <c r="G524" s="40" t="str">
        <f t="array" ref="G524">_xlfn.XLOOKUP($B524, DB[samplingPoint], DB[location])</f>
        <v>TOOL WASHING</v>
      </c>
      <c r="H524" s="40" t="str">
        <f t="array" ref="H524">_xlfn.XLOOKUP($B524, DB[samplingPoint], DB[waterType])</f>
        <v>PW</v>
      </c>
      <c r="I524" s="60">
        <f t="shared" si="1"/>
        <v>45906</v>
      </c>
      <c r="J524" s="192">
        <f t="shared" si="2"/>
        <v>45909</v>
      </c>
      <c r="K524" s="32">
        <v>0.0</v>
      </c>
      <c r="L524" s="32">
        <v>0.0</v>
      </c>
      <c r="M524" s="32">
        <f t="shared" si="3"/>
        <v>0</v>
      </c>
      <c r="N524" s="32" t="s">
        <v>376</v>
      </c>
      <c r="O524" s="32">
        <v>100.0</v>
      </c>
      <c r="P524" s="50" t="str">
        <f t="shared" si="6"/>
        <v>PASSED</v>
      </c>
      <c r="Q524" s="50" t="str">
        <f t="shared" si="5"/>
        <v>10</v>
      </c>
    </row>
    <row r="525" ht="22.5" customHeight="1">
      <c r="A525" s="26">
        <v>45905.0</v>
      </c>
      <c r="B525" s="32" t="s">
        <v>119</v>
      </c>
      <c r="C525" s="191" t="str">
        <f t="array" ref="C525">_xlfn.XLOOKUP(B525, DB[samplingPoint], DB[samplingTag])</f>
        <v>DV116.15</v>
      </c>
      <c r="D525" s="33" t="s">
        <v>59</v>
      </c>
      <c r="E525" s="39" t="str">
        <f t="array" ref="E525">_xlfn.XLOOKUP($B525, DB[samplingPoint], DB[noLocation])</f>
        <v>10-3-104</v>
      </c>
      <c r="F525" s="40" t="str">
        <f t="array" ref="F525">_xlfn.XLOOKUP($B525, DB[samplingPoint], DB[building])</f>
        <v>Building 10</v>
      </c>
      <c r="G525" s="40" t="str">
        <f t="array" ref="G525">_xlfn.XLOOKUP($B525, DB[samplingPoint], DB[location])</f>
        <v>BINDER PREPARATION</v>
      </c>
      <c r="H525" s="40" t="str">
        <f t="array" ref="H525">_xlfn.XLOOKUP($B525, DB[samplingPoint], DB[waterType])</f>
        <v>PW</v>
      </c>
      <c r="I525" s="60">
        <f t="shared" si="1"/>
        <v>45906</v>
      </c>
      <c r="J525" s="192">
        <f t="shared" si="2"/>
        <v>45909</v>
      </c>
      <c r="K525" s="32">
        <v>0.0</v>
      </c>
      <c r="L525" s="32">
        <v>0.0</v>
      </c>
      <c r="M525" s="32">
        <f t="shared" si="3"/>
        <v>0</v>
      </c>
      <c r="N525" s="32" t="s">
        <v>376</v>
      </c>
      <c r="O525" s="32">
        <v>100.0</v>
      </c>
      <c r="P525" s="50" t="str">
        <f t="shared" si="6"/>
        <v>PASSED</v>
      </c>
      <c r="Q525" s="50" t="str">
        <f t="shared" si="5"/>
        <v>10</v>
      </c>
    </row>
    <row r="526" ht="22.5" customHeight="1">
      <c r="A526" s="26">
        <v>45905.0</v>
      </c>
      <c r="B526" s="32" t="s">
        <v>490</v>
      </c>
      <c r="C526" s="191" t="str">
        <f t="array" ref="C526">_xlfn.XLOOKUP(B526, DB[samplingPoint], DB[samplingTag])</f>
        <v>SV116.09</v>
      </c>
      <c r="D526" s="33" t="s">
        <v>59</v>
      </c>
      <c r="E526" s="39" t="str">
        <f t="array" ref="E526">_xlfn.XLOOKUP($B526, DB[samplingPoint], DB[noLocation])</f>
        <v>10-3-078</v>
      </c>
      <c r="F526" s="40" t="str">
        <f t="array" ref="F526">_xlfn.XLOOKUP($B526, DB[samplingPoint], DB[building])</f>
        <v>Building 10</v>
      </c>
      <c r="G526" s="40" t="str">
        <f t="array" ref="G526">_xlfn.XLOOKUP($B526, DB[samplingPoint], DB[location])</f>
        <v>WASHING</v>
      </c>
      <c r="H526" s="40" t="str">
        <f t="array" ref="H526">_xlfn.XLOOKUP($B526, DB[samplingPoint], DB[waterType])</f>
        <v>PW</v>
      </c>
      <c r="I526" s="60">
        <f t="shared" si="1"/>
        <v>45906</v>
      </c>
      <c r="J526" s="192">
        <f t="shared" si="2"/>
        <v>45909</v>
      </c>
      <c r="K526" s="32">
        <v>0.0</v>
      </c>
      <c r="L526" s="32">
        <v>0.0</v>
      </c>
      <c r="M526" s="32">
        <f t="shared" si="3"/>
        <v>0</v>
      </c>
      <c r="N526" s="32" t="s">
        <v>376</v>
      </c>
      <c r="O526" s="32">
        <v>100.0</v>
      </c>
      <c r="P526" s="50" t="str">
        <f t="shared" si="6"/>
        <v>PASSED</v>
      </c>
      <c r="Q526" s="50" t="str">
        <f t="shared" si="5"/>
        <v>10</v>
      </c>
    </row>
    <row r="527" ht="22.5" customHeight="1">
      <c r="A527" s="26">
        <v>45905.0</v>
      </c>
      <c r="B527" s="32" t="s">
        <v>492</v>
      </c>
      <c r="C527" s="191" t="str">
        <f t="array" ref="C527">_xlfn.XLOOKUP(B527, DB[samplingPoint], DB[samplingTag])</f>
        <v>SV116.11</v>
      </c>
      <c r="D527" s="33" t="s">
        <v>59</v>
      </c>
      <c r="E527" s="39" t="str">
        <f t="array" ref="E527">_xlfn.XLOOKUP($B527, DB[samplingPoint], DB[noLocation])</f>
        <v>10-3-107</v>
      </c>
      <c r="F527" s="40" t="str">
        <f t="array" ref="F527">_xlfn.XLOOKUP($B527, DB[samplingPoint], DB[building])</f>
        <v>Building 10</v>
      </c>
      <c r="G527" s="40" t="str">
        <f t="array" ref="G527">_xlfn.XLOOKUP($B527, DB[samplingPoint], DB[location])</f>
        <v>WET GRANULATION-2</v>
      </c>
      <c r="H527" s="40" t="str">
        <f t="array" ref="H527">_xlfn.XLOOKUP($B527, DB[samplingPoint], DB[waterType])</f>
        <v>PW</v>
      </c>
      <c r="I527" s="60">
        <f t="shared" si="1"/>
        <v>45906</v>
      </c>
      <c r="J527" s="192">
        <f t="shared" si="2"/>
        <v>45909</v>
      </c>
      <c r="K527" s="32">
        <v>0.0</v>
      </c>
      <c r="L527" s="32">
        <v>0.0</v>
      </c>
      <c r="M527" s="32">
        <f t="shared" si="3"/>
        <v>0</v>
      </c>
      <c r="N527" s="32" t="s">
        <v>376</v>
      </c>
      <c r="O527" s="32">
        <v>100.0</v>
      </c>
      <c r="P527" s="50" t="str">
        <f t="shared" si="6"/>
        <v>PASSED</v>
      </c>
      <c r="Q527" s="50" t="str">
        <f t="shared" si="5"/>
        <v>10</v>
      </c>
    </row>
    <row r="528" ht="22.5" customHeight="1">
      <c r="A528" s="26">
        <v>45905.0</v>
      </c>
      <c r="B528" s="32" t="s">
        <v>485</v>
      </c>
      <c r="C528" s="191" t="str">
        <f t="array" ref="C528">_xlfn.XLOOKUP(B528, DB[samplingPoint], DB[samplingTag])</f>
        <v>DV116.16</v>
      </c>
      <c r="D528" s="33" t="s">
        <v>59</v>
      </c>
      <c r="E528" s="39" t="str">
        <f t="array" ref="E528">_xlfn.XLOOKUP($B528, DB[samplingPoint], DB[noLocation])</f>
        <v>10-3-107</v>
      </c>
      <c r="F528" s="40" t="str">
        <f t="array" ref="F528">_xlfn.XLOOKUP($B528, DB[samplingPoint], DB[building])</f>
        <v>Building 10</v>
      </c>
      <c r="G528" s="40" t="str">
        <f t="array" ref="G528">_xlfn.XLOOKUP($B528, DB[samplingPoint], DB[location])</f>
        <v>WET GRANULATION-2</v>
      </c>
      <c r="H528" s="40" t="str">
        <f t="array" ref="H528">_xlfn.XLOOKUP($B528, DB[samplingPoint], DB[waterType])</f>
        <v>PW</v>
      </c>
      <c r="I528" s="60">
        <f t="shared" si="1"/>
        <v>45906</v>
      </c>
      <c r="J528" s="192">
        <f t="shared" si="2"/>
        <v>45909</v>
      </c>
      <c r="K528" s="32">
        <v>0.0</v>
      </c>
      <c r="L528" s="32">
        <v>0.0</v>
      </c>
      <c r="M528" s="32">
        <f t="shared" si="3"/>
        <v>0</v>
      </c>
      <c r="N528" s="32" t="s">
        <v>376</v>
      </c>
      <c r="O528" s="32">
        <v>100.0</v>
      </c>
      <c r="P528" s="50" t="str">
        <f t="shared" si="6"/>
        <v>PASSED</v>
      </c>
      <c r="Q528" s="50" t="str">
        <f t="shared" si="5"/>
        <v>10</v>
      </c>
    </row>
    <row r="529" ht="22.5" customHeight="1">
      <c r="A529" s="26">
        <v>45905.0</v>
      </c>
      <c r="B529" s="32" t="s">
        <v>488</v>
      </c>
      <c r="C529" s="191" t="str">
        <f t="array" ref="C529">_xlfn.XLOOKUP(B529, DB[samplingPoint], DB[samplingTag])</f>
        <v>DV116.17</v>
      </c>
      <c r="D529" s="33" t="s">
        <v>59</v>
      </c>
      <c r="E529" s="39" t="str">
        <f t="array" ref="E529">_xlfn.XLOOKUP($B529, DB[samplingPoint], DB[noLocation])</f>
        <v>10-3-117</v>
      </c>
      <c r="F529" s="40" t="str">
        <f t="array" ref="F529">_xlfn.XLOOKUP($B529, DB[samplingPoint], DB[building])</f>
        <v>Building 10</v>
      </c>
      <c r="G529" s="40" t="str">
        <f t="array" ref="G529">_xlfn.XLOOKUP($B529, DB[samplingPoint], DB[location])</f>
        <v>IPQC-2</v>
      </c>
      <c r="H529" s="40" t="str">
        <f t="array" ref="H529">_xlfn.XLOOKUP($B529, DB[samplingPoint], DB[waterType])</f>
        <v>PW</v>
      </c>
      <c r="I529" s="60">
        <f t="shared" si="1"/>
        <v>45906</v>
      </c>
      <c r="J529" s="192">
        <f t="shared" si="2"/>
        <v>45909</v>
      </c>
      <c r="K529" s="32">
        <v>0.0</v>
      </c>
      <c r="L529" s="32">
        <v>0.0</v>
      </c>
      <c r="M529" s="32">
        <f t="shared" si="3"/>
        <v>0</v>
      </c>
      <c r="N529" s="32" t="s">
        <v>376</v>
      </c>
      <c r="O529" s="32">
        <v>100.0</v>
      </c>
      <c r="P529" s="50" t="str">
        <f t="shared" si="6"/>
        <v>PASSED</v>
      </c>
      <c r="Q529" s="50" t="str">
        <f t="shared" si="5"/>
        <v>10</v>
      </c>
    </row>
    <row r="530" ht="22.5" customHeight="1">
      <c r="A530" s="26">
        <v>45912.0</v>
      </c>
      <c r="B530" s="32" t="s">
        <v>380</v>
      </c>
      <c r="C530" s="191" t="str">
        <f t="array" ref="C530">_xlfn.XLOOKUP(B530, DB[samplingPoint], DB[samplingTag])</f>
        <v>SV113.01</v>
      </c>
      <c r="D530" s="33" t="s">
        <v>59</v>
      </c>
      <c r="E530" s="39" t="str">
        <f t="array" ref="E530">_xlfn.XLOOKUP($B530, DB[samplingPoint], DB[noLocation])</f>
        <v>WATER SYSTEM (B10)</v>
      </c>
      <c r="F530" s="40" t="str">
        <f t="array" ref="F530">_xlfn.XLOOKUP($B530, DB[samplingPoint], DB[building])</f>
        <v>Building 10</v>
      </c>
      <c r="G530" s="40" t="str">
        <f t="array" ref="G530">_xlfn.XLOOKUP($B530, DB[samplingPoint], DB[location])</f>
        <v>After Storage tank (B10)</v>
      </c>
      <c r="H530" s="40" t="str">
        <f t="array" ref="H530">_xlfn.XLOOKUP($B530, DB[samplingPoint], DB[waterType])</f>
        <v>PW</v>
      </c>
      <c r="I530" s="60">
        <f t="shared" si="1"/>
        <v>45913</v>
      </c>
      <c r="J530" s="192">
        <f t="shared" si="2"/>
        <v>45916</v>
      </c>
      <c r="K530" s="32">
        <v>0.0</v>
      </c>
      <c r="L530" s="32">
        <v>0.0</v>
      </c>
      <c r="M530" s="32">
        <f t="shared" si="3"/>
        <v>0</v>
      </c>
      <c r="N530" s="32" t="s">
        <v>376</v>
      </c>
      <c r="O530" s="32">
        <v>100.0</v>
      </c>
      <c r="P530" s="50" t="str">
        <f t="shared" si="6"/>
        <v>PASSED</v>
      </c>
      <c r="Q530" s="50" t="str">
        <f t="shared" si="5"/>
        <v>WA</v>
      </c>
    </row>
    <row r="531" ht="22.5" customHeight="1">
      <c r="A531" s="26">
        <v>45912.0</v>
      </c>
      <c r="B531" s="32" t="s">
        <v>431</v>
      </c>
      <c r="C531" s="191" t="str">
        <f t="array" ref="C531">_xlfn.XLOOKUP(B531, DB[samplingPoint], DB[samplingTag])</f>
        <v>SV-14</v>
      </c>
      <c r="D531" s="33" t="s">
        <v>59</v>
      </c>
      <c r="E531" s="39" t="str">
        <f t="array" ref="E531">_xlfn.XLOOKUP($B531, DB[samplingPoint], DB[noLocation])</f>
        <v>PROCESS WATER (B19)</v>
      </c>
      <c r="F531" s="40" t="str">
        <f t="array" ref="F531">_xlfn.XLOOKUP($B531, DB[samplingPoint], DB[building])</f>
        <v>Building 19</v>
      </c>
      <c r="G531" s="40" t="str">
        <f t="array" ref="G531">_xlfn.XLOOKUP($B531, DB[samplingPoint], DB[location])</f>
        <v>AFTER RO SYSTEM NO.12 SV14</v>
      </c>
      <c r="H531" s="40" t="str">
        <f t="array" ref="H531">_xlfn.XLOOKUP($B531, DB[samplingPoint], DB[waterType])</f>
        <v>PRW</v>
      </c>
      <c r="I531" s="60">
        <f t="shared" si="1"/>
        <v>45913</v>
      </c>
      <c r="J531" s="192">
        <f t="shared" si="2"/>
        <v>45916</v>
      </c>
      <c r="K531" s="32">
        <v>0.0</v>
      </c>
      <c r="L531" s="32">
        <v>0.0</v>
      </c>
      <c r="M531" s="32">
        <f t="shared" si="3"/>
        <v>0</v>
      </c>
      <c r="N531" s="32" t="s">
        <v>376</v>
      </c>
      <c r="O531" s="32">
        <v>500.0</v>
      </c>
      <c r="P531" s="50" t="str">
        <f t="shared" si="6"/>
        <v>PASSED</v>
      </c>
      <c r="Q531" s="50" t="str">
        <f t="shared" si="5"/>
        <v>PR</v>
      </c>
    </row>
    <row r="532" ht="22.5" customHeight="1">
      <c r="A532" s="26">
        <v>45912.0</v>
      </c>
      <c r="B532" s="32" t="s">
        <v>618</v>
      </c>
      <c r="C532" s="39" t="str">
        <f t="array" ref="C532">_xlfn.XLOOKUP(B532, DB[samplingPoint], DB[samplingTag])</f>
        <v>SV-15</v>
      </c>
      <c r="D532" s="33" t="s">
        <v>59</v>
      </c>
      <c r="E532" s="39" t="str">
        <f t="array" ref="E532">_xlfn.XLOOKUP($B532, DB[samplingPoint], DB[noLocation])</f>
        <v>PROCESS WATER (B19)</v>
      </c>
      <c r="F532" s="40" t="str">
        <f t="array" ref="F532">_xlfn.XLOOKUP($B532, DB[samplingPoint], DB[building])</f>
        <v>Building 19</v>
      </c>
      <c r="G532" s="40" t="str">
        <f t="array" ref="G532">_xlfn.XLOOKUP($B532, DB[samplingPoint], DB[location])</f>
        <v>AFTER RO SYSTEM NO.12 SV15</v>
      </c>
      <c r="H532" s="40" t="str">
        <f t="array" ref="H532">_xlfn.XLOOKUP($B532, DB[samplingPoint], DB[waterType])</f>
        <v>PRW</v>
      </c>
      <c r="I532" s="60">
        <f t="shared" si="1"/>
        <v>45913</v>
      </c>
      <c r="J532" s="192">
        <f t="shared" si="2"/>
        <v>45916</v>
      </c>
      <c r="K532" s="32">
        <v>3.0</v>
      </c>
      <c r="L532" s="32">
        <v>1.0</v>
      </c>
      <c r="M532" s="32">
        <f t="shared" si="3"/>
        <v>2</v>
      </c>
      <c r="N532" s="32" t="s">
        <v>376</v>
      </c>
      <c r="O532" s="32">
        <v>500.0</v>
      </c>
      <c r="P532" s="50" t="str">
        <f t="shared" si="6"/>
        <v>PASSED</v>
      </c>
      <c r="Q532" s="50" t="str">
        <f t="shared" si="5"/>
        <v>PR</v>
      </c>
    </row>
    <row r="533" ht="22.5" customHeight="1">
      <c r="A533" s="26">
        <v>45912.0</v>
      </c>
      <c r="B533" s="32" t="s">
        <v>520</v>
      </c>
      <c r="C533" s="191" t="str">
        <f t="array" ref="C533">_xlfn.XLOOKUP(B533, DB[samplingPoint], DB[samplingTag])</f>
        <v>DV116.03</v>
      </c>
      <c r="D533" s="33" t="s">
        <v>59</v>
      </c>
      <c r="E533" s="39" t="str">
        <f t="array" ref="E533">_xlfn.XLOOKUP($B533, DB[samplingPoint], DB[noLocation])</f>
        <v>10-2-034</v>
      </c>
      <c r="F533" s="40" t="str">
        <f t="array" ref="F533">_xlfn.XLOOKUP($B533, DB[samplingPoint], DB[building])</f>
        <v>Building 10</v>
      </c>
      <c r="G533" s="40" t="str">
        <f t="array" ref="G533">_xlfn.XLOOKUP($B533, DB[samplingPoint], DB[location])</f>
        <v>SAMPLE PREPARATION</v>
      </c>
      <c r="H533" s="40" t="str">
        <f t="array" ref="H533">_xlfn.XLOOKUP($B533, DB[samplingPoint], DB[waterType])</f>
        <v>PW</v>
      </c>
      <c r="I533" s="60">
        <f t="shared" si="1"/>
        <v>45913</v>
      </c>
      <c r="J533" s="192">
        <f t="shared" si="2"/>
        <v>45916</v>
      </c>
      <c r="K533" s="32">
        <v>0.0</v>
      </c>
      <c r="L533" s="32">
        <v>0.0</v>
      </c>
      <c r="M533" s="32">
        <f t="shared" si="3"/>
        <v>0</v>
      </c>
      <c r="N533" s="32" t="s">
        <v>376</v>
      </c>
      <c r="O533" s="32">
        <v>100.0</v>
      </c>
      <c r="P533" s="50" t="str">
        <f t="shared" si="6"/>
        <v>PASSED</v>
      </c>
      <c r="Q533" s="50" t="str">
        <f t="shared" si="5"/>
        <v>10</v>
      </c>
    </row>
    <row r="534" ht="22.5" customHeight="1">
      <c r="A534" s="26">
        <v>45912.0</v>
      </c>
      <c r="B534" s="32" t="s">
        <v>522</v>
      </c>
      <c r="C534" s="191" t="str">
        <f t="array" ref="C534">_xlfn.XLOOKUP(B534, DB[samplingPoint], DB[samplingTag])</f>
        <v>DV116.04</v>
      </c>
      <c r="D534" s="33" t="s">
        <v>59</v>
      </c>
      <c r="E534" s="39" t="str">
        <f t="array" ref="E534">_xlfn.XLOOKUP($B534, DB[samplingPoint], DB[noLocation])</f>
        <v>10-2-037</v>
      </c>
      <c r="F534" s="40" t="str">
        <f t="array" ref="F534">_xlfn.XLOOKUP($B534, DB[samplingPoint], DB[building])</f>
        <v>Building 10</v>
      </c>
      <c r="G534" s="40" t="str">
        <f t="array" ref="G534">_xlfn.XLOOKUP($B534, DB[samplingPoint], DB[location])</f>
        <v>SKID FOR BIN WASHING-1</v>
      </c>
      <c r="H534" s="40" t="str">
        <f t="array" ref="H534">_xlfn.XLOOKUP($B534, DB[samplingPoint], DB[waterType])</f>
        <v>PW</v>
      </c>
      <c r="I534" s="60">
        <f t="shared" si="1"/>
        <v>45913</v>
      </c>
      <c r="J534" s="192">
        <f t="shared" si="2"/>
        <v>45916</v>
      </c>
      <c r="K534" s="32">
        <v>0.0</v>
      </c>
      <c r="L534" s="32">
        <v>0.0</v>
      </c>
      <c r="M534" s="32">
        <f t="shared" si="3"/>
        <v>0</v>
      </c>
      <c r="N534" s="32" t="s">
        <v>376</v>
      </c>
      <c r="O534" s="32">
        <v>100.0</v>
      </c>
      <c r="P534" s="50" t="str">
        <f t="shared" si="6"/>
        <v>PASSED</v>
      </c>
      <c r="Q534" s="50" t="str">
        <f t="shared" si="5"/>
        <v>10</v>
      </c>
    </row>
    <row r="535" ht="22.5" customHeight="1">
      <c r="A535" s="26">
        <v>45912.0</v>
      </c>
      <c r="B535" s="32" t="s">
        <v>524</v>
      </c>
      <c r="C535" s="191" t="str">
        <f t="array" ref="C535">_xlfn.XLOOKUP(B535, DB[samplingPoint], DB[samplingTag])</f>
        <v>DV116.05</v>
      </c>
      <c r="D535" s="33" t="s">
        <v>59</v>
      </c>
      <c r="E535" s="39" t="str">
        <f t="array" ref="E535">_xlfn.XLOOKUP($B535, DB[samplingPoint], DB[noLocation])</f>
        <v>10-2-032</v>
      </c>
      <c r="F535" s="40" t="str">
        <f t="array" ref="F535">_xlfn.XLOOKUP($B535, DB[samplingPoint], DB[building])</f>
        <v>Building 10</v>
      </c>
      <c r="G535" s="40" t="str">
        <f t="array" ref="G535">_xlfn.XLOOKUP($B535, DB[samplingPoint], DB[location])</f>
        <v>GLASS-WARE WASHING</v>
      </c>
      <c r="H535" s="40" t="str">
        <f t="array" ref="H535">_xlfn.XLOOKUP($B535, DB[samplingPoint], DB[waterType])</f>
        <v>PW</v>
      </c>
      <c r="I535" s="60">
        <f t="shared" si="1"/>
        <v>45913</v>
      </c>
      <c r="J535" s="192">
        <f t="shared" si="2"/>
        <v>45916</v>
      </c>
      <c r="K535" s="32">
        <v>0.0</v>
      </c>
      <c r="L535" s="32">
        <v>0.0</v>
      </c>
      <c r="M535" s="32">
        <f t="shared" si="3"/>
        <v>0</v>
      </c>
      <c r="N535" s="32" t="s">
        <v>376</v>
      </c>
      <c r="O535" s="32">
        <v>100.0</v>
      </c>
      <c r="P535" s="50" t="str">
        <f t="shared" si="6"/>
        <v>PASSED</v>
      </c>
      <c r="Q535" s="50" t="str">
        <f t="shared" si="5"/>
        <v>10</v>
      </c>
    </row>
    <row r="536" ht="22.5" customHeight="1">
      <c r="A536" s="26">
        <v>45912.0</v>
      </c>
      <c r="B536" s="32" t="s">
        <v>526</v>
      </c>
      <c r="C536" s="191" t="str">
        <f t="array" ref="C536">_xlfn.XLOOKUP(B536, DB[samplingPoint], DB[samplingTag])</f>
        <v>DV116.06</v>
      </c>
      <c r="D536" s="33" t="s">
        <v>59</v>
      </c>
      <c r="E536" s="39" t="str">
        <f t="array" ref="E536">_xlfn.XLOOKUP($B536, DB[samplingPoint], DB[noLocation])</f>
        <v>10-2-034</v>
      </c>
      <c r="F536" s="40" t="str">
        <f t="array" ref="F536">_xlfn.XLOOKUP($B536, DB[samplingPoint], DB[building])</f>
        <v>Building 10</v>
      </c>
      <c r="G536" s="40" t="str">
        <f t="array" ref="G536">_xlfn.XLOOKUP($B536, DB[samplingPoint], DB[location])</f>
        <v>SAMPLE PREPARATION</v>
      </c>
      <c r="H536" s="40" t="str">
        <f t="array" ref="H536">_xlfn.XLOOKUP($B536, DB[samplingPoint], DB[waterType])</f>
        <v>PW</v>
      </c>
      <c r="I536" s="60">
        <f t="shared" si="1"/>
        <v>45913</v>
      </c>
      <c r="J536" s="192">
        <f t="shared" si="2"/>
        <v>45916</v>
      </c>
      <c r="K536" s="32">
        <v>0.0</v>
      </c>
      <c r="L536" s="32">
        <v>0.0</v>
      </c>
      <c r="M536" s="32">
        <f t="shared" si="3"/>
        <v>0</v>
      </c>
      <c r="N536" s="32" t="s">
        <v>376</v>
      </c>
      <c r="O536" s="32">
        <v>100.0</v>
      </c>
      <c r="P536" s="50" t="str">
        <f t="shared" si="6"/>
        <v>PASSED</v>
      </c>
      <c r="Q536" s="50" t="str">
        <f t="shared" si="5"/>
        <v>10</v>
      </c>
    </row>
    <row r="537" ht="22.5" customHeight="1">
      <c r="A537" s="26">
        <v>45912.0</v>
      </c>
      <c r="B537" s="32" t="s">
        <v>527</v>
      </c>
      <c r="C537" s="191" t="str">
        <f t="array" ref="C537">_xlfn.XLOOKUP(B537, DB[samplingPoint], DB[samplingTag])</f>
        <v>DV116.07</v>
      </c>
      <c r="D537" s="33" t="s">
        <v>59</v>
      </c>
      <c r="E537" s="39" t="str">
        <f t="array" ref="E537">_xlfn.XLOOKUP($B537, DB[samplingPoint], DB[noLocation])</f>
        <v>10-2-032</v>
      </c>
      <c r="F537" s="40" t="str">
        <f t="array" ref="F537">_xlfn.XLOOKUP($B537, DB[samplingPoint], DB[building])</f>
        <v>Building 10</v>
      </c>
      <c r="G537" s="40" t="str">
        <f t="array" ref="G537">_xlfn.XLOOKUP($B537, DB[samplingPoint], DB[location])</f>
        <v>GLASS-WARE WASHING</v>
      </c>
      <c r="H537" s="40" t="str">
        <f t="array" ref="H537">_xlfn.XLOOKUP($B537, DB[samplingPoint], DB[waterType])</f>
        <v>PW</v>
      </c>
      <c r="I537" s="60">
        <f t="shared" si="1"/>
        <v>45913</v>
      </c>
      <c r="J537" s="192">
        <f t="shared" si="2"/>
        <v>45916</v>
      </c>
      <c r="K537" s="32">
        <v>0.0</v>
      </c>
      <c r="L537" s="32">
        <v>0.0</v>
      </c>
      <c r="M537" s="32">
        <f t="shared" si="3"/>
        <v>0</v>
      </c>
      <c r="N537" s="32" t="s">
        <v>376</v>
      </c>
      <c r="O537" s="32">
        <v>100.0</v>
      </c>
      <c r="P537" s="50" t="str">
        <f t="shared" si="6"/>
        <v>PASSED</v>
      </c>
      <c r="Q537" s="50" t="str">
        <f t="shared" si="5"/>
        <v>10</v>
      </c>
    </row>
    <row r="538" ht="22.5" customHeight="1">
      <c r="A538" s="26">
        <v>45912.0</v>
      </c>
      <c r="B538" s="32" t="s">
        <v>528</v>
      </c>
      <c r="C538" s="191" t="str">
        <f t="array" ref="C538">_xlfn.XLOOKUP(B538, DB[samplingPoint], DB[samplingTag])</f>
        <v>DV116.08</v>
      </c>
      <c r="D538" s="33" t="s">
        <v>59</v>
      </c>
      <c r="E538" s="39" t="str">
        <f t="array" ref="E538">_xlfn.XLOOKUP($B538, DB[samplingPoint], DB[noLocation])</f>
        <v>10-3-059</v>
      </c>
      <c r="F538" s="40" t="str">
        <f t="array" ref="F538">_xlfn.XLOOKUP($B538, DB[samplingPoint], DB[building])</f>
        <v>Building 10</v>
      </c>
      <c r="G538" s="40" t="str">
        <f t="array" ref="G538">_xlfn.XLOOKUP($B538, DB[samplingPoint], DB[location])</f>
        <v>COATING SOLUTION PREP.-1</v>
      </c>
      <c r="H538" s="40" t="str">
        <f t="array" ref="H538">_xlfn.XLOOKUP($B538, DB[samplingPoint], DB[waterType])</f>
        <v>PW</v>
      </c>
      <c r="I538" s="60">
        <f t="shared" si="1"/>
        <v>45913</v>
      </c>
      <c r="J538" s="192">
        <f t="shared" si="2"/>
        <v>45916</v>
      </c>
      <c r="K538" s="32">
        <v>0.0</v>
      </c>
      <c r="L538" s="32">
        <v>0.0</v>
      </c>
      <c r="M538" s="32">
        <f t="shared" si="3"/>
        <v>0</v>
      </c>
      <c r="N538" s="32" t="s">
        <v>376</v>
      </c>
      <c r="O538" s="32">
        <v>100.0</v>
      </c>
      <c r="P538" s="50" t="str">
        <f t="shared" si="6"/>
        <v>PASSED</v>
      </c>
      <c r="Q538" s="50" t="str">
        <f t="shared" si="5"/>
        <v>10</v>
      </c>
    </row>
    <row r="539" ht="22.5" customHeight="1">
      <c r="A539" s="26">
        <v>45912.0</v>
      </c>
      <c r="B539" s="32" t="s">
        <v>529</v>
      </c>
      <c r="C539" s="191" t="str">
        <f t="array" ref="C539">_xlfn.XLOOKUP(B539, DB[samplingPoint], DB[samplingTag])</f>
        <v>DV116.09</v>
      </c>
      <c r="D539" s="33" t="s">
        <v>59</v>
      </c>
      <c r="E539" s="39" t="str">
        <f t="array" ref="E539">_xlfn.XLOOKUP($B539, DB[samplingPoint], DB[noLocation])</f>
        <v>10-3-060</v>
      </c>
      <c r="F539" s="40" t="str">
        <f t="array" ref="F539">_xlfn.XLOOKUP($B539, DB[samplingPoint], DB[building])</f>
        <v>Building 10</v>
      </c>
      <c r="G539" s="40" t="str">
        <f t="array" ref="G539">_xlfn.XLOOKUP($B539, DB[samplingPoint], DB[location])</f>
        <v>COATING SOLUTION PREP.-2</v>
      </c>
      <c r="H539" s="40" t="str">
        <f t="array" ref="H539">_xlfn.XLOOKUP($B539, DB[samplingPoint], DB[waterType])</f>
        <v>PW</v>
      </c>
      <c r="I539" s="60">
        <f t="shared" si="1"/>
        <v>45913</v>
      </c>
      <c r="J539" s="192">
        <f t="shared" si="2"/>
        <v>45916</v>
      </c>
      <c r="K539" s="32">
        <v>0.0</v>
      </c>
      <c r="L539" s="32">
        <v>0.0</v>
      </c>
      <c r="M539" s="32">
        <f t="shared" si="3"/>
        <v>0</v>
      </c>
      <c r="N539" s="32" t="s">
        <v>376</v>
      </c>
      <c r="O539" s="32">
        <v>100.0</v>
      </c>
      <c r="P539" s="50" t="str">
        <f t="shared" si="6"/>
        <v>PASSED</v>
      </c>
      <c r="Q539" s="50" t="str">
        <f t="shared" si="5"/>
        <v>10</v>
      </c>
    </row>
    <row r="540" ht="22.5" customHeight="1">
      <c r="A540" s="26">
        <v>45912.0</v>
      </c>
      <c r="B540" s="32" t="s">
        <v>531</v>
      </c>
      <c r="C540" s="191" t="str">
        <f t="array" ref="C540">_xlfn.XLOOKUP(B540, DB[samplingPoint], DB[samplingTag])</f>
        <v>DV116.10</v>
      </c>
      <c r="D540" s="33" t="s">
        <v>59</v>
      </c>
      <c r="E540" s="39" t="str">
        <f t="array" ref="E540">_xlfn.XLOOKUP($B540, DB[samplingPoint], DB[noLocation])</f>
        <v>10-3-065</v>
      </c>
      <c r="F540" s="40" t="str">
        <f t="array" ref="F540">_xlfn.XLOOKUP($B540, DB[samplingPoint], DB[building])</f>
        <v>Building 10</v>
      </c>
      <c r="G540" s="40" t="str">
        <f t="array" ref="G540">_xlfn.XLOOKUP($B540, DB[samplingPoint], DB[location])</f>
        <v>COATING SOLUTION PREP.-3</v>
      </c>
      <c r="H540" s="40" t="str">
        <f t="array" ref="H540">_xlfn.XLOOKUP($B540, DB[samplingPoint], DB[waterType])</f>
        <v>PW</v>
      </c>
      <c r="I540" s="60">
        <f t="shared" si="1"/>
        <v>45913</v>
      </c>
      <c r="J540" s="192">
        <f t="shared" si="2"/>
        <v>45916</v>
      </c>
      <c r="K540" s="32">
        <v>0.0</v>
      </c>
      <c r="L540" s="32">
        <v>0.0</v>
      </c>
      <c r="M540" s="32">
        <f t="shared" si="3"/>
        <v>0</v>
      </c>
      <c r="N540" s="32" t="s">
        <v>376</v>
      </c>
      <c r="O540" s="32">
        <v>100.0</v>
      </c>
      <c r="P540" s="50" t="str">
        <f t="shared" si="6"/>
        <v>PASSED</v>
      </c>
      <c r="Q540" s="50" t="str">
        <f t="shared" si="5"/>
        <v>10</v>
      </c>
    </row>
    <row r="541" ht="22.5" customHeight="1">
      <c r="A541" s="26">
        <v>45912.0</v>
      </c>
      <c r="B541" s="32" t="s">
        <v>534</v>
      </c>
      <c r="C541" s="191" t="str">
        <f t="array" ref="C541">_xlfn.XLOOKUP(B541, DB[samplingPoint], DB[samplingTag])</f>
        <v>SV116.03</v>
      </c>
      <c r="D541" s="33" t="s">
        <v>59</v>
      </c>
      <c r="E541" s="39" t="str">
        <f t="array" ref="E541">_xlfn.XLOOKUP($B541, DB[samplingPoint], DB[noLocation])</f>
        <v>10-3-058</v>
      </c>
      <c r="F541" s="40" t="str">
        <f t="array" ref="F541">_xlfn.XLOOKUP($B541, DB[samplingPoint], DB[building])</f>
        <v>Building 10</v>
      </c>
      <c r="G541" s="40" t="str">
        <f t="array" ref="G541">_xlfn.XLOOKUP($B541, DB[samplingPoint], DB[location])</f>
        <v>COATING ROOM-1</v>
      </c>
      <c r="H541" s="40" t="str">
        <f t="array" ref="H541">_xlfn.XLOOKUP($B541, DB[samplingPoint], DB[waterType])</f>
        <v>PW</v>
      </c>
      <c r="I541" s="60">
        <f t="shared" si="1"/>
        <v>45913</v>
      </c>
      <c r="J541" s="192">
        <f t="shared" si="2"/>
        <v>45916</v>
      </c>
      <c r="K541" s="32">
        <v>0.0</v>
      </c>
      <c r="L541" s="32">
        <v>0.0</v>
      </c>
      <c r="M541" s="32">
        <f t="shared" si="3"/>
        <v>0</v>
      </c>
      <c r="N541" s="32" t="s">
        <v>376</v>
      </c>
      <c r="O541" s="32">
        <v>100.0</v>
      </c>
      <c r="P541" s="50" t="str">
        <f t="shared" si="6"/>
        <v>PASSED</v>
      </c>
      <c r="Q541" s="50" t="str">
        <f t="shared" si="5"/>
        <v>10</v>
      </c>
    </row>
    <row r="542" ht="22.5" customHeight="1">
      <c r="A542" s="26">
        <v>45912.0</v>
      </c>
      <c r="B542" s="32" t="s">
        <v>535</v>
      </c>
      <c r="C542" s="191" t="str">
        <f t="array" ref="C542">_xlfn.XLOOKUP(B542, DB[samplingPoint], DB[samplingTag])</f>
        <v>SV116.04</v>
      </c>
      <c r="D542" s="33" t="s">
        <v>59</v>
      </c>
      <c r="E542" s="39" t="str">
        <f t="array" ref="E542">_xlfn.XLOOKUP($B542, DB[samplingPoint], DB[noLocation])</f>
        <v>10-3-061</v>
      </c>
      <c r="F542" s="40" t="str">
        <f t="array" ref="F542">_xlfn.XLOOKUP($B542, DB[samplingPoint], DB[building])</f>
        <v>Building 10</v>
      </c>
      <c r="G542" s="40" t="str">
        <f t="array" ref="G542">_xlfn.XLOOKUP($B542, DB[samplingPoint], DB[location])</f>
        <v>COATING ROOM-2</v>
      </c>
      <c r="H542" s="40" t="str">
        <f t="array" ref="H542">_xlfn.XLOOKUP($B542, DB[samplingPoint], DB[waterType])</f>
        <v>PW</v>
      </c>
      <c r="I542" s="60">
        <f t="shared" si="1"/>
        <v>45913</v>
      </c>
      <c r="J542" s="192">
        <f t="shared" si="2"/>
        <v>45916</v>
      </c>
      <c r="K542" s="32">
        <v>0.0</v>
      </c>
      <c r="L542" s="32">
        <v>0.0</v>
      </c>
      <c r="M542" s="32">
        <f t="shared" si="3"/>
        <v>0</v>
      </c>
      <c r="N542" s="32" t="s">
        <v>376</v>
      </c>
      <c r="O542" s="32">
        <v>100.0</v>
      </c>
      <c r="P542" s="50" t="str">
        <f t="shared" si="6"/>
        <v>PASSED</v>
      </c>
      <c r="Q542" s="50" t="str">
        <f t="shared" si="5"/>
        <v>10</v>
      </c>
    </row>
    <row r="543" ht="22.5" customHeight="1">
      <c r="A543" s="26">
        <v>45912.0</v>
      </c>
      <c r="B543" s="32" t="s">
        <v>536</v>
      </c>
      <c r="C543" s="191" t="str">
        <f t="array" ref="C543">_xlfn.XLOOKUP(B543, DB[samplingPoint], DB[samplingTag])</f>
        <v>SV116.05</v>
      </c>
      <c r="D543" s="33" t="s">
        <v>59</v>
      </c>
      <c r="E543" s="39" t="str">
        <f t="array" ref="E543">_xlfn.XLOOKUP($B543, DB[samplingPoint], DB[noLocation])</f>
        <v>10-3-062</v>
      </c>
      <c r="F543" s="40" t="str">
        <f t="array" ref="F543">_xlfn.XLOOKUP($B543, DB[samplingPoint], DB[building])</f>
        <v>Building 10</v>
      </c>
      <c r="G543" s="40" t="str">
        <f t="array" ref="G543">_xlfn.XLOOKUP($B543, DB[samplingPoint], DB[location])</f>
        <v>COATING ROOM-3</v>
      </c>
      <c r="H543" s="40" t="str">
        <f t="array" ref="H543">_xlfn.XLOOKUP($B543, DB[samplingPoint], DB[waterType])</f>
        <v>PW</v>
      </c>
      <c r="I543" s="60">
        <f t="shared" si="1"/>
        <v>45913</v>
      </c>
      <c r="J543" s="192">
        <f t="shared" si="2"/>
        <v>45916</v>
      </c>
      <c r="K543" s="32">
        <v>0.0</v>
      </c>
      <c r="L543" s="32">
        <v>0.0</v>
      </c>
      <c r="M543" s="32">
        <f t="shared" si="3"/>
        <v>0</v>
      </c>
      <c r="N543" s="32" t="s">
        <v>376</v>
      </c>
      <c r="O543" s="32">
        <v>100.0</v>
      </c>
      <c r="P543" s="50" t="str">
        <f t="shared" si="6"/>
        <v>PASSED</v>
      </c>
      <c r="Q543" s="50" t="str">
        <f t="shared" si="5"/>
        <v>10</v>
      </c>
    </row>
    <row r="544" ht="22.5" customHeight="1">
      <c r="A544" s="26">
        <v>45912.0</v>
      </c>
      <c r="B544" s="32" t="s">
        <v>539</v>
      </c>
      <c r="C544" s="191" t="str">
        <f t="array" ref="C544">_xlfn.XLOOKUP(B544, DB[samplingPoint], DB[samplingTag])</f>
        <v>SV116.07</v>
      </c>
      <c r="D544" s="33" t="s">
        <v>59</v>
      </c>
      <c r="E544" s="39" t="str">
        <f t="array" ref="E544">_xlfn.XLOOKUP($B544, DB[samplingPoint], DB[noLocation])</f>
        <v>10-3-064</v>
      </c>
      <c r="F544" s="40" t="str">
        <f t="array" ref="F544">_xlfn.XLOOKUP($B544, DB[samplingPoint], DB[building])</f>
        <v>Building 10</v>
      </c>
      <c r="G544" s="40" t="str">
        <f t="array" ref="G544">_xlfn.XLOOKUP($B544, DB[samplingPoint], DB[location])</f>
        <v>COATING ROOM-5</v>
      </c>
      <c r="H544" s="40" t="str">
        <f t="array" ref="H544">_xlfn.XLOOKUP($B544, DB[samplingPoint], DB[waterType])</f>
        <v>PW</v>
      </c>
      <c r="I544" s="60">
        <f t="shared" si="1"/>
        <v>45913</v>
      </c>
      <c r="J544" s="192">
        <f t="shared" si="2"/>
        <v>45916</v>
      </c>
      <c r="K544" s="32">
        <v>0.0</v>
      </c>
      <c r="L544" s="32">
        <v>0.0</v>
      </c>
      <c r="M544" s="32">
        <f t="shared" si="3"/>
        <v>0</v>
      </c>
      <c r="N544" s="32" t="s">
        <v>376</v>
      </c>
      <c r="O544" s="32">
        <v>100.0</v>
      </c>
      <c r="P544" s="50" t="str">
        <f t="shared" si="6"/>
        <v>PASSED</v>
      </c>
      <c r="Q544" s="50" t="str">
        <f t="shared" si="5"/>
        <v>10</v>
      </c>
    </row>
    <row r="545" ht="22.5" customHeight="1">
      <c r="A545" s="26">
        <v>45912.0</v>
      </c>
      <c r="B545" s="32" t="s">
        <v>541</v>
      </c>
      <c r="C545" s="191" t="str">
        <f t="array" ref="C545">_xlfn.XLOOKUP(B545, DB[samplingPoint], DB[samplingTag])</f>
        <v>SV116.08</v>
      </c>
      <c r="D545" s="33" t="s">
        <v>59</v>
      </c>
      <c r="E545" s="39" t="str">
        <f t="array" ref="E545">_xlfn.XLOOKUP($B545, DB[samplingPoint], DB[noLocation])</f>
        <v>10-3-067</v>
      </c>
      <c r="F545" s="40" t="str">
        <f t="array" ref="F545">_xlfn.XLOOKUP($B545, DB[samplingPoint], DB[building])</f>
        <v>Building 10</v>
      </c>
      <c r="G545" s="40" t="str">
        <f t="array" ref="G545">_xlfn.XLOOKUP($B545, DB[samplingPoint], DB[location])</f>
        <v>COATING ROOM-6</v>
      </c>
      <c r="H545" s="40" t="str">
        <f t="array" ref="H545">_xlfn.XLOOKUP($B545, DB[samplingPoint], DB[waterType])</f>
        <v>PW</v>
      </c>
      <c r="I545" s="60">
        <f t="shared" si="1"/>
        <v>45913</v>
      </c>
      <c r="J545" s="192">
        <f t="shared" si="2"/>
        <v>45916</v>
      </c>
      <c r="K545" s="32">
        <v>0.0</v>
      </c>
      <c r="L545" s="32">
        <v>0.0</v>
      </c>
      <c r="M545" s="32">
        <f t="shared" si="3"/>
        <v>0</v>
      </c>
      <c r="N545" s="32" t="s">
        <v>376</v>
      </c>
      <c r="O545" s="32">
        <v>100.0</v>
      </c>
      <c r="P545" s="50" t="str">
        <f t="shared" si="6"/>
        <v>PASSED</v>
      </c>
      <c r="Q545" s="50" t="str">
        <f t="shared" si="5"/>
        <v>10</v>
      </c>
    </row>
    <row r="546" ht="22.5" customHeight="1">
      <c r="A546" s="26">
        <v>45912.0</v>
      </c>
      <c r="B546" s="32" t="s">
        <v>538</v>
      </c>
      <c r="C546" s="191" t="str">
        <f t="array" ref="C546">_xlfn.XLOOKUP(B546, DB[samplingPoint], DB[samplingTag])</f>
        <v>SV116.06</v>
      </c>
      <c r="D546" s="33" t="s">
        <v>59</v>
      </c>
      <c r="E546" s="39" t="str">
        <f t="array" ref="E546">_xlfn.XLOOKUP($B546, DB[samplingPoint], DB[noLocation])</f>
        <v>10-3-063</v>
      </c>
      <c r="F546" s="40" t="str">
        <f t="array" ref="F546">_xlfn.XLOOKUP($B546, DB[samplingPoint], DB[building])</f>
        <v>Building 10</v>
      </c>
      <c r="G546" s="40" t="str">
        <f t="array" ref="G546">_xlfn.XLOOKUP($B546, DB[samplingPoint], DB[location])</f>
        <v>COATING ROOM-4</v>
      </c>
      <c r="H546" s="40" t="str">
        <f t="array" ref="H546">_xlfn.XLOOKUP($B546, DB[samplingPoint], DB[waterType])</f>
        <v>PW</v>
      </c>
      <c r="I546" s="60">
        <f t="shared" si="1"/>
        <v>45913</v>
      </c>
      <c r="J546" s="192">
        <f t="shared" si="2"/>
        <v>45916</v>
      </c>
      <c r="K546" s="32">
        <v>0.0</v>
      </c>
      <c r="L546" s="32">
        <v>0.0</v>
      </c>
      <c r="M546" s="32">
        <f t="shared" si="3"/>
        <v>0</v>
      </c>
      <c r="N546" s="32" t="s">
        <v>376</v>
      </c>
      <c r="O546" s="32">
        <v>100.0</v>
      </c>
      <c r="P546" s="50" t="str">
        <f t="shared" si="6"/>
        <v>PASSED</v>
      </c>
      <c r="Q546" s="50" t="str">
        <f t="shared" si="5"/>
        <v>10</v>
      </c>
    </row>
    <row r="547" ht="22.5" customHeight="1">
      <c r="A547" s="26">
        <v>45912.0</v>
      </c>
      <c r="B547" s="32" t="s">
        <v>532</v>
      </c>
      <c r="C547" s="191" t="str">
        <f t="array" ref="C547">_xlfn.XLOOKUP(B547, DB[samplingPoint], DB[samplingTag])</f>
        <v>DV116.11</v>
      </c>
      <c r="D547" s="33" t="s">
        <v>59</v>
      </c>
      <c r="E547" s="39" t="str">
        <f t="array" ref="E547">_xlfn.XLOOKUP($B547, DB[samplingPoint], DB[noLocation])</f>
        <v>10-3-066</v>
      </c>
      <c r="F547" s="40" t="str">
        <f t="array" ref="F547">_xlfn.XLOOKUP($B547, DB[samplingPoint], DB[building])</f>
        <v>Building 10</v>
      </c>
      <c r="G547" s="40" t="str">
        <f t="array" ref="G547">_xlfn.XLOOKUP($B547, DB[samplingPoint], DB[location])</f>
        <v>COATING SOLUTION PREP.-4</v>
      </c>
      <c r="H547" s="40" t="str">
        <f t="array" ref="H547">_xlfn.XLOOKUP($B547, DB[samplingPoint], DB[waterType])</f>
        <v>PW</v>
      </c>
      <c r="I547" s="60">
        <f t="shared" si="1"/>
        <v>45913</v>
      </c>
      <c r="J547" s="192">
        <f t="shared" si="2"/>
        <v>45916</v>
      </c>
      <c r="K547" s="32">
        <v>0.0</v>
      </c>
      <c r="L547" s="32">
        <v>0.0</v>
      </c>
      <c r="M547" s="32">
        <f t="shared" si="3"/>
        <v>0</v>
      </c>
      <c r="N547" s="32" t="s">
        <v>376</v>
      </c>
      <c r="O547" s="32">
        <v>100.0</v>
      </c>
      <c r="P547" s="50" t="str">
        <f t="shared" si="6"/>
        <v>PASSED</v>
      </c>
      <c r="Q547" s="50" t="str">
        <f t="shared" si="5"/>
        <v>10</v>
      </c>
    </row>
    <row r="548" ht="22.5" customHeight="1">
      <c r="A548" s="26">
        <v>45912.0</v>
      </c>
      <c r="B548" s="32" t="s">
        <v>385</v>
      </c>
      <c r="C548" s="191" t="str">
        <f t="array" ref="C548">_xlfn.XLOOKUP(B548, DB[samplingPoint], DB[samplingTag])</f>
        <v>SV115.02</v>
      </c>
      <c r="D548" s="33" t="s">
        <v>59</v>
      </c>
      <c r="E548" s="39" t="str">
        <f t="array" ref="E548">_xlfn.XLOOKUP($B548, DB[samplingPoint], DB[noLocation])</f>
        <v>WATER SYSTEM (B10)</v>
      </c>
      <c r="F548" s="40" t="str">
        <f t="array" ref="F548">_xlfn.XLOOKUP($B548, DB[samplingPoint], DB[building])</f>
        <v>Building 10</v>
      </c>
      <c r="G548" s="40" t="str">
        <f t="array" ref="G548">_xlfn.XLOOKUP($B548, DB[samplingPoint], DB[location])</f>
        <v>After UV (B10)</v>
      </c>
      <c r="H548" s="40" t="str">
        <f t="array" ref="H548">_xlfn.XLOOKUP($B548, DB[samplingPoint], DB[waterType])</f>
        <v>PW</v>
      </c>
      <c r="I548" s="60">
        <f t="shared" si="1"/>
        <v>45913</v>
      </c>
      <c r="J548" s="192">
        <f t="shared" si="2"/>
        <v>45916</v>
      </c>
      <c r="K548" s="32">
        <v>0.0</v>
      </c>
      <c r="L548" s="32">
        <v>0.0</v>
      </c>
      <c r="M548" s="32">
        <f t="shared" si="3"/>
        <v>0</v>
      </c>
      <c r="N548" s="32" t="s">
        <v>376</v>
      </c>
      <c r="O548" s="32">
        <v>100.0</v>
      </c>
      <c r="P548" s="50" t="str">
        <f t="shared" si="6"/>
        <v>PASSED</v>
      </c>
      <c r="Q548" s="50" t="str">
        <f t="shared" si="5"/>
        <v>WA</v>
      </c>
    </row>
    <row r="549" ht="22.5" customHeight="1">
      <c r="A549" s="26">
        <v>45912.0</v>
      </c>
      <c r="B549" s="32" t="s">
        <v>390</v>
      </c>
      <c r="C549" s="191" t="str">
        <f t="array" ref="C549">_xlfn.XLOOKUP(B549, DB[samplingPoint], DB[samplingTag])</f>
        <v>SV117.01</v>
      </c>
      <c r="D549" s="33" t="s">
        <v>59</v>
      </c>
      <c r="E549" s="39" t="str">
        <f t="array" ref="E549">_xlfn.XLOOKUP($B549, DB[samplingPoint], DB[noLocation])</f>
        <v>WATER SYSTEM (B10)</v>
      </c>
      <c r="F549" s="40" t="str">
        <f t="array" ref="F549">_xlfn.XLOOKUP($B549, DB[samplingPoint], DB[building])</f>
        <v>Building 10</v>
      </c>
      <c r="G549" s="40" t="str">
        <f t="array" ref="G549">_xlfn.XLOOKUP($B549, DB[samplingPoint], DB[location])</f>
        <v>Return loop (B10)</v>
      </c>
      <c r="H549" s="40" t="str">
        <f t="array" ref="H549">_xlfn.XLOOKUP($B549, DB[samplingPoint], DB[waterType])</f>
        <v>PW</v>
      </c>
      <c r="I549" s="60">
        <f t="shared" si="1"/>
        <v>45913</v>
      </c>
      <c r="J549" s="192">
        <f t="shared" si="2"/>
        <v>45916</v>
      </c>
      <c r="K549" s="32">
        <v>0.0</v>
      </c>
      <c r="L549" s="32">
        <v>0.0</v>
      </c>
      <c r="M549" s="32">
        <f t="shared" si="3"/>
        <v>0</v>
      </c>
      <c r="N549" s="32" t="s">
        <v>376</v>
      </c>
      <c r="O549" s="32">
        <v>100.0</v>
      </c>
      <c r="P549" s="50" t="str">
        <f t="shared" si="6"/>
        <v>PASSED</v>
      </c>
      <c r="Q549" s="50" t="str">
        <f t="shared" si="5"/>
        <v>WA</v>
      </c>
    </row>
    <row r="550" ht="22.5" customHeight="1">
      <c r="A550" s="26">
        <v>45916.0</v>
      </c>
      <c r="B550" s="32" t="s">
        <v>349</v>
      </c>
      <c r="C550" s="191" t="str">
        <f t="array" ref="C550">_xlfn.XLOOKUP(B550, DB[samplingPoint], DB[samplingTag])</f>
        <v>VB-05(10)</v>
      </c>
      <c r="D550" s="33" t="s">
        <v>59</v>
      </c>
      <c r="E550" s="39" t="str">
        <f t="array" ref="E550">_xlfn.XLOOKUP($B550, DB[samplingPoint], DB[noLocation])</f>
        <v>WATER SYSTEM (B10)</v>
      </c>
      <c r="F550" s="40" t="str">
        <f t="array" ref="F550">_xlfn.XLOOKUP($B550, DB[samplingPoint], DB[building])</f>
        <v>Building 10</v>
      </c>
      <c r="G550" s="40" t="str">
        <f t="array" ref="G550">_xlfn.XLOOKUP($B550, DB[samplingPoint], DB[location])</f>
        <v>After Chlorine circulation tank (B10)</v>
      </c>
      <c r="H550" s="40" t="str">
        <f t="array" ref="H550">_xlfn.XLOOKUP($B550, DB[samplingPoint], DB[waterType])</f>
        <v>PRW</v>
      </c>
      <c r="I550" s="60">
        <f t="shared" si="1"/>
        <v>45917</v>
      </c>
      <c r="J550" s="192">
        <f t="shared" si="2"/>
        <v>45920</v>
      </c>
      <c r="K550" s="32">
        <v>0.0</v>
      </c>
      <c r="L550" s="32">
        <v>0.0</v>
      </c>
      <c r="M550" s="32">
        <f t="shared" si="3"/>
        <v>0</v>
      </c>
      <c r="N550" s="32" t="s">
        <v>376</v>
      </c>
      <c r="O550" s="32">
        <v>500.0</v>
      </c>
      <c r="P550" s="50" t="str">
        <f t="shared" si="6"/>
        <v>PASSED</v>
      </c>
      <c r="Q550" s="50" t="str">
        <f t="shared" si="5"/>
        <v>WA</v>
      </c>
    </row>
    <row r="551" ht="22.5" customHeight="1">
      <c r="A551" s="26">
        <v>45916.0</v>
      </c>
      <c r="B551" s="32" t="s">
        <v>366</v>
      </c>
      <c r="C551" s="191" t="str">
        <f t="array" ref="C551">_xlfn.XLOOKUP(B551, DB[samplingPoint], DB[samplingTag])</f>
        <v>V50-61(10)</v>
      </c>
      <c r="D551" s="33" t="s">
        <v>59</v>
      </c>
      <c r="E551" s="39" t="str">
        <f t="array" ref="E551">_xlfn.XLOOKUP($B551, DB[samplingPoint], DB[noLocation])</f>
        <v>WATER SYSTEM (B10)</v>
      </c>
      <c r="F551" s="40" t="str">
        <f t="array" ref="F551">_xlfn.XLOOKUP($B551, DB[samplingPoint], DB[building])</f>
        <v>Building 10</v>
      </c>
      <c r="G551" s="40" t="str">
        <f t="array" ref="G551">_xlfn.XLOOKUP($B551, DB[samplingPoint], DB[location])</f>
        <v>After Cartridge filter 5 µm (B10)</v>
      </c>
      <c r="H551" s="40" t="str">
        <f t="array" ref="H551">_xlfn.XLOOKUP($B551, DB[samplingPoint], DB[waterType])</f>
        <v>PRW</v>
      </c>
      <c r="I551" s="60">
        <f t="shared" si="1"/>
        <v>45917</v>
      </c>
      <c r="J551" s="192">
        <f t="shared" si="2"/>
        <v>45920</v>
      </c>
      <c r="K551" s="32">
        <v>3.0</v>
      </c>
      <c r="L551" s="32">
        <v>2.0</v>
      </c>
      <c r="M551" s="32">
        <f t="shared" si="3"/>
        <v>3</v>
      </c>
      <c r="N551" s="32" t="s">
        <v>376</v>
      </c>
      <c r="O551" s="32">
        <v>500.0</v>
      </c>
      <c r="P551" s="50" t="str">
        <f t="shared" si="6"/>
        <v>PASSED</v>
      </c>
      <c r="Q551" s="50" t="str">
        <f t="shared" si="5"/>
        <v>WA</v>
      </c>
    </row>
    <row r="552" ht="22.5" customHeight="1">
      <c r="A552" s="26">
        <v>45916.0</v>
      </c>
      <c r="B552" s="32" t="s">
        <v>368</v>
      </c>
      <c r="C552" s="191" t="str">
        <f t="array" ref="C552">_xlfn.XLOOKUP(B552, DB[samplingPoint], DB[samplingTag])</f>
        <v>V50-11C(10)</v>
      </c>
      <c r="D552" s="33" t="s">
        <v>59</v>
      </c>
      <c r="E552" s="39" t="str">
        <f t="array" ref="E552">_xlfn.XLOOKUP($B552, DB[samplingPoint], DB[noLocation])</f>
        <v>WATER SYSTEM (B10)</v>
      </c>
      <c r="F552" s="40" t="str">
        <f t="array" ref="F552">_xlfn.XLOOKUP($B552, DB[samplingPoint], DB[building])</f>
        <v>Building 10</v>
      </c>
      <c r="G552" s="40" t="str">
        <f t="array" ref="G552">_xlfn.XLOOKUP($B552, DB[samplingPoint], DB[location])</f>
        <v>After RO (Before EDI) (B10)</v>
      </c>
      <c r="H552" s="40" t="str">
        <f t="array" ref="H552">_xlfn.XLOOKUP($B552, DB[samplingPoint], DB[waterType])</f>
        <v>RO water</v>
      </c>
      <c r="I552" s="60">
        <f t="shared" si="1"/>
        <v>45917</v>
      </c>
      <c r="J552" s="192">
        <f t="shared" si="2"/>
        <v>45920</v>
      </c>
      <c r="K552" s="32">
        <v>0.0</v>
      </c>
      <c r="L552" s="32">
        <v>0.0</v>
      </c>
      <c r="M552" s="32">
        <f t="shared" si="3"/>
        <v>0</v>
      </c>
      <c r="N552" s="32" t="s">
        <v>376</v>
      </c>
      <c r="O552" s="32">
        <v>500.0</v>
      </c>
      <c r="P552" s="50" t="str">
        <f t="shared" si="6"/>
        <v>PASSED</v>
      </c>
      <c r="Q552" s="50" t="str">
        <f t="shared" si="5"/>
        <v>WA</v>
      </c>
    </row>
    <row r="553" ht="22.5" customHeight="1">
      <c r="A553" s="26">
        <v>45916.0</v>
      </c>
      <c r="B553" s="32" t="s">
        <v>374</v>
      </c>
      <c r="C553" s="191" t="str">
        <f t="array" ref="C553">_xlfn.XLOOKUP(B553, DB[samplingPoint], DB[samplingTag])</f>
        <v>V50-39(10)</v>
      </c>
      <c r="D553" s="33" t="s">
        <v>59</v>
      </c>
      <c r="E553" s="39" t="str">
        <f t="array" ref="E553">_xlfn.XLOOKUP($B553, DB[samplingPoint], DB[noLocation])</f>
        <v>WATER SYSTEM (B10)</v>
      </c>
      <c r="F553" s="40" t="str">
        <f t="array" ref="F553">_xlfn.XLOOKUP($B553, DB[samplingPoint], DB[building])</f>
        <v>Building 10</v>
      </c>
      <c r="G553" s="40" t="str">
        <f t="array" ref="G553">_xlfn.XLOOKUP($B553, DB[samplingPoint], DB[location])</f>
        <v>After EDI (B10)</v>
      </c>
      <c r="H553" s="40" t="str">
        <f t="array" ref="H553">_xlfn.XLOOKUP($B553, DB[samplingPoint], DB[waterType])</f>
        <v>PW</v>
      </c>
      <c r="I553" s="60">
        <f t="shared" si="1"/>
        <v>45917</v>
      </c>
      <c r="J553" s="192">
        <f t="shared" si="2"/>
        <v>45920</v>
      </c>
      <c r="K553" s="32">
        <v>0.0</v>
      </c>
      <c r="L553" s="32">
        <v>0.0</v>
      </c>
      <c r="M553" s="32">
        <f t="shared" si="3"/>
        <v>0</v>
      </c>
      <c r="N553" s="32" t="s">
        <v>376</v>
      </c>
      <c r="O553" s="32">
        <v>100.0</v>
      </c>
      <c r="P553" s="50" t="str">
        <f t="shared" si="6"/>
        <v>PASSED</v>
      </c>
      <c r="Q553" s="50" t="str">
        <f t="shared" si="5"/>
        <v>WA</v>
      </c>
    </row>
    <row r="554" ht="22.5" customHeight="1">
      <c r="A554" s="26">
        <v>45916.0</v>
      </c>
      <c r="B554" s="32" t="s">
        <v>423</v>
      </c>
      <c r="C554" s="191" t="str">
        <f t="array" ref="C554">_xlfn.XLOOKUP(B554, DB[samplingPoint], DB[samplingTag])</f>
        <v>SV116.12</v>
      </c>
      <c r="D554" s="33" t="s">
        <v>59</v>
      </c>
      <c r="E554" s="39" t="str">
        <f t="array" ref="E554">_xlfn.XLOOKUP($B554, DB[samplingPoint], DB[noLocation])</f>
        <v>10-3-144</v>
      </c>
      <c r="F554" s="40" t="str">
        <f t="array" ref="F554">_xlfn.XLOOKUP($B554, DB[samplingPoint], DB[building])</f>
        <v>Building 10</v>
      </c>
      <c r="G554" s="40" t="str">
        <f t="array" ref="G554">_xlfn.XLOOKUP($B554, DB[samplingPoint], DB[location])</f>
        <v>COATING-P</v>
      </c>
      <c r="H554" s="40" t="str">
        <f t="array" ref="H554">_xlfn.XLOOKUP($B554, DB[samplingPoint], DB[waterType])</f>
        <v>PW</v>
      </c>
      <c r="I554" s="60">
        <f t="shared" si="1"/>
        <v>45917</v>
      </c>
      <c r="J554" s="192">
        <f t="shared" si="2"/>
        <v>45920</v>
      </c>
      <c r="K554" s="32">
        <v>0.0</v>
      </c>
      <c r="L554" s="32">
        <v>0.0</v>
      </c>
      <c r="M554" s="32">
        <f t="shared" si="3"/>
        <v>0</v>
      </c>
      <c r="N554" s="32" t="s">
        <v>376</v>
      </c>
      <c r="O554" s="32">
        <v>100.0</v>
      </c>
      <c r="P554" s="50" t="str">
        <f t="shared" si="6"/>
        <v>PASSED</v>
      </c>
      <c r="Q554" s="50" t="str">
        <f t="shared" si="5"/>
        <v>10</v>
      </c>
    </row>
    <row r="555" ht="22.5" customHeight="1">
      <c r="A555" s="26">
        <v>45916.0</v>
      </c>
      <c r="B555" s="32" t="s">
        <v>414</v>
      </c>
      <c r="C555" s="191" t="str">
        <f t="array" ref="C555">_xlfn.XLOOKUP(B555, DB[samplingPoint], DB[samplingTag])</f>
        <v>SV116.13</v>
      </c>
      <c r="D555" s="33" t="s">
        <v>59</v>
      </c>
      <c r="E555" s="39" t="str">
        <f t="array" ref="E555">_xlfn.XLOOKUP($B555, DB[samplingPoint], DB[noLocation])</f>
        <v>10-3-152</v>
      </c>
      <c r="F555" s="40" t="str">
        <f t="array" ref="F555">_xlfn.XLOOKUP($B555, DB[samplingPoint], DB[building])</f>
        <v>Building 10</v>
      </c>
      <c r="G555" s="40" t="str">
        <f t="array" ref="G555">_xlfn.XLOOKUP($B555, DB[samplingPoint], DB[location])</f>
        <v>WASHING-P</v>
      </c>
      <c r="H555" s="40" t="str">
        <f t="array" ref="H555">_xlfn.XLOOKUP($B555, DB[samplingPoint], DB[waterType])</f>
        <v>PW</v>
      </c>
      <c r="I555" s="60">
        <f t="shared" si="1"/>
        <v>45917</v>
      </c>
      <c r="J555" s="192">
        <f t="shared" si="2"/>
        <v>45920</v>
      </c>
      <c r="K555" s="32">
        <v>0.0</v>
      </c>
      <c r="L555" s="32">
        <v>0.0</v>
      </c>
      <c r="M555" s="32">
        <f t="shared" si="3"/>
        <v>0</v>
      </c>
      <c r="N555" s="32" t="s">
        <v>376</v>
      </c>
      <c r="O555" s="32">
        <v>100.0</v>
      </c>
      <c r="P555" s="50" t="str">
        <f t="shared" si="6"/>
        <v>PASSED</v>
      </c>
      <c r="Q555" s="50" t="str">
        <f t="shared" si="5"/>
        <v>10</v>
      </c>
    </row>
    <row r="556" ht="22.5" customHeight="1">
      <c r="A556" s="26">
        <v>45916.0</v>
      </c>
      <c r="B556" s="32" t="s">
        <v>428</v>
      </c>
      <c r="C556" s="191" t="str">
        <f t="array" ref="C556">_xlfn.XLOOKUP(B556, DB[samplingPoint], DB[samplingTag])</f>
        <v>DV116.01</v>
      </c>
      <c r="D556" s="33" t="s">
        <v>59</v>
      </c>
      <c r="E556" s="39" t="str">
        <f t="array" ref="E556">_xlfn.XLOOKUP($B556, DB[samplingPoint], DB[noLocation])</f>
        <v>10-1-057</v>
      </c>
      <c r="F556" s="40" t="str">
        <f t="array" ref="F556">_xlfn.XLOOKUP($B556, DB[samplingPoint], DB[building])</f>
        <v>Building 10</v>
      </c>
      <c r="G556" s="40" t="str">
        <f t="array" ref="G556">_xlfn.XLOOKUP($B556, DB[samplingPoint], DB[location])</f>
        <v>WASHING-P</v>
      </c>
      <c r="H556" s="40" t="str">
        <f t="array" ref="H556">_xlfn.XLOOKUP($B556, DB[samplingPoint], DB[waterType])</f>
        <v>PW</v>
      </c>
      <c r="I556" s="60">
        <f t="shared" si="1"/>
        <v>45917</v>
      </c>
      <c r="J556" s="192">
        <f t="shared" si="2"/>
        <v>45920</v>
      </c>
      <c r="K556" s="32">
        <v>0.0</v>
      </c>
      <c r="L556" s="32">
        <v>0.0</v>
      </c>
      <c r="M556" s="32">
        <f t="shared" si="3"/>
        <v>0</v>
      </c>
      <c r="N556" s="32" t="s">
        <v>376</v>
      </c>
      <c r="O556" s="32">
        <v>100.0</v>
      </c>
      <c r="P556" s="50" t="str">
        <f t="shared" si="6"/>
        <v>PASSED</v>
      </c>
      <c r="Q556" s="50" t="str">
        <f t="shared" si="5"/>
        <v>10</v>
      </c>
    </row>
    <row r="557" ht="22.5" customHeight="1">
      <c r="A557" s="26">
        <v>45916.0</v>
      </c>
      <c r="B557" s="32" t="s">
        <v>425</v>
      </c>
      <c r="C557" s="191" t="str">
        <f t="array" ref="C557">_xlfn.XLOOKUP(B557, DB[samplingPoint], DB[samplingTag])</f>
        <v>DV116.02</v>
      </c>
      <c r="D557" s="33" t="s">
        <v>59</v>
      </c>
      <c r="E557" s="39" t="str">
        <f t="array" ref="E557">_xlfn.XLOOKUP($B557, DB[samplingPoint], DB[noLocation])</f>
        <v>10-1-115</v>
      </c>
      <c r="F557" s="40" t="str">
        <f t="array" ref="F557">_xlfn.XLOOKUP($B557, DB[samplingPoint], DB[building])</f>
        <v>Building 10</v>
      </c>
      <c r="G557" s="40" t="str">
        <f t="array" ref="G557">_xlfn.XLOOKUP($B557, DB[samplingPoint], DB[location])</f>
        <v>WASHING</v>
      </c>
      <c r="H557" s="40" t="str">
        <f t="array" ref="H557">_xlfn.XLOOKUP($B557, DB[samplingPoint], DB[waterType])</f>
        <v>PW</v>
      </c>
      <c r="I557" s="60">
        <f t="shared" si="1"/>
        <v>45917</v>
      </c>
      <c r="J557" s="192">
        <f t="shared" si="2"/>
        <v>45920</v>
      </c>
      <c r="K557" s="32">
        <v>0.0</v>
      </c>
      <c r="L557" s="32">
        <v>0.0</v>
      </c>
      <c r="M557" s="32">
        <f t="shared" si="3"/>
        <v>0</v>
      </c>
      <c r="N557" s="32" t="s">
        <v>376</v>
      </c>
      <c r="O557" s="32">
        <v>100.0</v>
      </c>
      <c r="P557" s="50" t="str">
        <f t="shared" si="6"/>
        <v>PASSED</v>
      </c>
      <c r="Q557" s="50" t="str">
        <f t="shared" si="5"/>
        <v>10</v>
      </c>
    </row>
    <row r="558" ht="22.5" customHeight="1">
      <c r="A558" s="26">
        <v>45916.0</v>
      </c>
      <c r="B558" s="32" t="s">
        <v>421</v>
      </c>
      <c r="C558" s="191" t="str">
        <f t="array" ref="C558">_xlfn.XLOOKUP(B558, DB[samplingPoint], DB[samplingTag])</f>
        <v>DV116.19</v>
      </c>
      <c r="D558" s="33" t="s">
        <v>59</v>
      </c>
      <c r="E558" s="39" t="str">
        <f t="array" ref="E558">_xlfn.XLOOKUP($B558, DB[samplingPoint], DB[noLocation])</f>
        <v>10-3-143</v>
      </c>
      <c r="F558" s="40" t="str">
        <f t="array" ref="F558">_xlfn.XLOOKUP($B558, DB[samplingPoint], DB[building])</f>
        <v>Building 10</v>
      </c>
      <c r="G558" s="40" t="str">
        <f t="array" ref="G558">_xlfn.XLOOKUP($B558, DB[samplingPoint], DB[location])</f>
        <v>COATING SOLUTION PREP.-P</v>
      </c>
      <c r="H558" s="40" t="str">
        <f t="array" ref="H558">_xlfn.XLOOKUP($B558, DB[samplingPoint], DB[waterType])</f>
        <v>PW</v>
      </c>
      <c r="I558" s="60">
        <f t="shared" si="1"/>
        <v>45917</v>
      </c>
      <c r="J558" s="192">
        <f t="shared" si="2"/>
        <v>45920</v>
      </c>
      <c r="K558" s="32">
        <v>0.0</v>
      </c>
      <c r="L558" s="32">
        <v>0.0</v>
      </c>
      <c r="M558" s="32">
        <f t="shared" si="3"/>
        <v>0</v>
      </c>
      <c r="N558" s="32" t="s">
        <v>376</v>
      </c>
      <c r="O558" s="32">
        <v>100.0</v>
      </c>
      <c r="P558" s="50" t="str">
        <f t="shared" si="6"/>
        <v>PASSED</v>
      </c>
      <c r="Q558" s="50" t="str">
        <f t="shared" si="5"/>
        <v>10</v>
      </c>
    </row>
    <row r="559" ht="22.5" customHeight="1">
      <c r="A559" s="26">
        <v>45916.0</v>
      </c>
      <c r="B559" s="32" t="s">
        <v>417</v>
      </c>
      <c r="C559" s="191" t="str">
        <f t="array" ref="C559">_xlfn.XLOOKUP(B559, DB[samplingPoint], DB[samplingTag])</f>
        <v>DV116.20</v>
      </c>
      <c r="D559" s="33" t="s">
        <v>59</v>
      </c>
      <c r="E559" s="39" t="str">
        <f t="array" ref="E559">_xlfn.XLOOKUP($B559, DB[samplingPoint], DB[noLocation])</f>
        <v>10-3-149</v>
      </c>
      <c r="F559" s="40" t="str">
        <f t="array" ref="F559">_xlfn.XLOOKUP($B559, DB[samplingPoint], DB[building])</f>
        <v>Building 10</v>
      </c>
      <c r="G559" s="40" t="str">
        <f t="array" ref="G559">_xlfn.XLOOKUP($B559, DB[samplingPoint], DB[location])</f>
        <v>IPQC-1-P</v>
      </c>
      <c r="H559" s="40" t="str">
        <f t="array" ref="H559">_xlfn.XLOOKUP($B559, DB[samplingPoint], DB[waterType])</f>
        <v>PW</v>
      </c>
      <c r="I559" s="60">
        <f t="shared" si="1"/>
        <v>45917</v>
      </c>
      <c r="J559" s="192">
        <f t="shared" si="2"/>
        <v>45920</v>
      </c>
      <c r="K559" s="32">
        <v>0.0</v>
      </c>
      <c r="L559" s="32">
        <v>0.0</v>
      </c>
      <c r="M559" s="32">
        <f t="shared" si="3"/>
        <v>0</v>
      </c>
      <c r="N559" s="32" t="s">
        <v>376</v>
      </c>
      <c r="O559" s="32">
        <v>100.0</v>
      </c>
      <c r="P559" s="50" t="str">
        <f t="shared" si="6"/>
        <v>PASSED</v>
      </c>
      <c r="Q559" s="50" t="str">
        <f t="shared" si="5"/>
        <v>10</v>
      </c>
    </row>
    <row r="560" ht="22.5" customHeight="1">
      <c r="A560" s="26">
        <v>45916.0</v>
      </c>
      <c r="B560" s="32" t="s">
        <v>401</v>
      </c>
      <c r="C560" s="191" t="str">
        <f t="array" ref="C560">_xlfn.XLOOKUP(B560, DB[samplingPoint], DB[samplingTag])</f>
        <v>DV116.23</v>
      </c>
      <c r="D560" s="33" t="s">
        <v>59</v>
      </c>
      <c r="E560" s="39" t="str">
        <f t="array" ref="E560">_xlfn.XLOOKUP($B560, DB[samplingPoint], DB[noLocation])</f>
        <v>10-3-159</v>
      </c>
      <c r="F560" s="40" t="str">
        <f t="array" ref="F560">_xlfn.XLOOKUP($B560, DB[samplingPoint], DB[building])</f>
        <v>Building 10</v>
      </c>
      <c r="G560" s="40" t="str">
        <f t="array" ref="G560">_xlfn.XLOOKUP($B560, DB[samplingPoint], DB[location])</f>
        <v>BINDER PREPARATION-P</v>
      </c>
      <c r="H560" s="40" t="str">
        <f t="array" ref="H560">_xlfn.XLOOKUP($B560, DB[samplingPoint], DB[waterType])</f>
        <v>PW</v>
      </c>
      <c r="I560" s="60">
        <f t="shared" si="1"/>
        <v>45917</v>
      </c>
      <c r="J560" s="192">
        <f t="shared" si="2"/>
        <v>45920</v>
      </c>
      <c r="K560" s="32">
        <v>0.0</v>
      </c>
      <c r="L560" s="32">
        <v>0.0</v>
      </c>
      <c r="M560" s="32">
        <f t="shared" si="3"/>
        <v>0</v>
      </c>
      <c r="N560" s="32" t="s">
        <v>376</v>
      </c>
      <c r="O560" s="32">
        <v>100.0</v>
      </c>
      <c r="P560" s="50" t="str">
        <f t="shared" si="6"/>
        <v>PASSED</v>
      </c>
      <c r="Q560" s="50" t="str">
        <f t="shared" si="5"/>
        <v>10</v>
      </c>
    </row>
    <row r="561" ht="22.5" customHeight="1">
      <c r="A561" s="26">
        <v>45916.0</v>
      </c>
      <c r="B561" s="32" t="s">
        <v>398</v>
      </c>
      <c r="C561" s="191" t="str">
        <f t="array" ref="C561">_xlfn.XLOOKUP(B561, DB[samplingPoint], DB[samplingTag])</f>
        <v>DV116.24</v>
      </c>
      <c r="D561" s="33" t="s">
        <v>59</v>
      </c>
      <c r="E561" s="39" t="str">
        <f t="array" ref="E561">_xlfn.XLOOKUP($B561, DB[samplingPoint], DB[noLocation])</f>
        <v>10-3-163</v>
      </c>
      <c r="F561" s="40" t="str">
        <f t="array" ref="F561">_xlfn.XLOOKUP($B561, DB[samplingPoint], DB[building])</f>
        <v>Building 10</v>
      </c>
      <c r="G561" s="40" t="str">
        <f t="array" ref="G561">_xlfn.XLOOKUP($B561, DB[samplingPoint], DB[location])</f>
        <v>WET GRANULATION 1-P</v>
      </c>
      <c r="H561" s="40" t="str">
        <f t="array" ref="H561">_xlfn.XLOOKUP($B561, DB[samplingPoint], DB[waterType])</f>
        <v>PW</v>
      </c>
      <c r="I561" s="60">
        <f t="shared" si="1"/>
        <v>45917</v>
      </c>
      <c r="J561" s="192">
        <f t="shared" si="2"/>
        <v>45920</v>
      </c>
      <c r="K561" s="32">
        <v>0.0</v>
      </c>
      <c r="L561" s="32">
        <v>0.0</v>
      </c>
      <c r="M561" s="32">
        <f t="shared" si="3"/>
        <v>0</v>
      </c>
      <c r="N561" s="32" t="s">
        <v>376</v>
      </c>
      <c r="O561" s="32">
        <v>100.0</v>
      </c>
      <c r="P561" s="50" t="str">
        <f t="shared" si="6"/>
        <v>PASSED</v>
      </c>
      <c r="Q561" s="50" t="str">
        <f t="shared" si="5"/>
        <v>10</v>
      </c>
    </row>
    <row r="562" ht="22.5" customHeight="1">
      <c r="A562" s="26">
        <v>45916.0</v>
      </c>
      <c r="B562" s="32" t="s">
        <v>406</v>
      </c>
      <c r="C562" s="191" t="str">
        <f t="array" ref="C562">_xlfn.XLOOKUP(B562, DB[samplingPoint], DB[samplingTag])</f>
        <v>DV116.21</v>
      </c>
      <c r="D562" s="33" t="s">
        <v>59</v>
      </c>
      <c r="E562" s="39" t="str">
        <f t="array" ref="E562">_xlfn.XLOOKUP($B562, DB[samplingPoint], DB[noLocation])</f>
        <v>10-3-152</v>
      </c>
      <c r="F562" s="40" t="str">
        <f t="array" ref="F562">_xlfn.XLOOKUP($B562, DB[samplingPoint], DB[building])</f>
        <v>Building 10</v>
      </c>
      <c r="G562" s="40" t="str">
        <f t="array" ref="G562">_xlfn.XLOOKUP($B562, DB[samplingPoint], DB[location])</f>
        <v>WASHING-P</v>
      </c>
      <c r="H562" s="40" t="str">
        <f t="array" ref="H562">_xlfn.XLOOKUP($B562, DB[samplingPoint], DB[waterType])</f>
        <v>PW</v>
      </c>
      <c r="I562" s="60">
        <f t="shared" si="1"/>
        <v>45917</v>
      </c>
      <c r="J562" s="192">
        <f t="shared" si="2"/>
        <v>45920</v>
      </c>
      <c r="K562" s="32">
        <v>0.0</v>
      </c>
      <c r="L562" s="32">
        <v>0.0</v>
      </c>
      <c r="M562" s="32">
        <f t="shared" si="3"/>
        <v>0</v>
      </c>
      <c r="N562" s="32" t="s">
        <v>376</v>
      </c>
      <c r="O562" s="32">
        <v>100.0</v>
      </c>
      <c r="P562" s="50" t="str">
        <f t="shared" si="6"/>
        <v>PASSED</v>
      </c>
      <c r="Q562" s="50" t="str">
        <f t="shared" si="5"/>
        <v>10</v>
      </c>
    </row>
    <row r="563" ht="22.5" customHeight="1">
      <c r="A563" s="26">
        <v>45916.0</v>
      </c>
      <c r="B563" s="32" t="s">
        <v>410</v>
      </c>
      <c r="C563" s="191" t="str">
        <f t="array" ref="C563">_xlfn.XLOOKUP(B563, DB[samplingPoint], DB[samplingTag])</f>
        <v>DV116.22</v>
      </c>
      <c r="D563" s="33" t="s">
        <v>59</v>
      </c>
      <c r="E563" s="39" t="str">
        <f t="array" ref="E563">_xlfn.XLOOKUP($B563, DB[samplingPoint], DB[noLocation])</f>
        <v>10-3-152</v>
      </c>
      <c r="F563" s="40" t="str">
        <f t="array" ref="F563">_xlfn.XLOOKUP($B563, DB[samplingPoint], DB[building])</f>
        <v>Building 10</v>
      </c>
      <c r="G563" s="40" t="str">
        <f t="array" ref="G563">_xlfn.XLOOKUP($B563, DB[samplingPoint], DB[location])</f>
        <v>WASHING-P</v>
      </c>
      <c r="H563" s="40" t="str">
        <f t="array" ref="H563">_xlfn.XLOOKUP($B563, DB[samplingPoint], DB[waterType])</f>
        <v>PW</v>
      </c>
      <c r="I563" s="60">
        <f t="shared" si="1"/>
        <v>45917</v>
      </c>
      <c r="J563" s="192">
        <f t="shared" si="2"/>
        <v>45920</v>
      </c>
      <c r="K563" s="32">
        <v>0.0</v>
      </c>
      <c r="L563" s="32">
        <v>0.0</v>
      </c>
      <c r="M563" s="32">
        <f t="shared" si="3"/>
        <v>0</v>
      </c>
      <c r="N563" s="32" t="s">
        <v>376</v>
      </c>
      <c r="O563" s="32">
        <v>100.0</v>
      </c>
      <c r="P563" s="50" t="str">
        <f t="shared" si="6"/>
        <v>PASSED</v>
      </c>
      <c r="Q563" s="50" t="str">
        <f t="shared" si="5"/>
        <v>10</v>
      </c>
    </row>
    <row r="564" ht="22.5" customHeight="1">
      <c r="A564" s="26">
        <v>45916.0</v>
      </c>
      <c r="B564" s="32" t="s">
        <v>394</v>
      </c>
      <c r="C564" s="191" t="str">
        <f t="array" ref="C564">_xlfn.XLOOKUP(B564, DB[samplingPoint], DB[samplingTag])</f>
        <v>DV116.25</v>
      </c>
      <c r="D564" s="33" t="s">
        <v>59</v>
      </c>
      <c r="E564" s="39" t="str">
        <f t="array" ref="E564">_xlfn.XLOOKUP($B564, DB[samplingPoint], DB[noLocation])</f>
        <v>10-3-171</v>
      </c>
      <c r="F564" s="40" t="str">
        <f t="array" ref="F564">_xlfn.XLOOKUP($B564, DB[samplingPoint], DB[building])</f>
        <v>Building 10</v>
      </c>
      <c r="G564" s="40" t="str">
        <f t="array" ref="G564">_xlfn.XLOOKUP($B564, DB[samplingPoint], DB[location])</f>
        <v>TOOL WASHING-P</v>
      </c>
      <c r="H564" s="40" t="str">
        <f t="array" ref="H564">_xlfn.XLOOKUP($B564, DB[samplingPoint], DB[waterType])</f>
        <v>PW</v>
      </c>
      <c r="I564" s="60">
        <f t="shared" si="1"/>
        <v>45917</v>
      </c>
      <c r="J564" s="192">
        <f t="shared" si="2"/>
        <v>45920</v>
      </c>
      <c r="K564" s="32">
        <v>0.0</v>
      </c>
      <c r="L564" s="32">
        <v>0.0</v>
      </c>
      <c r="M564" s="32">
        <f t="shared" si="3"/>
        <v>0</v>
      </c>
      <c r="N564" s="32" t="s">
        <v>376</v>
      </c>
      <c r="O564" s="32">
        <v>100.0</v>
      </c>
      <c r="P564" s="50" t="str">
        <f t="shared" si="6"/>
        <v>PASSED</v>
      </c>
      <c r="Q564" s="50" t="str">
        <f t="shared" si="5"/>
        <v>10</v>
      </c>
    </row>
    <row r="565" ht="22.5" customHeight="1">
      <c r="A565" s="26">
        <v>45923.0</v>
      </c>
      <c r="B565" s="32" t="s">
        <v>380</v>
      </c>
      <c r="C565" s="191" t="str">
        <f t="array" ref="C565">_xlfn.XLOOKUP(B565, DB[samplingPoint], DB[samplingTag])</f>
        <v>SV113.01</v>
      </c>
      <c r="D565" s="33" t="s">
        <v>59</v>
      </c>
      <c r="E565" s="39" t="str">
        <f t="array" ref="E565">_xlfn.XLOOKUP($B565, DB[samplingPoint], DB[noLocation])</f>
        <v>WATER SYSTEM (B10)</v>
      </c>
      <c r="F565" s="40" t="str">
        <f t="array" ref="F565">_xlfn.XLOOKUP($B565, DB[samplingPoint], DB[building])</f>
        <v>Building 10</v>
      </c>
      <c r="G565" s="40" t="str">
        <f t="array" ref="G565">_xlfn.XLOOKUP($B565, DB[samplingPoint], DB[location])</f>
        <v>After Storage tank (B10)</v>
      </c>
      <c r="H565" s="40" t="str">
        <f t="array" ref="H565">_xlfn.XLOOKUP($B565, DB[samplingPoint], DB[waterType])</f>
        <v>PW</v>
      </c>
      <c r="I565" s="60">
        <f t="shared" si="1"/>
        <v>45924</v>
      </c>
      <c r="J565" s="192">
        <f t="shared" si="2"/>
        <v>45927</v>
      </c>
      <c r="K565" s="32">
        <v>0.0</v>
      </c>
      <c r="L565" s="32">
        <v>0.0</v>
      </c>
      <c r="M565" s="32">
        <f t="shared" si="3"/>
        <v>0</v>
      </c>
      <c r="N565" s="32" t="s">
        <v>376</v>
      </c>
      <c r="O565" s="32">
        <v>100.0</v>
      </c>
      <c r="P565" s="50" t="str">
        <f t="shared" si="6"/>
        <v>PASSED</v>
      </c>
      <c r="Q565" s="50" t="str">
        <f t="shared" si="5"/>
        <v>WA</v>
      </c>
    </row>
    <row r="566" ht="22.5" customHeight="1">
      <c r="A566" s="26">
        <v>45923.0</v>
      </c>
      <c r="B566" s="32" t="s">
        <v>431</v>
      </c>
      <c r="C566" s="191" t="str">
        <f t="array" ref="C566">_xlfn.XLOOKUP(B566, DB[samplingPoint], DB[samplingTag])</f>
        <v>SV-14</v>
      </c>
      <c r="D566" s="33" t="s">
        <v>59</v>
      </c>
      <c r="E566" s="39" t="str">
        <f t="array" ref="E566">_xlfn.XLOOKUP($B566, DB[samplingPoint], DB[noLocation])</f>
        <v>PROCESS WATER (B19)</v>
      </c>
      <c r="F566" s="40" t="str">
        <f t="array" ref="F566">_xlfn.XLOOKUP($B566, DB[samplingPoint], DB[building])</f>
        <v>Building 19</v>
      </c>
      <c r="G566" s="40" t="str">
        <f t="array" ref="G566">_xlfn.XLOOKUP($B566, DB[samplingPoint], DB[location])</f>
        <v>AFTER RO SYSTEM NO.12 SV14</v>
      </c>
      <c r="H566" s="40" t="str">
        <f t="array" ref="H566">_xlfn.XLOOKUP($B566, DB[samplingPoint], DB[waterType])</f>
        <v>PRW</v>
      </c>
      <c r="I566" s="60">
        <f t="shared" si="1"/>
        <v>45924</v>
      </c>
      <c r="J566" s="192">
        <f t="shared" si="2"/>
        <v>45927</v>
      </c>
      <c r="K566" s="32">
        <v>0.0</v>
      </c>
      <c r="L566" s="32">
        <v>0.0</v>
      </c>
      <c r="M566" s="32">
        <f t="shared" si="3"/>
        <v>0</v>
      </c>
      <c r="N566" s="32" t="s">
        <v>376</v>
      </c>
      <c r="O566" s="32">
        <v>500.0</v>
      </c>
      <c r="P566" s="50" t="str">
        <f t="shared" si="6"/>
        <v>PASSED</v>
      </c>
      <c r="Q566" s="50" t="str">
        <f t="shared" si="5"/>
        <v>PR</v>
      </c>
    </row>
    <row r="567" ht="22.5" customHeight="1">
      <c r="A567" s="26">
        <v>45923.0</v>
      </c>
      <c r="B567" s="32" t="s">
        <v>618</v>
      </c>
      <c r="C567" s="39" t="str">
        <f t="array" ref="C567">_xlfn.XLOOKUP(B567, DB[samplingPoint], DB[samplingTag])</f>
        <v>SV-15</v>
      </c>
      <c r="D567" s="33" t="s">
        <v>59</v>
      </c>
      <c r="E567" s="39" t="str">
        <f t="array" ref="E567">_xlfn.XLOOKUP($B567, DB[samplingPoint], DB[noLocation])</f>
        <v>PROCESS WATER (B19)</v>
      </c>
      <c r="F567" s="40" t="str">
        <f t="array" ref="F567">_xlfn.XLOOKUP($B567, DB[samplingPoint], DB[building])</f>
        <v>Building 19</v>
      </c>
      <c r="G567" s="40" t="str">
        <f t="array" ref="G567">_xlfn.XLOOKUP($B567, DB[samplingPoint], DB[location])</f>
        <v>AFTER RO SYSTEM NO.12 SV15</v>
      </c>
      <c r="H567" s="40" t="str">
        <f t="array" ref="H567">_xlfn.XLOOKUP($B567, DB[samplingPoint], DB[waterType])</f>
        <v>PRW</v>
      </c>
      <c r="I567" s="60">
        <f t="shared" si="1"/>
        <v>45924</v>
      </c>
      <c r="J567" s="192">
        <f t="shared" si="2"/>
        <v>45927</v>
      </c>
      <c r="K567" s="32">
        <v>0.0</v>
      </c>
      <c r="L567" s="32">
        <v>0.0</v>
      </c>
      <c r="M567" s="32">
        <f t="shared" si="3"/>
        <v>0</v>
      </c>
      <c r="N567" s="32" t="s">
        <v>376</v>
      </c>
      <c r="O567" s="32">
        <v>500.0</v>
      </c>
      <c r="P567" s="50" t="str">
        <f t="shared" si="6"/>
        <v>PASSED</v>
      </c>
      <c r="Q567" s="50" t="str">
        <f t="shared" si="5"/>
        <v>PR</v>
      </c>
    </row>
    <row r="568" ht="22.5" customHeight="1">
      <c r="A568" s="26">
        <v>45923.0</v>
      </c>
      <c r="B568" s="32" t="s">
        <v>502</v>
      </c>
      <c r="C568" s="191" t="str">
        <f t="array" ref="C568">_xlfn.XLOOKUP(B568, DB[samplingPoint], DB[samplingTag])</f>
        <v>DV116.26</v>
      </c>
      <c r="D568" s="33" t="s">
        <v>59</v>
      </c>
      <c r="E568" s="39" t="str">
        <f t="array" ref="E568">_xlfn.XLOOKUP($B568, DB[samplingPoint], DB[noLocation])</f>
        <v>10-4-015</v>
      </c>
      <c r="F568" s="40" t="str">
        <f t="array" ref="F568">_xlfn.XLOOKUP($B568, DB[samplingPoint], DB[building])</f>
        <v>Building 10</v>
      </c>
      <c r="G568" s="40" t="str">
        <f t="array" ref="G568">_xlfn.XLOOKUP($B568, DB[samplingPoint], DB[location])</f>
        <v>WATER SYSTEM ROOM</v>
      </c>
      <c r="H568" s="40" t="str">
        <f t="array" ref="H568">_xlfn.XLOOKUP($B568, DB[samplingPoint], DB[waterType])</f>
        <v>PW</v>
      </c>
      <c r="I568" s="60">
        <f t="shared" si="1"/>
        <v>45924</v>
      </c>
      <c r="J568" s="192">
        <f t="shared" si="2"/>
        <v>45927</v>
      </c>
      <c r="K568" s="32">
        <v>0.0</v>
      </c>
      <c r="L568" s="32">
        <v>0.0</v>
      </c>
      <c r="M568" s="32">
        <f t="shared" si="3"/>
        <v>0</v>
      </c>
      <c r="N568" s="32" t="s">
        <v>376</v>
      </c>
      <c r="O568" s="32">
        <v>100.0</v>
      </c>
      <c r="P568" s="50" t="str">
        <f t="shared" si="6"/>
        <v>PASSED</v>
      </c>
      <c r="Q568" s="50" t="str">
        <f t="shared" si="5"/>
        <v>10</v>
      </c>
    </row>
    <row r="569" ht="22.5" customHeight="1">
      <c r="A569" s="26">
        <v>45923.0</v>
      </c>
      <c r="B569" s="32" t="s">
        <v>499</v>
      </c>
      <c r="C569" s="191" t="str">
        <f t="array" ref="C569">_xlfn.XLOOKUP(B569, DB[samplingPoint], DB[samplingTag])</f>
        <v>SV116.01</v>
      </c>
      <c r="D569" s="33" t="s">
        <v>59</v>
      </c>
      <c r="E569" s="39" t="str">
        <f t="array" ref="E569">_xlfn.XLOOKUP($B569, DB[samplingPoint], DB[noLocation])</f>
        <v>10-2-021</v>
      </c>
      <c r="F569" s="40" t="str">
        <f t="array" ref="F569">_xlfn.XLOOKUP($B569, DB[samplingPoint], DB[building])</f>
        <v>Building 10</v>
      </c>
      <c r="G569" s="40" t="str">
        <f t="array" ref="G569">_xlfn.XLOOKUP($B569, DB[samplingPoint], DB[location])</f>
        <v>INSTRUMENT-1</v>
      </c>
      <c r="H569" s="40" t="str">
        <f t="array" ref="H569">_xlfn.XLOOKUP($B569, DB[samplingPoint], DB[waterType])</f>
        <v>PW</v>
      </c>
      <c r="I569" s="60">
        <f t="shared" si="1"/>
        <v>45924</v>
      </c>
      <c r="J569" s="192">
        <f t="shared" si="2"/>
        <v>45927</v>
      </c>
      <c r="K569" s="32">
        <v>0.0</v>
      </c>
      <c r="L569" s="32">
        <v>0.0</v>
      </c>
      <c r="M569" s="32">
        <f t="shared" si="3"/>
        <v>0</v>
      </c>
      <c r="N569" s="32" t="s">
        <v>376</v>
      </c>
      <c r="O569" s="32">
        <v>100.0</v>
      </c>
      <c r="P569" s="50" t="str">
        <f t="shared" si="6"/>
        <v>PASSED</v>
      </c>
      <c r="Q569" s="50" t="str">
        <f t="shared" si="5"/>
        <v>10</v>
      </c>
    </row>
    <row r="570" ht="22.5" customHeight="1">
      <c r="A570" s="26">
        <v>45923.0</v>
      </c>
      <c r="B570" s="32" t="s">
        <v>491</v>
      </c>
      <c r="C570" s="191" t="str">
        <f t="array" ref="C570">_xlfn.XLOOKUP(B570, DB[samplingPoint], DB[samplingTag])</f>
        <v>SV116.15</v>
      </c>
      <c r="D570" s="33" t="s">
        <v>59</v>
      </c>
      <c r="E570" s="39" t="str">
        <f t="array" ref="E570">_xlfn.XLOOKUP($B570, DB[samplingPoint], DB[noLocation])</f>
        <v>10-4-012</v>
      </c>
      <c r="F570" s="40" t="str">
        <f t="array" ref="F570">_xlfn.XLOOKUP($B570, DB[samplingPoint], DB[building])</f>
        <v>Building 10</v>
      </c>
      <c r="G570" s="40" t="str">
        <f t="array" ref="G570">_xlfn.XLOOKUP($B570, DB[samplingPoint], DB[location])</f>
        <v>CIP SKID-1 FOR BIN WASHING-1</v>
      </c>
      <c r="H570" s="40" t="str">
        <f t="array" ref="H570">_xlfn.XLOOKUP($B570, DB[samplingPoint], DB[waterType])</f>
        <v>PW</v>
      </c>
      <c r="I570" s="60">
        <f t="shared" si="1"/>
        <v>45924</v>
      </c>
      <c r="J570" s="192">
        <f t="shared" si="2"/>
        <v>45927</v>
      </c>
      <c r="K570" s="32">
        <v>0.0</v>
      </c>
      <c r="L570" s="32">
        <v>0.0</v>
      </c>
      <c r="M570" s="32">
        <f t="shared" si="3"/>
        <v>0</v>
      </c>
      <c r="N570" s="32" t="s">
        <v>376</v>
      </c>
      <c r="O570" s="32">
        <v>100.0</v>
      </c>
      <c r="P570" s="50" t="str">
        <f t="shared" si="6"/>
        <v>PASSED</v>
      </c>
      <c r="Q570" s="50" t="str">
        <f t="shared" si="5"/>
        <v>10</v>
      </c>
    </row>
    <row r="571" ht="22.5" customHeight="1">
      <c r="A571" s="26">
        <v>45923.0</v>
      </c>
      <c r="B571" s="32" t="s">
        <v>496</v>
      </c>
      <c r="C571" s="191" t="str">
        <f t="array" ref="C571">_xlfn.XLOOKUP(B571, DB[samplingPoint], DB[samplingTag])</f>
        <v>SV116.19</v>
      </c>
      <c r="D571" s="33" t="s">
        <v>59</v>
      </c>
      <c r="E571" s="39" t="str">
        <f t="array" ref="E571">_xlfn.XLOOKUP($B571, DB[samplingPoint], DB[noLocation])</f>
        <v>10-4-012</v>
      </c>
      <c r="F571" s="40" t="str">
        <f t="array" ref="F571">_xlfn.XLOOKUP($B571, DB[samplingPoint], DB[building])</f>
        <v>Building 10</v>
      </c>
      <c r="G571" s="40" t="str">
        <f t="array" ref="G571">_xlfn.XLOOKUP($B571, DB[samplingPoint], DB[location])</f>
        <v>WIP SKID-2 FOR GRANULATION NON POTENT</v>
      </c>
      <c r="H571" s="40" t="str">
        <f t="array" ref="H571">_xlfn.XLOOKUP($B571, DB[samplingPoint], DB[waterType])</f>
        <v>PW</v>
      </c>
      <c r="I571" s="60">
        <f t="shared" si="1"/>
        <v>45924</v>
      </c>
      <c r="J571" s="192">
        <f t="shared" si="2"/>
        <v>45927</v>
      </c>
      <c r="K571" s="32">
        <v>0.0</v>
      </c>
      <c r="L571" s="32">
        <v>0.0</v>
      </c>
      <c r="M571" s="32">
        <f t="shared" si="3"/>
        <v>0</v>
      </c>
      <c r="N571" s="32" t="s">
        <v>376</v>
      </c>
      <c r="O571" s="32">
        <v>100.0</v>
      </c>
      <c r="P571" s="50" t="str">
        <f t="shared" si="6"/>
        <v>PASSED</v>
      </c>
      <c r="Q571" s="50" t="str">
        <f t="shared" si="5"/>
        <v>10</v>
      </c>
    </row>
    <row r="572" ht="22.5" customHeight="1">
      <c r="A572" s="26">
        <v>45923.0</v>
      </c>
      <c r="B572" s="32" t="s">
        <v>495</v>
      </c>
      <c r="C572" s="191" t="str">
        <f t="array" ref="C572">_xlfn.XLOOKUP(B572, DB[samplingPoint], DB[samplingTag])</f>
        <v>SV116.18</v>
      </c>
      <c r="D572" s="33" t="s">
        <v>59</v>
      </c>
      <c r="E572" s="39" t="str">
        <f t="array" ref="E572">_xlfn.XLOOKUP($B572, DB[samplingPoint], DB[noLocation])</f>
        <v>10-4-012</v>
      </c>
      <c r="F572" s="40" t="str">
        <f t="array" ref="F572">_xlfn.XLOOKUP($B572, DB[samplingPoint], DB[building])</f>
        <v>Building 10</v>
      </c>
      <c r="G572" s="40" t="str">
        <f t="array" ref="G572">_xlfn.XLOOKUP($B572, DB[samplingPoint], DB[location])</f>
        <v>WIP SKID-1 FOR GRANULATION NON POTENT</v>
      </c>
      <c r="H572" s="40" t="str">
        <f t="array" ref="H572">_xlfn.XLOOKUP($B572, DB[samplingPoint], DB[waterType])</f>
        <v>PW</v>
      </c>
      <c r="I572" s="60">
        <f t="shared" si="1"/>
        <v>45924</v>
      </c>
      <c r="J572" s="192">
        <f t="shared" si="2"/>
        <v>45927</v>
      </c>
      <c r="K572" s="32">
        <v>0.0</v>
      </c>
      <c r="L572" s="32">
        <v>0.0</v>
      </c>
      <c r="M572" s="32">
        <f t="shared" si="3"/>
        <v>0</v>
      </c>
      <c r="N572" s="32" t="s">
        <v>376</v>
      </c>
      <c r="O572" s="32">
        <v>100.0</v>
      </c>
      <c r="P572" s="50" t="str">
        <f t="shared" si="6"/>
        <v>PASSED</v>
      </c>
      <c r="Q572" s="50" t="str">
        <f t="shared" si="5"/>
        <v>10</v>
      </c>
    </row>
    <row r="573" ht="22.5" customHeight="1">
      <c r="A573" s="26">
        <v>45923.0</v>
      </c>
      <c r="B573" s="32" t="s">
        <v>498</v>
      </c>
      <c r="C573" s="191" t="str">
        <f t="array" ref="C573">_xlfn.XLOOKUP(B573, DB[samplingPoint], DB[samplingTag])</f>
        <v>SV116.02</v>
      </c>
      <c r="D573" s="33" t="s">
        <v>59</v>
      </c>
      <c r="E573" s="39" t="str">
        <f t="array" ref="E573">_xlfn.XLOOKUP($B573, DB[samplingPoint], DB[noLocation])</f>
        <v>10-2-037</v>
      </c>
      <c r="F573" s="40" t="str">
        <f t="array" ref="F573">_xlfn.XLOOKUP($B573, DB[samplingPoint], DB[building])</f>
        <v>Building 10</v>
      </c>
      <c r="G573" s="40" t="str">
        <f t="array" ref="G573">_xlfn.XLOOKUP($B573, DB[samplingPoint], DB[location])</f>
        <v>SKID FOR BIN WASHING-2</v>
      </c>
      <c r="H573" s="40" t="str">
        <f t="array" ref="H573">_xlfn.XLOOKUP($B573, DB[samplingPoint], DB[waterType])</f>
        <v>PW</v>
      </c>
      <c r="I573" s="60">
        <f t="shared" si="1"/>
        <v>45924</v>
      </c>
      <c r="J573" s="192">
        <f t="shared" si="2"/>
        <v>45927</v>
      </c>
      <c r="K573" s="32">
        <v>0.0</v>
      </c>
      <c r="L573" s="32">
        <v>0.0</v>
      </c>
      <c r="M573" s="32">
        <f t="shared" si="3"/>
        <v>0</v>
      </c>
      <c r="N573" s="32" t="s">
        <v>376</v>
      </c>
      <c r="O573" s="32">
        <v>100.0</v>
      </c>
      <c r="P573" s="50" t="str">
        <f t="shared" si="6"/>
        <v>PASSED</v>
      </c>
      <c r="Q573" s="50" t="str">
        <f t="shared" si="5"/>
        <v>10</v>
      </c>
    </row>
    <row r="574" ht="22.5" customHeight="1">
      <c r="A574" s="26">
        <v>45923.0</v>
      </c>
      <c r="B574" s="32" t="s">
        <v>493</v>
      </c>
      <c r="C574" s="191" t="str">
        <f t="array" ref="C574">_xlfn.XLOOKUP(B574, DB[samplingPoint], DB[samplingTag])</f>
        <v>SV116.16</v>
      </c>
      <c r="D574" s="33" t="s">
        <v>59</v>
      </c>
      <c r="E574" s="39" t="str">
        <f t="array" ref="E574">_xlfn.XLOOKUP($B574, DB[samplingPoint], DB[noLocation])</f>
        <v>10-4-012</v>
      </c>
      <c r="F574" s="40" t="str">
        <f t="array" ref="F574">_xlfn.XLOOKUP($B574, DB[samplingPoint], DB[building])</f>
        <v>Building 10</v>
      </c>
      <c r="G574" s="40" t="str">
        <f t="array" ref="G574">_xlfn.XLOOKUP($B574, DB[samplingPoint], DB[location])</f>
        <v>WIP SKID-3 FOR GRANULATION POTENT</v>
      </c>
      <c r="H574" s="40" t="str">
        <f t="array" ref="H574">_xlfn.XLOOKUP($B574, DB[samplingPoint], DB[waterType])</f>
        <v>PW</v>
      </c>
      <c r="I574" s="60">
        <f t="shared" si="1"/>
        <v>45924</v>
      </c>
      <c r="J574" s="192">
        <f t="shared" si="2"/>
        <v>45927</v>
      </c>
      <c r="K574" s="32">
        <v>0.0</v>
      </c>
      <c r="L574" s="32">
        <v>0.0</v>
      </c>
      <c r="M574" s="32">
        <f t="shared" si="3"/>
        <v>0</v>
      </c>
      <c r="N574" s="32" t="s">
        <v>376</v>
      </c>
      <c r="O574" s="32">
        <v>100.0</v>
      </c>
      <c r="P574" s="50" t="str">
        <f t="shared" si="6"/>
        <v>PASSED</v>
      </c>
      <c r="Q574" s="50" t="str">
        <f t="shared" si="5"/>
        <v>10</v>
      </c>
    </row>
    <row r="575" ht="22.5" customHeight="1">
      <c r="A575" s="26">
        <v>45923.0</v>
      </c>
      <c r="B575" s="32" t="s">
        <v>494</v>
      </c>
      <c r="C575" s="191" t="str">
        <f t="array" ref="C575">_xlfn.XLOOKUP(B575, DB[samplingPoint], DB[samplingTag])</f>
        <v>SV116.17</v>
      </c>
      <c r="D575" s="33" t="s">
        <v>59</v>
      </c>
      <c r="E575" s="39" t="str">
        <f t="array" ref="E575">_xlfn.XLOOKUP($B575, DB[samplingPoint], DB[noLocation])</f>
        <v>10-4-012</v>
      </c>
      <c r="F575" s="40" t="str">
        <f t="array" ref="F575">_xlfn.XLOOKUP($B575, DB[samplingPoint], DB[building])</f>
        <v>Building 10</v>
      </c>
      <c r="G575" s="40" t="str">
        <f t="array" ref="G575">_xlfn.XLOOKUP($B575, DB[samplingPoint], DB[location])</f>
        <v>CIP SKID-2 FOR BIN WASHING-1</v>
      </c>
      <c r="H575" s="40" t="str">
        <f t="array" ref="H575">_xlfn.XLOOKUP($B575, DB[samplingPoint], DB[waterType])</f>
        <v>PW</v>
      </c>
      <c r="I575" s="60">
        <f t="shared" si="1"/>
        <v>45924</v>
      </c>
      <c r="J575" s="192">
        <f t="shared" si="2"/>
        <v>45927</v>
      </c>
      <c r="K575" s="32">
        <v>0.0</v>
      </c>
      <c r="L575" s="32">
        <v>0.0</v>
      </c>
      <c r="M575" s="32">
        <f t="shared" si="3"/>
        <v>0</v>
      </c>
      <c r="N575" s="32" t="s">
        <v>376</v>
      </c>
      <c r="O575" s="32">
        <v>100.0</v>
      </c>
      <c r="P575" s="50" t="str">
        <f t="shared" si="6"/>
        <v>PASSED</v>
      </c>
      <c r="Q575" s="50" t="str">
        <f t="shared" si="5"/>
        <v>10</v>
      </c>
    </row>
    <row r="576" ht="22.5" customHeight="1">
      <c r="A576" s="26">
        <v>45923.0</v>
      </c>
      <c r="B576" s="32" t="s">
        <v>390</v>
      </c>
      <c r="C576" s="191" t="str">
        <f t="array" ref="C576">_xlfn.XLOOKUP(B576, DB[samplingPoint], DB[samplingTag])</f>
        <v>SV117.01</v>
      </c>
      <c r="D576" s="33" t="s">
        <v>59</v>
      </c>
      <c r="E576" s="39" t="str">
        <f t="array" ref="E576">_xlfn.XLOOKUP($B576, DB[samplingPoint], DB[noLocation])</f>
        <v>WATER SYSTEM (B10)</v>
      </c>
      <c r="F576" s="40" t="str">
        <f t="array" ref="F576">_xlfn.XLOOKUP($B576, DB[samplingPoint], DB[building])</f>
        <v>Building 10</v>
      </c>
      <c r="G576" s="40" t="str">
        <f t="array" ref="G576">_xlfn.XLOOKUP($B576, DB[samplingPoint], DB[location])</f>
        <v>Return loop (B10)</v>
      </c>
      <c r="H576" s="40" t="str">
        <f t="array" ref="H576">_xlfn.XLOOKUP($B576, DB[samplingPoint], DB[waterType])</f>
        <v>PW</v>
      </c>
      <c r="I576" s="60">
        <f t="shared" si="1"/>
        <v>45924</v>
      </c>
      <c r="J576" s="192">
        <f t="shared" si="2"/>
        <v>45927</v>
      </c>
      <c r="K576" s="32">
        <v>0.0</v>
      </c>
      <c r="L576" s="32">
        <v>0.0</v>
      </c>
      <c r="M576" s="32">
        <f t="shared" si="3"/>
        <v>0</v>
      </c>
      <c r="N576" s="32" t="s">
        <v>376</v>
      </c>
      <c r="O576" s="32">
        <v>100.0</v>
      </c>
      <c r="P576" s="50" t="str">
        <f t="shared" si="6"/>
        <v>PASSED</v>
      </c>
      <c r="Q576" s="50" t="str">
        <f t="shared" si="5"/>
        <v>WA</v>
      </c>
    </row>
    <row r="577" ht="22.5" customHeight="1">
      <c r="A577" s="26">
        <v>45933.0</v>
      </c>
      <c r="B577" s="32" t="s">
        <v>349</v>
      </c>
      <c r="C577" s="191" t="str">
        <f t="array" ref="C577">_xlfn.XLOOKUP(B577, DB[samplingPoint], DB[samplingTag])</f>
        <v>VB-05(10)</v>
      </c>
      <c r="D577" s="33" t="s">
        <v>59</v>
      </c>
      <c r="E577" s="39" t="str">
        <f t="array" ref="E577">_xlfn.XLOOKUP($B577, DB[samplingPoint], DB[noLocation])</f>
        <v>WATER SYSTEM (B10)</v>
      </c>
      <c r="F577" s="40" t="str">
        <f t="array" ref="F577">_xlfn.XLOOKUP($B577, DB[samplingPoint], DB[building])</f>
        <v>Building 10</v>
      </c>
      <c r="G577" s="40" t="str">
        <f t="array" ref="G577">_xlfn.XLOOKUP($B577, DB[samplingPoint], DB[location])</f>
        <v>After Chlorine circulation tank (B10)</v>
      </c>
      <c r="H577" s="40" t="str">
        <f t="array" ref="H577">_xlfn.XLOOKUP($B577, DB[samplingPoint], DB[waterType])</f>
        <v>PRW</v>
      </c>
      <c r="I577" s="60">
        <f t="shared" si="1"/>
        <v>45934</v>
      </c>
      <c r="J577" s="192">
        <f t="shared" si="2"/>
        <v>45937</v>
      </c>
      <c r="K577" s="32">
        <v>0.0</v>
      </c>
      <c r="L577" s="32">
        <v>0.0</v>
      </c>
      <c r="M577" s="32">
        <f t="shared" si="3"/>
        <v>0</v>
      </c>
      <c r="N577" s="32" t="s">
        <v>376</v>
      </c>
      <c r="O577" s="32">
        <v>500.0</v>
      </c>
      <c r="P577" s="50" t="str">
        <f t="shared" si="6"/>
        <v>PASSED</v>
      </c>
      <c r="Q577" s="50" t="str">
        <f t="shared" si="5"/>
        <v>WA</v>
      </c>
    </row>
    <row r="578" ht="22.5" customHeight="1">
      <c r="A578" s="26">
        <v>45933.0</v>
      </c>
      <c r="B578" s="32" t="s">
        <v>366</v>
      </c>
      <c r="C578" s="191" t="str">
        <f t="array" ref="C578">_xlfn.XLOOKUP(B578, DB[samplingPoint], DB[samplingTag])</f>
        <v>V50-61(10)</v>
      </c>
      <c r="D578" s="33" t="s">
        <v>59</v>
      </c>
      <c r="E578" s="39" t="str">
        <f t="array" ref="E578">_xlfn.XLOOKUP($B578, DB[samplingPoint], DB[noLocation])</f>
        <v>WATER SYSTEM (B10)</v>
      </c>
      <c r="F578" s="40" t="str">
        <f t="array" ref="F578">_xlfn.XLOOKUP($B578, DB[samplingPoint], DB[building])</f>
        <v>Building 10</v>
      </c>
      <c r="G578" s="40" t="str">
        <f t="array" ref="G578">_xlfn.XLOOKUP($B578, DB[samplingPoint], DB[location])</f>
        <v>After Cartridge filter 5 µm (B10)</v>
      </c>
      <c r="H578" s="40" t="str">
        <f t="array" ref="H578">_xlfn.XLOOKUP($B578, DB[samplingPoint], DB[waterType])</f>
        <v>PRW</v>
      </c>
      <c r="I578" s="60">
        <f t="shared" si="1"/>
        <v>45934</v>
      </c>
      <c r="J578" s="192">
        <f t="shared" si="2"/>
        <v>45937</v>
      </c>
      <c r="K578" s="32">
        <v>1.0</v>
      </c>
      <c r="L578" s="32">
        <v>1.0</v>
      </c>
      <c r="M578" s="32">
        <f t="shared" si="3"/>
        <v>1</v>
      </c>
      <c r="N578" s="32" t="s">
        <v>376</v>
      </c>
      <c r="O578" s="32">
        <v>500.0</v>
      </c>
      <c r="P578" s="50" t="str">
        <f t="shared" si="6"/>
        <v>PASSED</v>
      </c>
      <c r="Q578" s="50" t="str">
        <f t="shared" si="5"/>
        <v>WA</v>
      </c>
    </row>
    <row r="579" ht="22.5" customHeight="1">
      <c r="A579" s="26">
        <v>45933.0</v>
      </c>
      <c r="B579" s="32" t="s">
        <v>368</v>
      </c>
      <c r="C579" s="191" t="str">
        <f t="array" ref="C579">_xlfn.XLOOKUP(B579, DB[samplingPoint], DB[samplingTag])</f>
        <v>V50-11C(10)</v>
      </c>
      <c r="D579" s="33" t="s">
        <v>59</v>
      </c>
      <c r="E579" s="39" t="str">
        <f t="array" ref="E579">_xlfn.XLOOKUP($B579, DB[samplingPoint], DB[noLocation])</f>
        <v>WATER SYSTEM (B10)</v>
      </c>
      <c r="F579" s="40" t="str">
        <f t="array" ref="F579">_xlfn.XLOOKUP($B579, DB[samplingPoint], DB[building])</f>
        <v>Building 10</v>
      </c>
      <c r="G579" s="40" t="str">
        <f t="array" ref="G579">_xlfn.XLOOKUP($B579, DB[samplingPoint], DB[location])</f>
        <v>After RO (Before EDI) (B10)</v>
      </c>
      <c r="H579" s="40" t="str">
        <f t="array" ref="H579">_xlfn.XLOOKUP($B579, DB[samplingPoint], DB[waterType])</f>
        <v>RO water</v>
      </c>
      <c r="I579" s="60">
        <f t="shared" si="1"/>
        <v>45934</v>
      </c>
      <c r="J579" s="192">
        <f t="shared" si="2"/>
        <v>45937</v>
      </c>
      <c r="K579" s="32">
        <v>0.0</v>
      </c>
      <c r="L579" s="32">
        <v>0.0</v>
      </c>
      <c r="M579" s="32">
        <f t="shared" si="3"/>
        <v>0</v>
      </c>
      <c r="N579" s="32" t="s">
        <v>376</v>
      </c>
      <c r="O579" s="32">
        <v>500.0</v>
      </c>
      <c r="P579" s="50" t="str">
        <f t="shared" si="6"/>
        <v>PASSED</v>
      </c>
      <c r="Q579" s="50" t="str">
        <f t="shared" si="5"/>
        <v>WA</v>
      </c>
    </row>
    <row r="580" ht="22.5" customHeight="1">
      <c r="A580" s="26">
        <v>45933.0</v>
      </c>
      <c r="B580" s="32" t="s">
        <v>374</v>
      </c>
      <c r="C580" s="191" t="str">
        <f t="array" ref="C580">_xlfn.XLOOKUP(B580, DB[samplingPoint], DB[samplingTag])</f>
        <v>V50-39(10)</v>
      </c>
      <c r="D580" s="33" t="s">
        <v>59</v>
      </c>
      <c r="E580" s="39" t="str">
        <f t="array" ref="E580">_xlfn.XLOOKUP($B580, DB[samplingPoint], DB[noLocation])</f>
        <v>WATER SYSTEM (B10)</v>
      </c>
      <c r="F580" s="40" t="str">
        <f t="array" ref="F580">_xlfn.XLOOKUP($B580, DB[samplingPoint], DB[building])</f>
        <v>Building 10</v>
      </c>
      <c r="G580" s="40" t="str">
        <f t="array" ref="G580">_xlfn.XLOOKUP($B580, DB[samplingPoint], DB[location])</f>
        <v>After EDI (B10)</v>
      </c>
      <c r="H580" s="40" t="str">
        <f t="array" ref="H580">_xlfn.XLOOKUP($B580, DB[samplingPoint], DB[waterType])</f>
        <v>PW</v>
      </c>
      <c r="I580" s="60">
        <f t="shared" si="1"/>
        <v>45934</v>
      </c>
      <c r="J580" s="192">
        <f t="shared" si="2"/>
        <v>45937</v>
      </c>
      <c r="K580" s="32">
        <v>0.0</v>
      </c>
      <c r="L580" s="32">
        <v>0.0</v>
      </c>
      <c r="M580" s="32">
        <f t="shared" si="3"/>
        <v>0</v>
      </c>
      <c r="N580" s="32" t="s">
        <v>376</v>
      </c>
      <c r="O580" s="32">
        <v>100.0</v>
      </c>
      <c r="P580" s="50" t="str">
        <f t="shared" si="6"/>
        <v>PASSED</v>
      </c>
      <c r="Q580" s="50" t="str">
        <f t="shared" si="5"/>
        <v>WA</v>
      </c>
    </row>
    <row r="581" ht="22.5" customHeight="1">
      <c r="A581" s="26">
        <v>45933.0</v>
      </c>
      <c r="B581" s="32" t="s">
        <v>492</v>
      </c>
      <c r="C581" s="191" t="str">
        <f t="array" ref="C581">_xlfn.XLOOKUP(B581, DB[samplingPoint], DB[samplingTag])</f>
        <v>SV116.11</v>
      </c>
      <c r="D581" s="33" t="s">
        <v>59</v>
      </c>
      <c r="E581" s="39" t="str">
        <f t="array" ref="E581">_xlfn.XLOOKUP($B581, DB[samplingPoint], DB[noLocation])</f>
        <v>10-3-107</v>
      </c>
      <c r="F581" s="40" t="str">
        <f t="array" ref="F581">_xlfn.XLOOKUP($B581, DB[samplingPoint], DB[building])</f>
        <v>Building 10</v>
      </c>
      <c r="G581" s="40" t="str">
        <f t="array" ref="G581">_xlfn.XLOOKUP($B581, DB[samplingPoint], DB[location])</f>
        <v>WET GRANULATION-2</v>
      </c>
      <c r="H581" s="40" t="str">
        <f t="array" ref="H581">_xlfn.XLOOKUP($B581, DB[samplingPoint], DB[waterType])</f>
        <v>PW</v>
      </c>
      <c r="I581" s="60">
        <f t="shared" si="1"/>
        <v>45934</v>
      </c>
      <c r="J581" s="192">
        <f t="shared" si="2"/>
        <v>45937</v>
      </c>
      <c r="K581" s="32">
        <v>0.0</v>
      </c>
      <c r="L581" s="32">
        <v>0.0</v>
      </c>
      <c r="M581" s="32">
        <f t="shared" si="3"/>
        <v>0</v>
      </c>
      <c r="N581" s="32" t="s">
        <v>376</v>
      </c>
      <c r="O581" s="32">
        <v>100.0</v>
      </c>
      <c r="P581" s="50" t="str">
        <f t="shared" si="6"/>
        <v>PASSED</v>
      </c>
      <c r="Q581" s="50" t="str">
        <f t="shared" si="5"/>
        <v>10</v>
      </c>
    </row>
    <row r="582" ht="22.5" customHeight="1">
      <c r="A582" s="26">
        <v>45933.0</v>
      </c>
      <c r="B582" s="32" t="s">
        <v>476</v>
      </c>
      <c r="C582" s="191" t="str">
        <f t="array" ref="C582">_xlfn.XLOOKUP(B582, DB[samplingPoint], DB[samplingTag])</f>
        <v>DV116.12</v>
      </c>
      <c r="D582" s="33" t="s">
        <v>59</v>
      </c>
      <c r="E582" s="39" t="str">
        <f t="array" ref="E582">_xlfn.XLOOKUP($B582, DB[samplingPoint], DB[noLocation])</f>
        <v>10-3-078</v>
      </c>
      <c r="F582" s="40" t="str">
        <f t="array" ref="F582">_xlfn.XLOOKUP($B582, DB[samplingPoint], DB[building])</f>
        <v>Building 10</v>
      </c>
      <c r="G582" s="40" t="str">
        <f t="array" ref="G582">_xlfn.XLOOKUP($B582, DB[samplingPoint], DB[location])</f>
        <v>WASHING</v>
      </c>
      <c r="H582" s="40" t="str">
        <f t="array" ref="H582">_xlfn.XLOOKUP($B582, DB[samplingPoint], DB[waterType])</f>
        <v>PW</v>
      </c>
      <c r="I582" s="60">
        <f t="shared" si="1"/>
        <v>45934</v>
      </c>
      <c r="J582" s="192">
        <f t="shared" si="2"/>
        <v>45937</v>
      </c>
      <c r="K582" s="32">
        <v>0.0</v>
      </c>
      <c r="L582" s="32">
        <v>0.0</v>
      </c>
      <c r="M582" s="32">
        <f t="shared" si="3"/>
        <v>0</v>
      </c>
      <c r="N582" s="32" t="s">
        <v>376</v>
      </c>
      <c r="O582" s="32">
        <v>100.0</v>
      </c>
      <c r="P582" s="50" t="str">
        <f t="shared" si="6"/>
        <v>PASSED</v>
      </c>
      <c r="Q582" s="50" t="str">
        <f t="shared" si="5"/>
        <v>10</v>
      </c>
    </row>
    <row r="583" ht="22.5" customHeight="1">
      <c r="A583" s="26">
        <v>45933.0</v>
      </c>
      <c r="B583" s="32" t="s">
        <v>479</v>
      </c>
      <c r="C583" s="191" t="str">
        <f t="array" ref="C583">_xlfn.XLOOKUP(B583, DB[samplingPoint], DB[samplingTag])</f>
        <v>DV116.13</v>
      </c>
      <c r="D583" s="33" t="s">
        <v>59</v>
      </c>
      <c r="E583" s="39" t="str">
        <f t="array" ref="E583">_xlfn.XLOOKUP($B583, DB[samplingPoint], DB[noLocation])</f>
        <v>10-3-078</v>
      </c>
      <c r="F583" s="40" t="str">
        <f t="array" ref="F583">_xlfn.XLOOKUP($B583, DB[samplingPoint], DB[building])</f>
        <v>Building 10</v>
      </c>
      <c r="G583" s="40" t="str">
        <f t="array" ref="G583">_xlfn.XLOOKUP($B583, DB[samplingPoint], DB[location])</f>
        <v>WASHING</v>
      </c>
      <c r="H583" s="40" t="str">
        <f t="array" ref="H583">_xlfn.XLOOKUP($B583, DB[samplingPoint], DB[waterType])</f>
        <v>PW</v>
      </c>
      <c r="I583" s="60">
        <f t="shared" si="1"/>
        <v>45934</v>
      </c>
      <c r="J583" s="192">
        <f t="shared" si="2"/>
        <v>45937</v>
      </c>
      <c r="K583" s="32">
        <v>0.0</v>
      </c>
      <c r="L583" s="32">
        <v>0.0</v>
      </c>
      <c r="M583" s="32">
        <f t="shared" si="3"/>
        <v>0</v>
      </c>
      <c r="N583" s="32" t="s">
        <v>376</v>
      </c>
      <c r="O583" s="32">
        <v>100.0</v>
      </c>
      <c r="P583" s="50" t="str">
        <f t="shared" si="6"/>
        <v>PASSED</v>
      </c>
      <c r="Q583" s="50" t="str">
        <f t="shared" si="5"/>
        <v>10</v>
      </c>
    </row>
    <row r="584" ht="22.5" customHeight="1">
      <c r="A584" s="26">
        <v>45933.0</v>
      </c>
      <c r="B584" s="32" t="s">
        <v>482</v>
      </c>
      <c r="C584" s="191" t="str">
        <f t="array" ref="C584">_xlfn.XLOOKUP(B584, DB[samplingPoint], DB[samplingTag])</f>
        <v>DV116.14</v>
      </c>
      <c r="D584" s="33" t="s">
        <v>59</v>
      </c>
      <c r="E584" s="39" t="str">
        <f t="array" ref="E584">_xlfn.XLOOKUP($B584, DB[samplingPoint], DB[noLocation])</f>
        <v>10-3-086</v>
      </c>
      <c r="F584" s="40" t="str">
        <f t="array" ref="F584">_xlfn.XLOOKUP($B584, DB[samplingPoint], DB[building])</f>
        <v>Building 10</v>
      </c>
      <c r="G584" s="40" t="str">
        <f t="array" ref="G584">_xlfn.XLOOKUP($B584, DB[samplingPoint], DB[location])</f>
        <v>TOOL WASHING</v>
      </c>
      <c r="H584" s="40" t="str">
        <f t="array" ref="H584">_xlfn.XLOOKUP($B584, DB[samplingPoint], DB[waterType])</f>
        <v>PW</v>
      </c>
      <c r="I584" s="60">
        <f t="shared" si="1"/>
        <v>45934</v>
      </c>
      <c r="J584" s="192">
        <f t="shared" si="2"/>
        <v>45937</v>
      </c>
      <c r="K584" s="32">
        <v>0.0</v>
      </c>
      <c r="L584" s="32">
        <v>0.0</v>
      </c>
      <c r="M584" s="32">
        <f t="shared" si="3"/>
        <v>0</v>
      </c>
      <c r="N584" s="32" t="s">
        <v>376</v>
      </c>
      <c r="O584" s="32">
        <v>100.0</v>
      </c>
      <c r="P584" s="50" t="str">
        <f t="shared" si="6"/>
        <v>PASSED</v>
      </c>
      <c r="Q584" s="50" t="str">
        <f t="shared" si="5"/>
        <v>10</v>
      </c>
    </row>
    <row r="585" ht="22.5" customHeight="1">
      <c r="A585" s="26">
        <v>45933.0</v>
      </c>
      <c r="B585" s="32" t="s">
        <v>119</v>
      </c>
      <c r="C585" s="191" t="str">
        <f t="array" ref="C585">_xlfn.XLOOKUP(B585, DB[samplingPoint], DB[samplingTag])</f>
        <v>DV116.15</v>
      </c>
      <c r="D585" s="33" t="s">
        <v>59</v>
      </c>
      <c r="E585" s="39" t="str">
        <f t="array" ref="E585">_xlfn.XLOOKUP($B585, DB[samplingPoint], DB[noLocation])</f>
        <v>10-3-104</v>
      </c>
      <c r="F585" s="40" t="str">
        <f t="array" ref="F585">_xlfn.XLOOKUP($B585, DB[samplingPoint], DB[building])</f>
        <v>Building 10</v>
      </c>
      <c r="G585" s="40" t="str">
        <f t="array" ref="G585">_xlfn.XLOOKUP($B585, DB[samplingPoint], DB[location])</f>
        <v>BINDER PREPARATION</v>
      </c>
      <c r="H585" s="40" t="str">
        <f t="array" ref="H585">_xlfn.XLOOKUP($B585, DB[samplingPoint], DB[waterType])</f>
        <v>PW</v>
      </c>
      <c r="I585" s="60">
        <f t="shared" si="1"/>
        <v>45934</v>
      </c>
      <c r="J585" s="192">
        <f t="shared" si="2"/>
        <v>45937</v>
      </c>
      <c r="K585" s="32">
        <v>0.0</v>
      </c>
      <c r="L585" s="32">
        <v>0.0</v>
      </c>
      <c r="M585" s="32">
        <f t="shared" si="3"/>
        <v>0</v>
      </c>
      <c r="N585" s="32" t="s">
        <v>376</v>
      </c>
      <c r="O585" s="32">
        <v>100.0</v>
      </c>
      <c r="P585" s="50" t="str">
        <f t="shared" si="6"/>
        <v>PASSED</v>
      </c>
      <c r="Q585" s="50" t="str">
        <f t="shared" si="5"/>
        <v>10</v>
      </c>
    </row>
    <row r="586" ht="22.5" customHeight="1">
      <c r="A586" s="26">
        <v>45933.0</v>
      </c>
      <c r="B586" s="32" t="s">
        <v>485</v>
      </c>
      <c r="C586" s="191" t="str">
        <f t="array" ref="C586">_xlfn.XLOOKUP(B586, DB[samplingPoint], DB[samplingTag])</f>
        <v>DV116.16</v>
      </c>
      <c r="D586" s="33" t="s">
        <v>59</v>
      </c>
      <c r="E586" s="39" t="str">
        <f t="array" ref="E586">_xlfn.XLOOKUP($B586, DB[samplingPoint], DB[noLocation])</f>
        <v>10-3-107</v>
      </c>
      <c r="F586" s="40" t="str">
        <f t="array" ref="F586">_xlfn.XLOOKUP($B586, DB[samplingPoint], DB[building])</f>
        <v>Building 10</v>
      </c>
      <c r="G586" s="40" t="str">
        <f t="array" ref="G586">_xlfn.XLOOKUP($B586, DB[samplingPoint], DB[location])</f>
        <v>WET GRANULATION-2</v>
      </c>
      <c r="H586" s="40" t="str">
        <f t="array" ref="H586">_xlfn.XLOOKUP($B586, DB[samplingPoint], DB[waterType])</f>
        <v>PW</v>
      </c>
      <c r="I586" s="60">
        <f t="shared" si="1"/>
        <v>45934</v>
      </c>
      <c r="J586" s="192">
        <f t="shared" si="2"/>
        <v>45937</v>
      </c>
      <c r="K586" s="32">
        <v>0.0</v>
      </c>
      <c r="L586" s="32">
        <v>0.0</v>
      </c>
      <c r="M586" s="32">
        <f t="shared" si="3"/>
        <v>0</v>
      </c>
      <c r="N586" s="32" t="s">
        <v>376</v>
      </c>
      <c r="O586" s="32">
        <v>100.0</v>
      </c>
      <c r="P586" s="50" t="str">
        <f t="shared" si="6"/>
        <v>PASSED</v>
      </c>
      <c r="Q586" s="50" t="str">
        <f t="shared" si="5"/>
        <v>10</v>
      </c>
    </row>
    <row r="587" ht="22.5" customHeight="1">
      <c r="A587" s="26">
        <v>45933.0</v>
      </c>
      <c r="B587" s="32" t="s">
        <v>488</v>
      </c>
      <c r="C587" s="191" t="str">
        <f t="array" ref="C587">_xlfn.XLOOKUP(B587, DB[samplingPoint], DB[samplingTag])</f>
        <v>DV116.17</v>
      </c>
      <c r="D587" s="33" t="s">
        <v>59</v>
      </c>
      <c r="E587" s="39" t="str">
        <f t="array" ref="E587">_xlfn.XLOOKUP($B587, DB[samplingPoint], DB[noLocation])</f>
        <v>10-3-117</v>
      </c>
      <c r="F587" s="40" t="str">
        <f t="array" ref="F587">_xlfn.XLOOKUP($B587, DB[samplingPoint], DB[building])</f>
        <v>Building 10</v>
      </c>
      <c r="G587" s="40" t="str">
        <f t="array" ref="G587">_xlfn.XLOOKUP($B587, DB[samplingPoint], DB[location])</f>
        <v>IPQC-2</v>
      </c>
      <c r="H587" s="40" t="str">
        <f t="array" ref="H587">_xlfn.XLOOKUP($B587, DB[samplingPoint], DB[waterType])</f>
        <v>PW</v>
      </c>
      <c r="I587" s="60">
        <f t="shared" si="1"/>
        <v>45934</v>
      </c>
      <c r="J587" s="192">
        <f t="shared" si="2"/>
        <v>45937</v>
      </c>
      <c r="K587" s="32">
        <v>0.0</v>
      </c>
      <c r="L587" s="32">
        <v>0.0</v>
      </c>
      <c r="M587" s="32">
        <f t="shared" si="3"/>
        <v>0</v>
      </c>
      <c r="N587" s="32" t="s">
        <v>376</v>
      </c>
      <c r="O587" s="32">
        <v>100.0</v>
      </c>
      <c r="P587" s="50" t="str">
        <f t="shared" si="6"/>
        <v>PASSED</v>
      </c>
      <c r="Q587" s="50" t="str">
        <f t="shared" si="5"/>
        <v>10</v>
      </c>
    </row>
    <row r="588" ht="22.5" customHeight="1">
      <c r="A588" s="26">
        <v>45933.0</v>
      </c>
      <c r="B588" s="32" t="s">
        <v>489</v>
      </c>
      <c r="C588" s="191" t="str">
        <f t="array" ref="C588">_xlfn.XLOOKUP(B588, DB[samplingPoint], DB[samplingTag])</f>
        <v>DV116.18</v>
      </c>
      <c r="D588" s="33" t="s">
        <v>59</v>
      </c>
      <c r="E588" s="39" t="str">
        <f t="array" ref="E588">_xlfn.XLOOKUP($B588, DB[samplingPoint], DB[noLocation])</f>
        <v>10-3-111</v>
      </c>
      <c r="F588" s="40" t="str">
        <f t="array" ref="F588">_xlfn.XLOOKUP($B588, DB[samplingPoint], DB[building])</f>
        <v>Building 10</v>
      </c>
      <c r="G588" s="40" t="str">
        <f t="array" ref="G588">_xlfn.XLOOKUP($B588, DB[samplingPoint], DB[location])</f>
        <v>WET GRANULATION-5</v>
      </c>
      <c r="H588" s="40" t="str">
        <f t="array" ref="H588">_xlfn.XLOOKUP($B588, DB[samplingPoint], DB[waterType])</f>
        <v>PW</v>
      </c>
      <c r="I588" s="60">
        <f t="shared" si="1"/>
        <v>45934</v>
      </c>
      <c r="J588" s="192">
        <f t="shared" si="2"/>
        <v>45937</v>
      </c>
      <c r="K588" s="32">
        <v>0.0</v>
      </c>
      <c r="L588" s="32">
        <v>0.0</v>
      </c>
      <c r="M588" s="32">
        <f t="shared" si="3"/>
        <v>0</v>
      </c>
      <c r="N588" s="32" t="s">
        <v>376</v>
      </c>
      <c r="O588" s="32">
        <v>100.0</v>
      </c>
      <c r="P588" s="50" t="str">
        <f t="shared" si="6"/>
        <v>PASSED</v>
      </c>
      <c r="Q588" s="50" t="str">
        <f t="shared" si="5"/>
        <v>10</v>
      </c>
    </row>
    <row r="589" ht="22.5" customHeight="1">
      <c r="A589" s="26">
        <v>45933.0</v>
      </c>
      <c r="B589" s="32" t="s">
        <v>490</v>
      </c>
      <c r="C589" s="191" t="str">
        <f t="array" ref="C589">_xlfn.XLOOKUP(B589, DB[samplingPoint], DB[samplingTag])</f>
        <v>SV116.09</v>
      </c>
      <c r="D589" s="33" t="s">
        <v>59</v>
      </c>
      <c r="E589" s="39" t="str">
        <f t="array" ref="E589">_xlfn.XLOOKUP($B589, DB[samplingPoint], DB[noLocation])</f>
        <v>10-3-078</v>
      </c>
      <c r="F589" s="40" t="str">
        <f t="array" ref="F589">_xlfn.XLOOKUP($B589, DB[samplingPoint], DB[building])</f>
        <v>Building 10</v>
      </c>
      <c r="G589" s="40" t="str">
        <f t="array" ref="G589">_xlfn.XLOOKUP($B589, DB[samplingPoint], DB[location])</f>
        <v>WASHING</v>
      </c>
      <c r="H589" s="40" t="str">
        <f t="array" ref="H589">_xlfn.XLOOKUP($B589, DB[samplingPoint], DB[waterType])</f>
        <v>PW</v>
      </c>
      <c r="I589" s="60">
        <f t="shared" si="1"/>
        <v>45934</v>
      </c>
      <c r="J589" s="192">
        <f t="shared" si="2"/>
        <v>45937</v>
      </c>
      <c r="K589" s="32">
        <v>0.0</v>
      </c>
      <c r="L589" s="32">
        <v>0.0</v>
      </c>
      <c r="M589" s="32">
        <f t="shared" si="3"/>
        <v>0</v>
      </c>
      <c r="N589" s="32" t="s">
        <v>376</v>
      </c>
      <c r="O589" s="32">
        <v>100.0</v>
      </c>
      <c r="P589" s="50" t="str">
        <f t="shared" si="6"/>
        <v>PASSED</v>
      </c>
      <c r="Q589" s="50" t="str">
        <f t="shared" si="5"/>
        <v>10</v>
      </c>
    </row>
    <row r="590" ht="22.5" customHeight="1">
      <c r="A590" s="26">
        <v>45933.0</v>
      </c>
      <c r="B590" s="32" t="s">
        <v>431</v>
      </c>
      <c r="C590" s="191" t="str">
        <f t="array" ref="C590">_xlfn.XLOOKUP(B590, DB[samplingPoint], DB[samplingTag])</f>
        <v>SV-14</v>
      </c>
      <c r="D590" s="33" t="s">
        <v>59</v>
      </c>
      <c r="E590" s="39" t="str">
        <f t="array" ref="E590">_xlfn.XLOOKUP($B590, DB[samplingPoint], DB[noLocation])</f>
        <v>PROCESS WATER (B19)</v>
      </c>
      <c r="F590" s="40" t="str">
        <f t="array" ref="F590">_xlfn.XLOOKUP($B590, DB[samplingPoint], DB[building])</f>
        <v>Building 19</v>
      </c>
      <c r="G590" s="40" t="str">
        <f t="array" ref="G590">_xlfn.XLOOKUP($B590, DB[samplingPoint], DB[location])</f>
        <v>AFTER RO SYSTEM NO.12 SV14</v>
      </c>
      <c r="H590" s="40" t="str">
        <f t="array" ref="H590">_xlfn.XLOOKUP($B590, DB[samplingPoint], DB[waterType])</f>
        <v>PRW</v>
      </c>
      <c r="I590" s="60">
        <f t="shared" si="1"/>
        <v>45934</v>
      </c>
      <c r="J590" s="192">
        <f t="shared" si="2"/>
        <v>45937</v>
      </c>
      <c r="K590" s="32">
        <v>1.0</v>
      </c>
      <c r="L590" s="32">
        <v>1.0</v>
      </c>
      <c r="M590" s="32">
        <f t="shared" si="3"/>
        <v>1</v>
      </c>
      <c r="N590" s="32" t="s">
        <v>376</v>
      </c>
      <c r="O590" s="32">
        <v>500.0</v>
      </c>
      <c r="P590" s="50" t="str">
        <f t="shared" si="6"/>
        <v>PASSED</v>
      </c>
      <c r="Q590" s="50" t="str">
        <f t="shared" si="5"/>
        <v>PR</v>
      </c>
    </row>
    <row r="591" ht="22.5" customHeight="1">
      <c r="A591" s="26">
        <v>45933.0</v>
      </c>
      <c r="B591" s="32" t="s">
        <v>618</v>
      </c>
      <c r="C591" s="39" t="str">
        <f t="array" ref="C591">_xlfn.XLOOKUP(B591, DB[samplingPoint], DB[samplingTag])</f>
        <v>SV-15</v>
      </c>
      <c r="D591" s="33" t="s">
        <v>59</v>
      </c>
      <c r="E591" s="39" t="str">
        <f t="array" ref="E591">_xlfn.XLOOKUP($B591, DB[samplingPoint], DB[noLocation])</f>
        <v>PROCESS WATER (B19)</v>
      </c>
      <c r="F591" s="40" t="str">
        <f t="array" ref="F591">_xlfn.XLOOKUP($B591, DB[samplingPoint], DB[building])</f>
        <v>Building 19</v>
      </c>
      <c r="G591" s="40" t="str">
        <f t="array" ref="G591">_xlfn.XLOOKUP($B591, DB[samplingPoint], DB[location])</f>
        <v>AFTER RO SYSTEM NO.12 SV15</v>
      </c>
      <c r="H591" s="40" t="str">
        <f t="array" ref="H591">_xlfn.XLOOKUP($B591, DB[samplingPoint], DB[waterType])</f>
        <v>PRW</v>
      </c>
      <c r="I591" s="60">
        <f t="shared" si="1"/>
        <v>45934</v>
      </c>
      <c r="J591" s="192">
        <f t="shared" si="2"/>
        <v>45937</v>
      </c>
      <c r="K591" s="32">
        <v>1.0</v>
      </c>
      <c r="L591" s="32">
        <v>1.0</v>
      </c>
      <c r="M591" s="32">
        <f t="shared" si="3"/>
        <v>1</v>
      </c>
      <c r="N591" s="32" t="s">
        <v>376</v>
      </c>
      <c r="O591" s="32">
        <v>500.0</v>
      </c>
      <c r="P591" s="50" t="str">
        <f t="shared" si="6"/>
        <v>PASSED</v>
      </c>
      <c r="Q591" s="50" t="str">
        <f t="shared" si="5"/>
        <v>PR</v>
      </c>
    </row>
    <row r="592" ht="22.5" customHeight="1">
      <c r="A592" s="26">
        <v>45937.0</v>
      </c>
      <c r="B592" s="32" t="s">
        <v>380</v>
      </c>
      <c r="C592" s="191" t="str">
        <f t="array" ref="C592">_xlfn.XLOOKUP(B592, DB[samplingPoint], DB[samplingTag])</f>
        <v>SV113.01</v>
      </c>
      <c r="D592" s="33" t="s">
        <v>59</v>
      </c>
      <c r="E592" s="39" t="str">
        <f t="array" ref="E592">_xlfn.XLOOKUP($B592, DB[samplingPoint], DB[noLocation])</f>
        <v>WATER SYSTEM (B10)</v>
      </c>
      <c r="F592" s="40" t="str">
        <f t="array" ref="F592">_xlfn.XLOOKUP($B592, DB[samplingPoint], DB[building])</f>
        <v>Building 10</v>
      </c>
      <c r="G592" s="40" t="str">
        <f t="array" ref="G592">_xlfn.XLOOKUP($B592, DB[samplingPoint], DB[location])</f>
        <v>After Storage tank (B10)</v>
      </c>
      <c r="H592" s="40" t="str">
        <f t="array" ref="H592">_xlfn.XLOOKUP($B592, DB[samplingPoint], DB[waterType])</f>
        <v>PW</v>
      </c>
      <c r="I592" s="60">
        <f t="shared" si="1"/>
        <v>45938</v>
      </c>
      <c r="J592" s="192">
        <f t="shared" si="2"/>
        <v>45941</v>
      </c>
      <c r="K592" s="32">
        <v>0.0</v>
      </c>
      <c r="L592" s="32">
        <v>0.0</v>
      </c>
      <c r="M592" s="32">
        <f t="shared" si="3"/>
        <v>0</v>
      </c>
      <c r="N592" s="32" t="s">
        <v>376</v>
      </c>
      <c r="O592" s="32">
        <v>100.0</v>
      </c>
      <c r="P592" s="50" t="str">
        <f t="shared" si="6"/>
        <v>PASSED</v>
      </c>
      <c r="Q592" s="50" t="str">
        <f t="shared" si="5"/>
        <v>WA</v>
      </c>
    </row>
    <row r="593" ht="22.5" customHeight="1">
      <c r="A593" s="26">
        <v>45937.0</v>
      </c>
      <c r="B593" s="32" t="s">
        <v>385</v>
      </c>
      <c r="C593" s="191" t="str">
        <f t="array" ref="C593">_xlfn.XLOOKUP(B593, DB[samplingPoint], DB[samplingTag])</f>
        <v>SV115.02</v>
      </c>
      <c r="D593" s="33" t="s">
        <v>59</v>
      </c>
      <c r="E593" s="39" t="str">
        <f t="array" ref="E593">_xlfn.XLOOKUP($B593, DB[samplingPoint], DB[noLocation])</f>
        <v>WATER SYSTEM (B10)</v>
      </c>
      <c r="F593" s="40" t="str">
        <f t="array" ref="F593">_xlfn.XLOOKUP($B593, DB[samplingPoint], DB[building])</f>
        <v>Building 10</v>
      </c>
      <c r="G593" s="40" t="str">
        <f t="array" ref="G593">_xlfn.XLOOKUP($B593, DB[samplingPoint], DB[location])</f>
        <v>After UV (B10)</v>
      </c>
      <c r="H593" s="40" t="str">
        <f t="array" ref="H593">_xlfn.XLOOKUP($B593, DB[samplingPoint], DB[waterType])</f>
        <v>PW</v>
      </c>
      <c r="I593" s="60">
        <f t="shared" si="1"/>
        <v>45938</v>
      </c>
      <c r="J593" s="192">
        <f t="shared" si="2"/>
        <v>45941</v>
      </c>
      <c r="K593" s="32">
        <v>0.0</v>
      </c>
      <c r="L593" s="32">
        <v>0.0</v>
      </c>
      <c r="M593" s="32">
        <f t="shared" si="3"/>
        <v>0</v>
      </c>
      <c r="N593" s="32" t="s">
        <v>376</v>
      </c>
      <c r="O593" s="32">
        <v>100.0</v>
      </c>
      <c r="P593" s="50" t="str">
        <f t="shared" si="6"/>
        <v>PASSED</v>
      </c>
      <c r="Q593" s="50" t="str">
        <f t="shared" si="5"/>
        <v>WA</v>
      </c>
    </row>
    <row r="594" ht="22.5" customHeight="1">
      <c r="A594" s="26">
        <v>45937.0</v>
      </c>
      <c r="B594" s="32" t="s">
        <v>539</v>
      </c>
      <c r="C594" s="191" t="str">
        <f t="array" ref="C594">_xlfn.XLOOKUP(B594, DB[samplingPoint], DB[samplingTag])</f>
        <v>SV116.07</v>
      </c>
      <c r="D594" s="33" t="s">
        <v>59</v>
      </c>
      <c r="E594" s="39" t="str">
        <f t="array" ref="E594">_xlfn.XLOOKUP($B594, DB[samplingPoint], DB[noLocation])</f>
        <v>10-3-064</v>
      </c>
      <c r="F594" s="40" t="str">
        <f t="array" ref="F594">_xlfn.XLOOKUP($B594, DB[samplingPoint], DB[building])</f>
        <v>Building 10</v>
      </c>
      <c r="G594" s="40" t="str">
        <f t="array" ref="G594">_xlfn.XLOOKUP($B594, DB[samplingPoint], DB[location])</f>
        <v>COATING ROOM-5</v>
      </c>
      <c r="H594" s="40" t="str">
        <f t="array" ref="H594">_xlfn.XLOOKUP($B594, DB[samplingPoint], DB[waterType])</f>
        <v>PW</v>
      </c>
      <c r="I594" s="60">
        <f t="shared" si="1"/>
        <v>45938</v>
      </c>
      <c r="J594" s="192">
        <f t="shared" si="2"/>
        <v>45941</v>
      </c>
      <c r="K594" s="32">
        <v>0.0</v>
      </c>
      <c r="L594" s="32">
        <v>0.0</v>
      </c>
      <c r="M594" s="32">
        <f t="shared" si="3"/>
        <v>0</v>
      </c>
      <c r="N594" s="32" t="s">
        <v>376</v>
      </c>
      <c r="O594" s="32">
        <v>100.0</v>
      </c>
      <c r="P594" s="50" t="str">
        <f t="shared" si="6"/>
        <v>PASSED</v>
      </c>
      <c r="Q594" s="50" t="str">
        <f t="shared" si="5"/>
        <v>10</v>
      </c>
    </row>
    <row r="595" ht="22.5" customHeight="1">
      <c r="A595" s="26">
        <v>45937.0</v>
      </c>
      <c r="B595" s="32" t="s">
        <v>541</v>
      </c>
      <c r="C595" s="191" t="str">
        <f t="array" ref="C595">_xlfn.XLOOKUP(B595, DB[samplingPoint], DB[samplingTag])</f>
        <v>SV116.08</v>
      </c>
      <c r="D595" s="33" t="s">
        <v>59</v>
      </c>
      <c r="E595" s="39" t="str">
        <f t="array" ref="E595">_xlfn.XLOOKUP($B595, DB[samplingPoint], DB[noLocation])</f>
        <v>10-3-067</v>
      </c>
      <c r="F595" s="40" t="str">
        <f t="array" ref="F595">_xlfn.XLOOKUP($B595, DB[samplingPoint], DB[building])</f>
        <v>Building 10</v>
      </c>
      <c r="G595" s="40" t="str">
        <f t="array" ref="G595">_xlfn.XLOOKUP($B595, DB[samplingPoint], DB[location])</f>
        <v>COATING ROOM-6</v>
      </c>
      <c r="H595" s="40" t="str">
        <f t="array" ref="H595">_xlfn.XLOOKUP($B595, DB[samplingPoint], DB[waterType])</f>
        <v>PW</v>
      </c>
      <c r="I595" s="60">
        <f t="shared" si="1"/>
        <v>45938</v>
      </c>
      <c r="J595" s="192">
        <f t="shared" si="2"/>
        <v>45941</v>
      </c>
      <c r="K595" s="32">
        <v>0.0</v>
      </c>
      <c r="L595" s="32">
        <v>0.0</v>
      </c>
      <c r="M595" s="32">
        <f t="shared" si="3"/>
        <v>0</v>
      </c>
      <c r="N595" s="32" t="s">
        <v>376</v>
      </c>
      <c r="O595" s="32">
        <v>100.0</v>
      </c>
      <c r="P595" s="50" t="str">
        <f t="shared" si="6"/>
        <v>PASSED</v>
      </c>
      <c r="Q595" s="50" t="str">
        <f t="shared" si="5"/>
        <v>10</v>
      </c>
    </row>
    <row r="596" ht="22.5" customHeight="1">
      <c r="A596" s="26">
        <v>45937.0</v>
      </c>
      <c r="B596" s="32" t="s">
        <v>536</v>
      </c>
      <c r="C596" s="191" t="str">
        <f t="array" ref="C596">_xlfn.XLOOKUP(B596, DB[samplingPoint], DB[samplingTag])</f>
        <v>SV116.05</v>
      </c>
      <c r="D596" s="33" t="s">
        <v>59</v>
      </c>
      <c r="E596" s="39" t="str">
        <f t="array" ref="E596">_xlfn.XLOOKUP($B596, DB[samplingPoint], DB[noLocation])</f>
        <v>10-3-062</v>
      </c>
      <c r="F596" s="40" t="str">
        <f t="array" ref="F596">_xlfn.XLOOKUP($B596, DB[samplingPoint], DB[building])</f>
        <v>Building 10</v>
      </c>
      <c r="G596" s="40" t="str">
        <f t="array" ref="G596">_xlfn.XLOOKUP($B596, DB[samplingPoint], DB[location])</f>
        <v>COATING ROOM-3</v>
      </c>
      <c r="H596" s="40" t="str">
        <f t="array" ref="H596">_xlfn.XLOOKUP($B596, DB[samplingPoint], DB[waterType])</f>
        <v>PW</v>
      </c>
      <c r="I596" s="60">
        <f t="shared" si="1"/>
        <v>45938</v>
      </c>
      <c r="J596" s="192">
        <f t="shared" si="2"/>
        <v>45941</v>
      </c>
      <c r="K596" s="32">
        <v>0.0</v>
      </c>
      <c r="L596" s="32">
        <v>0.0</v>
      </c>
      <c r="M596" s="32">
        <f t="shared" si="3"/>
        <v>0</v>
      </c>
      <c r="N596" s="32" t="s">
        <v>376</v>
      </c>
      <c r="O596" s="32">
        <v>100.0</v>
      </c>
      <c r="P596" s="50" t="str">
        <f t="shared" si="6"/>
        <v>PASSED</v>
      </c>
      <c r="Q596" s="50" t="str">
        <f t="shared" si="5"/>
        <v>10</v>
      </c>
    </row>
    <row r="597" ht="22.5" customHeight="1">
      <c r="A597" s="26">
        <v>45937.0</v>
      </c>
      <c r="B597" s="32" t="s">
        <v>538</v>
      </c>
      <c r="C597" s="191" t="str">
        <f t="array" ref="C597">_xlfn.XLOOKUP(B597, DB[samplingPoint], DB[samplingTag])</f>
        <v>SV116.06</v>
      </c>
      <c r="D597" s="33" t="s">
        <v>59</v>
      </c>
      <c r="E597" s="39" t="str">
        <f t="array" ref="E597">_xlfn.XLOOKUP($B597, DB[samplingPoint], DB[noLocation])</f>
        <v>10-3-063</v>
      </c>
      <c r="F597" s="40" t="str">
        <f t="array" ref="F597">_xlfn.XLOOKUP($B597, DB[samplingPoint], DB[building])</f>
        <v>Building 10</v>
      </c>
      <c r="G597" s="40" t="str">
        <f t="array" ref="G597">_xlfn.XLOOKUP($B597, DB[samplingPoint], DB[location])</f>
        <v>COATING ROOM-4</v>
      </c>
      <c r="H597" s="40" t="str">
        <f t="array" ref="H597">_xlfn.XLOOKUP($B597, DB[samplingPoint], DB[waterType])</f>
        <v>PW</v>
      </c>
      <c r="I597" s="60">
        <f t="shared" si="1"/>
        <v>45938</v>
      </c>
      <c r="J597" s="192">
        <f t="shared" si="2"/>
        <v>45941</v>
      </c>
      <c r="K597" s="32">
        <v>0.0</v>
      </c>
      <c r="L597" s="32">
        <v>0.0</v>
      </c>
      <c r="M597" s="32">
        <f t="shared" si="3"/>
        <v>0</v>
      </c>
      <c r="N597" s="32" t="s">
        <v>376</v>
      </c>
      <c r="O597" s="32">
        <v>100.0</v>
      </c>
      <c r="P597" s="50" t="str">
        <f t="shared" si="6"/>
        <v>PASSED</v>
      </c>
      <c r="Q597" s="50" t="str">
        <f t="shared" si="5"/>
        <v>10</v>
      </c>
    </row>
    <row r="598" ht="22.5" customHeight="1">
      <c r="A598" s="26">
        <v>45937.0</v>
      </c>
      <c r="B598" s="32" t="s">
        <v>534</v>
      </c>
      <c r="C598" s="191" t="str">
        <f t="array" ref="C598">_xlfn.XLOOKUP(B598, DB[samplingPoint], DB[samplingTag])</f>
        <v>SV116.03</v>
      </c>
      <c r="D598" s="33" t="s">
        <v>59</v>
      </c>
      <c r="E598" s="39" t="str">
        <f t="array" ref="E598">_xlfn.XLOOKUP($B598, DB[samplingPoint], DB[noLocation])</f>
        <v>10-3-058</v>
      </c>
      <c r="F598" s="40" t="str">
        <f t="array" ref="F598">_xlfn.XLOOKUP($B598, DB[samplingPoint], DB[building])</f>
        <v>Building 10</v>
      </c>
      <c r="G598" s="40" t="str">
        <f t="array" ref="G598">_xlfn.XLOOKUP($B598, DB[samplingPoint], DB[location])</f>
        <v>COATING ROOM-1</v>
      </c>
      <c r="H598" s="40" t="str">
        <f t="array" ref="H598">_xlfn.XLOOKUP($B598, DB[samplingPoint], DB[waterType])</f>
        <v>PW</v>
      </c>
      <c r="I598" s="60">
        <f t="shared" si="1"/>
        <v>45938</v>
      </c>
      <c r="J598" s="192">
        <f t="shared" si="2"/>
        <v>45941</v>
      </c>
      <c r="K598" s="32">
        <v>0.0</v>
      </c>
      <c r="L598" s="32">
        <v>0.0</v>
      </c>
      <c r="M598" s="32">
        <f t="shared" si="3"/>
        <v>0</v>
      </c>
      <c r="N598" s="32" t="s">
        <v>376</v>
      </c>
      <c r="O598" s="32">
        <v>100.0</v>
      </c>
      <c r="P598" s="50" t="str">
        <f t="shared" si="6"/>
        <v>PASSED</v>
      </c>
      <c r="Q598" s="50" t="str">
        <f t="shared" si="5"/>
        <v>10</v>
      </c>
    </row>
    <row r="599" ht="22.5" customHeight="1">
      <c r="A599" s="26">
        <v>45937.0</v>
      </c>
      <c r="B599" s="32" t="s">
        <v>535</v>
      </c>
      <c r="C599" s="191" t="str">
        <f t="array" ref="C599">_xlfn.XLOOKUP(B599, DB[samplingPoint], DB[samplingTag])</f>
        <v>SV116.04</v>
      </c>
      <c r="D599" s="33" t="s">
        <v>59</v>
      </c>
      <c r="E599" s="39" t="str">
        <f t="array" ref="E599">_xlfn.XLOOKUP($B599, DB[samplingPoint], DB[noLocation])</f>
        <v>10-3-061</v>
      </c>
      <c r="F599" s="40" t="str">
        <f t="array" ref="F599">_xlfn.XLOOKUP($B599, DB[samplingPoint], DB[building])</f>
        <v>Building 10</v>
      </c>
      <c r="G599" s="40" t="str">
        <f t="array" ref="G599">_xlfn.XLOOKUP($B599, DB[samplingPoint], DB[location])</f>
        <v>COATING ROOM-2</v>
      </c>
      <c r="H599" s="40" t="str">
        <f t="array" ref="H599">_xlfn.XLOOKUP($B599, DB[samplingPoint], DB[waterType])</f>
        <v>PW</v>
      </c>
      <c r="I599" s="60">
        <f t="shared" si="1"/>
        <v>45938</v>
      </c>
      <c r="J599" s="192">
        <f t="shared" si="2"/>
        <v>45941</v>
      </c>
      <c r="K599" s="32">
        <v>0.0</v>
      </c>
      <c r="L599" s="32">
        <v>0.0</v>
      </c>
      <c r="M599" s="32">
        <f t="shared" si="3"/>
        <v>0</v>
      </c>
      <c r="N599" s="32" t="s">
        <v>376</v>
      </c>
      <c r="O599" s="32">
        <v>100.0</v>
      </c>
      <c r="P599" s="50" t="str">
        <f t="shared" si="6"/>
        <v>PASSED</v>
      </c>
      <c r="Q599" s="50" t="str">
        <f t="shared" si="5"/>
        <v>10</v>
      </c>
    </row>
    <row r="600" ht="22.5" customHeight="1">
      <c r="A600" s="26">
        <v>45937.0</v>
      </c>
      <c r="B600" s="32" t="s">
        <v>532</v>
      </c>
      <c r="C600" s="191" t="str">
        <f t="array" ref="C600">_xlfn.XLOOKUP(B600, DB[samplingPoint], DB[samplingTag])</f>
        <v>DV116.11</v>
      </c>
      <c r="D600" s="33" t="s">
        <v>59</v>
      </c>
      <c r="E600" s="39" t="str">
        <f t="array" ref="E600">_xlfn.XLOOKUP($B600, DB[samplingPoint], DB[noLocation])</f>
        <v>10-3-066</v>
      </c>
      <c r="F600" s="40" t="str">
        <f t="array" ref="F600">_xlfn.XLOOKUP($B600, DB[samplingPoint], DB[building])</f>
        <v>Building 10</v>
      </c>
      <c r="G600" s="40" t="str">
        <f t="array" ref="G600">_xlfn.XLOOKUP($B600, DB[samplingPoint], DB[location])</f>
        <v>COATING SOLUTION PREP.-4</v>
      </c>
      <c r="H600" s="40" t="str">
        <f t="array" ref="H600">_xlfn.XLOOKUP($B600, DB[samplingPoint], DB[waterType])</f>
        <v>PW</v>
      </c>
      <c r="I600" s="60">
        <f t="shared" si="1"/>
        <v>45938</v>
      </c>
      <c r="J600" s="192">
        <f t="shared" si="2"/>
        <v>45941</v>
      </c>
      <c r="K600" s="32">
        <v>0.0</v>
      </c>
      <c r="L600" s="32">
        <v>0.0</v>
      </c>
      <c r="M600" s="32">
        <f t="shared" si="3"/>
        <v>0</v>
      </c>
      <c r="N600" s="32" t="s">
        <v>376</v>
      </c>
      <c r="O600" s="32">
        <v>100.0</v>
      </c>
      <c r="P600" s="50" t="str">
        <f t="shared" si="6"/>
        <v>PASSED</v>
      </c>
      <c r="Q600" s="50" t="str">
        <f t="shared" si="5"/>
        <v>10</v>
      </c>
    </row>
    <row r="601" ht="22.5" customHeight="1">
      <c r="A601" s="26">
        <v>45937.0</v>
      </c>
      <c r="B601" s="32" t="s">
        <v>529</v>
      </c>
      <c r="C601" s="191" t="str">
        <f t="array" ref="C601">_xlfn.XLOOKUP(B601, DB[samplingPoint], DB[samplingTag])</f>
        <v>DV116.09</v>
      </c>
      <c r="D601" s="33" t="s">
        <v>59</v>
      </c>
      <c r="E601" s="39" t="str">
        <f t="array" ref="E601">_xlfn.XLOOKUP($B601, DB[samplingPoint], DB[noLocation])</f>
        <v>10-3-060</v>
      </c>
      <c r="F601" s="40" t="str">
        <f t="array" ref="F601">_xlfn.XLOOKUP($B601, DB[samplingPoint], DB[building])</f>
        <v>Building 10</v>
      </c>
      <c r="G601" s="40" t="str">
        <f t="array" ref="G601">_xlfn.XLOOKUP($B601, DB[samplingPoint], DB[location])</f>
        <v>COATING SOLUTION PREP.-2</v>
      </c>
      <c r="H601" s="40" t="str">
        <f t="array" ref="H601">_xlfn.XLOOKUP($B601, DB[samplingPoint], DB[waterType])</f>
        <v>PW</v>
      </c>
      <c r="I601" s="60">
        <f t="shared" si="1"/>
        <v>45938</v>
      </c>
      <c r="J601" s="192">
        <f t="shared" si="2"/>
        <v>45941</v>
      </c>
      <c r="K601" s="32">
        <v>0.0</v>
      </c>
      <c r="L601" s="32">
        <v>0.0</v>
      </c>
      <c r="M601" s="32">
        <f t="shared" si="3"/>
        <v>0</v>
      </c>
      <c r="N601" s="32" t="s">
        <v>376</v>
      </c>
      <c r="O601" s="32">
        <v>100.0</v>
      </c>
      <c r="P601" s="50" t="str">
        <f t="shared" si="6"/>
        <v>PASSED</v>
      </c>
      <c r="Q601" s="50" t="str">
        <f t="shared" si="5"/>
        <v>10</v>
      </c>
    </row>
    <row r="602" ht="22.5" customHeight="1">
      <c r="A602" s="26">
        <v>45937.0</v>
      </c>
      <c r="B602" s="32" t="s">
        <v>531</v>
      </c>
      <c r="C602" s="191" t="str">
        <f t="array" ref="C602">_xlfn.XLOOKUP(B602, DB[samplingPoint], DB[samplingTag])</f>
        <v>DV116.10</v>
      </c>
      <c r="D602" s="33" t="s">
        <v>59</v>
      </c>
      <c r="E602" s="39" t="str">
        <f t="array" ref="E602">_xlfn.XLOOKUP($B602, DB[samplingPoint], DB[noLocation])</f>
        <v>10-3-065</v>
      </c>
      <c r="F602" s="40" t="str">
        <f t="array" ref="F602">_xlfn.XLOOKUP($B602, DB[samplingPoint], DB[building])</f>
        <v>Building 10</v>
      </c>
      <c r="G602" s="40" t="str">
        <f t="array" ref="G602">_xlfn.XLOOKUP($B602, DB[samplingPoint], DB[location])</f>
        <v>COATING SOLUTION PREP.-3</v>
      </c>
      <c r="H602" s="40" t="str">
        <f t="array" ref="H602">_xlfn.XLOOKUP($B602, DB[samplingPoint], DB[waterType])</f>
        <v>PW</v>
      </c>
      <c r="I602" s="60">
        <f t="shared" si="1"/>
        <v>45938</v>
      </c>
      <c r="J602" s="192">
        <f t="shared" si="2"/>
        <v>45941</v>
      </c>
      <c r="K602" s="32">
        <v>0.0</v>
      </c>
      <c r="L602" s="32">
        <v>0.0</v>
      </c>
      <c r="M602" s="32">
        <f t="shared" si="3"/>
        <v>0</v>
      </c>
      <c r="N602" s="32" t="s">
        <v>376</v>
      </c>
      <c r="O602" s="32">
        <v>100.0</v>
      </c>
      <c r="P602" s="50" t="str">
        <f t="shared" si="6"/>
        <v>PASSED</v>
      </c>
      <c r="Q602" s="50" t="str">
        <f t="shared" si="5"/>
        <v>10</v>
      </c>
    </row>
    <row r="603" ht="22.5" customHeight="1">
      <c r="A603" s="26">
        <v>45937.0</v>
      </c>
      <c r="B603" s="32" t="s">
        <v>527</v>
      </c>
      <c r="C603" s="191" t="str">
        <f t="array" ref="C603">_xlfn.XLOOKUP(B603, DB[samplingPoint], DB[samplingTag])</f>
        <v>DV116.07</v>
      </c>
      <c r="D603" s="33" t="s">
        <v>59</v>
      </c>
      <c r="E603" s="39" t="str">
        <f t="array" ref="E603">_xlfn.XLOOKUP($B603, DB[samplingPoint], DB[noLocation])</f>
        <v>10-2-032</v>
      </c>
      <c r="F603" s="40" t="str">
        <f t="array" ref="F603">_xlfn.XLOOKUP($B603, DB[samplingPoint], DB[building])</f>
        <v>Building 10</v>
      </c>
      <c r="G603" s="40" t="str">
        <f t="array" ref="G603">_xlfn.XLOOKUP($B603, DB[samplingPoint], DB[location])</f>
        <v>GLASS-WARE WASHING</v>
      </c>
      <c r="H603" s="40" t="str">
        <f t="array" ref="H603">_xlfn.XLOOKUP($B603, DB[samplingPoint], DB[waterType])</f>
        <v>PW</v>
      </c>
      <c r="I603" s="60">
        <f t="shared" si="1"/>
        <v>45938</v>
      </c>
      <c r="J603" s="192">
        <f t="shared" si="2"/>
        <v>45941</v>
      </c>
      <c r="K603" s="32">
        <v>0.0</v>
      </c>
      <c r="L603" s="32">
        <v>0.0</v>
      </c>
      <c r="M603" s="32">
        <f t="shared" si="3"/>
        <v>0</v>
      </c>
      <c r="N603" s="32" t="s">
        <v>376</v>
      </c>
      <c r="O603" s="32">
        <v>100.0</v>
      </c>
      <c r="P603" s="50" t="str">
        <f t="shared" si="6"/>
        <v>PASSED</v>
      </c>
      <c r="Q603" s="50" t="str">
        <f t="shared" si="5"/>
        <v>10</v>
      </c>
    </row>
    <row r="604" ht="22.5" customHeight="1">
      <c r="A604" s="26">
        <v>45937.0</v>
      </c>
      <c r="B604" s="32" t="s">
        <v>528</v>
      </c>
      <c r="C604" s="191" t="str">
        <f t="array" ref="C604">_xlfn.XLOOKUP(B604, DB[samplingPoint], DB[samplingTag])</f>
        <v>DV116.08</v>
      </c>
      <c r="D604" s="33" t="s">
        <v>59</v>
      </c>
      <c r="E604" s="39" t="str">
        <f t="array" ref="E604">_xlfn.XLOOKUP($B604, DB[samplingPoint], DB[noLocation])</f>
        <v>10-3-059</v>
      </c>
      <c r="F604" s="40" t="str">
        <f t="array" ref="F604">_xlfn.XLOOKUP($B604, DB[samplingPoint], DB[building])</f>
        <v>Building 10</v>
      </c>
      <c r="G604" s="40" t="str">
        <f t="array" ref="G604">_xlfn.XLOOKUP($B604, DB[samplingPoint], DB[location])</f>
        <v>COATING SOLUTION PREP.-1</v>
      </c>
      <c r="H604" s="40" t="str">
        <f t="array" ref="H604">_xlfn.XLOOKUP($B604, DB[samplingPoint], DB[waterType])</f>
        <v>PW</v>
      </c>
      <c r="I604" s="60">
        <f t="shared" si="1"/>
        <v>45938</v>
      </c>
      <c r="J604" s="192">
        <f t="shared" si="2"/>
        <v>45941</v>
      </c>
      <c r="K604" s="32">
        <v>0.0</v>
      </c>
      <c r="L604" s="32">
        <v>0.0</v>
      </c>
      <c r="M604" s="32">
        <f t="shared" si="3"/>
        <v>0</v>
      </c>
      <c r="N604" s="32" t="s">
        <v>376</v>
      </c>
      <c r="O604" s="32">
        <v>100.0</v>
      </c>
      <c r="P604" s="50" t="str">
        <f t="shared" si="6"/>
        <v>PASSED</v>
      </c>
      <c r="Q604" s="50" t="str">
        <f t="shared" si="5"/>
        <v>10</v>
      </c>
    </row>
    <row r="605" ht="22.5" customHeight="1">
      <c r="A605" s="26">
        <v>45937.0</v>
      </c>
      <c r="B605" s="32" t="s">
        <v>524</v>
      </c>
      <c r="C605" s="191" t="str">
        <f t="array" ref="C605">_xlfn.XLOOKUP(B605, DB[samplingPoint], DB[samplingTag])</f>
        <v>DV116.05</v>
      </c>
      <c r="D605" s="33" t="s">
        <v>59</v>
      </c>
      <c r="E605" s="39" t="str">
        <f t="array" ref="E605">_xlfn.XLOOKUP($B605, DB[samplingPoint], DB[noLocation])</f>
        <v>10-2-032</v>
      </c>
      <c r="F605" s="40" t="str">
        <f t="array" ref="F605">_xlfn.XLOOKUP($B605, DB[samplingPoint], DB[building])</f>
        <v>Building 10</v>
      </c>
      <c r="G605" s="40" t="str">
        <f t="array" ref="G605">_xlfn.XLOOKUP($B605, DB[samplingPoint], DB[location])</f>
        <v>GLASS-WARE WASHING</v>
      </c>
      <c r="H605" s="40" t="str">
        <f t="array" ref="H605">_xlfn.XLOOKUP($B605, DB[samplingPoint], DB[waterType])</f>
        <v>PW</v>
      </c>
      <c r="I605" s="60">
        <f t="shared" si="1"/>
        <v>45938</v>
      </c>
      <c r="J605" s="192">
        <f t="shared" si="2"/>
        <v>45941</v>
      </c>
      <c r="K605" s="32">
        <v>0.0</v>
      </c>
      <c r="L605" s="32">
        <v>0.0</v>
      </c>
      <c r="M605" s="32">
        <f t="shared" si="3"/>
        <v>0</v>
      </c>
      <c r="N605" s="32" t="s">
        <v>376</v>
      </c>
      <c r="O605" s="32">
        <v>100.0</v>
      </c>
      <c r="P605" s="50" t="str">
        <f t="shared" si="6"/>
        <v>PASSED</v>
      </c>
      <c r="Q605" s="50" t="str">
        <f t="shared" si="5"/>
        <v>10</v>
      </c>
    </row>
    <row r="606" ht="22.5" customHeight="1">
      <c r="A606" s="26">
        <v>45937.0</v>
      </c>
      <c r="B606" s="32" t="s">
        <v>526</v>
      </c>
      <c r="C606" s="191" t="str">
        <f t="array" ref="C606">_xlfn.XLOOKUP(B606, DB[samplingPoint], DB[samplingTag])</f>
        <v>DV116.06</v>
      </c>
      <c r="D606" s="33" t="s">
        <v>59</v>
      </c>
      <c r="E606" s="39" t="str">
        <f t="array" ref="E606">_xlfn.XLOOKUP($B606, DB[samplingPoint], DB[noLocation])</f>
        <v>10-2-034</v>
      </c>
      <c r="F606" s="40" t="str">
        <f t="array" ref="F606">_xlfn.XLOOKUP($B606, DB[samplingPoint], DB[building])</f>
        <v>Building 10</v>
      </c>
      <c r="G606" s="40" t="str">
        <f t="array" ref="G606">_xlfn.XLOOKUP($B606, DB[samplingPoint], DB[location])</f>
        <v>SAMPLE PREPARATION</v>
      </c>
      <c r="H606" s="40" t="str">
        <f t="array" ref="H606">_xlfn.XLOOKUP($B606, DB[samplingPoint], DB[waterType])</f>
        <v>PW</v>
      </c>
      <c r="I606" s="60">
        <f t="shared" si="1"/>
        <v>45938</v>
      </c>
      <c r="J606" s="192">
        <f t="shared" si="2"/>
        <v>45941</v>
      </c>
      <c r="K606" s="32">
        <v>0.0</v>
      </c>
      <c r="L606" s="32">
        <v>0.0</v>
      </c>
      <c r="M606" s="32">
        <f t="shared" si="3"/>
        <v>0</v>
      </c>
      <c r="N606" s="32" t="s">
        <v>376</v>
      </c>
      <c r="O606" s="32">
        <v>100.0</v>
      </c>
      <c r="P606" s="50" t="str">
        <f t="shared" si="6"/>
        <v>PASSED</v>
      </c>
      <c r="Q606" s="50" t="str">
        <f t="shared" si="5"/>
        <v>10</v>
      </c>
    </row>
    <row r="607" ht="22.5" customHeight="1">
      <c r="A607" s="26">
        <v>45937.0</v>
      </c>
      <c r="B607" s="32" t="s">
        <v>520</v>
      </c>
      <c r="C607" s="191" t="str">
        <f t="array" ref="C607">_xlfn.XLOOKUP(B607, DB[samplingPoint], DB[samplingTag])</f>
        <v>DV116.03</v>
      </c>
      <c r="D607" s="33" t="s">
        <v>59</v>
      </c>
      <c r="E607" s="39" t="str">
        <f t="array" ref="E607">_xlfn.XLOOKUP($B607, DB[samplingPoint], DB[noLocation])</f>
        <v>10-2-034</v>
      </c>
      <c r="F607" s="40" t="str">
        <f t="array" ref="F607">_xlfn.XLOOKUP($B607, DB[samplingPoint], DB[building])</f>
        <v>Building 10</v>
      </c>
      <c r="G607" s="40" t="str">
        <f t="array" ref="G607">_xlfn.XLOOKUP($B607, DB[samplingPoint], DB[location])</f>
        <v>SAMPLE PREPARATION</v>
      </c>
      <c r="H607" s="40" t="str">
        <f t="array" ref="H607">_xlfn.XLOOKUP($B607, DB[samplingPoint], DB[waterType])</f>
        <v>PW</v>
      </c>
      <c r="I607" s="60">
        <f t="shared" si="1"/>
        <v>45938</v>
      </c>
      <c r="J607" s="192">
        <f t="shared" si="2"/>
        <v>45941</v>
      </c>
      <c r="K607" s="32">
        <v>0.0</v>
      </c>
      <c r="L607" s="32">
        <v>0.0</v>
      </c>
      <c r="M607" s="32">
        <f t="shared" si="3"/>
        <v>0</v>
      </c>
      <c r="N607" s="32" t="s">
        <v>376</v>
      </c>
      <c r="O607" s="32">
        <v>100.0</v>
      </c>
      <c r="P607" s="50" t="str">
        <f t="shared" si="6"/>
        <v>PASSED</v>
      </c>
      <c r="Q607" s="50" t="str">
        <f t="shared" si="5"/>
        <v>10</v>
      </c>
    </row>
    <row r="608" ht="22.5" customHeight="1">
      <c r="A608" s="26">
        <v>45937.0</v>
      </c>
      <c r="B608" s="32" t="s">
        <v>522</v>
      </c>
      <c r="C608" s="191" t="str">
        <f t="array" ref="C608">_xlfn.XLOOKUP(B608, DB[samplingPoint], DB[samplingTag])</f>
        <v>DV116.04</v>
      </c>
      <c r="D608" s="33" t="s">
        <v>59</v>
      </c>
      <c r="E608" s="39" t="str">
        <f t="array" ref="E608">_xlfn.XLOOKUP($B608, DB[samplingPoint], DB[noLocation])</f>
        <v>10-2-037</v>
      </c>
      <c r="F608" s="40" t="str">
        <f t="array" ref="F608">_xlfn.XLOOKUP($B608, DB[samplingPoint], DB[building])</f>
        <v>Building 10</v>
      </c>
      <c r="G608" s="40" t="str">
        <f t="array" ref="G608">_xlfn.XLOOKUP($B608, DB[samplingPoint], DB[location])</f>
        <v>SKID FOR BIN WASHING-1</v>
      </c>
      <c r="H608" s="40" t="str">
        <f t="array" ref="H608">_xlfn.XLOOKUP($B608, DB[samplingPoint], DB[waterType])</f>
        <v>PW</v>
      </c>
      <c r="I608" s="60">
        <f t="shared" si="1"/>
        <v>45938</v>
      </c>
      <c r="J608" s="192">
        <f t="shared" si="2"/>
        <v>45941</v>
      </c>
      <c r="K608" s="32">
        <v>0.0</v>
      </c>
      <c r="L608" s="32">
        <v>0.0</v>
      </c>
      <c r="M608" s="32">
        <f t="shared" si="3"/>
        <v>0</v>
      </c>
      <c r="N608" s="32" t="s">
        <v>376</v>
      </c>
      <c r="O608" s="32">
        <v>100.0</v>
      </c>
      <c r="P608" s="50" t="str">
        <f t="shared" si="6"/>
        <v>PASSED</v>
      </c>
      <c r="Q608" s="50" t="str">
        <f t="shared" si="5"/>
        <v>10</v>
      </c>
    </row>
    <row r="609" ht="22.5" customHeight="1">
      <c r="A609" s="26">
        <v>45937.0</v>
      </c>
      <c r="B609" s="32" t="s">
        <v>390</v>
      </c>
      <c r="C609" s="191" t="str">
        <f t="array" ref="C609">_xlfn.XLOOKUP(B609, DB[samplingPoint], DB[samplingTag])</f>
        <v>SV117.01</v>
      </c>
      <c r="D609" s="33" t="s">
        <v>59</v>
      </c>
      <c r="E609" s="39" t="str">
        <f t="array" ref="E609">_xlfn.XLOOKUP($B609, DB[samplingPoint], DB[noLocation])</f>
        <v>WATER SYSTEM (B10)</v>
      </c>
      <c r="F609" s="40" t="str">
        <f t="array" ref="F609">_xlfn.XLOOKUP($B609, DB[samplingPoint], DB[building])</f>
        <v>Building 10</v>
      </c>
      <c r="G609" s="40" t="str">
        <f t="array" ref="G609">_xlfn.XLOOKUP($B609, DB[samplingPoint], DB[location])</f>
        <v>Return loop (B10)</v>
      </c>
      <c r="H609" s="40" t="str">
        <f t="array" ref="H609">_xlfn.XLOOKUP($B609, DB[samplingPoint], DB[waterType])</f>
        <v>PW</v>
      </c>
      <c r="I609" s="60">
        <f t="shared" si="1"/>
        <v>45938</v>
      </c>
      <c r="J609" s="192">
        <f t="shared" si="2"/>
        <v>45941</v>
      </c>
      <c r="K609" s="32">
        <v>0.0</v>
      </c>
      <c r="L609" s="32">
        <v>0.0</v>
      </c>
      <c r="M609" s="32">
        <f t="shared" si="3"/>
        <v>0</v>
      </c>
      <c r="N609" s="32" t="s">
        <v>376</v>
      </c>
      <c r="O609" s="32">
        <v>100.0</v>
      </c>
      <c r="P609" s="50" t="str">
        <f t="shared" si="6"/>
        <v>PASSED</v>
      </c>
      <c r="Q609" s="50" t="str">
        <f t="shared" si="5"/>
        <v>WA</v>
      </c>
    </row>
    <row r="610" ht="22.5" customHeight="1">
      <c r="A610" s="26">
        <v>45947.0</v>
      </c>
      <c r="B610" s="32" t="s">
        <v>349</v>
      </c>
      <c r="C610" s="191" t="str">
        <f t="array" ref="C610">_xlfn.XLOOKUP(B610, DB[samplingPoint], DB[samplingTag])</f>
        <v>VB-05(10)</v>
      </c>
      <c r="D610" s="33" t="s">
        <v>59</v>
      </c>
      <c r="E610" s="39" t="str">
        <f t="array" ref="E610">_xlfn.XLOOKUP($B610, DB[samplingPoint], DB[noLocation])</f>
        <v>WATER SYSTEM (B10)</v>
      </c>
      <c r="F610" s="40" t="str">
        <f t="array" ref="F610">_xlfn.XLOOKUP($B610, DB[samplingPoint], DB[building])</f>
        <v>Building 10</v>
      </c>
      <c r="G610" s="40" t="str">
        <f t="array" ref="G610">_xlfn.XLOOKUP($B610, DB[samplingPoint], DB[location])</f>
        <v>After Chlorine circulation tank (B10)</v>
      </c>
      <c r="H610" s="40" t="str">
        <f t="array" ref="H610">_xlfn.XLOOKUP($B610, DB[samplingPoint], DB[waterType])</f>
        <v>PRW</v>
      </c>
      <c r="I610" s="60">
        <f t="shared" si="1"/>
        <v>45948</v>
      </c>
      <c r="J610" s="192">
        <f t="shared" si="2"/>
        <v>45951</v>
      </c>
      <c r="K610" s="32">
        <v>0.0</v>
      </c>
      <c r="L610" s="32">
        <v>0.0</v>
      </c>
      <c r="M610" s="32">
        <f t="shared" si="3"/>
        <v>0</v>
      </c>
      <c r="N610" s="32" t="s">
        <v>376</v>
      </c>
      <c r="O610" s="32">
        <v>500.0</v>
      </c>
      <c r="P610" s="50" t="str">
        <f t="shared" si="6"/>
        <v>PASSED</v>
      </c>
      <c r="Q610" s="50" t="str">
        <f t="shared" si="5"/>
        <v>WA</v>
      </c>
    </row>
    <row r="611" ht="22.5" customHeight="1">
      <c r="A611" s="26">
        <v>45947.0</v>
      </c>
      <c r="B611" s="32" t="s">
        <v>366</v>
      </c>
      <c r="C611" s="191" t="str">
        <f t="array" ref="C611">_xlfn.XLOOKUP(B611, DB[samplingPoint], DB[samplingTag])</f>
        <v>V50-61(10)</v>
      </c>
      <c r="D611" s="33" t="s">
        <v>59</v>
      </c>
      <c r="E611" s="39" t="str">
        <f t="array" ref="E611">_xlfn.XLOOKUP($B611, DB[samplingPoint], DB[noLocation])</f>
        <v>WATER SYSTEM (B10)</v>
      </c>
      <c r="F611" s="40" t="str">
        <f t="array" ref="F611">_xlfn.XLOOKUP($B611, DB[samplingPoint], DB[building])</f>
        <v>Building 10</v>
      </c>
      <c r="G611" s="40" t="str">
        <f t="array" ref="G611">_xlfn.XLOOKUP($B611, DB[samplingPoint], DB[location])</f>
        <v>After Cartridge filter 5 µm (B10)</v>
      </c>
      <c r="H611" s="40" t="str">
        <f t="array" ref="H611">_xlfn.XLOOKUP($B611, DB[samplingPoint], DB[waterType])</f>
        <v>PRW</v>
      </c>
      <c r="I611" s="60">
        <f t="shared" si="1"/>
        <v>45948</v>
      </c>
      <c r="J611" s="192">
        <f t="shared" si="2"/>
        <v>45951</v>
      </c>
      <c r="K611" s="32">
        <v>0.0</v>
      </c>
      <c r="L611" s="32">
        <v>0.0</v>
      </c>
      <c r="M611" s="32">
        <f t="shared" si="3"/>
        <v>0</v>
      </c>
      <c r="N611" s="32" t="s">
        <v>376</v>
      </c>
      <c r="O611" s="32">
        <v>500.0</v>
      </c>
      <c r="P611" s="50" t="str">
        <f t="shared" si="6"/>
        <v>PASSED</v>
      </c>
      <c r="Q611" s="50" t="str">
        <f t="shared" si="5"/>
        <v>WA</v>
      </c>
    </row>
    <row r="612" ht="22.5" customHeight="1">
      <c r="A612" s="26">
        <v>45947.0</v>
      </c>
      <c r="B612" s="32" t="s">
        <v>368</v>
      </c>
      <c r="C612" s="191" t="str">
        <f t="array" ref="C612">_xlfn.XLOOKUP(B612, DB[samplingPoint], DB[samplingTag])</f>
        <v>V50-11C(10)</v>
      </c>
      <c r="D612" s="33" t="s">
        <v>59</v>
      </c>
      <c r="E612" s="39" t="str">
        <f t="array" ref="E612">_xlfn.XLOOKUP($B612, DB[samplingPoint], DB[noLocation])</f>
        <v>WATER SYSTEM (B10)</v>
      </c>
      <c r="F612" s="40" t="str">
        <f t="array" ref="F612">_xlfn.XLOOKUP($B612, DB[samplingPoint], DB[building])</f>
        <v>Building 10</v>
      </c>
      <c r="G612" s="40" t="str">
        <f t="array" ref="G612">_xlfn.XLOOKUP($B612, DB[samplingPoint], DB[location])</f>
        <v>After RO (Before EDI) (B10)</v>
      </c>
      <c r="H612" s="40" t="str">
        <f t="array" ref="H612">_xlfn.XLOOKUP($B612, DB[samplingPoint], DB[waterType])</f>
        <v>RO water</v>
      </c>
      <c r="I612" s="60">
        <f t="shared" si="1"/>
        <v>45948</v>
      </c>
      <c r="J612" s="192">
        <f t="shared" si="2"/>
        <v>45951</v>
      </c>
      <c r="K612" s="32">
        <v>0.0</v>
      </c>
      <c r="L612" s="32">
        <v>0.0</v>
      </c>
      <c r="M612" s="32">
        <f t="shared" si="3"/>
        <v>0</v>
      </c>
      <c r="N612" s="32" t="s">
        <v>376</v>
      </c>
      <c r="O612" s="32">
        <v>500.0</v>
      </c>
      <c r="P612" s="50" t="str">
        <f t="shared" si="6"/>
        <v>PASSED</v>
      </c>
      <c r="Q612" s="50" t="str">
        <f t="shared" si="5"/>
        <v>WA</v>
      </c>
    </row>
    <row r="613" ht="22.5" customHeight="1">
      <c r="A613" s="26">
        <v>45947.0</v>
      </c>
      <c r="B613" s="32" t="s">
        <v>374</v>
      </c>
      <c r="C613" s="191" t="str">
        <f t="array" ref="C613">_xlfn.XLOOKUP(B613, DB[samplingPoint], DB[samplingTag])</f>
        <v>V50-39(10)</v>
      </c>
      <c r="D613" s="33" t="s">
        <v>59</v>
      </c>
      <c r="E613" s="39" t="str">
        <f t="array" ref="E613">_xlfn.XLOOKUP($B613, DB[samplingPoint], DB[noLocation])</f>
        <v>WATER SYSTEM (B10)</v>
      </c>
      <c r="F613" s="40" t="str">
        <f t="array" ref="F613">_xlfn.XLOOKUP($B613, DB[samplingPoint], DB[building])</f>
        <v>Building 10</v>
      </c>
      <c r="G613" s="40" t="str">
        <f t="array" ref="G613">_xlfn.XLOOKUP($B613, DB[samplingPoint], DB[location])</f>
        <v>After EDI (B10)</v>
      </c>
      <c r="H613" s="40" t="str">
        <f t="array" ref="H613">_xlfn.XLOOKUP($B613, DB[samplingPoint], DB[waterType])</f>
        <v>PW</v>
      </c>
      <c r="I613" s="60">
        <f t="shared" si="1"/>
        <v>45948</v>
      </c>
      <c r="J613" s="192">
        <f t="shared" si="2"/>
        <v>45951</v>
      </c>
      <c r="K613" s="32">
        <v>0.0</v>
      </c>
      <c r="L613" s="32">
        <v>0.0</v>
      </c>
      <c r="M613" s="32">
        <f t="shared" si="3"/>
        <v>0</v>
      </c>
      <c r="N613" s="32" t="s">
        <v>376</v>
      </c>
      <c r="O613" s="32">
        <v>100.0</v>
      </c>
      <c r="P613" s="50" t="str">
        <f t="shared" si="6"/>
        <v>PASSED</v>
      </c>
      <c r="Q613" s="50" t="str">
        <f t="shared" si="5"/>
        <v>WA</v>
      </c>
    </row>
    <row r="614" ht="22.5" customHeight="1">
      <c r="A614" s="26">
        <v>45947.0</v>
      </c>
      <c r="B614" s="32" t="s">
        <v>394</v>
      </c>
      <c r="C614" s="191" t="str">
        <f t="array" ref="C614">_xlfn.XLOOKUP(B614, DB[samplingPoint], DB[samplingTag])</f>
        <v>DV116.25</v>
      </c>
      <c r="D614" s="33" t="s">
        <v>59</v>
      </c>
      <c r="E614" s="39" t="str">
        <f t="array" ref="E614">_xlfn.XLOOKUP($B614, DB[samplingPoint], DB[noLocation])</f>
        <v>10-3-171</v>
      </c>
      <c r="F614" s="40" t="str">
        <f t="array" ref="F614">_xlfn.XLOOKUP($B614, DB[samplingPoint], DB[building])</f>
        <v>Building 10</v>
      </c>
      <c r="G614" s="40" t="str">
        <f t="array" ref="G614">_xlfn.XLOOKUP($B614, DB[samplingPoint], DB[location])</f>
        <v>TOOL WASHING-P</v>
      </c>
      <c r="H614" s="40" t="str">
        <f t="array" ref="H614">_xlfn.XLOOKUP($B614, DB[samplingPoint], DB[waterType])</f>
        <v>PW</v>
      </c>
      <c r="I614" s="60">
        <f t="shared" si="1"/>
        <v>45948</v>
      </c>
      <c r="J614" s="192">
        <f t="shared" si="2"/>
        <v>45951</v>
      </c>
      <c r="K614" s="32">
        <v>1.0</v>
      </c>
      <c r="L614" s="32">
        <v>0.0</v>
      </c>
      <c r="M614" s="32">
        <f t="shared" si="3"/>
        <v>1</v>
      </c>
      <c r="N614" s="32" t="s">
        <v>376</v>
      </c>
      <c r="O614" s="32">
        <v>100.0</v>
      </c>
      <c r="P614" s="50" t="str">
        <f t="shared" si="6"/>
        <v>PASSED</v>
      </c>
      <c r="Q614" s="50" t="str">
        <f t="shared" si="5"/>
        <v>10</v>
      </c>
    </row>
    <row r="615" ht="22.5" customHeight="1">
      <c r="A615" s="26">
        <v>45947.0</v>
      </c>
      <c r="B615" s="32" t="s">
        <v>401</v>
      </c>
      <c r="C615" s="191" t="str">
        <f t="array" ref="C615">_xlfn.XLOOKUP(B615, DB[samplingPoint], DB[samplingTag])</f>
        <v>DV116.23</v>
      </c>
      <c r="D615" s="33" t="s">
        <v>59</v>
      </c>
      <c r="E615" s="39" t="str">
        <f t="array" ref="E615">_xlfn.XLOOKUP($B615, DB[samplingPoint], DB[noLocation])</f>
        <v>10-3-159</v>
      </c>
      <c r="F615" s="40" t="str">
        <f t="array" ref="F615">_xlfn.XLOOKUP($B615, DB[samplingPoint], DB[building])</f>
        <v>Building 10</v>
      </c>
      <c r="G615" s="40" t="str">
        <f t="array" ref="G615">_xlfn.XLOOKUP($B615, DB[samplingPoint], DB[location])</f>
        <v>BINDER PREPARATION-P</v>
      </c>
      <c r="H615" s="40" t="str">
        <f t="array" ref="H615">_xlfn.XLOOKUP($B615, DB[samplingPoint], DB[waterType])</f>
        <v>PW</v>
      </c>
      <c r="I615" s="60">
        <f t="shared" si="1"/>
        <v>45948</v>
      </c>
      <c r="J615" s="192">
        <f t="shared" si="2"/>
        <v>45951</v>
      </c>
      <c r="K615" s="32">
        <v>0.0</v>
      </c>
      <c r="L615" s="32">
        <v>0.0</v>
      </c>
      <c r="M615" s="32">
        <f t="shared" si="3"/>
        <v>0</v>
      </c>
      <c r="N615" s="32" t="s">
        <v>376</v>
      </c>
      <c r="O615" s="32">
        <v>100.0</v>
      </c>
      <c r="P615" s="50" t="str">
        <f t="shared" si="6"/>
        <v>PASSED</v>
      </c>
      <c r="Q615" s="50" t="str">
        <f t="shared" si="5"/>
        <v>10</v>
      </c>
    </row>
    <row r="616" ht="22.5" customHeight="1">
      <c r="A616" s="26">
        <v>45947.0</v>
      </c>
      <c r="B616" s="32" t="s">
        <v>398</v>
      </c>
      <c r="C616" s="191" t="str">
        <f t="array" ref="C616">_xlfn.XLOOKUP(B616, DB[samplingPoint], DB[samplingTag])</f>
        <v>DV116.24</v>
      </c>
      <c r="D616" s="33" t="s">
        <v>59</v>
      </c>
      <c r="E616" s="39" t="str">
        <f t="array" ref="E616">_xlfn.XLOOKUP($B616, DB[samplingPoint], DB[noLocation])</f>
        <v>10-3-163</v>
      </c>
      <c r="F616" s="40" t="str">
        <f t="array" ref="F616">_xlfn.XLOOKUP($B616, DB[samplingPoint], DB[building])</f>
        <v>Building 10</v>
      </c>
      <c r="G616" s="40" t="str">
        <f t="array" ref="G616">_xlfn.XLOOKUP($B616, DB[samplingPoint], DB[location])</f>
        <v>WET GRANULATION 1-P</v>
      </c>
      <c r="H616" s="40" t="str">
        <f t="array" ref="H616">_xlfn.XLOOKUP($B616, DB[samplingPoint], DB[waterType])</f>
        <v>PW</v>
      </c>
      <c r="I616" s="60">
        <f t="shared" si="1"/>
        <v>45948</v>
      </c>
      <c r="J616" s="192">
        <f t="shared" si="2"/>
        <v>45951</v>
      </c>
      <c r="K616" s="32">
        <v>0.0</v>
      </c>
      <c r="L616" s="32">
        <v>0.0</v>
      </c>
      <c r="M616" s="32">
        <f t="shared" si="3"/>
        <v>0</v>
      </c>
      <c r="N616" s="32" t="s">
        <v>376</v>
      </c>
      <c r="O616" s="32">
        <v>100.0</v>
      </c>
      <c r="P616" s="50" t="str">
        <f t="shared" si="6"/>
        <v>PASSED</v>
      </c>
      <c r="Q616" s="50" t="str">
        <f t="shared" si="5"/>
        <v>10</v>
      </c>
    </row>
    <row r="617" ht="22.5" customHeight="1">
      <c r="A617" s="26">
        <v>45947.0</v>
      </c>
      <c r="B617" s="32" t="s">
        <v>406</v>
      </c>
      <c r="C617" s="191" t="str">
        <f t="array" ref="C617">_xlfn.XLOOKUP(B617, DB[samplingPoint], DB[samplingTag])</f>
        <v>DV116.21</v>
      </c>
      <c r="D617" s="33" t="s">
        <v>59</v>
      </c>
      <c r="E617" s="39" t="str">
        <f t="array" ref="E617">_xlfn.XLOOKUP($B617, DB[samplingPoint], DB[noLocation])</f>
        <v>10-3-152</v>
      </c>
      <c r="F617" s="40" t="str">
        <f t="array" ref="F617">_xlfn.XLOOKUP($B617, DB[samplingPoint], DB[building])</f>
        <v>Building 10</v>
      </c>
      <c r="G617" s="40" t="str">
        <f t="array" ref="G617">_xlfn.XLOOKUP($B617, DB[samplingPoint], DB[location])</f>
        <v>WASHING-P</v>
      </c>
      <c r="H617" s="40" t="str">
        <f t="array" ref="H617">_xlfn.XLOOKUP($B617, DB[samplingPoint], DB[waterType])</f>
        <v>PW</v>
      </c>
      <c r="I617" s="60">
        <f t="shared" si="1"/>
        <v>45948</v>
      </c>
      <c r="J617" s="192">
        <f t="shared" si="2"/>
        <v>45951</v>
      </c>
      <c r="K617" s="32">
        <v>0.0</v>
      </c>
      <c r="L617" s="32">
        <v>0.0</v>
      </c>
      <c r="M617" s="32">
        <f t="shared" si="3"/>
        <v>0</v>
      </c>
      <c r="N617" s="32" t="s">
        <v>376</v>
      </c>
      <c r="O617" s="32">
        <v>100.0</v>
      </c>
      <c r="P617" s="50" t="str">
        <f t="shared" si="6"/>
        <v>PASSED</v>
      </c>
      <c r="Q617" s="50" t="str">
        <f t="shared" si="5"/>
        <v>10</v>
      </c>
    </row>
    <row r="618" ht="22.5" customHeight="1">
      <c r="A618" s="26">
        <v>45947.0</v>
      </c>
      <c r="B618" s="32" t="s">
        <v>410</v>
      </c>
      <c r="C618" s="191" t="str">
        <f t="array" ref="C618">_xlfn.XLOOKUP(B618, DB[samplingPoint], DB[samplingTag])</f>
        <v>DV116.22</v>
      </c>
      <c r="D618" s="33" t="s">
        <v>59</v>
      </c>
      <c r="E618" s="39" t="str">
        <f t="array" ref="E618">_xlfn.XLOOKUP($B618, DB[samplingPoint], DB[noLocation])</f>
        <v>10-3-152</v>
      </c>
      <c r="F618" s="40" t="str">
        <f t="array" ref="F618">_xlfn.XLOOKUP($B618, DB[samplingPoint], DB[building])</f>
        <v>Building 10</v>
      </c>
      <c r="G618" s="40" t="str">
        <f t="array" ref="G618">_xlfn.XLOOKUP($B618, DB[samplingPoint], DB[location])</f>
        <v>WASHING-P</v>
      </c>
      <c r="H618" s="40" t="str">
        <f t="array" ref="H618">_xlfn.XLOOKUP($B618, DB[samplingPoint], DB[waterType])</f>
        <v>PW</v>
      </c>
      <c r="I618" s="60">
        <f t="shared" si="1"/>
        <v>45948</v>
      </c>
      <c r="J618" s="192">
        <f t="shared" si="2"/>
        <v>45951</v>
      </c>
      <c r="K618" s="32">
        <v>0.0</v>
      </c>
      <c r="L618" s="32">
        <v>0.0</v>
      </c>
      <c r="M618" s="32">
        <f t="shared" si="3"/>
        <v>0</v>
      </c>
      <c r="N618" s="32" t="s">
        <v>376</v>
      </c>
      <c r="O618" s="32">
        <v>100.0</v>
      </c>
      <c r="P618" s="50" t="str">
        <f t="shared" si="6"/>
        <v>PASSED</v>
      </c>
      <c r="Q618" s="50" t="str">
        <f t="shared" si="5"/>
        <v>10</v>
      </c>
    </row>
    <row r="619" ht="22.5" customHeight="1">
      <c r="A619" s="26">
        <v>45947.0</v>
      </c>
      <c r="B619" s="32" t="s">
        <v>421</v>
      </c>
      <c r="C619" s="191" t="str">
        <f t="array" ref="C619">_xlfn.XLOOKUP(B619, DB[samplingPoint], DB[samplingTag])</f>
        <v>DV116.19</v>
      </c>
      <c r="D619" s="33" t="s">
        <v>59</v>
      </c>
      <c r="E619" s="39" t="str">
        <f t="array" ref="E619">_xlfn.XLOOKUP($B619, DB[samplingPoint], DB[noLocation])</f>
        <v>10-3-143</v>
      </c>
      <c r="F619" s="40" t="str">
        <f t="array" ref="F619">_xlfn.XLOOKUP($B619, DB[samplingPoint], DB[building])</f>
        <v>Building 10</v>
      </c>
      <c r="G619" s="40" t="str">
        <f t="array" ref="G619">_xlfn.XLOOKUP($B619, DB[samplingPoint], DB[location])</f>
        <v>COATING SOLUTION PREP.-P</v>
      </c>
      <c r="H619" s="40" t="str">
        <f t="array" ref="H619">_xlfn.XLOOKUP($B619, DB[samplingPoint], DB[waterType])</f>
        <v>PW</v>
      </c>
      <c r="I619" s="60">
        <f t="shared" si="1"/>
        <v>45948</v>
      </c>
      <c r="J619" s="192">
        <f t="shared" si="2"/>
        <v>45951</v>
      </c>
      <c r="K619" s="32">
        <v>0.0</v>
      </c>
      <c r="L619" s="32">
        <v>0.0</v>
      </c>
      <c r="M619" s="32">
        <f t="shared" si="3"/>
        <v>0</v>
      </c>
      <c r="N619" s="32" t="s">
        <v>376</v>
      </c>
      <c r="O619" s="32">
        <v>100.0</v>
      </c>
      <c r="P619" s="50" t="str">
        <f t="shared" si="6"/>
        <v>PASSED</v>
      </c>
      <c r="Q619" s="50" t="str">
        <f t="shared" si="5"/>
        <v>10</v>
      </c>
    </row>
    <row r="620" ht="22.5" customHeight="1">
      <c r="A620" s="26">
        <v>45947.0</v>
      </c>
      <c r="B620" s="32" t="s">
        <v>417</v>
      </c>
      <c r="C620" s="191" t="str">
        <f t="array" ref="C620">_xlfn.XLOOKUP(B620, DB[samplingPoint], DB[samplingTag])</f>
        <v>DV116.20</v>
      </c>
      <c r="D620" s="33" t="s">
        <v>59</v>
      </c>
      <c r="E620" s="39" t="str">
        <f t="array" ref="E620">_xlfn.XLOOKUP($B620, DB[samplingPoint], DB[noLocation])</f>
        <v>10-3-149</v>
      </c>
      <c r="F620" s="40" t="str">
        <f t="array" ref="F620">_xlfn.XLOOKUP($B620, DB[samplingPoint], DB[building])</f>
        <v>Building 10</v>
      </c>
      <c r="G620" s="40" t="str">
        <f t="array" ref="G620">_xlfn.XLOOKUP($B620, DB[samplingPoint], DB[location])</f>
        <v>IPQC-1-P</v>
      </c>
      <c r="H620" s="40" t="str">
        <f t="array" ref="H620">_xlfn.XLOOKUP($B620, DB[samplingPoint], DB[waterType])</f>
        <v>PW</v>
      </c>
      <c r="I620" s="60">
        <f t="shared" si="1"/>
        <v>45948</v>
      </c>
      <c r="J620" s="192">
        <f t="shared" si="2"/>
        <v>45951</v>
      </c>
      <c r="K620" s="32">
        <v>0.0</v>
      </c>
      <c r="L620" s="32">
        <v>0.0</v>
      </c>
      <c r="M620" s="32">
        <f t="shared" si="3"/>
        <v>0</v>
      </c>
      <c r="N620" s="32" t="s">
        <v>376</v>
      </c>
      <c r="O620" s="32">
        <v>100.0</v>
      </c>
      <c r="P620" s="50" t="str">
        <f t="shared" si="6"/>
        <v>PASSED</v>
      </c>
      <c r="Q620" s="50" t="str">
        <f t="shared" si="5"/>
        <v>10</v>
      </c>
    </row>
    <row r="621" ht="22.5" customHeight="1">
      <c r="A621" s="26">
        <v>45947.0</v>
      </c>
      <c r="B621" s="32" t="s">
        <v>423</v>
      </c>
      <c r="C621" s="191" t="str">
        <f t="array" ref="C621">_xlfn.XLOOKUP(B621, DB[samplingPoint], DB[samplingTag])</f>
        <v>SV116.12</v>
      </c>
      <c r="D621" s="33" t="s">
        <v>59</v>
      </c>
      <c r="E621" s="39" t="str">
        <f t="array" ref="E621">_xlfn.XLOOKUP($B621, DB[samplingPoint], DB[noLocation])</f>
        <v>10-3-144</v>
      </c>
      <c r="F621" s="40" t="str">
        <f t="array" ref="F621">_xlfn.XLOOKUP($B621, DB[samplingPoint], DB[building])</f>
        <v>Building 10</v>
      </c>
      <c r="G621" s="40" t="str">
        <f t="array" ref="G621">_xlfn.XLOOKUP($B621, DB[samplingPoint], DB[location])</f>
        <v>COATING-P</v>
      </c>
      <c r="H621" s="40" t="str">
        <f t="array" ref="H621">_xlfn.XLOOKUP($B621, DB[samplingPoint], DB[waterType])</f>
        <v>PW</v>
      </c>
      <c r="I621" s="60">
        <f t="shared" si="1"/>
        <v>45948</v>
      </c>
      <c r="J621" s="192">
        <f t="shared" si="2"/>
        <v>45951</v>
      </c>
      <c r="K621" s="32">
        <v>0.0</v>
      </c>
      <c r="L621" s="32">
        <v>0.0</v>
      </c>
      <c r="M621" s="32">
        <f t="shared" si="3"/>
        <v>0</v>
      </c>
      <c r="N621" s="32" t="s">
        <v>376</v>
      </c>
      <c r="O621" s="32">
        <v>100.0</v>
      </c>
      <c r="P621" s="50" t="str">
        <f t="shared" si="6"/>
        <v>PASSED</v>
      </c>
      <c r="Q621" s="50" t="str">
        <f t="shared" si="5"/>
        <v>10</v>
      </c>
    </row>
    <row r="622" ht="22.5" customHeight="1">
      <c r="A622" s="26">
        <v>45947.0</v>
      </c>
      <c r="B622" s="32" t="s">
        <v>414</v>
      </c>
      <c r="C622" s="191" t="str">
        <f t="array" ref="C622">_xlfn.XLOOKUP(B622, DB[samplingPoint], DB[samplingTag])</f>
        <v>SV116.13</v>
      </c>
      <c r="D622" s="33" t="s">
        <v>59</v>
      </c>
      <c r="E622" s="39" t="str">
        <f t="array" ref="E622">_xlfn.XLOOKUP($B622, DB[samplingPoint], DB[noLocation])</f>
        <v>10-3-152</v>
      </c>
      <c r="F622" s="40" t="str">
        <f t="array" ref="F622">_xlfn.XLOOKUP($B622, DB[samplingPoint], DB[building])</f>
        <v>Building 10</v>
      </c>
      <c r="G622" s="40" t="str">
        <f t="array" ref="G622">_xlfn.XLOOKUP($B622, DB[samplingPoint], DB[location])</f>
        <v>WASHING-P</v>
      </c>
      <c r="H622" s="40" t="str">
        <f t="array" ref="H622">_xlfn.XLOOKUP($B622, DB[samplingPoint], DB[waterType])</f>
        <v>PW</v>
      </c>
      <c r="I622" s="60">
        <f t="shared" si="1"/>
        <v>45948</v>
      </c>
      <c r="J622" s="192">
        <f t="shared" si="2"/>
        <v>45951</v>
      </c>
      <c r="K622" s="32">
        <v>0.0</v>
      </c>
      <c r="L622" s="32">
        <v>0.0</v>
      </c>
      <c r="M622" s="32">
        <f t="shared" si="3"/>
        <v>0</v>
      </c>
      <c r="N622" s="32" t="s">
        <v>376</v>
      </c>
      <c r="O622" s="32">
        <v>100.0</v>
      </c>
      <c r="P622" s="50" t="str">
        <f t="shared" si="6"/>
        <v>PASSED</v>
      </c>
      <c r="Q622" s="50" t="str">
        <f t="shared" si="5"/>
        <v>10</v>
      </c>
    </row>
    <row r="623" ht="22.5" customHeight="1">
      <c r="A623" s="26">
        <v>45947.0</v>
      </c>
      <c r="B623" s="32" t="s">
        <v>428</v>
      </c>
      <c r="C623" s="191" t="str">
        <f t="array" ref="C623">_xlfn.XLOOKUP(B623, DB[samplingPoint], DB[samplingTag])</f>
        <v>DV116.01</v>
      </c>
      <c r="D623" s="33" t="s">
        <v>59</v>
      </c>
      <c r="E623" s="39" t="str">
        <f t="array" ref="E623">_xlfn.XLOOKUP($B623, DB[samplingPoint], DB[noLocation])</f>
        <v>10-1-057</v>
      </c>
      <c r="F623" s="40" t="str">
        <f t="array" ref="F623">_xlfn.XLOOKUP($B623, DB[samplingPoint], DB[building])</f>
        <v>Building 10</v>
      </c>
      <c r="G623" s="40" t="str">
        <f t="array" ref="G623">_xlfn.XLOOKUP($B623, DB[samplingPoint], DB[location])</f>
        <v>WASHING-P</v>
      </c>
      <c r="H623" s="40" t="str">
        <f t="array" ref="H623">_xlfn.XLOOKUP($B623, DB[samplingPoint], DB[waterType])</f>
        <v>PW</v>
      </c>
      <c r="I623" s="60">
        <f t="shared" si="1"/>
        <v>45948</v>
      </c>
      <c r="J623" s="192">
        <f t="shared" si="2"/>
        <v>45951</v>
      </c>
      <c r="K623" s="32">
        <v>0.0</v>
      </c>
      <c r="L623" s="32">
        <v>0.0</v>
      </c>
      <c r="M623" s="32">
        <f t="shared" si="3"/>
        <v>0</v>
      </c>
      <c r="N623" s="32" t="s">
        <v>376</v>
      </c>
      <c r="O623" s="32">
        <v>100.0</v>
      </c>
      <c r="P623" s="50" t="str">
        <f t="shared" si="6"/>
        <v>PASSED</v>
      </c>
      <c r="Q623" s="50" t="str">
        <f t="shared" si="5"/>
        <v>10</v>
      </c>
    </row>
    <row r="624" ht="22.5" customHeight="1">
      <c r="A624" s="26">
        <v>45947.0</v>
      </c>
      <c r="B624" s="32" t="s">
        <v>425</v>
      </c>
      <c r="C624" s="191" t="str">
        <f t="array" ref="C624">_xlfn.XLOOKUP(B624, DB[samplingPoint], DB[samplingTag])</f>
        <v>DV116.02</v>
      </c>
      <c r="D624" s="33" t="s">
        <v>59</v>
      </c>
      <c r="E624" s="39" t="str">
        <f t="array" ref="E624">_xlfn.XLOOKUP($B624, DB[samplingPoint], DB[noLocation])</f>
        <v>10-1-115</v>
      </c>
      <c r="F624" s="40" t="str">
        <f t="array" ref="F624">_xlfn.XLOOKUP($B624, DB[samplingPoint], DB[building])</f>
        <v>Building 10</v>
      </c>
      <c r="G624" s="40" t="str">
        <f t="array" ref="G624">_xlfn.XLOOKUP($B624, DB[samplingPoint], DB[location])</f>
        <v>WASHING</v>
      </c>
      <c r="H624" s="40" t="str">
        <f t="array" ref="H624">_xlfn.XLOOKUP($B624, DB[samplingPoint], DB[waterType])</f>
        <v>PW</v>
      </c>
      <c r="I624" s="60">
        <f t="shared" si="1"/>
        <v>45948</v>
      </c>
      <c r="J624" s="192">
        <f t="shared" si="2"/>
        <v>45951</v>
      </c>
      <c r="K624" s="32">
        <v>0.0</v>
      </c>
      <c r="L624" s="32">
        <v>0.0</v>
      </c>
      <c r="M624" s="32">
        <f t="shared" si="3"/>
        <v>0</v>
      </c>
      <c r="N624" s="32" t="s">
        <v>376</v>
      </c>
      <c r="O624" s="32">
        <v>100.0</v>
      </c>
      <c r="P624" s="50" t="str">
        <f t="shared" si="6"/>
        <v>PASSED</v>
      </c>
      <c r="Q624" s="50" t="str">
        <f t="shared" si="5"/>
        <v>10</v>
      </c>
    </row>
    <row r="625" ht="22.5" customHeight="1">
      <c r="A625" s="26">
        <v>45951.0</v>
      </c>
      <c r="B625" s="32" t="s">
        <v>380</v>
      </c>
      <c r="C625" s="191" t="str">
        <f t="array" ref="C625">_xlfn.XLOOKUP(B625, DB[samplingPoint], DB[samplingTag])</f>
        <v>SV113.01</v>
      </c>
      <c r="D625" s="33" t="s">
        <v>59</v>
      </c>
      <c r="E625" s="39" t="str">
        <f t="array" ref="E625">_xlfn.XLOOKUP($B625, DB[samplingPoint], DB[noLocation])</f>
        <v>WATER SYSTEM (B10)</v>
      </c>
      <c r="F625" s="40" t="str">
        <f t="array" ref="F625">_xlfn.XLOOKUP($B625, DB[samplingPoint], DB[building])</f>
        <v>Building 10</v>
      </c>
      <c r="G625" s="40" t="str">
        <f t="array" ref="G625">_xlfn.XLOOKUP($B625, DB[samplingPoint], DB[location])</f>
        <v>After Storage tank (B10)</v>
      </c>
      <c r="H625" s="40" t="str">
        <f t="array" ref="H625">_xlfn.XLOOKUP($B625, DB[samplingPoint], DB[waterType])</f>
        <v>PW</v>
      </c>
      <c r="I625" s="60">
        <f t="shared" si="1"/>
        <v>45952</v>
      </c>
      <c r="J625" s="192">
        <f t="shared" si="2"/>
        <v>45955</v>
      </c>
      <c r="K625" s="32">
        <v>0.0</v>
      </c>
      <c r="L625" s="32">
        <v>0.0</v>
      </c>
      <c r="M625" s="32">
        <f t="shared" si="3"/>
        <v>0</v>
      </c>
      <c r="N625" s="32" t="s">
        <v>376</v>
      </c>
      <c r="O625" s="32">
        <v>100.0</v>
      </c>
      <c r="P625" s="50" t="str">
        <f t="shared" si="6"/>
        <v>PASSED</v>
      </c>
      <c r="Q625" s="50" t="str">
        <f t="shared" si="5"/>
        <v>WA</v>
      </c>
    </row>
    <row r="626" ht="22.5" customHeight="1">
      <c r="A626" s="26">
        <v>45951.0</v>
      </c>
      <c r="B626" s="32" t="s">
        <v>385</v>
      </c>
      <c r="C626" s="191" t="str">
        <f t="array" ref="C626">_xlfn.XLOOKUP(B626, DB[samplingPoint], DB[samplingTag])</f>
        <v>SV115.02</v>
      </c>
      <c r="D626" s="33" t="s">
        <v>59</v>
      </c>
      <c r="E626" s="39" t="str">
        <f t="array" ref="E626">_xlfn.XLOOKUP($B626, DB[samplingPoint], DB[noLocation])</f>
        <v>WATER SYSTEM (B10)</v>
      </c>
      <c r="F626" s="40" t="str">
        <f t="array" ref="F626">_xlfn.XLOOKUP($B626, DB[samplingPoint], DB[building])</f>
        <v>Building 10</v>
      </c>
      <c r="G626" s="40" t="str">
        <f t="array" ref="G626">_xlfn.XLOOKUP($B626, DB[samplingPoint], DB[location])</f>
        <v>After UV (B10)</v>
      </c>
      <c r="H626" s="40" t="str">
        <f t="array" ref="H626">_xlfn.XLOOKUP($B626, DB[samplingPoint], DB[waterType])</f>
        <v>PW</v>
      </c>
      <c r="I626" s="60">
        <f t="shared" si="1"/>
        <v>45952</v>
      </c>
      <c r="J626" s="192">
        <f t="shared" si="2"/>
        <v>45955</v>
      </c>
      <c r="K626" s="32">
        <v>0.0</v>
      </c>
      <c r="L626" s="32">
        <v>0.0</v>
      </c>
      <c r="M626" s="32">
        <f t="shared" si="3"/>
        <v>0</v>
      </c>
      <c r="N626" s="32" t="s">
        <v>376</v>
      </c>
      <c r="O626" s="32">
        <v>100.0</v>
      </c>
      <c r="P626" s="50" t="str">
        <f t="shared" si="6"/>
        <v>PASSED</v>
      </c>
      <c r="Q626" s="50" t="str">
        <f t="shared" si="5"/>
        <v>WA</v>
      </c>
    </row>
    <row r="627" ht="22.5" customHeight="1">
      <c r="A627" s="26">
        <v>45951.0</v>
      </c>
      <c r="B627" s="32" t="s">
        <v>494</v>
      </c>
      <c r="C627" s="191" t="str">
        <f t="array" ref="C627">_xlfn.XLOOKUP(B627, DB[samplingPoint], DB[samplingTag])</f>
        <v>SV116.17</v>
      </c>
      <c r="D627" s="33" t="s">
        <v>59</v>
      </c>
      <c r="E627" s="39" t="str">
        <f t="array" ref="E627">_xlfn.XLOOKUP($B627, DB[samplingPoint], DB[noLocation])</f>
        <v>10-4-012</v>
      </c>
      <c r="F627" s="40" t="str">
        <f t="array" ref="F627">_xlfn.XLOOKUP($B627, DB[samplingPoint], DB[building])</f>
        <v>Building 10</v>
      </c>
      <c r="G627" s="40" t="str">
        <f t="array" ref="G627">_xlfn.XLOOKUP($B627, DB[samplingPoint], DB[location])</f>
        <v>CIP SKID-2 FOR BIN WASHING-1</v>
      </c>
      <c r="H627" s="40" t="str">
        <f t="array" ref="H627">_xlfn.XLOOKUP($B627, DB[samplingPoint], DB[waterType])</f>
        <v>PW</v>
      </c>
      <c r="I627" s="60">
        <f t="shared" si="1"/>
        <v>45952</v>
      </c>
      <c r="J627" s="192">
        <f t="shared" si="2"/>
        <v>45955</v>
      </c>
      <c r="K627" s="32">
        <v>0.0</v>
      </c>
      <c r="L627" s="32">
        <v>0.0</v>
      </c>
      <c r="M627" s="32">
        <f t="shared" si="3"/>
        <v>0</v>
      </c>
      <c r="N627" s="32" t="s">
        <v>376</v>
      </c>
      <c r="O627" s="32">
        <v>100.0</v>
      </c>
      <c r="P627" s="50" t="str">
        <f t="shared" si="6"/>
        <v>PASSED</v>
      </c>
      <c r="Q627" s="50" t="str">
        <f t="shared" si="5"/>
        <v>10</v>
      </c>
    </row>
    <row r="628" ht="22.5" customHeight="1">
      <c r="A628" s="26">
        <v>45951.0</v>
      </c>
      <c r="B628" s="32" t="s">
        <v>495</v>
      </c>
      <c r="C628" s="191" t="str">
        <f t="array" ref="C628">_xlfn.XLOOKUP(B628, DB[samplingPoint], DB[samplingTag])</f>
        <v>SV116.18</v>
      </c>
      <c r="D628" s="33" t="s">
        <v>59</v>
      </c>
      <c r="E628" s="39" t="str">
        <f t="array" ref="E628">_xlfn.XLOOKUP($B628, DB[samplingPoint], DB[noLocation])</f>
        <v>10-4-012</v>
      </c>
      <c r="F628" s="40" t="str">
        <f t="array" ref="F628">_xlfn.XLOOKUP($B628, DB[samplingPoint], DB[building])</f>
        <v>Building 10</v>
      </c>
      <c r="G628" s="40" t="str">
        <f t="array" ref="G628">_xlfn.XLOOKUP($B628, DB[samplingPoint], DB[location])</f>
        <v>WIP SKID-1 FOR GRANULATION NON POTENT</v>
      </c>
      <c r="H628" s="40" t="str">
        <f t="array" ref="H628">_xlfn.XLOOKUP($B628, DB[samplingPoint], DB[waterType])</f>
        <v>PW</v>
      </c>
      <c r="I628" s="60">
        <f t="shared" si="1"/>
        <v>45952</v>
      </c>
      <c r="J628" s="192">
        <f t="shared" si="2"/>
        <v>45955</v>
      </c>
      <c r="K628" s="32">
        <v>0.0</v>
      </c>
      <c r="L628" s="32">
        <v>0.0</v>
      </c>
      <c r="M628" s="32">
        <f t="shared" si="3"/>
        <v>0</v>
      </c>
      <c r="N628" s="32" t="s">
        <v>376</v>
      </c>
      <c r="O628" s="32">
        <v>100.0</v>
      </c>
      <c r="P628" s="50" t="str">
        <f t="shared" si="6"/>
        <v>PASSED</v>
      </c>
      <c r="Q628" s="50" t="str">
        <f t="shared" si="5"/>
        <v>10</v>
      </c>
    </row>
    <row r="629" ht="22.5" customHeight="1">
      <c r="A629" s="26">
        <v>45951.0</v>
      </c>
      <c r="B629" s="32" t="s">
        <v>491</v>
      </c>
      <c r="C629" s="191" t="str">
        <f t="array" ref="C629">_xlfn.XLOOKUP(B629, DB[samplingPoint], DB[samplingTag])</f>
        <v>SV116.15</v>
      </c>
      <c r="D629" s="33" t="s">
        <v>59</v>
      </c>
      <c r="E629" s="39" t="str">
        <f t="array" ref="E629">_xlfn.XLOOKUP($B629, DB[samplingPoint], DB[noLocation])</f>
        <v>10-4-012</v>
      </c>
      <c r="F629" s="40" t="str">
        <f t="array" ref="F629">_xlfn.XLOOKUP($B629, DB[samplingPoint], DB[building])</f>
        <v>Building 10</v>
      </c>
      <c r="G629" s="40" t="str">
        <f t="array" ref="G629">_xlfn.XLOOKUP($B629, DB[samplingPoint], DB[location])</f>
        <v>CIP SKID-1 FOR BIN WASHING-1</v>
      </c>
      <c r="H629" s="40" t="str">
        <f t="array" ref="H629">_xlfn.XLOOKUP($B629, DB[samplingPoint], DB[waterType])</f>
        <v>PW</v>
      </c>
      <c r="I629" s="60">
        <f t="shared" si="1"/>
        <v>45952</v>
      </c>
      <c r="J629" s="192">
        <f t="shared" si="2"/>
        <v>45955</v>
      </c>
      <c r="K629" s="32">
        <v>0.0</v>
      </c>
      <c r="L629" s="32">
        <v>0.0</v>
      </c>
      <c r="M629" s="32">
        <f t="shared" si="3"/>
        <v>0</v>
      </c>
      <c r="N629" s="32" t="s">
        <v>376</v>
      </c>
      <c r="O629" s="32">
        <v>100.0</v>
      </c>
      <c r="P629" s="50" t="str">
        <f t="shared" si="6"/>
        <v>PASSED</v>
      </c>
      <c r="Q629" s="50" t="str">
        <f t="shared" si="5"/>
        <v>10</v>
      </c>
    </row>
    <row r="630" ht="22.5" customHeight="1">
      <c r="A630" s="26">
        <v>45951.0</v>
      </c>
      <c r="B630" s="32" t="s">
        <v>493</v>
      </c>
      <c r="C630" s="191" t="str">
        <f t="array" ref="C630">_xlfn.XLOOKUP(B630, DB[samplingPoint], DB[samplingTag])</f>
        <v>SV116.16</v>
      </c>
      <c r="D630" s="33" t="s">
        <v>59</v>
      </c>
      <c r="E630" s="39" t="str">
        <f t="array" ref="E630">_xlfn.XLOOKUP($B630, DB[samplingPoint], DB[noLocation])</f>
        <v>10-4-012</v>
      </c>
      <c r="F630" s="40" t="str">
        <f t="array" ref="F630">_xlfn.XLOOKUP($B630, DB[samplingPoint], DB[building])</f>
        <v>Building 10</v>
      </c>
      <c r="G630" s="40" t="str">
        <f t="array" ref="G630">_xlfn.XLOOKUP($B630, DB[samplingPoint], DB[location])</f>
        <v>WIP SKID-3 FOR GRANULATION POTENT</v>
      </c>
      <c r="H630" s="40" t="str">
        <f t="array" ref="H630">_xlfn.XLOOKUP($B630, DB[samplingPoint], DB[waterType])</f>
        <v>PW</v>
      </c>
      <c r="I630" s="60">
        <f t="shared" si="1"/>
        <v>45952</v>
      </c>
      <c r="J630" s="192">
        <f t="shared" si="2"/>
        <v>45955</v>
      </c>
      <c r="K630" s="32">
        <v>0.0</v>
      </c>
      <c r="L630" s="32">
        <v>0.0</v>
      </c>
      <c r="M630" s="32">
        <f t="shared" si="3"/>
        <v>0</v>
      </c>
      <c r="N630" s="32" t="s">
        <v>376</v>
      </c>
      <c r="O630" s="32">
        <v>100.0</v>
      </c>
      <c r="P630" s="50" t="str">
        <f t="shared" si="6"/>
        <v>PASSED</v>
      </c>
      <c r="Q630" s="50" t="str">
        <f t="shared" si="5"/>
        <v>10</v>
      </c>
    </row>
    <row r="631" ht="22.5" customHeight="1">
      <c r="A631" s="26">
        <v>45951.0</v>
      </c>
      <c r="B631" s="32" t="s">
        <v>431</v>
      </c>
      <c r="C631" s="191" t="str">
        <f t="array" ref="C631">_xlfn.XLOOKUP(B631, DB[samplingPoint], DB[samplingTag])</f>
        <v>SV-14</v>
      </c>
      <c r="D631" s="33" t="s">
        <v>59</v>
      </c>
      <c r="E631" s="39" t="str">
        <f t="array" ref="E631">_xlfn.XLOOKUP($B631, DB[samplingPoint], DB[noLocation])</f>
        <v>PROCESS WATER (B19)</v>
      </c>
      <c r="F631" s="40" t="str">
        <f t="array" ref="F631">_xlfn.XLOOKUP($B631, DB[samplingPoint], DB[building])</f>
        <v>Building 19</v>
      </c>
      <c r="G631" s="40" t="str">
        <f t="array" ref="G631">_xlfn.XLOOKUP($B631, DB[samplingPoint], DB[location])</f>
        <v>AFTER RO SYSTEM NO.12 SV14</v>
      </c>
      <c r="H631" s="40" t="str">
        <f t="array" ref="H631">_xlfn.XLOOKUP($B631, DB[samplingPoint], DB[waterType])</f>
        <v>PRW</v>
      </c>
      <c r="I631" s="60">
        <f t="shared" si="1"/>
        <v>45952</v>
      </c>
      <c r="J631" s="192">
        <f t="shared" si="2"/>
        <v>45955</v>
      </c>
      <c r="K631" s="32">
        <v>0.0</v>
      </c>
      <c r="L631" s="32">
        <v>0.0</v>
      </c>
      <c r="M631" s="32">
        <f t="shared" si="3"/>
        <v>0</v>
      </c>
      <c r="N631" s="32" t="s">
        <v>376</v>
      </c>
      <c r="O631" s="32">
        <v>500.0</v>
      </c>
      <c r="P631" s="50" t="str">
        <f t="shared" si="6"/>
        <v>PASSED</v>
      </c>
      <c r="Q631" s="50" t="str">
        <f t="shared" si="5"/>
        <v>PR</v>
      </c>
    </row>
    <row r="632" ht="22.5" customHeight="1">
      <c r="A632" s="26">
        <v>45951.0</v>
      </c>
      <c r="B632" s="32" t="s">
        <v>618</v>
      </c>
      <c r="C632" s="39" t="str">
        <f t="array" ref="C632">_xlfn.XLOOKUP(B632, DB[samplingPoint], DB[samplingTag])</f>
        <v>SV-15</v>
      </c>
      <c r="D632" s="33" t="s">
        <v>59</v>
      </c>
      <c r="E632" s="39" t="str">
        <f t="array" ref="E632">_xlfn.XLOOKUP($B632, DB[samplingPoint], DB[noLocation])</f>
        <v>PROCESS WATER (B19)</v>
      </c>
      <c r="F632" s="40" t="str">
        <f t="array" ref="F632">_xlfn.XLOOKUP($B632, DB[samplingPoint], DB[building])</f>
        <v>Building 19</v>
      </c>
      <c r="G632" s="40" t="str">
        <f t="array" ref="G632">_xlfn.XLOOKUP($B632, DB[samplingPoint], DB[location])</f>
        <v>AFTER RO SYSTEM NO.12 SV15</v>
      </c>
      <c r="H632" s="40" t="str">
        <f t="array" ref="H632">_xlfn.XLOOKUP($B632, DB[samplingPoint], DB[waterType])</f>
        <v>PRW</v>
      </c>
      <c r="I632" s="60">
        <f t="shared" si="1"/>
        <v>45952</v>
      </c>
      <c r="J632" s="192">
        <f t="shared" si="2"/>
        <v>45955</v>
      </c>
      <c r="K632" s="32">
        <v>0.0</v>
      </c>
      <c r="L632" s="32">
        <v>0.0</v>
      </c>
      <c r="M632" s="32">
        <f t="shared" si="3"/>
        <v>0</v>
      </c>
      <c r="N632" s="32" t="s">
        <v>376</v>
      </c>
      <c r="O632" s="32">
        <v>500.0</v>
      </c>
      <c r="P632" s="50" t="str">
        <f t="shared" si="6"/>
        <v>PASSED</v>
      </c>
      <c r="Q632" s="50" t="str">
        <f t="shared" si="5"/>
        <v>PR</v>
      </c>
    </row>
    <row r="633" ht="22.5" customHeight="1">
      <c r="A633" s="26">
        <v>45951.0</v>
      </c>
      <c r="B633" s="32" t="s">
        <v>499</v>
      </c>
      <c r="C633" s="191" t="str">
        <f t="array" ref="C633">_xlfn.XLOOKUP(B633, DB[samplingPoint], DB[samplingTag])</f>
        <v>SV116.01</v>
      </c>
      <c r="D633" s="33" t="s">
        <v>59</v>
      </c>
      <c r="E633" s="39" t="str">
        <f t="array" ref="E633">_xlfn.XLOOKUP($B633, DB[samplingPoint], DB[noLocation])</f>
        <v>10-2-021</v>
      </c>
      <c r="F633" s="40" t="str">
        <f t="array" ref="F633">_xlfn.XLOOKUP($B633, DB[samplingPoint], DB[building])</f>
        <v>Building 10</v>
      </c>
      <c r="G633" s="40" t="str">
        <f t="array" ref="G633">_xlfn.XLOOKUP($B633, DB[samplingPoint], DB[location])</f>
        <v>INSTRUMENT-1</v>
      </c>
      <c r="H633" s="40" t="str">
        <f t="array" ref="H633">_xlfn.XLOOKUP($B633, DB[samplingPoint], DB[waterType])</f>
        <v>PW</v>
      </c>
      <c r="I633" s="60">
        <f t="shared" si="1"/>
        <v>45952</v>
      </c>
      <c r="J633" s="192">
        <f t="shared" si="2"/>
        <v>45955</v>
      </c>
      <c r="K633" s="32">
        <v>0.0</v>
      </c>
      <c r="L633" s="32">
        <v>0.0</v>
      </c>
      <c r="M633" s="32">
        <f t="shared" si="3"/>
        <v>0</v>
      </c>
      <c r="N633" s="32" t="s">
        <v>376</v>
      </c>
      <c r="O633" s="32">
        <v>100.0</v>
      </c>
      <c r="P633" s="50" t="str">
        <f t="shared" si="6"/>
        <v>PASSED</v>
      </c>
      <c r="Q633" s="50" t="str">
        <f t="shared" si="5"/>
        <v>10</v>
      </c>
    </row>
    <row r="634" ht="22.5" customHeight="1">
      <c r="A634" s="26">
        <v>45951.0</v>
      </c>
      <c r="B634" s="32" t="s">
        <v>498</v>
      </c>
      <c r="C634" s="191" t="str">
        <f t="array" ref="C634">_xlfn.XLOOKUP(B634, DB[samplingPoint], DB[samplingTag])</f>
        <v>SV116.02</v>
      </c>
      <c r="D634" s="33" t="s">
        <v>59</v>
      </c>
      <c r="E634" s="39" t="str">
        <f t="array" ref="E634">_xlfn.XLOOKUP($B634, DB[samplingPoint], DB[noLocation])</f>
        <v>10-2-037</v>
      </c>
      <c r="F634" s="40" t="str">
        <f t="array" ref="F634">_xlfn.XLOOKUP($B634, DB[samplingPoint], DB[building])</f>
        <v>Building 10</v>
      </c>
      <c r="G634" s="40" t="str">
        <f t="array" ref="G634">_xlfn.XLOOKUP($B634, DB[samplingPoint], DB[location])</f>
        <v>SKID FOR BIN WASHING-2</v>
      </c>
      <c r="H634" s="40" t="str">
        <f t="array" ref="H634">_xlfn.XLOOKUP($B634, DB[samplingPoint], DB[waterType])</f>
        <v>PW</v>
      </c>
      <c r="I634" s="60">
        <f t="shared" si="1"/>
        <v>45952</v>
      </c>
      <c r="J634" s="192">
        <f t="shared" si="2"/>
        <v>45955</v>
      </c>
      <c r="K634" s="32">
        <v>0.0</v>
      </c>
      <c r="L634" s="32">
        <v>0.0</v>
      </c>
      <c r="M634" s="32">
        <f t="shared" si="3"/>
        <v>0</v>
      </c>
      <c r="N634" s="32" t="s">
        <v>376</v>
      </c>
      <c r="O634" s="32">
        <v>100.0</v>
      </c>
      <c r="P634" s="50" t="str">
        <f t="shared" si="6"/>
        <v>PASSED</v>
      </c>
      <c r="Q634" s="50" t="str">
        <f t="shared" si="5"/>
        <v>10</v>
      </c>
    </row>
    <row r="635" ht="22.5" customHeight="1">
      <c r="A635" s="26">
        <v>45951.0</v>
      </c>
      <c r="B635" s="32" t="s">
        <v>496</v>
      </c>
      <c r="C635" s="191" t="str">
        <f t="array" ref="C635">_xlfn.XLOOKUP(B635, DB[samplingPoint], DB[samplingTag])</f>
        <v>SV116.19</v>
      </c>
      <c r="D635" s="33" t="s">
        <v>59</v>
      </c>
      <c r="E635" s="39" t="str">
        <f t="array" ref="E635">_xlfn.XLOOKUP($B635, DB[samplingPoint], DB[noLocation])</f>
        <v>10-4-012</v>
      </c>
      <c r="F635" s="40" t="str">
        <f t="array" ref="F635">_xlfn.XLOOKUP($B635, DB[samplingPoint], DB[building])</f>
        <v>Building 10</v>
      </c>
      <c r="G635" s="40" t="str">
        <f t="array" ref="G635">_xlfn.XLOOKUP($B635, DB[samplingPoint], DB[location])</f>
        <v>WIP SKID-2 FOR GRANULATION NON POTENT</v>
      </c>
      <c r="H635" s="40" t="str">
        <f t="array" ref="H635">_xlfn.XLOOKUP($B635, DB[samplingPoint], DB[waterType])</f>
        <v>PW</v>
      </c>
      <c r="I635" s="60">
        <f t="shared" si="1"/>
        <v>45952</v>
      </c>
      <c r="J635" s="192">
        <f t="shared" si="2"/>
        <v>45955</v>
      </c>
      <c r="K635" s="32">
        <v>0.0</v>
      </c>
      <c r="L635" s="32">
        <v>0.0</v>
      </c>
      <c r="M635" s="32">
        <f t="shared" si="3"/>
        <v>0</v>
      </c>
      <c r="N635" s="32" t="s">
        <v>376</v>
      </c>
      <c r="O635" s="32">
        <v>100.0</v>
      </c>
      <c r="P635" s="50" t="str">
        <f t="shared" si="6"/>
        <v>PASSED</v>
      </c>
      <c r="Q635" s="50" t="str">
        <f t="shared" si="5"/>
        <v>10</v>
      </c>
    </row>
    <row r="636" ht="22.5" customHeight="1">
      <c r="A636" s="26">
        <v>45951.0</v>
      </c>
      <c r="B636" s="32" t="s">
        <v>502</v>
      </c>
      <c r="C636" s="191" t="str">
        <f t="array" ref="C636">_xlfn.XLOOKUP(B636, DB[samplingPoint], DB[samplingTag])</f>
        <v>DV116.26</v>
      </c>
      <c r="D636" s="33" t="s">
        <v>59</v>
      </c>
      <c r="E636" s="39" t="str">
        <f t="array" ref="E636">_xlfn.XLOOKUP($B636, DB[samplingPoint], DB[noLocation])</f>
        <v>10-4-015</v>
      </c>
      <c r="F636" s="40" t="str">
        <f t="array" ref="F636">_xlfn.XLOOKUP($B636, DB[samplingPoint], DB[building])</f>
        <v>Building 10</v>
      </c>
      <c r="G636" s="40" t="str">
        <f t="array" ref="G636">_xlfn.XLOOKUP($B636, DB[samplingPoint], DB[location])</f>
        <v>WATER SYSTEM ROOM</v>
      </c>
      <c r="H636" s="40" t="str">
        <f t="array" ref="H636">_xlfn.XLOOKUP($B636, DB[samplingPoint], DB[waterType])</f>
        <v>PW</v>
      </c>
      <c r="I636" s="60">
        <f t="shared" si="1"/>
        <v>45952</v>
      </c>
      <c r="J636" s="192">
        <f t="shared" si="2"/>
        <v>45955</v>
      </c>
      <c r="K636" s="32">
        <v>0.0</v>
      </c>
      <c r="L636" s="32">
        <v>0.0</v>
      </c>
      <c r="M636" s="32">
        <f t="shared" si="3"/>
        <v>0</v>
      </c>
      <c r="N636" s="32" t="s">
        <v>376</v>
      </c>
      <c r="O636" s="32">
        <v>100.0</v>
      </c>
      <c r="P636" s="50" t="str">
        <f t="shared" si="6"/>
        <v>PASSED</v>
      </c>
      <c r="Q636" s="50" t="str">
        <f t="shared" si="5"/>
        <v>10</v>
      </c>
    </row>
    <row r="637" ht="22.5" customHeight="1">
      <c r="A637" s="26">
        <v>45951.0</v>
      </c>
      <c r="B637" s="32" t="s">
        <v>390</v>
      </c>
      <c r="C637" s="191" t="str">
        <f t="array" ref="C637">_xlfn.XLOOKUP(B637, DB[samplingPoint], DB[samplingTag])</f>
        <v>SV117.01</v>
      </c>
      <c r="D637" s="33" t="s">
        <v>59</v>
      </c>
      <c r="E637" s="39" t="str">
        <f t="array" ref="E637">_xlfn.XLOOKUP($B637, DB[samplingPoint], DB[noLocation])</f>
        <v>WATER SYSTEM (B10)</v>
      </c>
      <c r="F637" s="40" t="str">
        <f t="array" ref="F637">_xlfn.XLOOKUP($B637, DB[samplingPoint], DB[building])</f>
        <v>Building 10</v>
      </c>
      <c r="G637" s="40" t="str">
        <f t="array" ref="G637">_xlfn.XLOOKUP($B637, DB[samplingPoint], DB[location])</f>
        <v>Return loop (B10)</v>
      </c>
      <c r="H637" s="40" t="str">
        <f t="array" ref="H637">_xlfn.XLOOKUP($B637, DB[samplingPoint], DB[waterType])</f>
        <v>PW</v>
      </c>
      <c r="I637" s="60">
        <f t="shared" si="1"/>
        <v>45952</v>
      </c>
      <c r="J637" s="192">
        <f t="shared" si="2"/>
        <v>45955</v>
      </c>
      <c r="K637" s="32">
        <v>0.0</v>
      </c>
      <c r="L637" s="32">
        <v>0.0</v>
      </c>
      <c r="M637" s="32">
        <f t="shared" si="3"/>
        <v>0</v>
      </c>
      <c r="N637" s="32" t="s">
        <v>376</v>
      </c>
      <c r="O637" s="32">
        <v>100.0</v>
      </c>
      <c r="P637" s="50" t="str">
        <f t="shared" si="6"/>
        <v>PASSED</v>
      </c>
      <c r="Q637" s="50" t="str">
        <f t="shared" si="5"/>
        <v>WA</v>
      </c>
    </row>
    <row r="638" ht="22.5" customHeight="1">
      <c r="A638" s="26">
        <v>45965.0</v>
      </c>
      <c r="B638" s="32" t="s">
        <v>349</v>
      </c>
      <c r="C638" s="191" t="str">
        <f t="array" ref="C638">_xlfn.XLOOKUP(B638, DB[samplingPoint], DB[samplingTag])</f>
        <v>VB-05(10)</v>
      </c>
      <c r="D638" s="33" t="s">
        <v>59</v>
      </c>
      <c r="E638" s="39" t="str">
        <f t="array" ref="E638">_xlfn.XLOOKUP($B638, DB[samplingPoint], DB[noLocation])</f>
        <v>WATER SYSTEM (B10)</v>
      </c>
      <c r="F638" s="40" t="str">
        <f t="array" ref="F638">_xlfn.XLOOKUP($B638, DB[samplingPoint], DB[building])</f>
        <v>Building 10</v>
      </c>
      <c r="G638" s="40" t="str">
        <f t="array" ref="G638">_xlfn.XLOOKUP($B638, DB[samplingPoint], DB[location])</f>
        <v>After Chlorine circulation tank (B10)</v>
      </c>
      <c r="H638" s="40" t="str">
        <f t="array" ref="H638">_xlfn.XLOOKUP($B638, DB[samplingPoint], DB[waterType])</f>
        <v>PRW</v>
      </c>
      <c r="I638" s="60">
        <f t="shared" si="1"/>
        <v>45966</v>
      </c>
      <c r="J638" s="192">
        <f t="shared" si="2"/>
        <v>45969</v>
      </c>
      <c r="K638" s="32">
        <v>0.0</v>
      </c>
      <c r="L638" s="32">
        <v>0.0</v>
      </c>
      <c r="M638" s="32">
        <f t="shared" si="3"/>
        <v>0</v>
      </c>
      <c r="N638" s="32" t="s">
        <v>376</v>
      </c>
      <c r="O638" s="32">
        <v>500.0</v>
      </c>
      <c r="P638" s="50" t="str">
        <f t="shared" si="6"/>
        <v>PASSED</v>
      </c>
      <c r="Q638" s="50" t="str">
        <f t="shared" si="5"/>
        <v>WA</v>
      </c>
    </row>
    <row r="639" ht="22.5" customHeight="1">
      <c r="A639" s="26">
        <v>45965.0</v>
      </c>
      <c r="B639" s="32" t="s">
        <v>366</v>
      </c>
      <c r="C639" s="191" t="str">
        <f t="array" ref="C639">_xlfn.XLOOKUP(B639, DB[samplingPoint], DB[samplingTag])</f>
        <v>V50-61(10)</v>
      </c>
      <c r="D639" s="33" t="s">
        <v>59</v>
      </c>
      <c r="E639" s="39" t="str">
        <f t="array" ref="E639">_xlfn.XLOOKUP($B639, DB[samplingPoint], DB[noLocation])</f>
        <v>WATER SYSTEM (B10)</v>
      </c>
      <c r="F639" s="40" t="str">
        <f t="array" ref="F639">_xlfn.XLOOKUP($B639, DB[samplingPoint], DB[building])</f>
        <v>Building 10</v>
      </c>
      <c r="G639" s="40" t="str">
        <f t="array" ref="G639">_xlfn.XLOOKUP($B639, DB[samplingPoint], DB[location])</f>
        <v>After Cartridge filter 5 µm (B10)</v>
      </c>
      <c r="H639" s="40" t="str">
        <f t="array" ref="H639">_xlfn.XLOOKUP($B639, DB[samplingPoint], DB[waterType])</f>
        <v>PRW</v>
      </c>
      <c r="I639" s="60">
        <f t="shared" si="1"/>
        <v>45966</v>
      </c>
      <c r="J639" s="192">
        <f t="shared" si="2"/>
        <v>45969</v>
      </c>
      <c r="K639" s="32">
        <v>0.0</v>
      </c>
      <c r="L639" s="32">
        <v>0.0</v>
      </c>
      <c r="M639" s="32">
        <f t="shared" si="3"/>
        <v>0</v>
      </c>
      <c r="N639" s="32" t="s">
        <v>376</v>
      </c>
      <c r="O639" s="32">
        <v>500.0</v>
      </c>
      <c r="P639" s="50" t="str">
        <f t="shared" si="6"/>
        <v>PASSED</v>
      </c>
      <c r="Q639" s="50" t="str">
        <f t="shared" si="5"/>
        <v>WA</v>
      </c>
    </row>
    <row r="640" ht="22.5" customHeight="1">
      <c r="A640" s="26">
        <v>45965.0</v>
      </c>
      <c r="B640" s="32" t="s">
        <v>368</v>
      </c>
      <c r="C640" s="191" t="str">
        <f t="array" ref="C640">_xlfn.XLOOKUP(B640, DB[samplingPoint], DB[samplingTag])</f>
        <v>V50-11C(10)</v>
      </c>
      <c r="D640" s="33" t="s">
        <v>59</v>
      </c>
      <c r="E640" s="39" t="str">
        <f t="array" ref="E640">_xlfn.XLOOKUP($B640, DB[samplingPoint], DB[noLocation])</f>
        <v>WATER SYSTEM (B10)</v>
      </c>
      <c r="F640" s="40" t="str">
        <f t="array" ref="F640">_xlfn.XLOOKUP($B640, DB[samplingPoint], DB[building])</f>
        <v>Building 10</v>
      </c>
      <c r="G640" s="40" t="str">
        <f t="array" ref="G640">_xlfn.XLOOKUP($B640, DB[samplingPoint], DB[location])</f>
        <v>After RO (Before EDI) (B10)</v>
      </c>
      <c r="H640" s="40" t="str">
        <f t="array" ref="H640">_xlfn.XLOOKUP($B640, DB[samplingPoint], DB[waterType])</f>
        <v>RO water</v>
      </c>
      <c r="I640" s="60">
        <f t="shared" si="1"/>
        <v>45966</v>
      </c>
      <c r="J640" s="192">
        <f t="shared" si="2"/>
        <v>45969</v>
      </c>
      <c r="K640" s="32">
        <v>0.0</v>
      </c>
      <c r="L640" s="32">
        <v>0.0</v>
      </c>
      <c r="M640" s="32">
        <f t="shared" si="3"/>
        <v>0</v>
      </c>
      <c r="N640" s="32" t="s">
        <v>376</v>
      </c>
      <c r="O640" s="32">
        <v>500.0</v>
      </c>
      <c r="P640" s="50" t="str">
        <f t="shared" si="6"/>
        <v>PASSED</v>
      </c>
      <c r="Q640" s="50" t="str">
        <f t="shared" si="5"/>
        <v>WA</v>
      </c>
    </row>
    <row r="641" ht="22.5" customHeight="1">
      <c r="A641" s="26">
        <v>45965.0</v>
      </c>
      <c r="B641" s="32" t="s">
        <v>374</v>
      </c>
      <c r="C641" s="191" t="str">
        <f t="array" ref="C641">_xlfn.XLOOKUP(B641, DB[samplingPoint], DB[samplingTag])</f>
        <v>V50-39(10)</v>
      </c>
      <c r="D641" s="33" t="s">
        <v>59</v>
      </c>
      <c r="E641" s="39" t="str">
        <f t="array" ref="E641">_xlfn.XLOOKUP($B641, DB[samplingPoint], DB[noLocation])</f>
        <v>WATER SYSTEM (B10)</v>
      </c>
      <c r="F641" s="40" t="str">
        <f t="array" ref="F641">_xlfn.XLOOKUP($B641, DB[samplingPoint], DB[building])</f>
        <v>Building 10</v>
      </c>
      <c r="G641" s="40" t="str">
        <f t="array" ref="G641">_xlfn.XLOOKUP($B641, DB[samplingPoint], DB[location])</f>
        <v>After EDI (B10)</v>
      </c>
      <c r="H641" s="40" t="str">
        <f t="array" ref="H641">_xlfn.XLOOKUP($B641, DB[samplingPoint], DB[waterType])</f>
        <v>PW</v>
      </c>
      <c r="I641" s="60">
        <f t="shared" si="1"/>
        <v>45966</v>
      </c>
      <c r="J641" s="192">
        <f t="shared" si="2"/>
        <v>45969</v>
      </c>
      <c r="K641" s="32">
        <v>0.0</v>
      </c>
      <c r="L641" s="32">
        <v>0.0</v>
      </c>
      <c r="M641" s="32">
        <f t="shared" si="3"/>
        <v>0</v>
      </c>
      <c r="N641" s="32" t="s">
        <v>376</v>
      </c>
      <c r="O641" s="32">
        <v>100.0</v>
      </c>
      <c r="P641" s="50" t="str">
        <f t="shared" si="6"/>
        <v>PASSED</v>
      </c>
      <c r="Q641" s="50" t="str">
        <f t="shared" si="5"/>
        <v>WA</v>
      </c>
    </row>
    <row r="642" ht="22.5" customHeight="1">
      <c r="A642" s="26">
        <v>45965.0</v>
      </c>
      <c r="B642" s="32" t="s">
        <v>490</v>
      </c>
      <c r="C642" s="191" t="str">
        <f t="array" ref="C642">_xlfn.XLOOKUP(B642, DB[samplingPoint], DB[samplingTag])</f>
        <v>SV116.09</v>
      </c>
      <c r="D642" s="33" t="s">
        <v>59</v>
      </c>
      <c r="E642" s="39" t="str">
        <f t="array" ref="E642">_xlfn.XLOOKUP($B642, DB[samplingPoint], DB[noLocation])</f>
        <v>10-3-078</v>
      </c>
      <c r="F642" s="40" t="str">
        <f t="array" ref="F642">_xlfn.XLOOKUP($B642, DB[samplingPoint], DB[building])</f>
        <v>Building 10</v>
      </c>
      <c r="G642" s="40" t="str">
        <f t="array" ref="G642">_xlfn.XLOOKUP($B642, DB[samplingPoint], DB[location])</f>
        <v>WASHING</v>
      </c>
      <c r="H642" s="40" t="str">
        <f t="array" ref="H642">_xlfn.XLOOKUP($B642, DB[samplingPoint], DB[waterType])</f>
        <v>PW</v>
      </c>
      <c r="I642" s="60">
        <f t="shared" si="1"/>
        <v>45966</v>
      </c>
      <c r="J642" s="192">
        <f t="shared" si="2"/>
        <v>45969</v>
      </c>
      <c r="K642" s="32">
        <v>0.0</v>
      </c>
      <c r="L642" s="32">
        <v>0.0</v>
      </c>
      <c r="M642" s="32">
        <f t="shared" si="3"/>
        <v>0</v>
      </c>
      <c r="N642" s="32" t="s">
        <v>376</v>
      </c>
      <c r="O642" s="32">
        <v>100.0</v>
      </c>
      <c r="P642" s="50" t="str">
        <f t="shared" si="6"/>
        <v>PASSED</v>
      </c>
      <c r="Q642" s="50" t="str">
        <f t="shared" si="5"/>
        <v>10</v>
      </c>
    </row>
    <row r="643" ht="22.5" customHeight="1">
      <c r="A643" s="26">
        <v>45965.0</v>
      </c>
      <c r="B643" s="32" t="s">
        <v>492</v>
      </c>
      <c r="C643" s="191" t="str">
        <f t="array" ref="C643">_xlfn.XLOOKUP(B643, DB[samplingPoint], DB[samplingTag])</f>
        <v>SV116.11</v>
      </c>
      <c r="D643" s="33" t="s">
        <v>59</v>
      </c>
      <c r="E643" s="39" t="str">
        <f t="array" ref="E643">_xlfn.XLOOKUP($B643, DB[samplingPoint], DB[noLocation])</f>
        <v>10-3-107</v>
      </c>
      <c r="F643" s="40" t="str">
        <f t="array" ref="F643">_xlfn.XLOOKUP($B643, DB[samplingPoint], DB[building])</f>
        <v>Building 10</v>
      </c>
      <c r="G643" s="40" t="str">
        <f t="array" ref="G643">_xlfn.XLOOKUP($B643, DB[samplingPoint], DB[location])</f>
        <v>WET GRANULATION-2</v>
      </c>
      <c r="H643" s="40" t="str">
        <f t="array" ref="H643">_xlfn.XLOOKUP($B643, DB[samplingPoint], DB[waterType])</f>
        <v>PW</v>
      </c>
      <c r="I643" s="60">
        <f t="shared" si="1"/>
        <v>45966</v>
      </c>
      <c r="J643" s="192">
        <f t="shared" si="2"/>
        <v>45969</v>
      </c>
      <c r="K643" s="32">
        <v>0.0</v>
      </c>
      <c r="L643" s="32">
        <v>0.0</v>
      </c>
      <c r="M643" s="32">
        <f t="shared" si="3"/>
        <v>0</v>
      </c>
      <c r="N643" s="32" t="s">
        <v>376</v>
      </c>
      <c r="O643" s="32">
        <v>100.0</v>
      </c>
      <c r="P643" s="50" t="str">
        <f t="shared" si="6"/>
        <v>PASSED</v>
      </c>
      <c r="Q643" s="50" t="str">
        <f t="shared" si="5"/>
        <v>10</v>
      </c>
    </row>
    <row r="644" ht="22.5" customHeight="1">
      <c r="A644" s="26">
        <v>45965.0</v>
      </c>
      <c r="B644" s="32" t="s">
        <v>476</v>
      </c>
      <c r="C644" s="191" t="str">
        <f t="array" ref="C644">_xlfn.XLOOKUP(B644, DB[samplingPoint], DB[samplingTag])</f>
        <v>DV116.12</v>
      </c>
      <c r="D644" s="33" t="s">
        <v>59</v>
      </c>
      <c r="E644" s="39" t="str">
        <f t="array" ref="E644">_xlfn.XLOOKUP($B644, DB[samplingPoint], DB[noLocation])</f>
        <v>10-3-078</v>
      </c>
      <c r="F644" s="40" t="str">
        <f t="array" ref="F644">_xlfn.XLOOKUP($B644, DB[samplingPoint], DB[building])</f>
        <v>Building 10</v>
      </c>
      <c r="G644" s="40" t="str">
        <f t="array" ref="G644">_xlfn.XLOOKUP($B644, DB[samplingPoint], DB[location])</f>
        <v>WASHING</v>
      </c>
      <c r="H644" s="40" t="str">
        <f t="array" ref="H644">_xlfn.XLOOKUP($B644, DB[samplingPoint], DB[waterType])</f>
        <v>PW</v>
      </c>
      <c r="I644" s="60">
        <f t="shared" si="1"/>
        <v>45966</v>
      </c>
      <c r="J644" s="192">
        <f t="shared" si="2"/>
        <v>45969</v>
      </c>
      <c r="K644" s="32">
        <v>1.0</v>
      </c>
      <c r="L644" s="32">
        <v>0.0</v>
      </c>
      <c r="M644" s="32">
        <f t="shared" si="3"/>
        <v>1</v>
      </c>
      <c r="N644" s="32" t="s">
        <v>376</v>
      </c>
      <c r="O644" s="32">
        <v>100.0</v>
      </c>
      <c r="P644" s="50" t="str">
        <f t="shared" si="6"/>
        <v>PASSED</v>
      </c>
      <c r="Q644" s="50" t="str">
        <f t="shared" si="5"/>
        <v>10</v>
      </c>
    </row>
    <row r="645" ht="22.5" customHeight="1">
      <c r="A645" s="26">
        <v>45965.0</v>
      </c>
      <c r="B645" s="32" t="s">
        <v>479</v>
      </c>
      <c r="C645" s="191" t="str">
        <f t="array" ref="C645">_xlfn.XLOOKUP(B645, DB[samplingPoint], DB[samplingTag])</f>
        <v>DV116.13</v>
      </c>
      <c r="D645" s="33" t="s">
        <v>59</v>
      </c>
      <c r="E645" s="39" t="str">
        <f t="array" ref="E645">_xlfn.XLOOKUP($B645, DB[samplingPoint], DB[noLocation])</f>
        <v>10-3-078</v>
      </c>
      <c r="F645" s="40" t="str">
        <f t="array" ref="F645">_xlfn.XLOOKUP($B645, DB[samplingPoint], DB[building])</f>
        <v>Building 10</v>
      </c>
      <c r="G645" s="40" t="str">
        <f t="array" ref="G645">_xlfn.XLOOKUP($B645, DB[samplingPoint], DB[location])</f>
        <v>WASHING</v>
      </c>
      <c r="H645" s="40" t="str">
        <f t="array" ref="H645">_xlfn.XLOOKUP($B645, DB[samplingPoint], DB[waterType])</f>
        <v>PW</v>
      </c>
      <c r="I645" s="60">
        <f t="shared" si="1"/>
        <v>45966</v>
      </c>
      <c r="J645" s="192">
        <f t="shared" si="2"/>
        <v>45969</v>
      </c>
      <c r="K645" s="32">
        <v>0.0</v>
      </c>
      <c r="L645" s="32">
        <v>0.0</v>
      </c>
      <c r="M645" s="32">
        <f t="shared" si="3"/>
        <v>0</v>
      </c>
      <c r="N645" s="32" t="s">
        <v>376</v>
      </c>
      <c r="O645" s="32">
        <v>100.0</v>
      </c>
      <c r="P645" s="50" t="str">
        <f t="shared" si="6"/>
        <v>PASSED</v>
      </c>
      <c r="Q645" s="50" t="str">
        <f t="shared" si="5"/>
        <v>10</v>
      </c>
    </row>
    <row r="646" ht="22.5" customHeight="1">
      <c r="A646" s="26">
        <v>45965.0</v>
      </c>
      <c r="B646" s="32" t="s">
        <v>482</v>
      </c>
      <c r="C646" s="191" t="str">
        <f t="array" ref="C646">_xlfn.XLOOKUP(B646, DB[samplingPoint], DB[samplingTag])</f>
        <v>DV116.14</v>
      </c>
      <c r="D646" s="33" t="s">
        <v>59</v>
      </c>
      <c r="E646" s="39" t="str">
        <f t="array" ref="E646">_xlfn.XLOOKUP($B646, DB[samplingPoint], DB[noLocation])</f>
        <v>10-3-086</v>
      </c>
      <c r="F646" s="40" t="str">
        <f t="array" ref="F646">_xlfn.XLOOKUP($B646, DB[samplingPoint], DB[building])</f>
        <v>Building 10</v>
      </c>
      <c r="G646" s="40" t="str">
        <f t="array" ref="G646">_xlfn.XLOOKUP($B646, DB[samplingPoint], DB[location])</f>
        <v>TOOL WASHING</v>
      </c>
      <c r="H646" s="40" t="str">
        <f t="array" ref="H646">_xlfn.XLOOKUP($B646, DB[samplingPoint], DB[waterType])</f>
        <v>PW</v>
      </c>
      <c r="I646" s="60">
        <f t="shared" si="1"/>
        <v>45966</v>
      </c>
      <c r="J646" s="192">
        <f t="shared" si="2"/>
        <v>45969</v>
      </c>
      <c r="K646" s="32">
        <v>0.0</v>
      </c>
      <c r="L646" s="32">
        <v>0.0</v>
      </c>
      <c r="M646" s="32">
        <f t="shared" si="3"/>
        <v>0</v>
      </c>
      <c r="N646" s="32" t="s">
        <v>376</v>
      </c>
      <c r="O646" s="32">
        <v>100.0</v>
      </c>
      <c r="P646" s="50" t="str">
        <f t="shared" si="6"/>
        <v>PASSED</v>
      </c>
      <c r="Q646" s="50" t="str">
        <f t="shared" si="5"/>
        <v>10</v>
      </c>
    </row>
    <row r="647" ht="22.5" customHeight="1">
      <c r="A647" s="26">
        <v>45965.0</v>
      </c>
      <c r="B647" s="32" t="s">
        <v>488</v>
      </c>
      <c r="C647" s="191" t="str">
        <f t="array" ref="C647">_xlfn.XLOOKUP(B647, DB[samplingPoint], DB[samplingTag])</f>
        <v>DV116.17</v>
      </c>
      <c r="D647" s="33" t="s">
        <v>59</v>
      </c>
      <c r="E647" s="39" t="str">
        <f t="array" ref="E647">_xlfn.XLOOKUP($B647, DB[samplingPoint], DB[noLocation])</f>
        <v>10-3-117</v>
      </c>
      <c r="F647" s="40" t="str">
        <f t="array" ref="F647">_xlfn.XLOOKUP($B647, DB[samplingPoint], DB[building])</f>
        <v>Building 10</v>
      </c>
      <c r="G647" s="40" t="str">
        <f t="array" ref="G647">_xlfn.XLOOKUP($B647, DB[samplingPoint], DB[location])</f>
        <v>IPQC-2</v>
      </c>
      <c r="H647" s="40" t="str">
        <f t="array" ref="H647">_xlfn.XLOOKUP($B647, DB[samplingPoint], DB[waterType])</f>
        <v>PW</v>
      </c>
      <c r="I647" s="60">
        <f t="shared" si="1"/>
        <v>45966</v>
      </c>
      <c r="J647" s="192">
        <f t="shared" si="2"/>
        <v>45969</v>
      </c>
      <c r="K647" s="32">
        <v>0.0</v>
      </c>
      <c r="L647" s="32">
        <v>0.0</v>
      </c>
      <c r="M647" s="32">
        <f t="shared" si="3"/>
        <v>0</v>
      </c>
      <c r="N647" s="32" t="s">
        <v>376</v>
      </c>
      <c r="O647" s="32">
        <v>100.0</v>
      </c>
      <c r="P647" s="50" t="str">
        <f t="shared" si="6"/>
        <v>PASSED</v>
      </c>
      <c r="Q647" s="50" t="str">
        <f t="shared" si="5"/>
        <v>10</v>
      </c>
    </row>
    <row r="648" ht="22.5" customHeight="1">
      <c r="A648" s="26">
        <v>45965.0</v>
      </c>
      <c r="B648" s="32" t="s">
        <v>485</v>
      </c>
      <c r="C648" s="191" t="str">
        <f t="array" ref="C648">_xlfn.XLOOKUP(B648, DB[samplingPoint], DB[samplingTag])</f>
        <v>DV116.16</v>
      </c>
      <c r="D648" s="33" t="s">
        <v>59</v>
      </c>
      <c r="E648" s="39" t="str">
        <f t="array" ref="E648">_xlfn.XLOOKUP($B648, DB[samplingPoint], DB[noLocation])</f>
        <v>10-3-107</v>
      </c>
      <c r="F648" s="40" t="str">
        <f t="array" ref="F648">_xlfn.XLOOKUP($B648, DB[samplingPoint], DB[building])</f>
        <v>Building 10</v>
      </c>
      <c r="G648" s="40" t="str">
        <f t="array" ref="G648">_xlfn.XLOOKUP($B648, DB[samplingPoint], DB[location])</f>
        <v>WET GRANULATION-2</v>
      </c>
      <c r="H648" s="40" t="str">
        <f t="array" ref="H648">_xlfn.XLOOKUP($B648, DB[samplingPoint], DB[waterType])</f>
        <v>PW</v>
      </c>
      <c r="I648" s="60">
        <f t="shared" si="1"/>
        <v>45966</v>
      </c>
      <c r="J648" s="192">
        <f t="shared" si="2"/>
        <v>45969</v>
      </c>
      <c r="K648" s="32">
        <v>0.0</v>
      </c>
      <c r="L648" s="32">
        <v>0.0</v>
      </c>
      <c r="M648" s="32">
        <f t="shared" si="3"/>
        <v>0</v>
      </c>
      <c r="N648" s="32" t="s">
        <v>376</v>
      </c>
      <c r="O648" s="32">
        <v>100.0</v>
      </c>
      <c r="P648" s="50" t="str">
        <f t="shared" si="6"/>
        <v>PASSED</v>
      </c>
      <c r="Q648" s="50" t="str">
        <f t="shared" si="5"/>
        <v>10</v>
      </c>
    </row>
    <row r="649" ht="22.5" customHeight="1">
      <c r="A649" s="26">
        <v>45965.0</v>
      </c>
      <c r="B649" s="32" t="s">
        <v>119</v>
      </c>
      <c r="C649" s="191" t="str">
        <f t="array" ref="C649">_xlfn.XLOOKUP(B649, DB[samplingPoint], DB[samplingTag])</f>
        <v>DV116.15</v>
      </c>
      <c r="D649" s="33" t="s">
        <v>59</v>
      </c>
      <c r="E649" s="39" t="str">
        <f t="array" ref="E649">_xlfn.XLOOKUP($B649, DB[samplingPoint], DB[noLocation])</f>
        <v>10-3-104</v>
      </c>
      <c r="F649" s="40" t="str">
        <f t="array" ref="F649">_xlfn.XLOOKUP($B649, DB[samplingPoint], DB[building])</f>
        <v>Building 10</v>
      </c>
      <c r="G649" s="40" t="str">
        <f t="array" ref="G649">_xlfn.XLOOKUP($B649, DB[samplingPoint], DB[location])</f>
        <v>BINDER PREPARATION</v>
      </c>
      <c r="H649" s="40" t="str">
        <f t="array" ref="H649">_xlfn.XLOOKUP($B649, DB[samplingPoint], DB[waterType])</f>
        <v>PW</v>
      </c>
      <c r="I649" s="60">
        <f t="shared" si="1"/>
        <v>45966</v>
      </c>
      <c r="J649" s="192">
        <f t="shared" si="2"/>
        <v>45969</v>
      </c>
      <c r="K649" s="32">
        <v>0.0</v>
      </c>
      <c r="L649" s="32">
        <v>0.0</v>
      </c>
      <c r="M649" s="32">
        <f t="shared" si="3"/>
        <v>0</v>
      </c>
      <c r="N649" s="32" t="s">
        <v>376</v>
      </c>
      <c r="O649" s="32">
        <v>100.0</v>
      </c>
      <c r="P649" s="50" t="str">
        <f t="shared" si="6"/>
        <v>PASSED</v>
      </c>
      <c r="Q649" s="50" t="str">
        <f t="shared" si="5"/>
        <v>10</v>
      </c>
    </row>
    <row r="650" ht="22.5" customHeight="1">
      <c r="A650" s="26">
        <v>45965.0</v>
      </c>
      <c r="B650" s="32" t="s">
        <v>485</v>
      </c>
      <c r="C650" s="191" t="str">
        <f t="array" ref="C650">_xlfn.XLOOKUP(B650, DB[samplingPoint], DB[samplingTag])</f>
        <v>DV116.16</v>
      </c>
      <c r="D650" s="33" t="s">
        <v>59</v>
      </c>
      <c r="E650" s="39" t="str">
        <f t="array" ref="E650">_xlfn.XLOOKUP($B650, DB[samplingPoint], DB[noLocation])</f>
        <v>10-3-107</v>
      </c>
      <c r="F650" s="40" t="str">
        <f t="array" ref="F650">_xlfn.XLOOKUP($B650, DB[samplingPoint], DB[building])</f>
        <v>Building 10</v>
      </c>
      <c r="G650" s="40" t="str">
        <f t="array" ref="G650">_xlfn.XLOOKUP($B650, DB[samplingPoint], DB[location])</f>
        <v>WET GRANULATION-2</v>
      </c>
      <c r="H650" s="40" t="str">
        <f t="array" ref="H650">_xlfn.XLOOKUP($B650, DB[samplingPoint], DB[waterType])</f>
        <v>PW</v>
      </c>
      <c r="I650" s="60">
        <f t="shared" si="1"/>
        <v>45966</v>
      </c>
      <c r="J650" s="192">
        <f t="shared" si="2"/>
        <v>45969</v>
      </c>
      <c r="K650" s="32">
        <v>0.0</v>
      </c>
      <c r="L650" s="32">
        <v>0.0</v>
      </c>
      <c r="M650" s="32">
        <f t="shared" si="3"/>
        <v>0</v>
      </c>
      <c r="N650" s="32" t="s">
        <v>376</v>
      </c>
      <c r="O650" s="32">
        <v>100.0</v>
      </c>
      <c r="P650" s="50" t="str">
        <f t="shared" si="6"/>
        <v>PASSED</v>
      </c>
      <c r="Q650" s="50" t="str">
        <f t="shared" si="5"/>
        <v>10</v>
      </c>
    </row>
    <row r="651" ht="22.5" customHeight="1">
      <c r="A651" s="26">
        <v>45965.0</v>
      </c>
      <c r="B651" s="32" t="s">
        <v>431</v>
      </c>
      <c r="C651" s="191" t="str">
        <f t="array" ref="C651">_xlfn.XLOOKUP(B651, DB[samplingPoint], DB[samplingTag])</f>
        <v>SV-14</v>
      </c>
      <c r="D651" s="33" t="s">
        <v>59</v>
      </c>
      <c r="E651" s="39" t="str">
        <f t="array" ref="E651">_xlfn.XLOOKUP($B651, DB[samplingPoint], DB[noLocation])</f>
        <v>PROCESS WATER (B19)</v>
      </c>
      <c r="F651" s="40" t="str">
        <f t="array" ref="F651">_xlfn.XLOOKUP($B651, DB[samplingPoint], DB[building])</f>
        <v>Building 19</v>
      </c>
      <c r="G651" s="40" t="str">
        <f t="array" ref="G651">_xlfn.XLOOKUP($B651, DB[samplingPoint], DB[location])</f>
        <v>AFTER RO SYSTEM NO.12 SV14</v>
      </c>
      <c r="H651" s="40" t="str">
        <f t="array" ref="H651">_xlfn.XLOOKUP($B651, DB[samplingPoint], DB[waterType])</f>
        <v>PRW</v>
      </c>
      <c r="I651" s="60">
        <f t="shared" si="1"/>
        <v>45966</v>
      </c>
      <c r="J651" s="192">
        <f t="shared" si="2"/>
        <v>45969</v>
      </c>
      <c r="K651" s="32">
        <v>175.0</v>
      </c>
      <c r="L651" s="32">
        <v>264.0</v>
      </c>
      <c r="M651" s="32">
        <f t="shared" si="3"/>
        <v>220</v>
      </c>
      <c r="N651" s="32" t="s">
        <v>376</v>
      </c>
      <c r="O651" s="32">
        <v>500.0</v>
      </c>
      <c r="P651" s="50" t="str">
        <f t="shared" si="6"/>
        <v>PASSED</v>
      </c>
      <c r="Q651" s="50" t="str">
        <f t="shared" si="5"/>
        <v>PR</v>
      </c>
    </row>
    <row r="652" ht="22.5" customHeight="1">
      <c r="A652" s="26">
        <v>45965.0</v>
      </c>
      <c r="B652" s="32" t="s">
        <v>618</v>
      </c>
      <c r="C652" s="39" t="str">
        <f t="array" ref="C652">_xlfn.XLOOKUP(B652, DB[samplingPoint], DB[samplingTag])</f>
        <v>SV-15</v>
      </c>
      <c r="D652" s="33" t="s">
        <v>59</v>
      </c>
      <c r="E652" s="39" t="str">
        <f t="array" ref="E652">_xlfn.XLOOKUP($B652, DB[samplingPoint], DB[noLocation])</f>
        <v>PROCESS WATER (B19)</v>
      </c>
      <c r="F652" s="40" t="str">
        <f t="array" ref="F652">_xlfn.XLOOKUP($B652, DB[samplingPoint], DB[building])</f>
        <v>Building 19</v>
      </c>
      <c r="G652" s="40" t="str">
        <f t="array" ref="G652">_xlfn.XLOOKUP($B652, DB[samplingPoint], DB[location])</f>
        <v>AFTER RO SYSTEM NO.12 SV15</v>
      </c>
      <c r="H652" s="40" t="str">
        <f t="array" ref="H652">_xlfn.XLOOKUP($B652, DB[samplingPoint], DB[waterType])</f>
        <v>PRW</v>
      </c>
      <c r="I652" s="60">
        <f t="shared" si="1"/>
        <v>45966</v>
      </c>
      <c r="J652" s="192">
        <f t="shared" si="2"/>
        <v>45969</v>
      </c>
      <c r="K652" s="32">
        <v>243.0</v>
      </c>
      <c r="L652" s="32">
        <v>310.0</v>
      </c>
      <c r="M652" s="32">
        <f t="shared" si="3"/>
        <v>277</v>
      </c>
      <c r="N652" s="32" t="s">
        <v>376</v>
      </c>
      <c r="O652" s="32">
        <v>500.0</v>
      </c>
      <c r="P652" s="50" t="str">
        <f t="shared" si="6"/>
        <v>PASSED</v>
      </c>
      <c r="Q652" s="50" t="str">
        <f t="shared" si="5"/>
        <v>PR</v>
      </c>
    </row>
    <row r="653" ht="22.5" customHeight="1">
      <c r="A653" s="26">
        <v>45975.0</v>
      </c>
      <c r="B653" s="32" t="s">
        <v>467</v>
      </c>
      <c r="C653" s="191" t="str">
        <f t="array" ref="C653">_xlfn.XLOOKUP(B653, DB[samplingPoint], DB[samplingTag])</f>
        <v>SV123.01</v>
      </c>
      <c r="D653" s="33" t="s">
        <v>59</v>
      </c>
      <c r="E653" s="39" t="str">
        <f t="array" ref="E653">_xlfn.XLOOKUP($B653, DB[samplingPoint], DB[noLocation])</f>
        <v>WATER SYSTEM (B16)</v>
      </c>
      <c r="F653" s="40" t="str">
        <f t="array" ref="F653">_xlfn.XLOOKUP($B653, DB[samplingPoint], DB[building])</f>
        <v>Building 16</v>
      </c>
      <c r="G653" s="40" t="str">
        <f t="array" ref="G653">_xlfn.XLOOKUP($B653, DB[samplingPoint], DB[location])</f>
        <v>After Storage tank (B16)</v>
      </c>
      <c r="H653" s="40" t="str">
        <f t="array" ref="H653">_xlfn.XLOOKUP($B653, DB[samplingPoint], DB[waterType])</f>
        <v>PW</v>
      </c>
      <c r="I653" s="60">
        <f t="shared" si="1"/>
        <v>45976</v>
      </c>
      <c r="J653" s="192">
        <f t="shared" si="2"/>
        <v>45979</v>
      </c>
      <c r="K653" s="32">
        <v>0.0</v>
      </c>
      <c r="L653" s="32">
        <v>0.0</v>
      </c>
      <c r="M653" s="32">
        <f t="shared" si="3"/>
        <v>0</v>
      </c>
      <c r="N653" s="32" t="s">
        <v>376</v>
      </c>
      <c r="O653" s="32">
        <v>100.0</v>
      </c>
      <c r="P653" s="50" t="str">
        <f t="shared" si="6"/>
        <v>PASSED</v>
      </c>
      <c r="Q653" s="50" t="str">
        <f t="shared" si="5"/>
        <v>WA</v>
      </c>
    </row>
    <row r="654" ht="22.5" customHeight="1">
      <c r="A654" s="26">
        <v>45975.0</v>
      </c>
      <c r="B654" s="32" t="s">
        <v>464</v>
      </c>
      <c r="C654" s="191" t="str">
        <f t="array" ref="C654">_xlfn.XLOOKUP(B654, DB[samplingPoint], DB[samplingTag])</f>
        <v>SV127.01</v>
      </c>
      <c r="D654" s="33" t="s">
        <v>59</v>
      </c>
      <c r="E654" s="39" t="str">
        <f t="array" ref="E654">_xlfn.XLOOKUP($B654, DB[samplingPoint], DB[noLocation])</f>
        <v>WATER SYSTEM (B16)</v>
      </c>
      <c r="F654" s="40" t="str">
        <f t="array" ref="F654">_xlfn.XLOOKUP($B654, DB[samplingPoint], DB[building])</f>
        <v>Building 16</v>
      </c>
      <c r="G654" s="40" t="str">
        <f t="array" ref="G654">_xlfn.XLOOKUP($B654, DB[samplingPoint], DB[location])</f>
        <v>Return loop (B16)</v>
      </c>
      <c r="H654" s="40" t="str">
        <f t="array" ref="H654">_xlfn.XLOOKUP($B654, DB[samplingPoint], DB[waterType])</f>
        <v>PW</v>
      </c>
      <c r="I654" s="60">
        <f t="shared" si="1"/>
        <v>45976</v>
      </c>
      <c r="J654" s="192">
        <f t="shared" si="2"/>
        <v>45979</v>
      </c>
      <c r="K654" s="32">
        <v>0.0</v>
      </c>
      <c r="L654" s="32">
        <v>0.0</v>
      </c>
      <c r="M654" s="32">
        <f t="shared" si="3"/>
        <v>0</v>
      </c>
      <c r="N654" s="32" t="s">
        <v>376</v>
      </c>
      <c r="O654" s="32">
        <v>100.0</v>
      </c>
      <c r="P654" s="50" t="str">
        <f t="shared" si="6"/>
        <v>PASSED</v>
      </c>
      <c r="Q654" s="50" t="str">
        <f t="shared" si="5"/>
        <v>WA</v>
      </c>
    </row>
    <row r="655" ht="22.5" customHeight="1">
      <c r="A655" s="26">
        <v>45975.0</v>
      </c>
      <c r="B655" s="32" t="s">
        <v>380</v>
      </c>
      <c r="C655" s="191" t="str">
        <f t="array" ref="C655">_xlfn.XLOOKUP(B655, DB[samplingPoint], DB[samplingTag])</f>
        <v>SV113.01</v>
      </c>
      <c r="D655" s="33" t="s">
        <v>59</v>
      </c>
      <c r="E655" s="39" t="str">
        <f t="array" ref="E655">_xlfn.XLOOKUP($B655, DB[samplingPoint], DB[noLocation])</f>
        <v>WATER SYSTEM (B10)</v>
      </c>
      <c r="F655" s="40" t="str">
        <f t="array" ref="F655">_xlfn.XLOOKUP($B655, DB[samplingPoint], DB[building])</f>
        <v>Building 10</v>
      </c>
      <c r="G655" s="40" t="str">
        <f t="array" ref="G655">_xlfn.XLOOKUP($B655, DB[samplingPoint], DB[location])</f>
        <v>After Storage tank (B10)</v>
      </c>
      <c r="H655" s="40" t="str">
        <f t="array" ref="H655">_xlfn.XLOOKUP($B655, DB[samplingPoint], DB[waterType])</f>
        <v>PW</v>
      </c>
      <c r="I655" s="60">
        <f t="shared" si="1"/>
        <v>45976</v>
      </c>
      <c r="J655" s="192">
        <f t="shared" si="2"/>
        <v>45979</v>
      </c>
      <c r="K655" s="32">
        <v>0.0</v>
      </c>
      <c r="L655" s="32">
        <v>0.0</v>
      </c>
      <c r="M655" s="32">
        <f t="shared" si="3"/>
        <v>0</v>
      </c>
      <c r="N655" s="32" t="s">
        <v>376</v>
      </c>
      <c r="O655" s="32">
        <v>100.0</v>
      </c>
      <c r="P655" s="50" t="str">
        <f t="shared" si="6"/>
        <v>PASSED</v>
      </c>
      <c r="Q655" s="50" t="str">
        <f t="shared" si="5"/>
        <v>WA</v>
      </c>
    </row>
    <row r="656" ht="22.5" customHeight="1">
      <c r="A656" s="26">
        <v>45975.0</v>
      </c>
      <c r="B656" s="32" t="s">
        <v>385</v>
      </c>
      <c r="C656" s="191" t="str">
        <f t="array" ref="C656">_xlfn.XLOOKUP(B656, DB[samplingPoint], DB[samplingTag])</f>
        <v>SV115.02</v>
      </c>
      <c r="D656" s="33" t="s">
        <v>59</v>
      </c>
      <c r="E656" s="39" t="str">
        <f t="array" ref="E656">_xlfn.XLOOKUP($B656, DB[samplingPoint], DB[noLocation])</f>
        <v>WATER SYSTEM (B10)</v>
      </c>
      <c r="F656" s="40" t="str">
        <f t="array" ref="F656">_xlfn.XLOOKUP($B656, DB[samplingPoint], DB[building])</f>
        <v>Building 10</v>
      </c>
      <c r="G656" s="40" t="str">
        <f t="array" ref="G656">_xlfn.XLOOKUP($B656, DB[samplingPoint], DB[location])</f>
        <v>After UV (B10)</v>
      </c>
      <c r="H656" s="40" t="str">
        <f t="array" ref="H656">_xlfn.XLOOKUP($B656, DB[samplingPoint], DB[waterType])</f>
        <v>PW</v>
      </c>
      <c r="I656" s="60">
        <f t="shared" si="1"/>
        <v>45976</v>
      </c>
      <c r="J656" s="192">
        <f t="shared" si="2"/>
        <v>45979</v>
      </c>
      <c r="K656" s="32">
        <v>0.0</v>
      </c>
      <c r="L656" s="32">
        <v>0.0</v>
      </c>
      <c r="M656" s="32">
        <f t="shared" si="3"/>
        <v>0</v>
      </c>
      <c r="N656" s="32" t="s">
        <v>376</v>
      </c>
      <c r="O656" s="32">
        <v>100.0</v>
      </c>
      <c r="P656" s="50" t="str">
        <f t="shared" si="6"/>
        <v>PASSED</v>
      </c>
      <c r="Q656" s="50" t="str">
        <f t="shared" si="5"/>
        <v>WA</v>
      </c>
    </row>
    <row r="657" ht="22.5" customHeight="1">
      <c r="A657" s="26">
        <v>45975.0</v>
      </c>
      <c r="B657" s="32" t="s">
        <v>531</v>
      </c>
      <c r="C657" s="191" t="str">
        <f t="array" ref="C657">_xlfn.XLOOKUP(B657, DB[samplingPoint], DB[samplingTag])</f>
        <v>DV116.10</v>
      </c>
      <c r="D657" s="33" t="s">
        <v>59</v>
      </c>
      <c r="E657" s="39" t="str">
        <f t="array" ref="E657">_xlfn.XLOOKUP($B657, DB[samplingPoint], DB[noLocation])</f>
        <v>10-3-065</v>
      </c>
      <c r="F657" s="40" t="str">
        <f t="array" ref="F657">_xlfn.XLOOKUP($B657, DB[samplingPoint], DB[building])</f>
        <v>Building 10</v>
      </c>
      <c r="G657" s="40" t="str">
        <f t="array" ref="G657">_xlfn.XLOOKUP($B657, DB[samplingPoint], DB[location])</f>
        <v>COATING SOLUTION PREP.-3</v>
      </c>
      <c r="H657" s="40" t="str">
        <f t="array" ref="H657">_xlfn.XLOOKUP($B657, DB[samplingPoint], DB[waterType])</f>
        <v>PW</v>
      </c>
      <c r="I657" s="60">
        <f t="shared" si="1"/>
        <v>45976</v>
      </c>
      <c r="J657" s="192">
        <f t="shared" si="2"/>
        <v>45979</v>
      </c>
      <c r="K657" s="32">
        <v>0.0</v>
      </c>
      <c r="L657" s="32">
        <v>0.0</v>
      </c>
      <c r="M657" s="32">
        <f t="shared" si="3"/>
        <v>0</v>
      </c>
      <c r="N657" s="32" t="s">
        <v>376</v>
      </c>
      <c r="O657" s="32">
        <v>100.0</v>
      </c>
      <c r="P657" s="50" t="str">
        <f t="shared" si="6"/>
        <v>PASSED</v>
      </c>
      <c r="Q657" s="50" t="str">
        <f t="shared" si="5"/>
        <v>10</v>
      </c>
    </row>
    <row r="658" ht="22.5" customHeight="1">
      <c r="A658" s="26">
        <v>45975.0</v>
      </c>
      <c r="B658" s="32" t="s">
        <v>524</v>
      </c>
      <c r="C658" s="191" t="str">
        <f t="array" ref="C658">_xlfn.XLOOKUP(B658, DB[samplingPoint], DB[samplingTag])</f>
        <v>DV116.05</v>
      </c>
      <c r="D658" s="33" t="s">
        <v>59</v>
      </c>
      <c r="E658" s="39" t="str">
        <f t="array" ref="E658">_xlfn.XLOOKUP($B658, DB[samplingPoint], DB[noLocation])</f>
        <v>10-2-032</v>
      </c>
      <c r="F658" s="40" t="str">
        <f t="array" ref="F658">_xlfn.XLOOKUP($B658, DB[samplingPoint], DB[building])</f>
        <v>Building 10</v>
      </c>
      <c r="G658" s="40" t="str">
        <f t="array" ref="G658">_xlfn.XLOOKUP($B658, DB[samplingPoint], DB[location])</f>
        <v>GLASS-WARE WASHING</v>
      </c>
      <c r="H658" s="40" t="str">
        <f t="array" ref="H658">_xlfn.XLOOKUP($B658, DB[samplingPoint], DB[waterType])</f>
        <v>PW</v>
      </c>
      <c r="I658" s="60">
        <f t="shared" si="1"/>
        <v>45976</v>
      </c>
      <c r="J658" s="192">
        <f t="shared" si="2"/>
        <v>45979</v>
      </c>
      <c r="K658" s="32">
        <v>0.0</v>
      </c>
      <c r="L658" s="32">
        <v>0.0</v>
      </c>
      <c r="M658" s="32">
        <f t="shared" si="3"/>
        <v>0</v>
      </c>
      <c r="N658" s="32" t="s">
        <v>376</v>
      </c>
      <c r="O658" s="32">
        <v>100.0</v>
      </c>
      <c r="P658" s="50" t="str">
        <f t="shared" si="6"/>
        <v>PASSED</v>
      </c>
      <c r="Q658" s="50" t="str">
        <f t="shared" si="5"/>
        <v>10</v>
      </c>
    </row>
    <row r="659" ht="22.5" customHeight="1">
      <c r="A659" s="26">
        <v>45975.0</v>
      </c>
      <c r="B659" s="32" t="s">
        <v>532</v>
      </c>
      <c r="C659" s="191" t="str">
        <f t="array" ref="C659">_xlfn.XLOOKUP(B659, DB[samplingPoint], DB[samplingTag])</f>
        <v>DV116.11</v>
      </c>
      <c r="D659" s="33" t="s">
        <v>59</v>
      </c>
      <c r="E659" s="39" t="str">
        <f t="array" ref="E659">_xlfn.XLOOKUP($B659, DB[samplingPoint], DB[noLocation])</f>
        <v>10-3-066</v>
      </c>
      <c r="F659" s="40" t="str">
        <f t="array" ref="F659">_xlfn.XLOOKUP($B659, DB[samplingPoint], DB[building])</f>
        <v>Building 10</v>
      </c>
      <c r="G659" s="40" t="str">
        <f t="array" ref="G659">_xlfn.XLOOKUP($B659, DB[samplingPoint], DB[location])</f>
        <v>COATING SOLUTION PREP.-4</v>
      </c>
      <c r="H659" s="40" t="str">
        <f t="array" ref="H659">_xlfn.XLOOKUP($B659, DB[samplingPoint], DB[waterType])</f>
        <v>PW</v>
      </c>
      <c r="I659" s="60">
        <f t="shared" si="1"/>
        <v>45976</v>
      </c>
      <c r="J659" s="192">
        <f t="shared" si="2"/>
        <v>45979</v>
      </c>
      <c r="K659" s="32">
        <v>0.0</v>
      </c>
      <c r="L659" s="32">
        <v>0.0</v>
      </c>
      <c r="M659" s="32">
        <f t="shared" si="3"/>
        <v>0</v>
      </c>
      <c r="N659" s="32" t="s">
        <v>376</v>
      </c>
      <c r="O659" s="32">
        <v>100.0</v>
      </c>
      <c r="P659" s="50" t="str">
        <f t="shared" si="6"/>
        <v>PASSED</v>
      </c>
      <c r="Q659" s="50" t="str">
        <f t="shared" si="5"/>
        <v>10</v>
      </c>
    </row>
    <row r="660" ht="22.5" customHeight="1">
      <c r="A660" s="26">
        <v>45975.0</v>
      </c>
      <c r="B660" s="32" t="s">
        <v>534</v>
      </c>
      <c r="C660" s="191" t="str">
        <f t="array" ref="C660">_xlfn.XLOOKUP(B660, DB[samplingPoint], DB[samplingTag])</f>
        <v>SV116.03</v>
      </c>
      <c r="D660" s="33" t="s">
        <v>59</v>
      </c>
      <c r="E660" s="39" t="str">
        <f t="array" ref="E660">_xlfn.XLOOKUP($B660, DB[samplingPoint], DB[noLocation])</f>
        <v>10-3-058</v>
      </c>
      <c r="F660" s="40" t="str">
        <f t="array" ref="F660">_xlfn.XLOOKUP($B660, DB[samplingPoint], DB[building])</f>
        <v>Building 10</v>
      </c>
      <c r="G660" s="40" t="str">
        <f t="array" ref="G660">_xlfn.XLOOKUP($B660, DB[samplingPoint], DB[location])</f>
        <v>COATING ROOM-1</v>
      </c>
      <c r="H660" s="40" t="str">
        <f t="array" ref="H660">_xlfn.XLOOKUP($B660, DB[samplingPoint], DB[waterType])</f>
        <v>PW</v>
      </c>
      <c r="I660" s="60">
        <f t="shared" si="1"/>
        <v>45976</v>
      </c>
      <c r="J660" s="192">
        <f t="shared" si="2"/>
        <v>45979</v>
      </c>
      <c r="K660" s="32">
        <v>0.0</v>
      </c>
      <c r="L660" s="32">
        <v>0.0</v>
      </c>
      <c r="M660" s="32">
        <f t="shared" si="3"/>
        <v>0</v>
      </c>
      <c r="N660" s="32" t="s">
        <v>376</v>
      </c>
      <c r="O660" s="32">
        <v>100.0</v>
      </c>
      <c r="P660" s="50" t="str">
        <f t="shared" si="6"/>
        <v>PASSED</v>
      </c>
      <c r="Q660" s="50" t="str">
        <f t="shared" si="5"/>
        <v>10</v>
      </c>
    </row>
    <row r="661" ht="22.5" customHeight="1">
      <c r="A661" s="26">
        <v>45975.0</v>
      </c>
      <c r="B661" s="32" t="s">
        <v>539</v>
      </c>
      <c r="C661" s="191" t="str">
        <f t="array" ref="C661">_xlfn.XLOOKUP(B661, DB[samplingPoint], DB[samplingTag])</f>
        <v>SV116.07</v>
      </c>
      <c r="D661" s="33" t="s">
        <v>59</v>
      </c>
      <c r="E661" s="39" t="str">
        <f t="array" ref="E661">_xlfn.XLOOKUP($B661, DB[samplingPoint], DB[noLocation])</f>
        <v>10-3-064</v>
      </c>
      <c r="F661" s="40" t="str">
        <f t="array" ref="F661">_xlfn.XLOOKUP($B661, DB[samplingPoint], DB[building])</f>
        <v>Building 10</v>
      </c>
      <c r="G661" s="40" t="str">
        <f t="array" ref="G661">_xlfn.XLOOKUP($B661, DB[samplingPoint], DB[location])</f>
        <v>COATING ROOM-5</v>
      </c>
      <c r="H661" s="40" t="str">
        <f t="array" ref="H661">_xlfn.XLOOKUP($B661, DB[samplingPoint], DB[waterType])</f>
        <v>PW</v>
      </c>
      <c r="I661" s="60">
        <f t="shared" si="1"/>
        <v>45976</v>
      </c>
      <c r="J661" s="192">
        <f t="shared" si="2"/>
        <v>45979</v>
      </c>
      <c r="K661" s="32">
        <v>0.0</v>
      </c>
      <c r="L661" s="32">
        <v>0.0</v>
      </c>
      <c r="M661" s="32">
        <f t="shared" si="3"/>
        <v>0</v>
      </c>
      <c r="N661" s="32" t="s">
        <v>376</v>
      </c>
      <c r="O661" s="32">
        <v>100.0</v>
      </c>
      <c r="P661" s="50" t="str">
        <f t="shared" si="6"/>
        <v>PASSED</v>
      </c>
      <c r="Q661" s="50" t="str">
        <f t="shared" si="5"/>
        <v>10</v>
      </c>
    </row>
    <row r="662" ht="22.5" customHeight="1">
      <c r="A662" s="26">
        <v>45975.0</v>
      </c>
      <c r="B662" s="32" t="s">
        <v>535</v>
      </c>
      <c r="C662" s="191" t="str">
        <f t="array" ref="C662">_xlfn.XLOOKUP(B662, DB[samplingPoint], DB[samplingTag])</f>
        <v>SV116.04</v>
      </c>
      <c r="D662" s="33" t="s">
        <v>59</v>
      </c>
      <c r="E662" s="39" t="str">
        <f t="array" ref="E662">_xlfn.XLOOKUP($B662, DB[samplingPoint], DB[noLocation])</f>
        <v>10-3-061</v>
      </c>
      <c r="F662" s="40" t="str">
        <f t="array" ref="F662">_xlfn.XLOOKUP($B662, DB[samplingPoint], DB[building])</f>
        <v>Building 10</v>
      </c>
      <c r="G662" s="40" t="str">
        <f t="array" ref="G662">_xlfn.XLOOKUP($B662, DB[samplingPoint], DB[location])</f>
        <v>COATING ROOM-2</v>
      </c>
      <c r="H662" s="40" t="str">
        <f t="array" ref="H662">_xlfn.XLOOKUP($B662, DB[samplingPoint], DB[waterType])</f>
        <v>PW</v>
      </c>
      <c r="I662" s="60">
        <f t="shared" si="1"/>
        <v>45976</v>
      </c>
      <c r="J662" s="192">
        <f t="shared" si="2"/>
        <v>45979</v>
      </c>
      <c r="K662" s="32">
        <v>0.0</v>
      </c>
      <c r="L662" s="32">
        <v>0.0</v>
      </c>
      <c r="M662" s="32">
        <f t="shared" si="3"/>
        <v>0</v>
      </c>
      <c r="N662" s="32" t="s">
        <v>376</v>
      </c>
      <c r="O662" s="32">
        <v>100.0</v>
      </c>
      <c r="P662" s="50" t="str">
        <f t="shared" si="6"/>
        <v>PASSED</v>
      </c>
      <c r="Q662" s="50" t="str">
        <f t="shared" si="5"/>
        <v>10</v>
      </c>
    </row>
    <row r="663" ht="22.5" customHeight="1">
      <c r="A663" s="26">
        <v>45975.0</v>
      </c>
      <c r="B663" s="32" t="s">
        <v>538</v>
      </c>
      <c r="C663" s="191" t="str">
        <f t="array" ref="C663">_xlfn.XLOOKUP(B663, DB[samplingPoint], DB[samplingTag])</f>
        <v>SV116.06</v>
      </c>
      <c r="D663" s="33" t="s">
        <v>59</v>
      </c>
      <c r="E663" s="39" t="str">
        <f t="array" ref="E663">_xlfn.XLOOKUP($B663, DB[samplingPoint], DB[noLocation])</f>
        <v>10-3-063</v>
      </c>
      <c r="F663" s="40" t="str">
        <f t="array" ref="F663">_xlfn.XLOOKUP($B663, DB[samplingPoint], DB[building])</f>
        <v>Building 10</v>
      </c>
      <c r="G663" s="40" t="str">
        <f t="array" ref="G663">_xlfn.XLOOKUP($B663, DB[samplingPoint], DB[location])</f>
        <v>COATING ROOM-4</v>
      </c>
      <c r="H663" s="40" t="str">
        <f t="array" ref="H663">_xlfn.XLOOKUP($B663, DB[samplingPoint], DB[waterType])</f>
        <v>PW</v>
      </c>
      <c r="I663" s="60">
        <f t="shared" si="1"/>
        <v>45976</v>
      </c>
      <c r="J663" s="192">
        <f t="shared" si="2"/>
        <v>45979</v>
      </c>
      <c r="K663" s="32">
        <v>0.0</v>
      </c>
      <c r="L663" s="32">
        <v>0.0</v>
      </c>
      <c r="M663" s="32">
        <f t="shared" si="3"/>
        <v>0</v>
      </c>
      <c r="N663" s="32" t="s">
        <v>376</v>
      </c>
      <c r="O663" s="32">
        <v>100.0</v>
      </c>
      <c r="P663" s="50" t="str">
        <f t="shared" si="6"/>
        <v>PASSED</v>
      </c>
      <c r="Q663" s="50" t="str">
        <f t="shared" si="5"/>
        <v>10</v>
      </c>
    </row>
    <row r="664" ht="22.5" customHeight="1">
      <c r="A664" s="26">
        <v>45975.0</v>
      </c>
      <c r="B664" s="32" t="s">
        <v>541</v>
      </c>
      <c r="C664" s="191" t="str">
        <f t="array" ref="C664">_xlfn.XLOOKUP(B664, DB[samplingPoint], DB[samplingTag])</f>
        <v>SV116.08</v>
      </c>
      <c r="D664" s="33" t="s">
        <v>59</v>
      </c>
      <c r="E664" s="39" t="str">
        <f t="array" ref="E664">_xlfn.XLOOKUP($B664, DB[samplingPoint], DB[noLocation])</f>
        <v>10-3-067</v>
      </c>
      <c r="F664" s="40" t="str">
        <f t="array" ref="F664">_xlfn.XLOOKUP($B664, DB[samplingPoint], DB[building])</f>
        <v>Building 10</v>
      </c>
      <c r="G664" s="40" t="str">
        <f t="array" ref="G664">_xlfn.XLOOKUP($B664, DB[samplingPoint], DB[location])</f>
        <v>COATING ROOM-6</v>
      </c>
      <c r="H664" s="40" t="str">
        <f t="array" ref="H664">_xlfn.XLOOKUP($B664, DB[samplingPoint], DB[waterType])</f>
        <v>PW</v>
      </c>
      <c r="I664" s="60">
        <f t="shared" si="1"/>
        <v>45976</v>
      </c>
      <c r="J664" s="192">
        <f t="shared" si="2"/>
        <v>45979</v>
      </c>
      <c r="K664" s="32">
        <v>0.0</v>
      </c>
      <c r="L664" s="32">
        <v>0.0</v>
      </c>
      <c r="M664" s="32">
        <f t="shared" si="3"/>
        <v>0</v>
      </c>
      <c r="N664" s="32" t="s">
        <v>376</v>
      </c>
      <c r="O664" s="32">
        <v>100.0</v>
      </c>
      <c r="P664" s="50" t="str">
        <f t="shared" si="6"/>
        <v>PASSED</v>
      </c>
      <c r="Q664" s="50" t="str">
        <f t="shared" si="5"/>
        <v>10</v>
      </c>
    </row>
    <row r="665" ht="22.5" customHeight="1">
      <c r="A665" s="26">
        <v>45975.0</v>
      </c>
      <c r="B665" s="32" t="s">
        <v>536</v>
      </c>
      <c r="C665" s="191" t="str">
        <f t="array" ref="C665">_xlfn.XLOOKUP(B665, DB[samplingPoint], DB[samplingTag])</f>
        <v>SV116.05</v>
      </c>
      <c r="D665" s="33" t="s">
        <v>59</v>
      </c>
      <c r="E665" s="39" t="str">
        <f t="array" ref="E665">_xlfn.XLOOKUP($B665, DB[samplingPoint], DB[noLocation])</f>
        <v>10-3-062</v>
      </c>
      <c r="F665" s="40" t="str">
        <f t="array" ref="F665">_xlfn.XLOOKUP($B665, DB[samplingPoint], DB[building])</f>
        <v>Building 10</v>
      </c>
      <c r="G665" s="40" t="str">
        <f t="array" ref="G665">_xlfn.XLOOKUP($B665, DB[samplingPoint], DB[location])</f>
        <v>COATING ROOM-3</v>
      </c>
      <c r="H665" s="40" t="str">
        <f t="array" ref="H665">_xlfn.XLOOKUP($B665, DB[samplingPoint], DB[waterType])</f>
        <v>PW</v>
      </c>
      <c r="I665" s="60">
        <f t="shared" si="1"/>
        <v>45976</v>
      </c>
      <c r="J665" s="192">
        <f t="shared" si="2"/>
        <v>45979</v>
      </c>
      <c r="K665" s="32">
        <v>0.0</v>
      </c>
      <c r="L665" s="32">
        <v>0.0</v>
      </c>
      <c r="M665" s="32">
        <f t="shared" si="3"/>
        <v>0</v>
      </c>
      <c r="N665" s="32" t="s">
        <v>376</v>
      </c>
      <c r="O665" s="32">
        <v>100.0</v>
      </c>
      <c r="P665" s="50" t="str">
        <f t="shared" si="6"/>
        <v>PASSED</v>
      </c>
      <c r="Q665" s="50" t="str">
        <f t="shared" si="5"/>
        <v>10</v>
      </c>
    </row>
    <row r="666" ht="22.5" customHeight="1">
      <c r="A666" s="26">
        <v>45975.0</v>
      </c>
      <c r="B666" s="32" t="s">
        <v>529</v>
      </c>
      <c r="C666" s="191" t="str">
        <f t="array" ref="C666">_xlfn.XLOOKUP(B666, DB[samplingPoint], DB[samplingTag])</f>
        <v>DV116.09</v>
      </c>
      <c r="D666" s="33" t="s">
        <v>59</v>
      </c>
      <c r="E666" s="39" t="str">
        <f t="array" ref="E666">_xlfn.XLOOKUP($B666, DB[samplingPoint], DB[noLocation])</f>
        <v>10-3-060</v>
      </c>
      <c r="F666" s="40" t="str">
        <f t="array" ref="F666">_xlfn.XLOOKUP($B666, DB[samplingPoint], DB[building])</f>
        <v>Building 10</v>
      </c>
      <c r="G666" s="40" t="str">
        <f t="array" ref="G666">_xlfn.XLOOKUP($B666, DB[samplingPoint], DB[location])</f>
        <v>COATING SOLUTION PREP.-2</v>
      </c>
      <c r="H666" s="40" t="str">
        <f t="array" ref="H666">_xlfn.XLOOKUP($B666, DB[samplingPoint], DB[waterType])</f>
        <v>PW</v>
      </c>
      <c r="I666" s="60">
        <f t="shared" si="1"/>
        <v>45976</v>
      </c>
      <c r="J666" s="192">
        <f t="shared" si="2"/>
        <v>45979</v>
      </c>
      <c r="K666" s="32">
        <v>0.0</v>
      </c>
      <c r="L666" s="32">
        <v>0.0</v>
      </c>
      <c r="M666" s="32">
        <f t="shared" si="3"/>
        <v>0</v>
      </c>
      <c r="N666" s="32" t="s">
        <v>376</v>
      </c>
      <c r="O666" s="32">
        <v>100.0</v>
      </c>
      <c r="P666" s="50" t="str">
        <f t="shared" si="6"/>
        <v>PASSED</v>
      </c>
      <c r="Q666" s="50" t="str">
        <f t="shared" si="5"/>
        <v>10</v>
      </c>
    </row>
    <row r="667" ht="22.5" customHeight="1">
      <c r="A667" s="26">
        <v>45975.0</v>
      </c>
      <c r="B667" s="32" t="s">
        <v>528</v>
      </c>
      <c r="C667" s="191" t="str">
        <f t="array" ref="C667">_xlfn.XLOOKUP(B667, DB[samplingPoint], DB[samplingTag])</f>
        <v>DV116.08</v>
      </c>
      <c r="D667" s="33" t="s">
        <v>59</v>
      </c>
      <c r="E667" s="39" t="str">
        <f t="array" ref="E667">_xlfn.XLOOKUP($B667, DB[samplingPoint], DB[noLocation])</f>
        <v>10-3-059</v>
      </c>
      <c r="F667" s="40" t="str">
        <f t="array" ref="F667">_xlfn.XLOOKUP($B667, DB[samplingPoint], DB[building])</f>
        <v>Building 10</v>
      </c>
      <c r="G667" s="40" t="str">
        <f t="array" ref="G667">_xlfn.XLOOKUP($B667, DB[samplingPoint], DB[location])</f>
        <v>COATING SOLUTION PREP.-1</v>
      </c>
      <c r="H667" s="40" t="str">
        <f t="array" ref="H667">_xlfn.XLOOKUP($B667, DB[samplingPoint], DB[waterType])</f>
        <v>PW</v>
      </c>
      <c r="I667" s="60">
        <f t="shared" si="1"/>
        <v>45976</v>
      </c>
      <c r="J667" s="192">
        <f t="shared" si="2"/>
        <v>45979</v>
      </c>
      <c r="K667" s="32">
        <v>0.0</v>
      </c>
      <c r="L667" s="32">
        <v>0.0</v>
      </c>
      <c r="M667" s="32">
        <f t="shared" si="3"/>
        <v>0</v>
      </c>
      <c r="N667" s="32" t="s">
        <v>376</v>
      </c>
      <c r="O667" s="32">
        <v>100.0</v>
      </c>
      <c r="P667" s="50" t="str">
        <f t="shared" si="6"/>
        <v>PASSED</v>
      </c>
      <c r="Q667" s="50" t="str">
        <f t="shared" si="5"/>
        <v>10</v>
      </c>
    </row>
    <row r="668" ht="22.5" customHeight="1">
      <c r="A668" s="26">
        <v>45975.0</v>
      </c>
      <c r="B668" s="32" t="s">
        <v>520</v>
      </c>
      <c r="C668" s="191" t="str">
        <f t="array" ref="C668">_xlfn.XLOOKUP(B668, DB[samplingPoint], DB[samplingTag])</f>
        <v>DV116.03</v>
      </c>
      <c r="D668" s="33" t="s">
        <v>59</v>
      </c>
      <c r="E668" s="39" t="str">
        <f t="array" ref="E668">_xlfn.XLOOKUP($B668, DB[samplingPoint], DB[noLocation])</f>
        <v>10-2-034</v>
      </c>
      <c r="F668" s="40" t="str">
        <f t="array" ref="F668">_xlfn.XLOOKUP($B668, DB[samplingPoint], DB[building])</f>
        <v>Building 10</v>
      </c>
      <c r="G668" s="40" t="str">
        <f t="array" ref="G668">_xlfn.XLOOKUP($B668, DB[samplingPoint], DB[location])</f>
        <v>SAMPLE PREPARATION</v>
      </c>
      <c r="H668" s="40" t="str">
        <f t="array" ref="H668">_xlfn.XLOOKUP($B668, DB[samplingPoint], DB[waterType])</f>
        <v>PW</v>
      </c>
      <c r="I668" s="60">
        <f t="shared" si="1"/>
        <v>45976</v>
      </c>
      <c r="J668" s="192">
        <f t="shared" si="2"/>
        <v>45979</v>
      </c>
      <c r="K668" s="32">
        <v>0.0</v>
      </c>
      <c r="L668" s="32">
        <v>0.0</v>
      </c>
      <c r="M668" s="32">
        <f t="shared" si="3"/>
        <v>0</v>
      </c>
      <c r="N668" s="32" t="s">
        <v>376</v>
      </c>
      <c r="O668" s="32">
        <v>100.0</v>
      </c>
      <c r="P668" s="50" t="str">
        <f t="shared" si="6"/>
        <v>PASSED</v>
      </c>
      <c r="Q668" s="50" t="str">
        <f t="shared" si="5"/>
        <v>10</v>
      </c>
    </row>
    <row r="669" ht="22.5" customHeight="1">
      <c r="A669" s="26">
        <v>45975.0</v>
      </c>
      <c r="B669" s="32" t="s">
        <v>526</v>
      </c>
      <c r="C669" s="191" t="str">
        <f t="array" ref="C669">_xlfn.XLOOKUP(B669, DB[samplingPoint], DB[samplingTag])</f>
        <v>DV116.06</v>
      </c>
      <c r="D669" s="33" t="s">
        <v>59</v>
      </c>
      <c r="E669" s="39" t="str">
        <f t="array" ref="E669">_xlfn.XLOOKUP($B669, DB[samplingPoint], DB[noLocation])</f>
        <v>10-2-034</v>
      </c>
      <c r="F669" s="40" t="str">
        <f t="array" ref="F669">_xlfn.XLOOKUP($B669, DB[samplingPoint], DB[building])</f>
        <v>Building 10</v>
      </c>
      <c r="G669" s="40" t="str">
        <f t="array" ref="G669">_xlfn.XLOOKUP($B669, DB[samplingPoint], DB[location])</f>
        <v>SAMPLE PREPARATION</v>
      </c>
      <c r="H669" s="40" t="str">
        <f t="array" ref="H669">_xlfn.XLOOKUP($B669, DB[samplingPoint], DB[waterType])</f>
        <v>PW</v>
      </c>
      <c r="I669" s="60">
        <f t="shared" si="1"/>
        <v>45976</v>
      </c>
      <c r="J669" s="192">
        <f t="shared" si="2"/>
        <v>45979</v>
      </c>
      <c r="K669" s="32">
        <v>0.0</v>
      </c>
      <c r="L669" s="32">
        <v>0.0</v>
      </c>
      <c r="M669" s="32">
        <f t="shared" si="3"/>
        <v>0</v>
      </c>
      <c r="N669" s="32" t="s">
        <v>376</v>
      </c>
      <c r="O669" s="32">
        <v>100.0</v>
      </c>
      <c r="P669" s="50" t="str">
        <f t="shared" si="6"/>
        <v>PASSED</v>
      </c>
      <c r="Q669" s="50" t="str">
        <f t="shared" si="5"/>
        <v>10</v>
      </c>
    </row>
    <row r="670" ht="22.5" customHeight="1">
      <c r="A670" s="26">
        <v>45975.0</v>
      </c>
      <c r="B670" s="32" t="s">
        <v>522</v>
      </c>
      <c r="C670" s="191" t="str">
        <f t="array" ref="C670">_xlfn.XLOOKUP(B670, DB[samplingPoint], DB[samplingTag])</f>
        <v>DV116.04</v>
      </c>
      <c r="D670" s="33" t="s">
        <v>59</v>
      </c>
      <c r="E670" s="39" t="str">
        <f t="array" ref="E670">_xlfn.XLOOKUP($B670, DB[samplingPoint], DB[noLocation])</f>
        <v>10-2-037</v>
      </c>
      <c r="F670" s="40" t="str">
        <f t="array" ref="F670">_xlfn.XLOOKUP($B670, DB[samplingPoint], DB[building])</f>
        <v>Building 10</v>
      </c>
      <c r="G670" s="40" t="str">
        <f t="array" ref="G670">_xlfn.XLOOKUP($B670, DB[samplingPoint], DB[location])</f>
        <v>SKID FOR BIN WASHING-1</v>
      </c>
      <c r="H670" s="40" t="str">
        <f t="array" ref="H670">_xlfn.XLOOKUP($B670, DB[samplingPoint], DB[waterType])</f>
        <v>PW</v>
      </c>
      <c r="I670" s="60">
        <f t="shared" si="1"/>
        <v>45976</v>
      </c>
      <c r="J670" s="192">
        <f t="shared" si="2"/>
        <v>45979</v>
      </c>
      <c r="K670" s="32">
        <v>0.0</v>
      </c>
      <c r="L670" s="32">
        <v>0.0</v>
      </c>
      <c r="M670" s="32">
        <f t="shared" si="3"/>
        <v>0</v>
      </c>
      <c r="N670" s="32" t="s">
        <v>376</v>
      </c>
      <c r="O670" s="32">
        <v>100.0</v>
      </c>
      <c r="P670" s="50" t="str">
        <f t="shared" si="6"/>
        <v>PASSED</v>
      </c>
      <c r="Q670" s="50" t="str">
        <f t="shared" si="5"/>
        <v>10</v>
      </c>
    </row>
    <row r="671" ht="22.5" customHeight="1">
      <c r="A671" s="26">
        <v>45975.0</v>
      </c>
      <c r="B671" s="32" t="s">
        <v>527</v>
      </c>
      <c r="C671" s="191" t="str">
        <f t="array" ref="C671">_xlfn.XLOOKUP(B671, DB[samplingPoint], DB[samplingTag])</f>
        <v>DV116.07</v>
      </c>
      <c r="D671" s="33" t="s">
        <v>59</v>
      </c>
      <c r="E671" s="39" t="str">
        <f t="array" ref="E671">_xlfn.XLOOKUP($B671, DB[samplingPoint], DB[noLocation])</f>
        <v>10-2-032</v>
      </c>
      <c r="F671" s="40" t="str">
        <f t="array" ref="F671">_xlfn.XLOOKUP($B671, DB[samplingPoint], DB[building])</f>
        <v>Building 10</v>
      </c>
      <c r="G671" s="40" t="str">
        <f t="array" ref="G671">_xlfn.XLOOKUP($B671, DB[samplingPoint], DB[location])</f>
        <v>GLASS-WARE WASHING</v>
      </c>
      <c r="H671" s="40" t="str">
        <f t="array" ref="H671">_xlfn.XLOOKUP($B671, DB[samplingPoint], DB[waterType])</f>
        <v>PW</v>
      </c>
      <c r="I671" s="60">
        <f t="shared" si="1"/>
        <v>45976</v>
      </c>
      <c r="J671" s="192">
        <f t="shared" si="2"/>
        <v>45979</v>
      </c>
      <c r="K671" s="32">
        <v>0.0</v>
      </c>
      <c r="L671" s="32">
        <v>0.0</v>
      </c>
      <c r="M671" s="32">
        <f t="shared" si="3"/>
        <v>0</v>
      </c>
      <c r="N671" s="32" t="s">
        <v>376</v>
      </c>
      <c r="O671" s="32">
        <v>100.0</v>
      </c>
      <c r="P671" s="50" t="str">
        <f t="shared" si="6"/>
        <v>PASSED</v>
      </c>
      <c r="Q671" s="50" t="str">
        <f t="shared" si="5"/>
        <v>10</v>
      </c>
    </row>
    <row r="672" ht="22.5" customHeight="1">
      <c r="A672" s="26">
        <v>45975.0</v>
      </c>
      <c r="B672" s="32" t="s">
        <v>390</v>
      </c>
      <c r="C672" s="191" t="str">
        <f t="array" ref="C672">_xlfn.XLOOKUP(B672, DB[samplingPoint], DB[samplingTag])</f>
        <v>SV117.01</v>
      </c>
      <c r="D672" s="33" t="s">
        <v>59</v>
      </c>
      <c r="E672" s="39" t="str">
        <f t="array" ref="E672">_xlfn.XLOOKUP($B672, DB[samplingPoint], DB[noLocation])</f>
        <v>WATER SYSTEM (B10)</v>
      </c>
      <c r="F672" s="40" t="str">
        <f t="array" ref="F672">_xlfn.XLOOKUP($B672, DB[samplingPoint], DB[building])</f>
        <v>Building 10</v>
      </c>
      <c r="G672" s="40" t="str">
        <f t="array" ref="G672">_xlfn.XLOOKUP($B672, DB[samplingPoint], DB[location])</f>
        <v>Return loop (B10)</v>
      </c>
      <c r="H672" s="40" t="str">
        <f t="array" ref="H672">_xlfn.XLOOKUP($B672, DB[samplingPoint], DB[waterType])</f>
        <v>PW</v>
      </c>
      <c r="I672" s="60">
        <f t="shared" si="1"/>
        <v>45976</v>
      </c>
      <c r="J672" s="192">
        <f t="shared" si="2"/>
        <v>45979</v>
      </c>
      <c r="K672" s="32">
        <v>0.0</v>
      </c>
      <c r="L672" s="32">
        <v>0.0</v>
      </c>
      <c r="M672" s="32">
        <f t="shared" si="3"/>
        <v>0</v>
      </c>
      <c r="N672" s="32" t="s">
        <v>376</v>
      </c>
      <c r="O672" s="32">
        <v>100.0</v>
      </c>
      <c r="P672" s="50" t="str">
        <f t="shared" si="6"/>
        <v>PASSED</v>
      </c>
      <c r="Q672" s="50" t="str">
        <f t="shared" si="5"/>
        <v>WA</v>
      </c>
    </row>
    <row r="673" ht="22.5" customHeight="1">
      <c r="A673" s="26">
        <v>45982.0</v>
      </c>
      <c r="B673" s="32" t="s">
        <v>349</v>
      </c>
      <c r="C673" s="191" t="str">
        <f t="array" ref="C673">_xlfn.XLOOKUP(B673, DB[samplingPoint], DB[samplingTag])</f>
        <v>VB-05(10)</v>
      </c>
      <c r="D673" s="33" t="s">
        <v>59</v>
      </c>
      <c r="E673" s="39" t="str">
        <f t="array" ref="E673">_xlfn.XLOOKUP($B673, DB[samplingPoint], DB[noLocation])</f>
        <v>WATER SYSTEM (B10)</v>
      </c>
      <c r="F673" s="40" t="str">
        <f t="array" ref="F673">_xlfn.XLOOKUP($B673, DB[samplingPoint], DB[building])</f>
        <v>Building 10</v>
      </c>
      <c r="G673" s="40" t="str">
        <f t="array" ref="G673">_xlfn.XLOOKUP($B673, DB[samplingPoint], DB[location])</f>
        <v>After Chlorine circulation tank (B10)</v>
      </c>
      <c r="H673" s="40" t="str">
        <f t="array" ref="H673">_xlfn.XLOOKUP($B673, DB[samplingPoint], DB[waterType])</f>
        <v>PRW</v>
      </c>
      <c r="I673" s="60">
        <f t="shared" si="1"/>
        <v>45983</v>
      </c>
      <c r="J673" s="192">
        <f t="shared" si="2"/>
        <v>45986</v>
      </c>
      <c r="K673" s="32">
        <v>0.0</v>
      </c>
      <c r="L673" s="32">
        <v>0.0</v>
      </c>
      <c r="M673" s="32">
        <f t="shared" si="3"/>
        <v>0</v>
      </c>
      <c r="N673" s="32" t="s">
        <v>376</v>
      </c>
      <c r="O673" s="32">
        <v>500.0</v>
      </c>
      <c r="P673" s="50" t="str">
        <f t="shared" si="6"/>
        <v>PASSED</v>
      </c>
      <c r="Q673" s="50" t="str">
        <f t="shared" si="5"/>
        <v>WA</v>
      </c>
    </row>
    <row r="674" ht="22.5" customHeight="1">
      <c r="A674" s="26">
        <v>45982.0</v>
      </c>
      <c r="B674" s="32" t="s">
        <v>366</v>
      </c>
      <c r="C674" s="191" t="str">
        <f t="array" ref="C674">_xlfn.XLOOKUP(B674, DB[samplingPoint], DB[samplingTag])</f>
        <v>V50-61(10)</v>
      </c>
      <c r="D674" s="33" t="s">
        <v>59</v>
      </c>
      <c r="E674" s="39" t="str">
        <f t="array" ref="E674">_xlfn.XLOOKUP($B674, DB[samplingPoint], DB[noLocation])</f>
        <v>WATER SYSTEM (B10)</v>
      </c>
      <c r="F674" s="40" t="str">
        <f t="array" ref="F674">_xlfn.XLOOKUP($B674, DB[samplingPoint], DB[building])</f>
        <v>Building 10</v>
      </c>
      <c r="G674" s="40" t="str">
        <f t="array" ref="G674">_xlfn.XLOOKUP($B674, DB[samplingPoint], DB[location])</f>
        <v>After Cartridge filter 5 µm (B10)</v>
      </c>
      <c r="H674" s="40" t="str">
        <f t="array" ref="H674">_xlfn.XLOOKUP($B674, DB[samplingPoint], DB[waterType])</f>
        <v>PRW</v>
      </c>
      <c r="I674" s="60">
        <f t="shared" si="1"/>
        <v>45983</v>
      </c>
      <c r="J674" s="192">
        <f t="shared" si="2"/>
        <v>45986</v>
      </c>
      <c r="K674" s="32">
        <v>0.0</v>
      </c>
      <c r="L674" s="32">
        <v>0.0</v>
      </c>
      <c r="M674" s="32">
        <f t="shared" si="3"/>
        <v>0</v>
      </c>
      <c r="N674" s="32" t="s">
        <v>376</v>
      </c>
      <c r="O674" s="32">
        <v>500.0</v>
      </c>
      <c r="P674" s="50" t="str">
        <f t="shared" si="6"/>
        <v>PASSED</v>
      </c>
      <c r="Q674" s="50" t="str">
        <f t="shared" si="5"/>
        <v>WA</v>
      </c>
    </row>
    <row r="675" ht="22.5" customHeight="1">
      <c r="A675" s="26">
        <v>45982.0</v>
      </c>
      <c r="B675" s="32" t="s">
        <v>368</v>
      </c>
      <c r="C675" s="191" t="str">
        <f t="array" ref="C675">_xlfn.XLOOKUP(B675, DB[samplingPoint], DB[samplingTag])</f>
        <v>V50-11C(10)</v>
      </c>
      <c r="D675" s="33" t="s">
        <v>59</v>
      </c>
      <c r="E675" s="39" t="str">
        <f t="array" ref="E675">_xlfn.XLOOKUP($B675, DB[samplingPoint], DB[noLocation])</f>
        <v>WATER SYSTEM (B10)</v>
      </c>
      <c r="F675" s="40" t="str">
        <f t="array" ref="F675">_xlfn.XLOOKUP($B675, DB[samplingPoint], DB[building])</f>
        <v>Building 10</v>
      </c>
      <c r="G675" s="40" t="str">
        <f t="array" ref="G675">_xlfn.XLOOKUP($B675, DB[samplingPoint], DB[location])</f>
        <v>After RO (Before EDI) (B10)</v>
      </c>
      <c r="H675" s="40" t="str">
        <f t="array" ref="H675">_xlfn.XLOOKUP($B675, DB[samplingPoint], DB[waterType])</f>
        <v>RO water</v>
      </c>
      <c r="I675" s="60">
        <f t="shared" si="1"/>
        <v>45983</v>
      </c>
      <c r="J675" s="192">
        <f t="shared" si="2"/>
        <v>45986</v>
      </c>
      <c r="K675" s="32">
        <v>0.0</v>
      </c>
      <c r="L675" s="32">
        <v>0.0</v>
      </c>
      <c r="M675" s="32">
        <f t="shared" si="3"/>
        <v>0</v>
      </c>
      <c r="N675" s="32" t="s">
        <v>376</v>
      </c>
      <c r="O675" s="32">
        <v>500.0</v>
      </c>
      <c r="P675" s="50" t="str">
        <f t="shared" si="6"/>
        <v>PASSED</v>
      </c>
      <c r="Q675" s="50" t="str">
        <f t="shared" si="5"/>
        <v>WA</v>
      </c>
    </row>
    <row r="676" ht="22.5" customHeight="1">
      <c r="A676" s="26">
        <v>45982.0</v>
      </c>
      <c r="B676" s="32" t="s">
        <v>374</v>
      </c>
      <c r="C676" s="191" t="str">
        <f t="array" ref="C676">_xlfn.XLOOKUP(B676, DB[samplingPoint], DB[samplingTag])</f>
        <v>V50-39(10)</v>
      </c>
      <c r="D676" s="33" t="s">
        <v>59</v>
      </c>
      <c r="E676" s="39" t="str">
        <f t="array" ref="E676">_xlfn.XLOOKUP($B676, DB[samplingPoint], DB[noLocation])</f>
        <v>WATER SYSTEM (B10)</v>
      </c>
      <c r="F676" s="40" t="str">
        <f t="array" ref="F676">_xlfn.XLOOKUP($B676, DB[samplingPoint], DB[building])</f>
        <v>Building 10</v>
      </c>
      <c r="G676" s="40" t="str">
        <f t="array" ref="G676">_xlfn.XLOOKUP($B676, DB[samplingPoint], DB[location])</f>
        <v>After EDI (B10)</v>
      </c>
      <c r="H676" s="40" t="str">
        <f t="array" ref="H676">_xlfn.XLOOKUP($B676, DB[samplingPoint], DB[waterType])</f>
        <v>PW</v>
      </c>
      <c r="I676" s="60">
        <f t="shared" si="1"/>
        <v>45983</v>
      </c>
      <c r="J676" s="192">
        <f t="shared" si="2"/>
        <v>45986</v>
      </c>
      <c r="K676" s="32">
        <v>0.0</v>
      </c>
      <c r="L676" s="32">
        <v>0.0</v>
      </c>
      <c r="M676" s="32">
        <f t="shared" si="3"/>
        <v>0</v>
      </c>
      <c r="N676" s="32" t="s">
        <v>376</v>
      </c>
      <c r="O676" s="32">
        <v>100.0</v>
      </c>
      <c r="P676" s="50" t="str">
        <f t="shared" si="6"/>
        <v>PASSED</v>
      </c>
      <c r="Q676" s="50" t="str">
        <f t="shared" si="5"/>
        <v>WA</v>
      </c>
    </row>
    <row r="677" ht="22.5" customHeight="1">
      <c r="A677" s="26">
        <v>45982.0</v>
      </c>
      <c r="B677" s="32" t="s">
        <v>394</v>
      </c>
      <c r="C677" s="191" t="str">
        <f t="array" ref="C677">_xlfn.XLOOKUP(B677, DB[samplingPoint], DB[samplingTag])</f>
        <v>DV116.25</v>
      </c>
      <c r="D677" s="33" t="s">
        <v>59</v>
      </c>
      <c r="E677" s="39" t="str">
        <f t="array" ref="E677">_xlfn.XLOOKUP($B677, DB[samplingPoint], DB[noLocation])</f>
        <v>10-3-171</v>
      </c>
      <c r="F677" s="40" t="str">
        <f t="array" ref="F677">_xlfn.XLOOKUP($B677, DB[samplingPoint], DB[building])</f>
        <v>Building 10</v>
      </c>
      <c r="G677" s="40" t="str">
        <f t="array" ref="G677">_xlfn.XLOOKUP($B677, DB[samplingPoint], DB[location])</f>
        <v>TOOL WASHING-P</v>
      </c>
      <c r="H677" s="40" t="str">
        <f t="array" ref="H677">_xlfn.XLOOKUP($B677, DB[samplingPoint], DB[waterType])</f>
        <v>PW</v>
      </c>
      <c r="I677" s="60">
        <f t="shared" si="1"/>
        <v>45983</v>
      </c>
      <c r="J677" s="192">
        <f t="shared" si="2"/>
        <v>45986</v>
      </c>
      <c r="K677" s="32">
        <v>0.0</v>
      </c>
      <c r="L677" s="32">
        <v>0.0</v>
      </c>
      <c r="M677" s="32">
        <f t="shared" si="3"/>
        <v>0</v>
      </c>
      <c r="N677" s="32" t="s">
        <v>376</v>
      </c>
      <c r="O677" s="32">
        <v>100.0</v>
      </c>
      <c r="P677" s="50" t="str">
        <f t="shared" si="6"/>
        <v>PASSED</v>
      </c>
      <c r="Q677" s="50" t="str">
        <f t="shared" si="5"/>
        <v>10</v>
      </c>
    </row>
    <row r="678" ht="22.5" customHeight="1">
      <c r="A678" s="26">
        <v>45982.0</v>
      </c>
      <c r="B678" s="32" t="s">
        <v>401</v>
      </c>
      <c r="C678" s="191" t="str">
        <f t="array" ref="C678">_xlfn.XLOOKUP(B678, DB[samplingPoint], DB[samplingTag])</f>
        <v>DV116.23</v>
      </c>
      <c r="D678" s="33" t="s">
        <v>59</v>
      </c>
      <c r="E678" s="39" t="str">
        <f t="array" ref="E678">_xlfn.XLOOKUP($B678, DB[samplingPoint], DB[noLocation])</f>
        <v>10-3-159</v>
      </c>
      <c r="F678" s="40" t="str">
        <f t="array" ref="F678">_xlfn.XLOOKUP($B678, DB[samplingPoint], DB[building])</f>
        <v>Building 10</v>
      </c>
      <c r="G678" s="40" t="str">
        <f t="array" ref="G678">_xlfn.XLOOKUP($B678, DB[samplingPoint], DB[location])</f>
        <v>BINDER PREPARATION-P</v>
      </c>
      <c r="H678" s="40" t="str">
        <f t="array" ref="H678">_xlfn.XLOOKUP($B678, DB[samplingPoint], DB[waterType])</f>
        <v>PW</v>
      </c>
      <c r="I678" s="60">
        <f t="shared" si="1"/>
        <v>45983</v>
      </c>
      <c r="J678" s="192">
        <f t="shared" si="2"/>
        <v>45986</v>
      </c>
      <c r="K678" s="32">
        <v>0.0</v>
      </c>
      <c r="L678" s="32">
        <v>0.0</v>
      </c>
      <c r="M678" s="32">
        <f t="shared" si="3"/>
        <v>0</v>
      </c>
      <c r="N678" s="32" t="s">
        <v>376</v>
      </c>
      <c r="O678" s="32">
        <v>100.0</v>
      </c>
      <c r="P678" s="50" t="str">
        <f t="shared" si="6"/>
        <v>PASSED</v>
      </c>
      <c r="Q678" s="50" t="str">
        <f t="shared" si="5"/>
        <v>10</v>
      </c>
    </row>
    <row r="679" ht="22.5" customHeight="1">
      <c r="A679" s="26">
        <v>45982.0</v>
      </c>
      <c r="B679" s="32" t="s">
        <v>398</v>
      </c>
      <c r="C679" s="191" t="str">
        <f t="array" ref="C679">_xlfn.XLOOKUP(B679, DB[samplingPoint], DB[samplingTag])</f>
        <v>DV116.24</v>
      </c>
      <c r="D679" s="33" t="s">
        <v>59</v>
      </c>
      <c r="E679" s="39" t="str">
        <f t="array" ref="E679">_xlfn.XLOOKUP($B679, DB[samplingPoint], DB[noLocation])</f>
        <v>10-3-163</v>
      </c>
      <c r="F679" s="40" t="str">
        <f t="array" ref="F679">_xlfn.XLOOKUP($B679, DB[samplingPoint], DB[building])</f>
        <v>Building 10</v>
      </c>
      <c r="G679" s="40" t="str">
        <f t="array" ref="G679">_xlfn.XLOOKUP($B679, DB[samplingPoint], DB[location])</f>
        <v>WET GRANULATION 1-P</v>
      </c>
      <c r="H679" s="40" t="str">
        <f t="array" ref="H679">_xlfn.XLOOKUP($B679, DB[samplingPoint], DB[waterType])</f>
        <v>PW</v>
      </c>
      <c r="I679" s="60">
        <f t="shared" si="1"/>
        <v>45983</v>
      </c>
      <c r="J679" s="192">
        <f t="shared" si="2"/>
        <v>45986</v>
      </c>
      <c r="K679" s="32">
        <v>0.0</v>
      </c>
      <c r="L679" s="32">
        <v>0.0</v>
      </c>
      <c r="M679" s="32">
        <f t="shared" si="3"/>
        <v>0</v>
      </c>
      <c r="N679" s="32" t="s">
        <v>376</v>
      </c>
      <c r="O679" s="32">
        <v>100.0</v>
      </c>
      <c r="P679" s="50" t="str">
        <f t="shared" si="6"/>
        <v>PASSED</v>
      </c>
      <c r="Q679" s="50" t="str">
        <f t="shared" si="5"/>
        <v>10</v>
      </c>
    </row>
    <row r="680" ht="22.5" customHeight="1">
      <c r="A680" s="26">
        <v>45982.0</v>
      </c>
      <c r="B680" s="32" t="s">
        <v>406</v>
      </c>
      <c r="C680" s="191" t="str">
        <f t="array" ref="C680">_xlfn.XLOOKUP(B680, DB[samplingPoint], DB[samplingTag])</f>
        <v>DV116.21</v>
      </c>
      <c r="D680" s="33" t="s">
        <v>59</v>
      </c>
      <c r="E680" s="39" t="str">
        <f t="array" ref="E680">_xlfn.XLOOKUP($B680, DB[samplingPoint], DB[noLocation])</f>
        <v>10-3-152</v>
      </c>
      <c r="F680" s="40" t="str">
        <f t="array" ref="F680">_xlfn.XLOOKUP($B680, DB[samplingPoint], DB[building])</f>
        <v>Building 10</v>
      </c>
      <c r="G680" s="40" t="str">
        <f t="array" ref="G680">_xlfn.XLOOKUP($B680, DB[samplingPoint], DB[location])</f>
        <v>WASHING-P</v>
      </c>
      <c r="H680" s="40" t="str">
        <f t="array" ref="H680">_xlfn.XLOOKUP($B680, DB[samplingPoint], DB[waterType])</f>
        <v>PW</v>
      </c>
      <c r="I680" s="60">
        <f t="shared" si="1"/>
        <v>45983</v>
      </c>
      <c r="J680" s="192">
        <f t="shared" si="2"/>
        <v>45986</v>
      </c>
      <c r="K680" s="32">
        <v>0.0</v>
      </c>
      <c r="L680" s="32">
        <v>0.0</v>
      </c>
      <c r="M680" s="32">
        <f t="shared" si="3"/>
        <v>0</v>
      </c>
      <c r="N680" s="32" t="s">
        <v>376</v>
      </c>
      <c r="O680" s="32">
        <v>100.0</v>
      </c>
      <c r="P680" s="50" t="str">
        <f t="shared" si="6"/>
        <v>PASSED</v>
      </c>
      <c r="Q680" s="50" t="str">
        <f t="shared" si="5"/>
        <v>10</v>
      </c>
    </row>
    <row r="681" ht="22.5" customHeight="1">
      <c r="A681" s="26">
        <v>45982.0</v>
      </c>
      <c r="B681" s="32" t="s">
        <v>410</v>
      </c>
      <c r="C681" s="191" t="str">
        <f t="array" ref="C681">_xlfn.XLOOKUP(B681, DB[samplingPoint], DB[samplingTag])</f>
        <v>DV116.22</v>
      </c>
      <c r="D681" s="33" t="s">
        <v>59</v>
      </c>
      <c r="E681" s="39" t="str">
        <f t="array" ref="E681">_xlfn.XLOOKUP($B681, DB[samplingPoint], DB[noLocation])</f>
        <v>10-3-152</v>
      </c>
      <c r="F681" s="40" t="str">
        <f t="array" ref="F681">_xlfn.XLOOKUP($B681, DB[samplingPoint], DB[building])</f>
        <v>Building 10</v>
      </c>
      <c r="G681" s="40" t="str">
        <f t="array" ref="G681">_xlfn.XLOOKUP($B681, DB[samplingPoint], DB[location])</f>
        <v>WASHING-P</v>
      </c>
      <c r="H681" s="40" t="str">
        <f t="array" ref="H681">_xlfn.XLOOKUP($B681, DB[samplingPoint], DB[waterType])</f>
        <v>PW</v>
      </c>
      <c r="I681" s="60">
        <f t="shared" si="1"/>
        <v>45983</v>
      </c>
      <c r="J681" s="192">
        <f t="shared" si="2"/>
        <v>45986</v>
      </c>
      <c r="K681" s="32">
        <v>0.0</v>
      </c>
      <c r="L681" s="32">
        <v>0.0</v>
      </c>
      <c r="M681" s="32">
        <f t="shared" si="3"/>
        <v>0</v>
      </c>
      <c r="N681" s="32" t="s">
        <v>376</v>
      </c>
      <c r="O681" s="32">
        <v>100.0</v>
      </c>
      <c r="P681" s="50" t="str">
        <f t="shared" si="6"/>
        <v>PASSED</v>
      </c>
      <c r="Q681" s="50" t="str">
        <f t="shared" si="5"/>
        <v>10</v>
      </c>
    </row>
    <row r="682" ht="22.5" customHeight="1">
      <c r="A682" s="26">
        <v>45982.0</v>
      </c>
      <c r="B682" s="32" t="s">
        <v>421</v>
      </c>
      <c r="C682" s="191" t="str">
        <f t="array" ref="C682">_xlfn.XLOOKUP(B682, DB[samplingPoint], DB[samplingTag])</f>
        <v>DV116.19</v>
      </c>
      <c r="D682" s="33" t="s">
        <v>59</v>
      </c>
      <c r="E682" s="39" t="str">
        <f t="array" ref="E682">_xlfn.XLOOKUP($B682, DB[samplingPoint], DB[noLocation])</f>
        <v>10-3-143</v>
      </c>
      <c r="F682" s="40" t="str">
        <f t="array" ref="F682">_xlfn.XLOOKUP($B682, DB[samplingPoint], DB[building])</f>
        <v>Building 10</v>
      </c>
      <c r="G682" s="40" t="str">
        <f t="array" ref="G682">_xlfn.XLOOKUP($B682, DB[samplingPoint], DB[location])</f>
        <v>COATING SOLUTION PREP.-P</v>
      </c>
      <c r="H682" s="40" t="str">
        <f t="array" ref="H682">_xlfn.XLOOKUP($B682, DB[samplingPoint], DB[waterType])</f>
        <v>PW</v>
      </c>
      <c r="I682" s="60">
        <f t="shared" si="1"/>
        <v>45983</v>
      </c>
      <c r="J682" s="192">
        <f t="shared" si="2"/>
        <v>45986</v>
      </c>
      <c r="K682" s="32">
        <v>0.0</v>
      </c>
      <c r="L682" s="32">
        <v>0.0</v>
      </c>
      <c r="M682" s="32">
        <f t="shared" si="3"/>
        <v>0</v>
      </c>
      <c r="N682" s="32" t="s">
        <v>376</v>
      </c>
      <c r="O682" s="32">
        <v>100.0</v>
      </c>
      <c r="P682" s="50" t="str">
        <f t="shared" si="6"/>
        <v>PASSED</v>
      </c>
      <c r="Q682" s="50" t="str">
        <f t="shared" si="5"/>
        <v>10</v>
      </c>
    </row>
    <row r="683" ht="22.5" customHeight="1">
      <c r="A683" s="26">
        <v>45982.0</v>
      </c>
      <c r="B683" s="32" t="s">
        <v>417</v>
      </c>
      <c r="C683" s="191" t="str">
        <f t="array" ref="C683">_xlfn.XLOOKUP(B683, DB[samplingPoint], DB[samplingTag])</f>
        <v>DV116.20</v>
      </c>
      <c r="D683" s="33" t="s">
        <v>59</v>
      </c>
      <c r="E683" s="39" t="str">
        <f t="array" ref="E683">_xlfn.XLOOKUP($B683, DB[samplingPoint], DB[noLocation])</f>
        <v>10-3-149</v>
      </c>
      <c r="F683" s="40" t="str">
        <f t="array" ref="F683">_xlfn.XLOOKUP($B683, DB[samplingPoint], DB[building])</f>
        <v>Building 10</v>
      </c>
      <c r="G683" s="40" t="str">
        <f t="array" ref="G683">_xlfn.XLOOKUP($B683, DB[samplingPoint], DB[location])</f>
        <v>IPQC-1-P</v>
      </c>
      <c r="H683" s="40" t="str">
        <f t="array" ref="H683">_xlfn.XLOOKUP($B683, DB[samplingPoint], DB[waterType])</f>
        <v>PW</v>
      </c>
      <c r="I683" s="60">
        <f t="shared" si="1"/>
        <v>45983</v>
      </c>
      <c r="J683" s="192">
        <f t="shared" si="2"/>
        <v>45986</v>
      </c>
      <c r="K683" s="32">
        <v>0.0</v>
      </c>
      <c r="L683" s="32">
        <v>0.0</v>
      </c>
      <c r="M683" s="32">
        <f t="shared" si="3"/>
        <v>0</v>
      </c>
      <c r="N683" s="32" t="s">
        <v>376</v>
      </c>
      <c r="O683" s="32">
        <v>100.0</v>
      </c>
      <c r="P683" s="50" t="str">
        <f t="shared" si="6"/>
        <v>PASSED</v>
      </c>
      <c r="Q683" s="50" t="str">
        <f t="shared" si="5"/>
        <v>10</v>
      </c>
    </row>
    <row r="684" ht="22.5" customHeight="1">
      <c r="A684" s="26">
        <v>45982.0</v>
      </c>
      <c r="B684" s="32" t="s">
        <v>423</v>
      </c>
      <c r="C684" s="191" t="str">
        <f t="array" ref="C684">_xlfn.XLOOKUP(B684, DB[samplingPoint], DB[samplingTag])</f>
        <v>SV116.12</v>
      </c>
      <c r="D684" s="33" t="s">
        <v>59</v>
      </c>
      <c r="E684" s="39" t="str">
        <f t="array" ref="E684">_xlfn.XLOOKUP($B684, DB[samplingPoint], DB[noLocation])</f>
        <v>10-3-144</v>
      </c>
      <c r="F684" s="40" t="str">
        <f t="array" ref="F684">_xlfn.XLOOKUP($B684, DB[samplingPoint], DB[building])</f>
        <v>Building 10</v>
      </c>
      <c r="G684" s="40" t="str">
        <f t="array" ref="G684">_xlfn.XLOOKUP($B684, DB[samplingPoint], DB[location])</f>
        <v>COATING-P</v>
      </c>
      <c r="H684" s="40" t="str">
        <f t="array" ref="H684">_xlfn.XLOOKUP($B684, DB[samplingPoint], DB[waterType])</f>
        <v>PW</v>
      </c>
      <c r="I684" s="60">
        <f t="shared" si="1"/>
        <v>45983</v>
      </c>
      <c r="J684" s="192">
        <f t="shared" si="2"/>
        <v>45986</v>
      </c>
      <c r="K684" s="32">
        <v>0.0</v>
      </c>
      <c r="L684" s="32">
        <v>0.0</v>
      </c>
      <c r="M684" s="32">
        <f t="shared" si="3"/>
        <v>0</v>
      </c>
      <c r="N684" s="32" t="s">
        <v>376</v>
      </c>
      <c r="O684" s="32">
        <v>100.0</v>
      </c>
      <c r="P684" s="50" t="str">
        <f t="shared" si="6"/>
        <v>PASSED</v>
      </c>
      <c r="Q684" s="50" t="str">
        <f t="shared" si="5"/>
        <v>10</v>
      </c>
    </row>
    <row r="685" ht="22.5" customHeight="1">
      <c r="A685" s="26">
        <v>45982.0</v>
      </c>
      <c r="B685" s="32" t="s">
        <v>414</v>
      </c>
      <c r="C685" s="191" t="str">
        <f t="array" ref="C685">_xlfn.XLOOKUP(B685, DB[samplingPoint], DB[samplingTag])</f>
        <v>SV116.13</v>
      </c>
      <c r="D685" s="33" t="s">
        <v>59</v>
      </c>
      <c r="E685" s="39" t="str">
        <f t="array" ref="E685">_xlfn.XLOOKUP($B685, DB[samplingPoint], DB[noLocation])</f>
        <v>10-3-152</v>
      </c>
      <c r="F685" s="40" t="str">
        <f t="array" ref="F685">_xlfn.XLOOKUP($B685, DB[samplingPoint], DB[building])</f>
        <v>Building 10</v>
      </c>
      <c r="G685" s="40" t="str">
        <f t="array" ref="G685">_xlfn.XLOOKUP($B685, DB[samplingPoint], DB[location])</f>
        <v>WASHING-P</v>
      </c>
      <c r="H685" s="40" t="str">
        <f t="array" ref="H685">_xlfn.XLOOKUP($B685, DB[samplingPoint], DB[waterType])</f>
        <v>PW</v>
      </c>
      <c r="I685" s="60">
        <f t="shared" si="1"/>
        <v>45983</v>
      </c>
      <c r="J685" s="192">
        <f t="shared" si="2"/>
        <v>45986</v>
      </c>
      <c r="K685" s="32">
        <v>0.0</v>
      </c>
      <c r="L685" s="32">
        <v>0.0</v>
      </c>
      <c r="M685" s="32">
        <f t="shared" si="3"/>
        <v>0</v>
      </c>
      <c r="N685" s="32" t="s">
        <v>376</v>
      </c>
      <c r="O685" s="32">
        <v>100.0</v>
      </c>
      <c r="P685" s="50" t="str">
        <f t="shared" si="6"/>
        <v>PASSED</v>
      </c>
      <c r="Q685" s="50" t="str">
        <f t="shared" si="5"/>
        <v>10</v>
      </c>
    </row>
    <row r="686" ht="22.5" customHeight="1">
      <c r="A686" s="26">
        <v>45982.0</v>
      </c>
      <c r="B686" s="32" t="s">
        <v>431</v>
      </c>
      <c r="C686" s="191" t="str">
        <f t="array" ref="C686">_xlfn.XLOOKUP(B686, DB[samplingPoint], DB[samplingTag])</f>
        <v>SV-14</v>
      </c>
      <c r="D686" s="33" t="s">
        <v>59</v>
      </c>
      <c r="E686" s="39" t="str">
        <f t="array" ref="E686">_xlfn.XLOOKUP($B686, DB[samplingPoint], DB[noLocation])</f>
        <v>PROCESS WATER (B19)</v>
      </c>
      <c r="F686" s="40" t="str">
        <f t="array" ref="F686">_xlfn.XLOOKUP($B686, DB[samplingPoint], DB[building])</f>
        <v>Building 19</v>
      </c>
      <c r="G686" s="40" t="str">
        <f t="array" ref="G686">_xlfn.XLOOKUP($B686, DB[samplingPoint], DB[location])</f>
        <v>AFTER RO SYSTEM NO.12 SV14</v>
      </c>
      <c r="H686" s="40" t="str">
        <f t="array" ref="H686">_xlfn.XLOOKUP($B686, DB[samplingPoint], DB[waterType])</f>
        <v>PRW</v>
      </c>
      <c r="I686" s="60">
        <f t="shared" si="1"/>
        <v>45983</v>
      </c>
      <c r="J686" s="192">
        <f t="shared" si="2"/>
        <v>45986</v>
      </c>
      <c r="K686" s="32">
        <v>0.0</v>
      </c>
      <c r="L686" s="32">
        <v>0.0</v>
      </c>
      <c r="M686" s="32">
        <f t="shared" si="3"/>
        <v>0</v>
      </c>
      <c r="N686" s="32" t="s">
        <v>376</v>
      </c>
      <c r="O686" s="32">
        <v>500.0</v>
      </c>
      <c r="P686" s="50" t="str">
        <f t="shared" si="6"/>
        <v>PASSED</v>
      </c>
      <c r="Q686" s="50" t="str">
        <f t="shared" si="5"/>
        <v>PR</v>
      </c>
    </row>
    <row r="687" ht="22.5" customHeight="1">
      <c r="A687" s="26">
        <v>45982.0</v>
      </c>
      <c r="B687" s="32" t="s">
        <v>618</v>
      </c>
      <c r="C687" s="39" t="str">
        <f t="array" ref="C687">_xlfn.XLOOKUP(B687, DB[samplingPoint], DB[samplingTag])</f>
        <v>SV-15</v>
      </c>
      <c r="D687" s="33" t="s">
        <v>59</v>
      </c>
      <c r="E687" s="39" t="str">
        <f t="array" ref="E687">_xlfn.XLOOKUP($B687, DB[samplingPoint], DB[noLocation])</f>
        <v>PROCESS WATER (B19)</v>
      </c>
      <c r="F687" s="40" t="str">
        <f t="array" ref="F687">_xlfn.XLOOKUP($B687, DB[samplingPoint], DB[building])</f>
        <v>Building 19</v>
      </c>
      <c r="G687" s="40" t="str">
        <f t="array" ref="G687">_xlfn.XLOOKUP($B687, DB[samplingPoint], DB[location])</f>
        <v>AFTER RO SYSTEM NO.12 SV15</v>
      </c>
      <c r="H687" s="40" t="str">
        <f t="array" ref="H687">_xlfn.XLOOKUP($B687, DB[samplingPoint], DB[waterType])</f>
        <v>PRW</v>
      </c>
      <c r="I687" s="60">
        <f t="shared" si="1"/>
        <v>45983</v>
      </c>
      <c r="J687" s="192">
        <f t="shared" si="2"/>
        <v>45986</v>
      </c>
      <c r="K687" s="32">
        <v>0.0</v>
      </c>
      <c r="L687" s="32">
        <v>0.0</v>
      </c>
      <c r="M687" s="32">
        <f t="shared" si="3"/>
        <v>0</v>
      </c>
      <c r="N687" s="32" t="s">
        <v>376</v>
      </c>
      <c r="O687" s="32">
        <v>500.0</v>
      </c>
      <c r="P687" s="50" t="str">
        <f t="shared" si="6"/>
        <v>PASSED</v>
      </c>
      <c r="Q687" s="50" t="str">
        <f t="shared" si="5"/>
        <v>PR</v>
      </c>
    </row>
    <row r="688" ht="22.5" customHeight="1">
      <c r="A688" s="26">
        <v>45982.0</v>
      </c>
      <c r="B688" s="32" t="s">
        <v>428</v>
      </c>
      <c r="C688" s="191" t="str">
        <f t="array" ref="C688">_xlfn.XLOOKUP(B688, DB[samplingPoint], DB[samplingTag])</f>
        <v>DV116.01</v>
      </c>
      <c r="D688" s="33" t="s">
        <v>59</v>
      </c>
      <c r="E688" s="39" t="str">
        <f t="array" ref="E688">_xlfn.XLOOKUP($B688, DB[samplingPoint], DB[noLocation])</f>
        <v>10-1-057</v>
      </c>
      <c r="F688" s="40" t="str">
        <f t="array" ref="F688">_xlfn.XLOOKUP($B688, DB[samplingPoint], DB[building])</f>
        <v>Building 10</v>
      </c>
      <c r="G688" s="40" t="str">
        <f t="array" ref="G688">_xlfn.XLOOKUP($B688, DB[samplingPoint], DB[location])</f>
        <v>WASHING-P</v>
      </c>
      <c r="H688" s="40" t="str">
        <f t="array" ref="H688">_xlfn.XLOOKUP($B688, DB[samplingPoint], DB[waterType])</f>
        <v>PW</v>
      </c>
      <c r="I688" s="60">
        <f t="shared" si="1"/>
        <v>45983</v>
      </c>
      <c r="J688" s="192">
        <f t="shared" si="2"/>
        <v>45986</v>
      </c>
      <c r="K688" s="32">
        <v>0.0</v>
      </c>
      <c r="L688" s="32">
        <v>0.0</v>
      </c>
      <c r="M688" s="32">
        <f t="shared" si="3"/>
        <v>0</v>
      </c>
      <c r="N688" s="32" t="s">
        <v>376</v>
      </c>
      <c r="O688" s="32">
        <v>100.0</v>
      </c>
      <c r="P688" s="50" t="str">
        <f t="shared" si="6"/>
        <v>PASSED</v>
      </c>
      <c r="Q688" s="50" t="str">
        <f t="shared" si="5"/>
        <v>10</v>
      </c>
    </row>
    <row r="689" ht="22.5" customHeight="1">
      <c r="A689" s="26">
        <v>45982.0</v>
      </c>
      <c r="B689" s="32" t="s">
        <v>498</v>
      </c>
      <c r="C689" s="191" t="str">
        <f t="array" ref="C689">_xlfn.XLOOKUP(B689, DB[samplingPoint], DB[samplingTag])</f>
        <v>SV116.02</v>
      </c>
      <c r="D689" s="33" t="s">
        <v>59</v>
      </c>
      <c r="E689" s="39" t="str">
        <f t="array" ref="E689">_xlfn.XLOOKUP($B689, DB[samplingPoint], DB[noLocation])</f>
        <v>10-2-037</v>
      </c>
      <c r="F689" s="40" t="str">
        <f t="array" ref="F689">_xlfn.XLOOKUP($B689, DB[samplingPoint], DB[building])</f>
        <v>Building 10</v>
      </c>
      <c r="G689" s="40" t="str">
        <f t="array" ref="G689">_xlfn.XLOOKUP($B689, DB[samplingPoint], DB[location])</f>
        <v>SKID FOR BIN WASHING-2</v>
      </c>
      <c r="H689" s="40" t="str">
        <f t="array" ref="H689">_xlfn.XLOOKUP($B689, DB[samplingPoint], DB[waterType])</f>
        <v>PW</v>
      </c>
      <c r="I689" s="60">
        <f t="shared" si="1"/>
        <v>45983</v>
      </c>
      <c r="J689" s="192">
        <f t="shared" si="2"/>
        <v>45986</v>
      </c>
      <c r="K689" s="32">
        <v>0.0</v>
      </c>
      <c r="L689" s="32">
        <v>0.0</v>
      </c>
      <c r="M689" s="32">
        <f t="shared" si="3"/>
        <v>0</v>
      </c>
      <c r="N689" s="32" t="s">
        <v>376</v>
      </c>
      <c r="O689" s="32">
        <v>100.0</v>
      </c>
      <c r="P689" s="50" t="str">
        <f t="shared" si="6"/>
        <v>PASSED</v>
      </c>
      <c r="Q689" s="50" t="str">
        <f t="shared" si="5"/>
        <v>10</v>
      </c>
    </row>
    <row r="690" ht="22.5" customHeight="1">
      <c r="A690" s="109">
        <v>45986.0</v>
      </c>
      <c r="B690" s="32" t="s">
        <v>380</v>
      </c>
      <c r="C690" s="191" t="str">
        <f t="array" ref="C690">_xlfn.XLOOKUP(B690, DB[samplingPoint], DB[samplingTag])</f>
        <v>SV113.01</v>
      </c>
      <c r="D690" s="33" t="s">
        <v>59</v>
      </c>
      <c r="E690" s="39" t="str">
        <f t="array" ref="E690">_xlfn.XLOOKUP($B690, DB[samplingPoint], DB[noLocation])</f>
        <v>WATER SYSTEM (B10)</v>
      </c>
      <c r="F690" s="40" t="str">
        <f t="array" ref="F690">_xlfn.XLOOKUP($B690, DB[samplingPoint], DB[building])</f>
        <v>Building 10</v>
      </c>
      <c r="G690" s="40" t="str">
        <f t="array" ref="G690">_xlfn.XLOOKUP($B690, DB[samplingPoint], DB[location])</f>
        <v>After Storage tank (B10)</v>
      </c>
      <c r="H690" s="40" t="str">
        <f t="array" ref="H690">_xlfn.XLOOKUP($B690, DB[samplingPoint], DB[waterType])</f>
        <v>PW</v>
      </c>
      <c r="I690" s="60">
        <f t="shared" si="1"/>
        <v>45987</v>
      </c>
      <c r="J690" s="192">
        <f t="shared" si="2"/>
        <v>45990</v>
      </c>
      <c r="K690" s="32">
        <v>0.0</v>
      </c>
      <c r="L690" s="32">
        <v>0.0</v>
      </c>
      <c r="M690" s="32">
        <f t="shared" si="3"/>
        <v>0</v>
      </c>
      <c r="N690" s="32" t="s">
        <v>376</v>
      </c>
      <c r="O690" s="32">
        <v>100.0</v>
      </c>
      <c r="P690" s="50" t="str">
        <f t="shared" si="6"/>
        <v>PASSED</v>
      </c>
      <c r="Q690" s="50" t="str">
        <f t="shared" si="5"/>
        <v>WA</v>
      </c>
    </row>
    <row r="691" ht="22.5" customHeight="1">
      <c r="A691" s="26">
        <v>45986.0</v>
      </c>
      <c r="B691" s="32" t="s">
        <v>385</v>
      </c>
      <c r="C691" s="191" t="str">
        <f t="array" ref="C691">_xlfn.XLOOKUP(B691, DB[samplingPoint], DB[samplingTag])</f>
        <v>SV115.02</v>
      </c>
      <c r="D691" s="33" t="s">
        <v>59</v>
      </c>
      <c r="E691" s="39" t="str">
        <f t="array" ref="E691">_xlfn.XLOOKUP($B691, DB[samplingPoint], DB[noLocation])</f>
        <v>WATER SYSTEM (B10)</v>
      </c>
      <c r="F691" s="40" t="str">
        <f t="array" ref="F691">_xlfn.XLOOKUP($B691, DB[samplingPoint], DB[building])</f>
        <v>Building 10</v>
      </c>
      <c r="G691" s="40" t="str">
        <f t="array" ref="G691">_xlfn.XLOOKUP($B691, DB[samplingPoint], DB[location])</f>
        <v>After UV (B10)</v>
      </c>
      <c r="H691" s="40" t="str">
        <f t="array" ref="H691">_xlfn.XLOOKUP($B691, DB[samplingPoint], DB[waterType])</f>
        <v>PW</v>
      </c>
      <c r="I691" s="60">
        <f t="shared" si="1"/>
        <v>45987</v>
      </c>
      <c r="J691" s="192">
        <f t="shared" si="2"/>
        <v>45990</v>
      </c>
      <c r="K691" s="32">
        <v>0.0</v>
      </c>
      <c r="L691" s="32">
        <v>0.0</v>
      </c>
      <c r="M691" s="32">
        <f t="shared" si="3"/>
        <v>0</v>
      </c>
      <c r="N691" s="32" t="s">
        <v>376</v>
      </c>
      <c r="O691" s="32">
        <v>100.0</v>
      </c>
      <c r="P691" s="50" t="str">
        <f t="shared" si="6"/>
        <v>PASSED</v>
      </c>
      <c r="Q691" s="50" t="str">
        <f t="shared" si="5"/>
        <v>WA</v>
      </c>
    </row>
    <row r="692" ht="22.5" customHeight="1">
      <c r="A692" s="26">
        <v>45986.0</v>
      </c>
      <c r="B692" s="32" t="s">
        <v>390</v>
      </c>
      <c r="C692" s="191" t="str">
        <f t="array" ref="C692">_xlfn.XLOOKUP(B692, DB[samplingPoint], DB[samplingTag])</f>
        <v>SV117.01</v>
      </c>
      <c r="D692" s="33" t="s">
        <v>59</v>
      </c>
      <c r="E692" s="39" t="str">
        <f t="array" ref="E692">_xlfn.XLOOKUP($B692, DB[samplingPoint], DB[noLocation])</f>
        <v>WATER SYSTEM (B10)</v>
      </c>
      <c r="F692" s="40" t="str">
        <f t="array" ref="F692">_xlfn.XLOOKUP($B692, DB[samplingPoint], DB[building])</f>
        <v>Building 10</v>
      </c>
      <c r="G692" s="40" t="str">
        <f t="array" ref="G692">_xlfn.XLOOKUP($B692, DB[samplingPoint], DB[location])</f>
        <v>Return loop (B10)</v>
      </c>
      <c r="H692" s="40" t="str">
        <f t="array" ref="H692">_xlfn.XLOOKUP($B692, DB[samplingPoint], DB[waterType])</f>
        <v>PW</v>
      </c>
      <c r="I692" s="60">
        <f t="shared" si="1"/>
        <v>45987</v>
      </c>
      <c r="J692" s="192">
        <f t="shared" si="2"/>
        <v>45990</v>
      </c>
      <c r="K692" s="32">
        <v>0.0</v>
      </c>
      <c r="L692" s="32">
        <v>0.0</v>
      </c>
      <c r="M692" s="32">
        <f t="shared" si="3"/>
        <v>0</v>
      </c>
      <c r="N692" s="32" t="s">
        <v>376</v>
      </c>
      <c r="O692" s="32">
        <v>100.0</v>
      </c>
      <c r="P692" s="50" t="str">
        <f t="shared" si="6"/>
        <v>PASSED</v>
      </c>
      <c r="Q692" s="50" t="str">
        <f t="shared" si="5"/>
        <v>WA</v>
      </c>
    </row>
    <row r="693" ht="22.5" customHeight="1">
      <c r="A693" s="26">
        <v>45986.0</v>
      </c>
      <c r="B693" s="32" t="s">
        <v>491</v>
      </c>
      <c r="C693" s="191" t="str">
        <f t="array" ref="C693">_xlfn.XLOOKUP(B693, DB[samplingPoint], DB[samplingTag])</f>
        <v>SV116.15</v>
      </c>
      <c r="D693" s="33" t="s">
        <v>59</v>
      </c>
      <c r="E693" s="39" t="str">
        <f t="array" ref="E693">_xlfn.XLOOKUP($B693, DB[samplingPoint], DB[noLocation])</f>
        <v>10-4-012</v>
      </c>
      <c r="F693" s="40" t="str">
        <f t="array" ref="F693">_xlfn.XLOOKUP($B693, DB[samplingPoint], DB[building])</f>
        <v>Building 10</v>
      </c>
      <c r="G693" s="40" t="str">
        <f t="array" ref="G693">_xlfn.XLOOKUP($B693, DB[samplingPoint], DB[location])</f>
        <v>CIP SKID-1 FOR BIN WASHING-1</v>
      </c>
      <c r="H693" s="40" t="str">
        <f t="array" ref="H693">_xlfn.XLOOKUP($B693, DB[samplingPoint], DB[waterType])</f>
        <v>PW</v>
      </c>
      <c r="I693" s="60">
        <f t="shared" si="1"/>
        <v>45987</v>
      </c>
      <c r="J693" s="192">
        <f t="shared" si="2"/>
        <v>45990</v>
      </c>
      <c r="K693" s="32">
        <v>0.0</v>
      </c>
      <c r="L693" s="32">
        <v>0.0</v>
      </c>
      <c r="M693" s="32">
        <f t="shared" si="3"/>
        <v>0</v>
      </c>
      <c r="N693" s="32" t="s">
        <v>376</v>
      </c>
      <c r="O693" s="32">
        <v>100.0</v>
      </c>
      <c r="P693" s="50" t="str">
        <f t="shared" si="6"/>
        <v>PASSED</v>
      </c>
      <c r="Q693" s="50" t="str">
        <f t="shared" si="5"/>
        <v>10</v>
      </c>
    </row>
    <row r="694" ht="22.5" customHeight="1">
      <c r="A694" s="26">
        <v>45986.0</v>
      </c>
      <c r="B694" s="32" t="s">
        <v>493</v>
      </c>
      <c r="C694" s="191" t="str">
        <f t="array" ref="C694">_xlfn.XLOOKUP(B694, DB[samplingPoint], DB[samplingTag])</f>
        <v>SV116.16</v>
      </c>
      <c r="D694" s="33" t="s">
        <v>59</v>
      </c>
      <c r="E694" s="39" t="str">
        <f t="array" ref="E694">_xlfn.XLOOKUP($B694, DB[samplingPoint], DB[noLocation])</f>
        <v>10-4-012</v>
      </c>
      <c r="F694" s="40" t="str">
        <f t="array" ref="F694">_xlfn.XLOOKUP($B694, DB[samplingPoint], DB[building])</f>
        <v>Building 10</v>
      </c>
      <c r="G694" s="40" t="str">
        <f t="array" ref="G694">_xlfn.XLOOKUP($B694, DB[samplingPoint], DB[location])</f>
        <v>WIP SKID-3 FOR GRANULATION POTENT</v>
      </c>
      <c r="H694" s="40" t="str">
        <f t="array" ref="H694">_xlfn.XLOOKUP($B694, DB[samplingPoint], DB[waterType])</f>
        <v>PW</v>
      </c>
      <c r="I694" s="60">
        <f t="shared" si="1"/>
        <v>45987</v>
      </c>
      <c r="J694" s="192">
        <f t="shared" si="2"/>
        <v>45990</v>
      </c>
      <c r="K694" s="32">
        <v>0.0</v>
      </c>
      <c r="L694" s="32">
        <v>0.0</v>
      </c>
      <c r="M694" s="32">
        <f t="shared" si="3"/>
        <v>0</v>
      </c>
      <c r="N694" s="32" t="s">
        <v>376</v>
      </c>
      <c r="O694" s="32">
        <v>100.0</v>
      </c>
      <c r="P694" s="50" t="str">
        <f t="shared" si="6"/>
        <v>PASSED</v>
      </c>
      <c r="Q694" s="50" t="str">
        <f t="shared" si="5"/>
        <v>10</v>
      </c>
    </row>
    <row r="695" ht="22.5" customHeight="1">
      <c r="A695" s="26">
        <v>45986.0</v>
      </c>
      <c r="B695" s="32" t="s">
        <v>494</v>
      </c>
      <c r="C695" s="191" t="str">
        <f t="array" ref="C695">_xlfn.XLOOKUP(B695, DB[samplingPoint], DB[samplingTag])</f>
        <v>SV116.17</v>
      </c>
      <c r="D695" s="33" t="s">
        <v>59</v>
      </c>
      <c r="E695" s="39" t="str">
        <f t="array" ref="E695">_xlfn.XLOOKUP($B695, DB[samplingPoint], DB[noLocation])</f>
        <v>10-4-012</v>
      </c>
      <c r="F695" s="40" t="str">
        <f t="array" ref="F695">_xlfn.XLOOKUP($B695, DB[samplingPoint], DB[building])</f>
        <v>Building 10</v>
      </c>
      <c r="G695" s="40" t="str">
        <f t="array" ref="G695">_xlfn.XLOOKUP($B695, DB[samplingPoint], DB[location])</f>
        <v>CIP SKID-2 FOR BIN WASHING-1</v>
      </c>
      <c r="H695" s="40" t="str">
        <f t="array" ref="H695">_xlfn.XLOOKUP($B695, DB[samplingPoint], DB[waterType])</f>
        <v>PW</v>
      </c>
      <c r="I695" s="60">
        <f t="shared" si="1"/>
        <v>45987</v>
      </c>
      <c r="J695" s="192">
        <f t="shared" si="2"/>
        <v>45990</v>
      </c>
      <c r="K695" s="32">
        <v>0.0</v>
      </c>
      <c r="L695" s="32">
        <v>0.0</v>
      </c>
      <c r="M695" s="32">
        <f t="shared" si="3"/>
        <v>0</v>
      </c>
      <c r="N695" s="32" t="s">
        <v>376</v>
      </c>
      <c r="O695" s="32">
        <v>100.0</v>
      </c>
      <c r="P695" s="50" t="str">
        <f t="shared" si="6"/>
        <v>PASSED</v>
      </c>
      <c r="Q695" s="50" t="str">
        <f t="shared" si="5"/>
        <v>10</v>
      </c>
    </row>
    <row r="696" ht="22.5" customHeight="1">
      <c r="A696" s="26">
        <v>45986.0</v>
      </c>
      <c r="B696" s="32" t="s">
        <v>495</v>
      </c>
      <c r="C696" s="191" t="str">
        <f t="array" ref="C696">_xlfn.XLOOKUP(B696, DB[samplingPoint], DB[samplingTag])</f>
        <v>SV116.18</v>
      </c>
      <c r="D696" s="33" t="s">
        <v>59</v>
      </c>
      <c r="E696" s="39" t="str">
        <f t="array" ref="E696">_xlfn.XLOOKUP($B696, DB[samplingPoint], DB[noLocation])</f>
        <v>10-4-012</v>
      </c>
      <c r="F696" s="40" t="str">
        <f t="array" ref="F696">_xlfn.XLOOKUP($B696, DB[samplingPoint], DB[building])</f>
        <v>Building 10</v>
      </c>
      <c r="G696" s="40" t="str">
        <f t="array" ref="G696">_xlfn.XLOOKUP($B696, DB[samplingPoint], DB[location])</f>
        <v>WIP SKID-1 FOR GRANULATION NON POTENT</v>
      </c>
      <c r="H696" s="40" t="str">
        <f t="array" ref="H696">_xlfn.XLOOKUP($B696, DB[samplingPoint], DB[waterType])</f>
        <v>PW</v>
      </c>
      <c r="I696" s="60">
        <f t="shared" si="1"/>
        <v>45987</v>
      </c>
      <c r="J696" s="192">
        <f t="shared" si="2"/>
        <v>45990</v>
      </c>
      <c r="K696" s="32">
        <v>0.0</v>
      </c>
      <c r="L696" s="32">
        <v>0.0</v>
      </c>
      <c r="M696" s="32">
        <f t="shared" si="3"/>
        <v>0</v>
      </c>
      <c r="N696" s="32" t="s">
        <v>376</v>
      </c>
      <c r="O696" s="32">
        <v>100.0</v>
      </c>
      <c r="P696" s="50" t="str">
        <f t="shared" si="6"/>
        <v>PASSED</v>
      </c>
      <c r="Q696" s="50" t="str">
        <f t="shared" si="5"/>
        <v>10</v>
      </c>
    </row>
    <row r="697" ht="22.5" customHeight="1">
      <c r="A697" s="26">
        <v>45986.0</v>
      </c>
      <c r="B697" s="32" t="s">
        <v>496</v>
      </c>
      <c r="C697" s="191" t="str">
        <f t="array" ref="C697">_xlfn.XLOOKUP(B697, DB[samplingPoint], DB[samplingTag])</f>
        <v>SV116.19</v>
      </c>
      <c r="D697" s="33" t="s">
        <v>59</v>
      </c>
      <c r="E697" s="39" t="str">
        <f t="array" ref="E697">_xlfn.XLOOKUP($B697, DB[samplingPoint], DB[noLocation])</f>
        <v>10-4-012</v>
      </c>
      <c r="F697" s="40" t="str">
        <f t="array" ref="F697">_xlfn.XLOOKUP($B697, DB[samplingPoint], DB[building])</f>
        <v>Building 10</v>
      </c>
      <c r="G697" s="40" t="str">
        <f t="array" ref="G697">_xlfn.XLOOKUP($B697, DB[samplingPoint], DB[location])</f>
        <v>WIP SKID-2 FOR GRANULATION NON POTENT</v>
      </c>
      <c r="H697" s="40" t="str">
        <f t="array" ref="H697">_xlfn.XLOOKUP($B697, DB[samplingPoint], DB[waterType])</f>
        <v>PW</v>
      </c>
      <c r="I697" s="60">
        <f t="shared" si="1"/>
        <v>45987</v>
      </c>
      <c r="J697" s="192">
        <f t="shared" si="2"/>
        <v>45990</v>
      </c>
      <c r="K697" s="32">
        <v>0.0</v>
      </c>
      <c r="L697" s="32">
        <v>0.0</v>
      </c>
      <c r="M697" s="32">
        <f t="shared" si="3"/>
        <v>0</v>
      </c>
      <c r="N697" s="32" t="s">
        <v>376</v>
      </c>
      <c r="O697" s="32">
        <v>100.0</v>
      </c>
      <c r="P697" s="50" t="str">
        <f t="shared" si="6"/>
        <v>PASSED</v>
      </c>
      <c r="Q697" s="50" t="str">
        <f t="shared" si="5"/>
        <v>10</v>
      </c>
    </row>
    <row r="698" ht="22.5" customHeight="1">
      <c r="A698" s="26">
        <v>45986.0</v>
      </c>
      <c r="B698" s="32" t="s">
        <v>498</v>
      </c>
      <c r="C698" s="191" t="str">
        <f t="array" ref="C698">_xlfn.XLOOKUP(B698, DB[samplingPoint], DB[samplingTag])</f>
        <v>SV116.02</v>
      </c>
      <c r="D698" s="33" t="s">
        <v>59</v>
      </c>
      <c r="E698" s="39" t="str">
        <f t="array" ref="E698">_xlfn.XLOOKUP($B698, DB[samplingPoint], DB[noLocation])</f>
        <v>10-2-037</v>
      </c>
      <c r="F698" s="40" t="str">
        <f t="array" ref="F698">_xlfn.XLOOKUP($B698, DB[samplingPoint], DB[building])</f>
        <v>Building 10</v>
      </c>
      <c r="G698" s="40" t="str">
        <f t="array" ref="G698">_xlfn.XLOOKUP($B698, DB[samplingPoint], DB[location])</f>
        <v>SKID FOR BIN WASHING-2</v>
      </c>
      <c r="H698" s="40" t="str">
        <f t="array" ref="H698">_xlfn.XLOOKUP($B698, DB[samplingPoint], DB[waterType])</f>
        <v>PW</v>
      </c>
      <c r="I698" s="60">
        <f t="shared" si="1"/>
        <v>45987</v>
      </c>
      <c r="J698" s="192">
        <f t="shared" si="2"/>
        <v>45990</v>
      </c>
      <c r="K698" s="32">
        <v>0.0</v>
      </c>
      <c r="L698" s="32">
        <v>0.0</v>
      </c>
      <c r="M698" s="32">
        <f t="shared" si="3"/>
        <v>0</v>
      </c>
      <c r="N698" s="32" t="s">
        <v>376</v>
      </c>
      <c r="O698" s="32">
        <v>100.0</v>
      </c>
      <c r="P698" s="50" t="str">
        <f t="shared" si="6"/>
        <v>PASSED</v>
      </c>
      <c r="Q698" s="50" t="str">
        <f t="shared" si="5"/>
        <v>10</v>
      </c>
    </row>
    <row r="699" ht="22.5" customHeight="1">
      <c r="A699" s="26">
        <v>45986.0</v>
      </c>
      <c r="B699" s="32" t="s">
        <v>499</v>
      </c>
      <c r="C699" s="191" t="str">
        <f t="array" ref="C699">_xlfn.XLOOKUP(B699, DB[samplingPoint], DB[samplingTag])</f>
        <v>SV116.01</v>
      </c>
      <c r="D699" s="33" t="s">
        <v>59</v>
      </c>
      <c r="E699" s="39" t="str">
        <f t="array" ref="E699">_xlfn.XLOOKUP($B699, DB[samplingPoint], DB[noLocation])</f>
        <v>10-2-021</v>
      </c>
      <c r="F699" s="40" t="str">
        <f t="array" ref="F699">_xlfn.XLOOKUP($B699, DB[samplingPoint], DB[building])</f>
        <v>Building 10</v>
      </c>
      <c r="G699" s="40" t="str">
        <f t="array" ref="G699">_xlfn.XLOOKUP($B699, DB[samplingPoint], DB[location])</f>
        <v>INSTRUMENT-1</v>
      </c>
      <c r="H699" s="40" t="str">
        <f t="array" ref="H699">_xlfn.XLOOKUP($B699, DB[samplingPoint], DB[waterType])</f>
        <v>PW</v>
      </c>
      <c r="I699" s="60">
        <f t="shared" si="1"/>
        <v>45987</v>
      </c>
      <c r="J699" s="192">
        <f t="shared" si="2"/>
        <v>45990</v>
      </c>
      <c r="K699" s="32">
        <v>0.0</v>
      </c>
      <c r="L699" s="32">
        <v>0.0</v>
      </c>
      <c r="M699" s="32">
        <f t="shared" si="3"/>
        <v>0</v>
      </c>
      <c r="N699" s="32" t="s">
        <v>376</v>
      </c>
      <c r="O699" s="32">
        <v>100.0</v>
      </c>
      <c r="P699" s="50" t="str">
        <f t="shared" si="6"/>
        <v>PASSED</v>
      </c>
      <c r="Q699" s="50" t="str">
        <f t="shared" si="5"/>
        <v>10</v>
      </c>
    </row>
    <row r="700" ht="22.5" customHeight="1">
      <c r="A700" s="26">
        <v>45986.0</v>
      </c>
      <c r="B700" s="32" t="s">
        <v>502</v>
      </c>
      <c r="C700" s="191" t="str">
        <f t="array" ref="C700">_xlfn.XLOOKUP(B700, DB[samplingPoint], DB[samplingTag])</f>
        <v>DV116.26</v>
      </c>
      <c r="D700" s="33" t="s">
        <v>59</v>
      </c>
      <c r="E700" s="39" t="str">
        <f t="array" ref="E700">_xlfn.XLOOKUP($B700, DB[samplingPoint], DB[noLocation])</f>
        <v>10-4-015</v>
      </c>
      <c r="F700" s="40" t="str">
        <f t="array" ref="F700">_xlfn.XLOOKUP($B700, DB[samplingPoint], DB[building])</f>
        <v>Building 10</v>
      </c>
      <c r="G700" s="40" t="str">
        <f t="array" ref="G700">_xlfn.XLOOKUP($B700, DB[samplingPoint], DB[location])</f>
        <v>WATER SYSTEM ROOM</v>
      </c>
      <c r="H700" s="40" t="str">
        <f t="array" ref="H700">_xlfn.XLOOKUP($B700, DB[samplingPoint], DB[waterType])</f>
        <v>PW</v>
      </c>
      <c r="I700" s="60">
        <f t="shared" si="1"/>
        <v>45987</v>
      </c>
      <c r="J700" s="192">
        <f t="shared" si="2"/>
        <v>45990</v>
      </c>
      <c r="K700" s="32">
        <v>0.0</v>
      </c>
      <c r="L700" s="32">
        <v>0.0</v>
      </c>
      <c r="M700" s="32">
        <f t="shared" si="3"/>
        <v>0</v>
      </c>
      <c r="N700" s="32" t="s">
        <v>376</v>
      </c>
      <c r="O700" s="32">
        <v>100.0</v>
      </c>
      <c r="P700" s="50" t="str">
        <f t="shared" si="6"/>
        <v>PASSED</v>
      </c>
      <c r="Q700" s="50" t="str">
        <f t="shared" si="5"/>
        <v>10</v>
      </c>
    </row>
    <row r="701" ht="22.5" customHeight="1">
      <c r="A701" s="26">
        <v>45993.0</v>
      </c>
      <c r="B701" s="32" t="s">
        <v>431</v>
      </c>
      <c r="C701" s="191" t="str">
        <f t="array" ref="C701">_xlfn.XLOOKUP(B701, DB[samplingPoint], DB[samplingTag])</f>
        <v>SV-14</v>
      </c>
      <c r="D701" s="33" t="s">
        <v>59</v>
      </c>
      <c r="E701" s="39" t="str">
        <f t="array" ref="E701">_xlfn.XLOOKUP($B701, DB[samplingPoint], DB[noLocation])</f>
        <v>PROCESS WATER (B19)</v>
      </c>
      <c r="F701" s="40" t="str">
        <f t="array" ref="F701">_xlfn.XLOOKUP($B701, DB[samplingPoint], DB[building])</f>
        <v>Building 19</v>
      </c>
      <c r="G701" s="40" t="str">
        <f t="array" ref="G701">_xlfn.XLOOKUP($B701, DB[samplingPoint], DB[location])</f>
        <v>AFTER RO SYSTEM NO.12 SV14</v>
      </c>
      <c r="H701" s="40" t="str">
        <f t="array" ref="H701">_xlfn.XLOOKUP($B701, DB[samplingPoint], DB[waterType])</f>
        <v>PRW</v>
      </c>
      <c r="I701" s="60">
        <f t="shared" si="1"/>
        <v>45994</v>
      </c>
      <c r="J701" s="192">
        <f t="shared" si="2"/>
        <v>45997</v>
      </c>
      <c r="K701" s="32">
        <v>0.0</v>
      </c>
      <c r="L701" s="32">
        <v>0.0</v>
      </c>
      <c r="M701" s="32">
        <f t="shared" si="3"/>
        <v>0</v>
      </c>
      <c r="N701" s="32" t="s">
        <v>376</v>
      </c>
      <c r="O701" s="32">
        <v>500.0</v>
      </c>
      <c r="P701" s="50" t="str">
        <f t="shared" si="6"/>
        <v>PASSED</v>
      </c>
      <c r="Q701" s="50" t="str">
        <f t="shared" si="5"/>
        <v>PR</v>
      </c>
    </row>
    <row r="702" ht="22.5" customHeight="1">
      <c r="A702" s="26">
        <v>45993.0</v>
      </c>
      <c r="B702" s="32" t="s">
        <v>349</v>
      </c>
      <c r="C702" s="191" t="str">
        <f t="array" ref="C702">_xlfn.XLOOKUP(B702, DB[samplingPoint], DB[samplingTag])</f>
        <v>VB-05(10)</v>
      </c>
      <c r="D702" s="33" t="s">
        <v>59</v>
      </c>
      <c r="E702" s="39" t="str">
        <f t="array" ref="E702">_xlfn.XLOOKUP($B702, DB[samplingPoint], DB[noLocation])</f>
        <v>WATER SYSTEM (B10)</v>
      </c>
      <c r="F702" s="40" t="str">
        <f t="array" ref="F702">_xlfn.XLOOKUP($B702, DB[samplingPoint], DB[building])</f>
        <v>Building 10</v>
      </c>
      <c r="G702" s="40" t="str">
        <f t="array" ref="G702">_xlfn.XLOOKUP($B702, DB[samplingPoint], DB[location])</f>
        <v>After Chlorine circulation tank (B10)</v>
      </c>
      <c r="H702" s="40" t="str">
        <f t="array" ref="H702">_xlfn.XLOOKUP($B702, DB[samplingPoint], DB[waterType])</f>
        <v>PRW</v>
      </c>
      <c r="I702" s="60">
        <f t="shared" si="1"/>
        <v>45994</v>
      </c>
      <c r="J702" s="192">
        <f t="shared" si="2"/>
        <v>45997</v>
      </c>
      <c r="K702" s="32">
        <v>0.0</v>
      </c>
      <c r="L702" s="32">
        <v>0.0</v>
      </c>
      <c r="M702" s="32">
        <f t="shared" si="3"/>
        <v>0</v>
      </c>
      <c r="N702" s="32" t="s">
        <v>376</v>
      </c>
      <c r="O702" s="32">
        <v>500.0</v>
      </c>
      <c r="P702" s="50" t="str">
        <f t="shared" si="6"/>
        <v>PASSED</v>
      </c>
      <c r="Q702" s="50" t="str">
        <f t="shared" si="5"/>
        <v>WA</v>
      </c>
    </row>
    <row r="703" ht="22.5" customHeight="1">
      <c r="A703" s="26">
        <v>45993.0</v>
      </c>
      <c r="B703" s="32" t="s">
        <v>579</v>
      </c>
      <c r="C703" s="39" t="str">
        <f t="array" ref="C703">_xlfn.XLOOKUP(B703, DB[samplingPoint], DB[samplingTag])</f>
        <v>V50-60(10)</v>
      </c>
      <c r="D703" s="33" t="s">
        <v>59</v>
      </c>
      <c r="E703" s="39" t="str">
        <f t="array" ref="E703">_xlfn.XLOOKUP($B703, DB[samplingPoint], DB[noLocation])</f>
        <v>WATER SYSTEM (B10)</v>
      </c>
      <c r="F703" s="40" t="str">
        <f t="array" ref="F703">_xlfn.XLOOKUP($B703, DB[samplingPoint], DB[building])</f>
        <v>Building 10</v>
      </c>
      <c r="G703" s="40" t="str">
        <f t="array" ref="G703">_xlfn.XLOOKUP($B703, DB[samplingPoint], DB[location])</f>
        <v>Before Cartridge filter 5 µm (B10)</v>
      </c>
      <c r="H703" s="40" t="str">
        <f t="array" ref="H703">_xlfn.XLOOKUP($B703, DB[samplingPoint], DB[waterType])</f>
        <v>PRW</v>
      </c>
      <c r="I703" s="60">
        <f t="shared" si="1"/>
        <v>45994</v>
      </c>
      <c r="J703" s="192">
        <f t="shared" si="2"/>
        <v>45997</v>
      </c>
      <c r="K703" s="32">
        <v>0.0</v>
      </c>
      <c r="L703" s="32">
        <v>0.0</v>
      </c>
      <c r="M703" s="32">
        <f t="shared" si="3"/>
        <v>0</v>
      </c>
      <c r="N703" s="32" t="s">
        <v>376</v>
      </c>
      <c r="O703" s="32">
        <v>500.0</v>
      </c>
      <c r="P703" s="50" t="str">
        <f t="shared" si="6"/>
        <v>PASSED</v>
      </c>
      <c r="Q703" s="50" t="str">
        <f t="shared" si="5"/>
        <v>WA</v>
      </c>
    </row>
    <row r="704" ht="22.5" customHeight="1">
      <c r="A704" s="26">
        <v>45993.0</v>
      </c>
      <c r="B704" s="32" t="s">
        <v>366</v>
      </c>
      <c r="C704" s="191" t="str">
        <f t="array" ref="C704">_xlfn.XLOOKUP(B704, DB[samplingPoint], DB[samplingTag])</f>
        <v>V50-61(10)</v>
      </c>
      <c r="D704" s="33" t="s">
        <v>59</v>
      </c>
      <c r="E704" s="39" t="str">
        <f t="array" ref="E704">_xlfn.XLOOKUP($B704, DB[samplingPoint], DB[noLocation])</f>
        <v>WATER SYSTEM (B10)</v>
      </c>
      <c r="F704" s="40" t="str">
        <f t="array" ref="F704">_xlfn.XLOOKUP($B704, DB[samplingPoint], DB[building])</f>
        <v>Building 10</v>
      </c>
      <c r="G704" s="40" t="str">
        <f t="array" ref="G704">_xlfn.XLOOKUP($B704, DB[samplingPoint], DB[location])</f>
        <v>After Cartridge filter 5 µm (B10)</v>
      </c>
      <c r="H704" s="40" t="str">
        <f t="array" ref="H704">_xlfn.XLOOKUP($B704, DB[samplingPoint], DB[waterType])</f>
        <v>PRW</v>
      </c>
      <c r="I704" s="60">
        <f t="shared" si="1"/>
        <v>45994</v>
      </c>
      <c r="J704" s="192">
        <f t="shared" si="2"/>
        <v>45997</v>
      </c>
      <c r="K704" s="32">
        <v>0.0</v>
      </c>
      <c r="L704" s="32">
        <v>0.0</v>
      </c>
      <c r="M704" s="32">
        <f t="shared" si="3"/>
        <v>0</v>
      </c>
      <c r="N704" s="32" t="s">
        <v>376</v>
      </c>
      <c r="O704" s="32">
        <v>500.0</v>
      </c>
      <c r="P704" s="50" t="str">
        <f t="shared" si="6"/>
        <v>PASSED</v>
      </c>
      <c r="Q704" s="50" t="str">
        <f t="shared" si="5"/>
        <v>WA</v>
      </c>
    </row>
    <row r="705" ht="22.5" customHeight="1">
      <c r="A705" s="26">
        <v>45993.0</v>
      </c>
      <c r="B705" s="32" t="s">
        <v>368</v>
      </c>
      <c r="C705" s="191" t="str">
        <f t="array" ref="C705">_xlfn.XLOOKUP(B705, DB[samplingPoint], DB[samplingTag])</f>
        <v>V50-11C(10)</v>
      </c>
      <c r="D705" s="33" t="s">
        <v>59</v>
      </c>
      <c r="E705" s="39" t="str">
        <f t="array" ref="E705">_xlfn.XLOOKUP($B705, DB[samplingPoint], DB[noLocation])</f>
        <v>WATER SYSTEM (B10)</v>
      </c>
      <c r="F705" s="40" t="str">
        <f t="array" ref="F705">_xlfn.XLOOKUP($B705, DB[samplingPoint], DB[building])</f>
        <v>Building 10</v>
      </c>
      <c r="G705" s="40" t="str">
        <f t="array" ref="G705">_xlfn.XLOOKUP($B705, DB[samplingPoint], DB[location])</f>
        <v>After RO (Before EDI) (B10)</v>
      </c>
      <c r="H705" s="40" t="str">
        <f t="array" ref="H705">_xlfn.XLOOKUP($B705, DB[samplingPoint], DB[waterType])</f>
        <v>RO water</v>
      </c>
      <c r="I705" s="60">
        <f t="shared" si="1"/>
        <v>45994</v>
      </c>
      <c r="J705" s="192">
        <f t="shared" si="2"/>
        <v>45997</v>
      </c>
      <c r="K705" s="32">
        <v>0.0</v>
      </c>
      <c r="L705" s="32">
        <v>0.0</v>
      </c>
      <c r="M705" s="32">
        <f t="shared" si="3"/>
        <v>0</v>
      </c>
      <c r="N705" s="32" t="s">
        <v>376</v>
      </c>
      <c r="O705" s="32">
        <v>100.0</v>
      </c>
      <c r="P705" s="50" t="str">
        <f t="shared" si="6"/>
        <v>PASSED</v>
      </c>
      <c r="Q705" s="50" t="str">
        <f t="shared" si="5"/>
        <v>WA</v>
      </c>
    </row>
    <row r="706" ht="22.5" customHeight="1">
      <c r="A706" s="26">
        <v>45993.0</v>
      </c>
      <c r="B706" s="32" t="s">
        <v>374</v>
      </c>
      <c r="C706" s="191" t="str">
        <f t="array" ref="C706">_xlfn.XLOOKUP(B706, DB[samplingPoint], DB[samplingTag])</f>
        <v>V50-39(10)</v>
      </c>
      <c r="D706" s="33" t="s">
        <v>59</v>
      </c>
      <c r="E706" s="39" t="str">
        <f t="array" ref="E706">_xlfn.XLOOKUP($B706, DB[samplingPoint], DB[noLocation])</f>
        <v>WATER SYSTEM (B10)</v>
      </c>
      <c r="F706" s="40" t="str">
        <f t="array" ref="F706">_xlfn.XLOOKUP($B706, DB[samplingPoint], DB[building])</f>
        <v>Building 10</v>
      </c>
      <c r="G706" s="40" t="str">
        <f t="array" ref="G706">_xlfn.XLOOKUP($B706, DB[samplingPoint], DB[location])</f>
        <v>After EDI (B10)</v>
      </c>
      <c r="H706" s="40" t="str">
        <f t="array" ref="H706">_xlfn.XLOOKUP($B706, DB[samplingPoint], DB[waterType])</f>
        <v>PW</v>
      </c>
      <c r="I706" s="60">
        <f t="shared" si="1"/>
        <v>45994</v>
      </c>
      <c r="J706" s="192">
        <f t="shared" si="2"/>
        <v>45997</v>
      </c>
      <c r="K706" s="32">
        <v>0.0</v>
      </c>
      <c r="L706" s="32">
        <v>0.0</v>
      </c>
      <c r="M706" s="32">
        <f t="shared" si="3"/>
        <v>0</v>
      </c>
      <c r="N706" s="32" t="s">
        <v>376</v>
      </c>
      <c r="O706" s="32">
        <v>100.0</v>
      </c>
      <c r="P706" s="50" t="str">
        <f t="shared" si="6"/>
        <v>PASSED</v>
      </c>
      <c r="Q706" s="50" t="str">
        <f t="shared" si="5"/>
        <v>WA</v>
      </c>
    </row>
    <row r="707" ht="22.5" customHeight="1">
      <c r="A707" s="26">
        <v>45993.0</v>
      </c>
      <c r="B707" s="32" t="s">
        <v>390</v>
      </c>
      <c r="C707" s="191" t="str">
        <f t="array" ref="C707">_xlfn.XLOOKUP(B707, DB[samplingPoint], DB[samplingTag])</f>
        <v>SV117.01</v>
      </c>
      <c r="D707" s="33" t="s">
        <v>59</v>
      </c>
      <c r="E707" s="39" t="str">
        <f t="array" ref="E707">_xlfn.XLOOKUP($B707, DB[samplingPoint], DB[noLocation])</f>
        <v>WATER SYSTEM (B10)</v>
      </c>
      <c r="F707" s="40" t="str">
        <f t="array" ref="F707">_xlfn.XLOOKUP($B707, DB[samplingPoint], DB[building])</f>
        <v>Building 10</v>
      </c>
      <c r="G707" s="40" t="str">
        <f t="array" ref="G707">_xlfn.XLOOKUP($B707, DB[samplingPoint], DB[location])</f>
        <v>Return loop (B10)</v>
      </c>
      <c r="H707" s="40" t="str">
        <f t="array" ref="H707">_xlfn.XLOOKUP($B707, DB[samplingPoint], DB[waterType])</f>
        <v>PW</v>
      </c>
      <c r="I707" s="60">
        <f t="shared" si="1"/>
        <v>45994</v>
      </c>
      <c r="J707" s="192">
        <f t="shared" si="2"/>
        <v>45997</v>
      </c>
      <c r="K707" s="32">
        <v>0.0</v>
      </c>
      <c r="L707" s="32">
        <v>0.0</v>
      </c>
      <c r="M707" s="32">
        <f t="shared" si="3"/>
        <v>0</v>
      </c>
      <c r="N707" s="32" t="s">
        <v>376</v>
      </c>
      <c r="O707" s="32">
        <v>100.0</v>
      </c>
      <c r="P707" s="50" t="str">
        <f t="shared" si="6"/>
        <v>PASSED</v>
      </c>
      <c r="Q707" s="50" t="str">
        <f t="shared" si="5"/>
        <v>WA</v>
      </c>
    </row>
    <row r="708" ht="22.5" customHeight="1">
      <c r="A708" s="26">
        <v>45993.0</v>
      </c>
      <c r="B708" s="32" t="s">
        <v>489</v>
      </c>
      <c r="C708" s="191" t="str">
        <f t="array" ref="C708">_xlfn.XLOOKUP(B708, DB[samplingPoint], DB[samplingTag])</f>
        <v>DV116.18</v>
      </c>
      <c r="D708" s="33" t="s">
        <v>59</v>
      </c>
      <c r="E708" s="39" t="str">
        <f t="array" ref="E708">_xlfn.XLOOKUP($B708, DB[samplingPoint], DB[noLocation])</f>
        <v>10-3-111</v>
      </c>
      <c r="F708" s="40" t="str">
        <f t="array" ref="F708">_xlfn.XLOOKUP($B708, DB[samplingPoint], DB[building])</f>
        <v>Building 10</v>
      </c>
      <c r="G708" s="40" t="str">
        <f t="array" ref="G708">_xlfn.XLOOKUP($B708, DB[samplingPoint], DB[location])</f>
        <v>WET GRANULATION-5</v>
      </c>
      <c r="H708" s="40" t="str">
        <f t="array" ref="H708">_xlfn.XLOOKUP($B708, DB[samplingPoint], DB[waterType])</f>
        <v>PW</v>
      </c>
      <c r="I708" s="60">
        <f t="shared" si="1"/>
        <v>45994</v>
      </c>
      <c r="J708" s="192">
        <f t="shared" si="2"/>
        <v>45997</v>
      </c>
      <c r="K708" s="32">
        <v>0.0</v>
      </c>
      <c r="L708" s="32">
        <v>0.0</v>
      </c>
      <c r="M708" s="32">
        <f t="shared" si="3"/>
        <v>0</v>
      </c>
      <c r="N708" s="32" t="s">
        <v>376</v>
      </c>
      <c r="O708" s="32">
        <v>100.0</v>
      </c>
      <c r="P708" s="50" t="str">
        <f t="shared" si="6"/>
        <v>PASSED</v>
      </c>
      <c r="Q708" s="50" t="str">
        <f t="shared" si="5"/>
        <v>10</v>
      </c>
    </row>
    <row r="709" ht="22.5" customHeight="1">
      <c r="A709" s="26">
        <v>45993.0</v>
      </c>
      <c r="B709" s="32" t="s">
        <v>485</v>
      </c>
      <c r="C709" s="191" t="str">
        <f t="array" ref="C709">_xlfn.XLOOKUP(B709, DB[samplingPoint], DB[samplingTag])</f>
        <v>DV116.16</v>
      </c>
      <c r="D709" s="33" t="s">
        <v>59</v>
      </c>
      <c r="E709" s="39" t="str">
        <f t="array" ref="E709">_xlfn.XLOOKUP($B709, DB[samplingPoint], DB[noLocation])</f>
        <v>10-3-107</v>
      </c>
      <c r="F709" s="40" t="str">
        <f t="array" ref="F709">_xlfn.XLOOKUP($B709, DB[samplingPoint], DB[building])</f>
        <v>Building 10</v>
      </c>
      <c r="G709" s="40" t="str">
        <f t="array" ref="G709">_xlfn.XLOOKUP($B709, DB[samplingPoint], DB[location])</f>
        <v>WET GRANULATION-2</v>
      </c>
      <c r="H709" s="40" t="str">
        <f t="array" ref="H709">_xlfn.XLOOKUP($B709, DB[samplingPoint], DB[waterType])</f>
        <v>PW</v>
      </c>
      <c r="I709" s="60">
        <f t="shared" si="1"/>
        <v>45994</v>
      </c>
      <c r="J709" s="192">
        <f t="shared" si="2"/>
        <v>45997</v>
      </c>
      <c r="K709" s="32">
        <v>0.0</v>
      </c>
      <c r="L709" s="32">
        <v>0.0</v>
      </c>
      <c r="M709" s="32">
        <f t="shared" si="3"/>
        <v>0</v>
      </c>
      <c r="N709" s="32" t="s">
        <v>376</v>
      </c>
      <c r="O709" s="32">
        <v>100.0</v>
      </c>
      <c r="P709" s="50" t="str">
        <f t="shared" si="6"/>
        <v>PASSED</v>
      </c>
      <c r="Q709" s="50" t="str">
        <f t="shared" si="5"/>
        <v>10</v>
      </c>
    </row>
    <row r="710" ht="22.5" customHeight="1">
      <c r="A710" s="26">
        <v>45993.0</v>
      </c>
      <c r="B710" s="32" t="s">
        <v>492</v>
      </c>
      <c r="C710" s="191" t="str">
        <f t="array" ref="C710">_xlfn.XLOOKUP(B710, DB[samplingPoint], DB[samplingTag])</f>
        <v>SV116.11</v>
      </c>
      <c r="D710" s="33" t="s">
        <v>59</v>
      </c>
      <c r="E710" s="39" t="str">
        <f t="array" ref="E710">_xlfn.XLOOKUP($B710, DB[samplingPoint], DB[noLocation])</f>
        <v>10-3-107</v>
      </c>
      <c r="F710" s="40" t="str">
        <f t="array" ref="F710">_xlfn.XLOOKUP($B710, DB[samplingPoint], DB[building])</f>
        <v>Building 10</v>
      </c>
      <c r="G710" s="40" t="str">
        <f t="array" ref="G710">_xlfn.XLOOKUP($B710, DB[samplingPoint], DB[location])</f>
        <v>WET GRANULATION-2</v>
      </c>
      <c r="H710" s="40" t="str">
        <f t="array" ref="H710">_xlfn.XLOOKUP($B710, DB[samplingPoint], DB[waterType])</f>
        <v>PW</v>
      </c>
      <c r="I710" s="60">
        <f t="shared" si="1"/>
        <v>45994</v>
      </c>
      <c r="J710" s="192">
        <f t="shared" si="2"/>
        <v>45997</v>
      </c>
      <c r="K710" s="32">
        <v>0.0</v>
      </c>
      <c r="L710" s="32">
        <v>0.0</v>
      </c>
      <c r="M710" s="32">
        <f t="shared" si="3"/>
        <v>0</v>
      </c>
      <c r="N710" s="32" t="s">
        <v>376</v>
      </c>
      <c r="O710" s="32">
        <v>100.0</v>
      </c>
      <c r="P710" s="50" t="str">
        <f t="shared" si="6"/>
        <v>PASSED</v>
      </c>
      <c r="Q710" s="50" t="str">
        <f t="shared" si="5"/>
        <v>10</v>
      </c>
    </row>
    <row r="711" ht="22.5" customHeight="1">
      <c r="A711" s="26">
        <v>45993.0</v>
      </c>
      <c r="B711" s="32" t="s">
        <v>482</v>
      </c>
      <c r="C711" s="191" t="str">
        <f t="array" ref="C711">_xlfn.XLOOKUP(B711, DB[samplingPoint], DB[samplingTag])</f>
        <v>DV116.14</v>
      </c>
      <c r="D711" s="33" t="s">
        <v>59</v>
      </c>
      <c r="E711" s="39" t="str">
        <f t="array" ref="E711">_xlfn.XLOOKUP($B711, DB[samplingPoint], DB[noLocation])</f>
        <v>10-3-086</v>
      </c>
      <c r="F711" s="40" t="str">
        <f t="array" ref="F711">_xlfn.XLOOKUP($B711, DB[samplingPoint], DB[building])</f>
        <v>Building 10</v>
      </c>
      <c r="G711" s="40" t="str">
        <f t="array" ref="G711">_xlfn.XLOOKUP($B711, DB[samplingPoint], DB[location])</f>
        <v>TOOL WASHING</v>
      </c>
      <c r="H711" s="40" t="str">
        <f t="array" ref="H711">_xlfn.XLOOKUP($B711, DB[samplingPoint], DB[waterType])</f>
        <v>PW</v>
      </c>
      <c r="I711" s="60">
        <f t="shared" si="1"/>
        <v>45994</v>
      </c>
      <c r="J711" s="192">
        <f t="shared" si="2"/>
        <v>45997</v>
      </c>
      <c r="K711" s="32">
        <v>0.0</v>
      </c>
      <c r="L711" s="32">
        <v>0.0</v>
      </c>
      <c r="M711" s="32">
        <f t="shared" si="3"/>
        <v>0</v>
      </c>
      <c r="N711" s="32" t="s">
        <v>376</v>
      </c>
      <c r="O711" s="32">
        <v>100.0</v>
      </c>
      <c r="P711" s="50" t="str">
        <f t="shared" si="6"/>
        <v>PASSED</v>
      </c>
      <c r="Q711" s="50" t="str">
        <f t="shared" si="5"/>
        <v>10</v>
      </c>
    </row>
    <row r="712" ht="22.5" customHeight="1">
      <c r="A712" s="26">
        <v>45993.0</v>
      </c>
      <c r="B712" s="32" t="s">
        <v>490</v>
      </c>
      <c r="C712" s="191" t="str">
        <f t="array" ref="C712">_xlfn.XLOOKUP(B712, DB[samplingPoint], DB[samplingTag])</f>
        <v>SV116.09</v>
      </c>
      <c r="D712" s="33" t="s">
        <v>59</v>
      </c>
      <c r="E712" s="39" t="str">
        <f t="array" ref="E712">_xlfn.XLOOKUP($B712, DB[samplingPoint], DB[noLocation])</f>
        <v>10-3-078</v>
      </c>
      <c r="F712" s="40" t="str">
        <f t="array" ref="F712">_xlfn.XLOOKUP($B712, DB[samplingPoint], DB[building])</f>
        <v>Building 10</v>
      </c>
      <c r="G712" s="40" t="str">
        <f t="array" ref="G712">_xlfn.XLOOKUP($B712, DB[samplingPoint], DB[location])</f>
        <v>WASHING</v>
      </c>
      <c r="H712" s="40" t="str">
        <f t="array" ref="H712">_xlfn.XLOOKUP($B712, DB[samplingPoint], DB[waterType])</f>
        <v>PW</v>
      </c>
      <c r="I712" s="60">
        <f t="shared" si="1"/>
        <v>45994</v>
      </c>
      <c r="J712" s="192">
        <f t="shared" si="2"/>
        <v>45997</v>
      </c>
      <c r="K712" s="32">
        <v>0.0</v>
      </c>
      <c r="L712" s="32">
        <v>0.0</v>
      </c>
      <c r="M712" s="32">
        <f t="shared" si="3"/>
        <v>0</v>
      </c>
      <c r="N712" s="32" t="s">
        <v>376</v>
      </c>
      <c r="O712" s="32">
        <v>100.0</v>
      </c>
      <c r="P712" s="50" t="str">
        <f t="shared" si="6"/>
        <v>PASSED</v>
      </c>
      <c r="Q712" s="50" t="str">
        <f t="shared" si="5"/>
        <v>10</v>
      </c>
    </row>
    <row r="713" ht="22.5" customHeight="1">
      <c r="A713" s="26">
        <v>45993.0</v>
      </c>
      <c r="B713" s="32" t="s">
        <v>479</v>
      </c>
      <c r="C713" s="191" t="str">
        <f t="array" ref="C713">_xlfn.XLOOKUP(B713, DB[samplingPoint], DB[samplingTag])</f>
        <v>DV116.13</v>
      </c>
      <c r="D713" s="33" t="s">
        <v>59</v>
      </c>
      <c r="E713" s="39" t="str">
        <f t="array" ref="E713">_xlfn.XLOOKUP($B713, DB[samplingPoint], DB[noLocation])</f>
        <v>10-3-078</v>
      </c>
      <c r="F713" s="40" t="str">
        <f t="array" ref="F713">_xlfn.XLOOKUP($B713, DB[samplingPoint], DB[building])</f>
        <v>Building 10</v>
      </c>
      <c r="G713" s="40" t="str">
        <f t="array" ref="G713">_xlfn.XLOOKUP($B713, DB[samplingPoint], DB[location])</f>
        <v>WASHING</v>
      </c>
      <c r="H713" s="40" t="str">
        <f t="array" ref="H713">_xlfn.XLOOKUP($B713, DB[samplingPoint], DB[waterType])</f>
        <v>PW</v>
      </c>
      <c r="I713" s="60">
        <f t="shared" si="1"/>
        <v>45994</v>
      </c>
      <c r="J713" s="192">
        <f t="shared" si="2"/>
        <v>45997</v>
      </c>
      <c r="K713" s="32">
        <v>0.0</v>
      </c>
      <c r="L713" s="32">
        <v>0.0</v>
      </c>
      <c r="M713" s="32">
        <f t="shared" si="3"/>
        <v>0</v>
      </c>
      <c r="N713" s="32" t="s">
        <v>376</v>
      </c>
      <c r="O713" s="32">
        <v>100.0</v>
      </c>
      <c r="P713" s="50" t="str">
        <f t="shared" si="6"/>
        <v>PASSED</v>
      </c>
      <c r="Q713" s="50" t="str">
        <f t="shared" si="5"/>
        <v>10</v>
      </c>
    </row>
    <row r="714" ht="22.5" customHeight="1">
      <c r="A714" s="26">
        <v>45993.0</v>
      </c>
      <c r="B714" s="32" t="s">
        <v>488</v>
      </c>
      <c r="C714" s="191" t="str">
        <f t="array" ref="C714">_xlfn.XLOOKUP(B714, DB[samplingPoint], DB[samplingTag])</f>
        <v>DV116.17</v>
      </c>
      <c r="D714" s="33" t="s">
        <v>59</v>
      </c>
      <c r="E714" s="39" t="str">
        <f t="array" ref="E714">_xlfn.XLOOKUP($B714, DB[samplingPoint], DB[noLocation])</f>
        <v>10-3-117</v>
      </c>
      <c r="F714" s="40" t="str">
        <f t="array" ref="F714">_xlfn.XLOOKUP($B714, DB[samplingPoint], DB[building])</f>
        <v>Building 10</v>
      </c>
      <c r="G714" s="40" t="str">
        <f t="array" ref="G714">_xlfn.XLOOKUP($B714, DB[samplingPoint], DB[location])</f>
        <v>IPQC-2</v>
      </c>
      <c r="H714" s="40" t="str">
        <f t="array" ref="H714">_xlfn.XLOOKUP($B714, DB[samplingPoint], DB[waterType])</f>
        <v>PW</v>
      </c>
      <c r="I714" s="60">
        <f t="shared" si="1"/>
        <v>45994</v>
      </c>
      <c r="J714" s="192">
        <f t="shared" si="2"/>
        <v>45997</v>
      </c>
      <c r="K714" s="32">
        <v>0.0</v>
      </c>
      <c r="L714" s="32">
        <v>0.0</v>
      </c>
      <c r="M714" s="32">
        <f t="shared" si="3"/>
        <v>0</v>
      </c>
      <c r="N714" s="32" t="s">
        <v>376</v>
      </c>
      <c r="O714" s="32">
        <v>100.0</v>
      </c>
      <c r="P714" s="50" t="str">
        <f t="shared" si="6"/>
        <v>PASSED</v>
      </c>
      <c r="Q714" s="50" t="str">
        <f t="shared" si="5"/>
        <v>10</v>
      </c>
    </row>
    <row r="715" ht="22.5" customHeight="1">
      <c r="A715" s="26">
        <v>45993.0</v>
      </c>
      <c r="B715" s="32" t="s">
        <v>119</v>
      </c>
      <c r="C715" s="191" t="str">
        <f t="array" ref="C715">_xlfn.XLOOKUP(B715, DB[samplingPoint], DB[samplingTag])</f>
        <v>DV116.15</v>
      </c>
      <c r="D715" s="33" t="s">
        <v>59</v>
      </c>
      <c r="E715" s="39" t="str">
        <f t="array" ref="E715">_xlfn.XLOOKUP($B715, DB[samplingPoint], DB[noLocation])</f>
        <v>10-3-104</v>
      </c>
      <c r="F715" s="40" t="str">
        <f t="array" ref="F715">_xlfn.XLOOKUP($B715, DB[samplingPoint], DB[building])</f>
        <v>Building 10</v>
      </c>
      <c r="G715" s="40" t="str">
        <f t="array" ref="G715">_xlfn.XLOOKUP($B715, DB[samplingPoint], DB[location])</f>
        <v>BINDER PREPARATION</v>
      </c>
      <c r="H715" s="40" t="str">
        <f t="array" ref="H715">_xlfn.XLOOKUP($B715, DB[samplingPoint], DB[waterType])</f>
        <v>PW</v>
      </c>
      <c r="I715" s="60">
        <f t="shared" si="1"/>
        <v>45994</v>
      </c>
      <c r="J715" s="192">
        <f t="shared" si="2"/>
        <v>45997</v>
      </c>
      <c r="K715" s="32">
        <v>0.0</v>
      </c>
      <c r="L715" s="32">
        <v>0.0</v>
      </c>
      <c r="M715" s="32">
        <f t="shared" si="3"/>
        <v>0</v>
      </c>
      <c r="N715" s="32" t="s">
        <v>376</v>
      </c>
      <c r="O715" s="32">
        <v>100.0</v>
      </c>
      <c r="P715" s="50" t="str">
        <f t="shared" si="6"/>
        <v>PASSED</v>
      </c>
      <c r="Q715" s="50" t="str">
        <f t="shared" si="5"/>
        <v>10</v>
      </c>
    </row>
    <row r="716" ht="22.5" customHeight="1">
      <c r="A716" s="26">
        <v>46003.0</v>
      </c>
      <c r="B716" s="32" t="s">
        <v>380</v>
      </c>
      <c r="C716" s="191" t="str">
        <f t="array" ref="C716">_xlfn.XLOOKUP(B716, DB[samplingPoint], DB[samplingTag])</f>
        <v>SV113.01</v>
      </c>
      <c r="D716" s="33" t="s">
        <v>59</v>
      </c>
      <c r="E716" s="39" t="str">
        <f t="array" ref="E716">_xlfn.XLOOKUP($B716, DB[samplingPoint], DB[noLocation])</f>
        <v>WATER SYSTEM (B10)</v>
      </c>
      <c r="F716" s="40" t="str">
        <f t="array" ref="F716">_xlfn.XLOOKUP($B716, DB[samplingPoint], DB[building])</f>
        <v>Building 10</v>
      </c>
      <c r="G716" s="40" t="str">
        <f t="array" ref="G716">_xlfn.XLOOKUP($B716, DB[samplingPoint], DB[location])</f>
        <v>After Storage tank (B10)</v>
      </c>
      <c r="H716" s="40" t="str">
        <f t="array" ref="H716">_xlfn.XLOOKUP($B716, DB[samplingPoint], DB[waterType])</f>
        <v>PW</v>
      </c>
      <c r="I716" s="60">
        <f t="shared" si="1"/>
        <v>46004</v>
      </c>
      <c r="J716" s="192">
        <f t="shared" si="2"/>
        <v>46007</v>
      </c>
      <c r="K716" s="32">
        <v>0.0</v>
      </c>
      <c r="L716" s="32">
        <v>0.0</v>
      </c>
      <c r="M716" s="32">
        <f t="shared" si="3"/>
        <v>0</v>
      </c>
      <c r="N716" s="32" t="s">
        <v>376</v>
      </c>
      <c r="O716" s="32">
        <v>100.0</v>
      </c>
      <c r="P716" s="50" t="str">
        <f t="shared" si="6"/>
        <v>PASSED</v>
      </c>
      <c r="Q716" s="50" t="str">
        <f t="shared" si="5"/>
        <v>WA</v>
      </c>
    </row>
    <row r="717" ht="22.5" customHeight="1">
      <c r="A717" s="26">
        <v>46003.0</v>
      </c>
      <c r="B717" s="32" t="s">
        <v>385</v>
      </c>
      <c r="C717" s="191" t="str">
        <f t="array" ref="C717">_xlfn.XLOOKUP(B717, DB[samplingPoint], DB[samplingTag])</f>
        <v>SV115.02</v>
      </c>
      <c r="D717" s="33" t="s">
        <v>59</v>
      </c>
      <c r="E717" s="39" t="str">
        <f t="array" ref="E717">_xlfn.XLOOKUP($B717, DB[samplingPoint], DB[noLocation])</f>
        <v>WATER SYSTEM (B10)</v>
      </c>
      <c r="F717" s="40" t="str">
        <f t="array" ref="F717">_xlfn.XLOOKUP($B717, DB[samplingPoint], DB[building])</f>
        <v>Building 10</v>
      </c>
      <c r="G717" s="40" t="str">
        <f t="array" ref="G717">_xlfn.XLOOKUP($B717, DB[samplingPoint], DB[location])</f>
        <v>After UV (B10)</v>
      </c>
      <c r="H717" s="40" t="str">
        <f t="array" ref="H717">_xlfn.XLOOKUP($B717, DB[samplingPoint], DB[waterType])</f>
        <v>PW</v>
      </c>
      <c r="I717" s="60">
        <f t="shared" si="1"/>
        <v>46004</v>
      </c>
      <c r="J717" s="192">
        <f t="shared" si="2"/>
        <v>46007</v>
      </c>
      <c r="K717" s="32">
        <v>0.0</v>
      </c>
      <c r="L717" s="32">
        <v>0.0</v>
      </c>
      <c r="M717" s="32">
        <f t="shared" si="3"/>
        <v>0</v>
      </c>
      <c r="N717" s="32" t="s">
        <v>376</v>
      </c>
      <c r="O717" s="32">
        <v>100.0</v>
      </c>
      <c r="P717" s="50" t="str">
        <f t="shared" si="6"/>
        <v>PASSED</v>
      </c>
      <c r="Q717" s="50" t="str">
        <f t="shared" si="5"/>
        <v>WA</v>
      </c>
    </row>
    <row r="718" ht="22.5" customHeight="1">
      <c r="A718" s="26">
        <v>46003.0</v>
      </c>
      <c r="B718" s="32" t="s">
        <v>390</v>
      </c>
      <c r="C718" s="191" t="str">
        <f t="array" ref="C718">_xlfn.XLOOKUP(B718, DB[samplingPoint], DB[samplingTag])</f>
        <v>SV117.01</v>
      </c>
      <c r="D718" s="33" t="s">
        <v>59</v>
      </c>
      <c r="E718" s="39" t="str">
        <f t="array" ref="E718">_xlfn.XLOOKUP($B718, DB[samplingPoint], DB[noLocation])</f>
        <v>WATER SYSTEM (B10)</v>
      </c>
      <c r="F718" s="40" t="str">
        <f t="array" ref="F718">_xlfn.XLOOKUP($B718, DB[samplingPoint], DB[building])</f>
        <v>Building 10</v>
      </c>
      <c r="G718" s="40" t="str">
        <f t="array" ref="G718">_xlfn.XLOOKUP($B718, DB[samplingPoint], DB[location])</f>
        <v>Return loop (B10)</v>
      </c>
      <c r="H718" s="40" t="str">
        <f t="array" ref="H718">_xlfn.XLOOKUP($B718, DB[samplingPoint], DB[waterType])</f>
        <v>PW</v>
      </c>
      <c r="I718" s="60">
        <f t="shared" si="1"/>
        <v>46004</v>
      </c>
      <c r="J718" s="192">
        <f t="shared" si="2"/>
        <v>46007</v>
      </c>
      <c r="K718" s="32">
        <v>0.0</v>
      </c>
      <c r="L718" s="32">
        <v>0.0</v>
      </c>
      <c r="M718" s="32">
        <f t="shared" si="3"/>
        <v>0</v>
      </c>
      <c r="N718" s="32" t="s">
        <v>376</v>
      </c>
      <c r="O718" s="32">
        <v>100.0</v>
      </c>
      <c r="P718" s="50" t="str">
        <f t="shared" si="6"/>
        <v>PASSED</v>
      </c>
      <c r="Q718" s="50" t="str">
        <f t="shared" si="5"/>
        <v>WA</v>
      </c>
    </row>
    <row r="719" ht="22.5" customHeight="1">
      <c r="A719" s="26">
        <v>46003.0</v>
      </c>
      <c r="B719" s="32" t="s">
        <v>536</v>
      </c>
      <c r="C719" s="191" t="str">
        <f t="array" ref="C719">_xlfn.XLOOKUP(B719, DB[samplingPoint], DB[samplingTag])</f>
        <v>SV116.05</v>
      </c>
      <c r="D719" s="33" t="s">
        <v>59</v>
      </c>
      <c r="E719" s="39" t="str">
        <f t="array" ref="E719">_xlfn.XLOOKUP($B719, DB[samplingPoint], DB[noLocation])</f>
        <v>10-3-062</v>
      </c>
      <c r="F719" s="40" t="str">
        <f t="array" ref="F719">_xlfn.XLOOKUP($B719, DB[samplingPoint], DB[building])</f>
        <v>Building 10</v>
      </c>
      <c r="G719" s="40" t="str">
        <f t="array" ref="G719">_xlfn.XLOOKUP($B719, DB[samplingPoint], DB[location])</f>
        <v>COATING ROOM-3</v>
      </c>
      <c r="H719" s="40" t="str">
        <f t="array" ref="H719">_xlfn.XLOOKUP($B719, DB[samplingPoint], DB[waterType])</f>
        <v>PW</v>
      </c>
      <c r="I719" s="60">
        <f t="shared" si="1"/>
        <v>46004</v>
      </c>
      <c r="J719" s="192">
        <f t="shared" si="2"/>
        <v>46007</v>
      </c>
      <c r="K719" s="32">
        <v>0.0</v>
      </c>
      <c r="L719" s="32">
        <v>0.0</v>
      </c>
      <c r="M719" s="32">
        <f t="shared" si="3"/>
        <v>0</v>
      </c>
      <c r="N719" s="32" t="s">
        <v>376</v>
      </c>
      <c r="O719" s="32">
        <v>100.0</v>
      </c>
      <c r="P719" s="50" t="str">
        <f t="shared" si="6"/>
        <v>PASSED</v>
      </c>
      <c r="Q719" s="50" t="str">
        <f t="shared" si="5"/>
        <v>10</v>
      </c>
    </row>
    <row r="720" ht="22.5" customHeight="1">
      <c r="A720" s="26">
        <v>46003.0</v>
      </c>
      <c r="B720" s="32" t="s">
        <v>535</v>
      </c>
      <c r="C720" s="191" t="str">
        <f t="array" ref="C720">_xlfn.XLOOKUP(B720, DB[samplingPoint], DB[samplingTag])</f>
        <v>SV116.04</v>
      </c>
      <c r="D720" s="33" t="s">
        <v>59</v>
      </c>
      <c r="E720" s="39" t="str">
        <f t="array" ref="E720">_xlfn.XLOOKUP($B720, DB[samplingPoint], DB[noLocation])</f>
        <v>10-3-061</v>
      </c>
      <c r="F720" s="40" t="str">
        <f t="array" ref="F720">_xlfn.XLOOKUP($B720, DB[samplingPoint], DB[building])</f>
        <v>Building 10</v>
      </c>
      <c r="G720" s="40" t="str">
        <f t="array" ref="G720">_xlfn.XLOOKUP($B720, DB[samplingPoint], DB[location])</f>
        <v>COATING ROOM-2</v>
      </c>
      <c r="H720" s="40" t="str">
        <f t="array" ref="H720">_xlfn.XLOOKUP($B720, DB[samplingPoint], DB[waterType])</f>
        <v>PW</v>
      </c>
      <c r="I720" s="60">
        <f t="shared" si="1"/>
        <v>46004</v>
      </c>
      <c r="J720" s="192">
        <f t="shared" si="2"/>
        <v>46007</v>
      </c>
      <c r="K720" s="32">
        <v>0.0</v>
      </c>
      <c r="L720" s="32">
        <v>0.0</v>
      </c>
      <c r="M720" s="32">
        <f t="shared" si="3"/>
        <v>0</v>
      </c>
      <c r="N720" s="32" t="s">
        <v>376</v>
      </c>
      <c r="O720" s="32">
        <v>100.0</v>
      </c>
      <c r="P720" s="50" t="str">
        <f t="shared" si="6"/>
        <v>PASSED</v>
      </c>
      <c r="Q720" s="50" t="str">
        <f t="shared" si="5"/>
        <v>10</v>
      </c>
    </row>
    <row r="721" ht="22.5" customHeight="1">
      <c r="A721" s="26">
        <v>46003.0</v>
      </c>
      <c r="B721" s="32" t="s">
        <v>529</v>
      </c>
      <c r="C721" s="191" t="str">
        <f t="array" ref="C721">_xlfn.XLOOKUP(B721, DB[samplingPoint], DB[samplingTag])</f>
        <v>DV116.09</v>
      </c>
      <c r="D721" s="33" t="s">
        <v>59</v>
      </c>
      <c r="E721" s="39" t="str">
        <f t="array" ref="E721">_xlfn.XLOOKUP($B721, DB[samplingPoint], DB[noLocation])</f>
        <v>10-3-060</v>
      </c>
      <c r="F721" s="40" t="str">
        <f t="array" ref="F721">_xlfn.XLOOKUP($B721, DB[samplingPoint], DB[building])</f>
        <v>Building 10</v>
      </c>
      <c r="G721" s="40" t="str">
        <f t="array" ref="G721">_xlfn.XLOOKUP($B721, DB[samplingPoint], DB[location])</f>
        <v>COATING SOLUTION PREP.-2</v>
      </c>
      <c r="H721" s="40" t="str">
        <f t="array" ref="H721">_xlfn.XLOOKUP($B721, DB[samplingPoint], DB[waterType])</f>
        <v>PW</v>
      </c>
      <c r="I721" s="60">
        <f t="shared" si="1"/>
        <v>46004</v>
      </c>
      <c r="J721" s="192">
        <f t="shared" si="2"/>
        <v>46007</v>
      </c>
      <c r="K721" s="32">
        <v>0.0</v>
      </c>
      <c r="L721" s="32">
        <v>0.0</v>
      </c>
      <c r="M721" s="32">
        <f t="shared" si="3"/>
        <v>0</v>
      </c>
      <c r="N721" s="32" t="s">
        <v>376</v>
      </c>
      <c r="O721" s="32">
        <v>100.0</v>
      </c>
      <c r="P721" s="50" t="str">
        <f t="shared" si="6"/>
        <v>PASSED</v>
      </c>
      <c r="Q721" s="50" t="str">
        <f t="shared" si="5"/>
        <v>10</v>
      </c>
    </row>
    <row r="722" ht="22.5" customHeight="1">
      <c r="A722" s="26">
        <v>46003.0</v>
      </c>
      <c r="B722" s="32" t="s">
        <v>528</v>
      </c>
      <c r="C722" s="191" t="str">
        <f t="array" ref="C722">_xlfn.XLOOKUP(B722, DB[samplingPoint], DB[samplingTag])</f>
        <v>DV116.08</v>
      </c>
      <c r="D722" s="33" t="s">
        <v>59</v>
      </c>
      <c r="E722" s="39" t="str">
        <f t="array" ref="E722">_xlfn.XLOOKUP($B722, DB[samplingPoint], DB[noLocation])</f>
        <v>10-3-059</v>
      </c>
      <c r="F722" s="40" t="str">
        <f t="array" ref="F722">_xlfn.XLOOKUP($B722, DB[samplingPoint], DB[building])</f>
        <v>Building 10</v>
      </c>
      <c r="G722" s="40" t="str">
        <f t="array" ref="G722">_xlfn.XLOOKUP($B722, DB[samplingPoint], DB[location])</f>
        <v>COATING SOLUTION PREP.-1</v>
      </c>
      <c r="H722" s="40" t="str">
        <f t="array" ref="H722">_xlfn.XLOOKUP($B722, DB[samplingPoint], DB[waterType])</f>
        <v>PW</v>
      </c>
      <c r="I722" s="60">
        <f t="shared" si="1"/>
        <v>46004</v>
      </c>
      <c r="J722" s="192">
        <f t="shared" si="2"/>
        <v>46007</v>
      </c>
      <c r="K722" s="32">
        <v>0.0</v>
      </c>
      <c r="L722" s="32">
        <v>0.0</v>
      </c>
      <c r="M722" s="32">
        <f t="shared" si="3"/>
        <v>0</v>
      </c>
      <c r="N722" s="32" t="s">
        <v>376</v>
      </c>
      <c r="O722" s="32">
        <v>100.0</v>
      </c>
      <c r="P722" s="50" t="str">
        <f t="shared" si="6"/>
        <v>PASSED</v>
      </c>
      <c r="Q722" s="50" t="str">
        <f t="shared" si="5"/>
        <v>10</v>
      </c>
    </row>
    <row r="723" ht="22.5" customHeight="1">
      <c r="A723" s="26">
        <v>46003.0</v>
      </c>
      <c r="B723" s="32" t="s">
        <v>534</v>
      </c>
      <c r="C723" s="191" t="str">
        <f t="array" ref="C723">_xlfn.XLOOKUP(B723, DB[samplingPoint], DB[samplingTag])</f>
        <v>SV116.03</v>
      </c>
      <c r="D723" s="33" t="s">
        <v>59</v>
      </c>
      <c r="E723" s="39" t="str">
        <f t="array" ref="E723">_xlfn.XLOOKUP($B723, DB[samplingPoint], DB[noLocation])</f>
        <v>10-3-058</v>
      </c>
      <c r="F723" s="40" t="str">
        <f t="array" ref="F723">_xlfn.XLOOKUP($B723, DB[samplingPoint], DB[building])</f>
        <v>Building 10</v>
      </c>
      <c r="G723" s="40" t="str">
        <f t="array" ref="G723">_xlfn.XLOOKUP($B723, DB[samplingPoint], DB[location])</f>
        <v>COATING ROOM-1</v>
      </c>
      <c r="H723" s="40" t="str">
        <f t="array" ref="H723">_xlfn.XLOOKUP($B723, DB[samplingPoint], DB[waterType])</f>
        <v>PW</v>
      </c>
      <c r="I723" s="60">
        <f t="shared" si="1"/>
        <v>46004</v>
      </c>
      <c r="J723" s="192">
        <f t="shared" si="2"/>
        <v>46007</v>
      </c>
      <c r="K723" s="32">
        <v>0.0</v>
      </c>
      <c r="L723" s="32">
        <v>0.0</v>
      </c>
      <c r="M723" s="32">
        <f t="shared" si="3"/>
        <v>0</v>
      </c>
      <c r="N723" s="32" t="s">
        <v>376</v>
      </c>
      <c r="O723" s="32">
        <v>100.0</v>
      </c>
      <c r="P723" s="50" t="str">
        <f t="shared" si="6"/>
        <v>PASSED</v>
      </c>
      <c r="Q723" s="50" t="str">
        <f t="shared" si="5"/>
        <v>10</v>
      </c>
    </row>
    <row r="724" ht="22.5" customHeight="1">
      <c r="A724" s="26">
        <v>46003.0</v>
      </c>
      <c r="B724" s="32" t="s">
        <v>541</v>
      </c>
      <c r="C724" s="191" t="str">
        <f t="array" ref="C724">_xlfn.XLOOKUP(B724, DB[samplingPoint], DB[samplingTag])</f>
        <v>SV116.08</v>
      </c>
      <c r="D724" s="33" t="s">
        <v>59</v>
      </c>
      <c r="E724" s="39" t="str">
        <f t="array" ref="E724">_xlfn.XLOOKUP($B724, DB[samplingPoint], DB[noLocation])</f>
        <v>10-3-067</v>
      </c>
      <c r="F724" s="40" t="str">
        <f t="array" ref="F724">_xlfn.XLOOKUP($B724, DB[samplingPoint], DB[building])</f>
        <v>Building 10</v>
      </c>
      <c r="G724" s="40" t="str">
        <f t="array" ref="G724">_xlfn.XLOOKUP($B724, DB[samplingPoint], DB[location])</f>
        <v>COATING ROOM-6</v>
      </c>
      <c r="H724" s="40" t="str">
        <f t="array" ref="H724">_xlfn.XLOOKUP($B724, DB[samplingPoint], DB[waterType])</f>
        <v>PW</v>
      </c>
      <c r="I724" s="60">
        <f t="shared" si="1"/>
        <v>46004</v>
      </c>
      <c r="J724" s="192">
        <f t="shared" si="2"/>
        <v>46007</v>
      </c>
      <c r="K724" s="32">
        <v>0.0</v>
      </c>
      <c r="L724" s="32">
        <v>0.0</v>
      </c>
      <c r="M724" s="32">
        <f t="shared" si="3"/>
        <v>0</v>
      </c>
      <c r="N724" s="32" t="s">
        <v>376</v>
      </c>
      <c r="O724" s="32">
        <v>100.0</v>
      </c>
      <c r="P724" s="50" t="str">
        <f t="shared" si="6"/>
        <v>PASSED</v>
      </c>
      <c r="Q724" s="50" t="str">
        <f t="shared" si="5"/>
        <v>10</v>
      </c>
    </row>
    <row r="725" ht="22.5" customHeight="1">
      <c r="A725" s="26">
        <v>46003.0</v>
      </c>
      <c r="B725" s="32" t="s">
        <v>532</v>
      </c>
      <c r="C725" s="191" t="str">
        <f t="array" ref="C725">_xlfn.XLOOKUP(B725, DB[samplingPoint], DB[samplingTag])</f>
        <v>DV116.11</v>
      </c>
      <c r="D725" s="33" t="s">
        <v>59</v>
      </c>
      <c r="E725" s="39" t="str">
        <f t="array" ref="E725">_xlfn.XLOOKUP($B725, DB[samplingPoint], DB[noLocation])</f>
        <v>10-3-066</v>
      </c>
      <c r="F725" s="40" t="str">
        <f t="array" ref="F725">_xlfn.XLOOKUP($B725, DB[samplingPoint], DB[building])</f>
        <v>Building 10</v>
      </c>
      <c r="G725" s="40" t="str">
        <f t="array" ref="G725">_xlfn.XLOOKUP($B725, DB[samplingPoint], DB[location])</f>
        <v>COATING SOLUTION PREP.-4</v>
      </c>
      <c r="H725" s="40" t="str">
        <f t="array" ref="H725">_xlfn.XLOOKUP($B725, DB[samplingPoint], DB[waterType])</f>
        <v>PW</v>
      </c>
      <c r="I725" s="60">
        <f t="shared" si="1"/>
        <v>46004</v>
      </c>
      <c r="J725" s="192">
        <f t="shared" si="2"/>
        <v>46007</v>
      </c>
      <c r="K725" s="32">
        <v>0.0</v>
      </c>
      <c r="L725" s="32">
        <v>0.0</v>
      </c>
      <c r="M725" s="32">
        <f t="shared" si="3"/>
        <v>0</v>
      </c>
      <c r="N725" s="32" t="s">
        <v>376</v>
      </c>
      <c r="O725" s="32">
        <v>100.0</v>
      </c>
      <c r="P725" s="50" t="str">
        <f t="shared" si="6"/>
        <v>PASSED</v>
      </c>
      <c r="Q725" s="50" t="str">
        <f t="shared" si="5"/>
        <v>10</v>
      </c>
    </row>
    <row r="726" ht="22.5" customHeight="1">
      <c r="A726" s="26">
        <v>46003.0</v>
      </c>
      <c r="B726" s="32" t="s">
        <v>531</v>
      </c>
      <c r="C726" s="191" t="str">
        <f t="array" ref="C726">_xlfn.XLOOKUP(B726, DB[samplingPoint], DB[samplingTag])</f>
        <v>DV116.10</v>
      </c>
      <c r="D726" s="33" t="s">
        <v>59</v>
      </c>
      <c r="E726" s="39" t="str">
        <f t="array" ref="E726">_xlfn.XLOOKUP($B726, DB[samplingPoint], DB[noLocation])</f>
        <v>10-3-065</v>
      </c>
      <c r="F726" s="40" t="str">
        <f t="array" ref="F726">_xlfn.XLOOKUP($B726, DB[samplingPoint], DB[building])</f>
        <v>Building 10</v>
      </c>
      <c r="G726" s="40" t="str">
        <f t="array" ref="G726">_xlfn.XLOOKUP($B726, DB[samplingPoint], DB[location])</f>
        <v>COATING SOLUTION PREP.-3</v>
      </c>
      <c r="H726" s="40" t="str">
        <f t="array" ref="H726">_xlfn.XLOOKUP($B726, DB[samplingPoint], DB[waterType])</f>
        <v>PW</v>
      </c>
      <c r="I726" s="60">
        <f t="shared" si="1"/>
        <v>46004</v>
      </c>
      <c r="J726" s="192">
        <f t="shared" si="2"/>
        <v>46007</v>
      </c>
      <c r="K726" s="32">
        <v>0.0</v>
      </c>
      <c r="L726" s="32">
        <v>0.0</v>
      </c>
      <c r="M726" s="32">
        <f t="shared" si="3"/>
        <v>0</v>
      </c>
      <c r="N726" s="32" t="s">
        <v>376</v>
      </c>
      <c r="O726" s="32">
        <v>100.0</v>
      </c>
      <c r="P726" s="50" t="str">
        <f t="shared" si="6"/>
        <v>PASSED</v>
      </c>
      <c r="Q726" s="50" t="str">
        <f t="shared" si="5"/>
        <v>10</v>
      </c>
    </row>
    <row r="727" ht="22.5" customHeight="1">
      <c r="A727" s="26">
        <v>46003.0</v>
      </c>
      <c r="B727" s="32" t="s">
        <v>539</v>
      </c>
      <c r="C727" s="191" t="str">
        <f t="array" ref="C727">_xlfn.XLOOKUP(B727, DB[samplingPoint], DB[samplingTag])</f>
        <v>SV116.07</v>
      </c>
      <c r="D727" s="33" t="s">
        <v>59</v>
      </c>
      <c r="E727" s="39" t="str">
        <f t="array" ref="E727">_xlfn.XLOOKUP($B727, DB[samplingPoint], DB[noLocation])</f>
        <v>10-3-064</v>
      </c>
      <c r="F727" s="40" t="str">
        <f t="array" ref="F727">_xlfn.XLOOKUP($B727, DB[samplingPoint], DB[building])</f>
        <v>Building 10</v>
      </c>
      <c r="G727" s="40" t="str">
        <f t="array" ref="G727">_xlfn.XLOOKUP($B727, DB[samplingPoint], DB[location])</f>
        <v>COATING ROOM-5</v>
      </c>
      <c r="H727" s="40" t="str">
        <f t="array" ref="H727">_xlfn.XLOOKUP($B727, DB[samplingPoint], DB[waterType])</f>
        <v>PW</v>
      </c>
      <c r="I727" s="60">
        <f t="shared" si="1"/>
        <v>46004</v>
      </c>
      <c r="J727" s="192">
        <f t="shared" si="2"/>
        <v>46007</v>
      </c>
      <c r="K727" s="32">
        <v>0.0</v>
      </c>
      <c r="L727" s="32">
        <v>0.0</v>
      </c>
      <c r="M727" s="32">
        <f t="shared" si="3"/>
        <v>0</v>
      </c>
      <c r="N727" s="32" t="s">
        <v>376</v>
      </c>
      <c r="O727" s="32">
        <v>100.0</v>
      </c>
      <c r="P727" s="50" t="str">
        <f t="shared" si="6"/>
        <v>PASSED</v>
      </c>
      <c r="Q727" s="50" t="str">
        <f t="shared" si="5"/>
        <v>10</v>
      </c>
    </row>
    <row r="728" ht="22.5" customHeight="1">
      <c r="A728" s="26">
        <v>46003.0</v>
      </c>
      <c r="B728" s="32" t="s">
        <v>538</v>
      </c>
      <c r="C728" s="191" t="str">
        <f t="array" ref="C728">_xlfn.XLOOKUP(B728, DB[samplingPoint], DB[samplingTag])</f>
        <v>SV116.06</v>
      </c>
      <c r="D728" s="33" t="s">
        <v>59</v>
      </c>
      <c r="E728" s="39" t="str">
        <f t="array" ref="E728">_xlfn.XLOOKUP($B728, DB[samplingPoint], DB[noLocation])</f>
        <v>10-3-063</v>
      </c>
      <c r="F728" s="40" t="str">
        <f t="array" ref="F728">_xlfn.XLOOKUP($B728, DB[samplingPoint], DB[building])</f>
        <v>Building 10</v>
      </c>
      <c r="G728" s="40" t="str">
        <f t="array" ref="G728">_xlfn.XLOOKUP($B728, DB[samplingPoint], DB[location])</f>
        <v>COATING ROOM-4</v>
      </c>
      <c r="H728" s="40" t="str">
        <f t="array" ref="H728">_xlfn.XLOOKUP($B728, DB[samplingPoint], DB[waterType])</f>
        <v>PW</v>
      </c>
      <c r="I728" s="60">
        <f t="shared" si="1"/>
        <v>46004</v>
      </c>
      <c r="J728" s="192">
        <f t="shared" si="2"/>
        <v>46007</v>
      </c>
      <c r="K728" s="32">
        <v>0.0</v>
      </c>
      <c r="L728" s="32">
        <v>0.0</v>
      </c>
      <c r="M728" s="32">
        <f t="shared" si="3"/>
        <v>0</v>
      </c>
      <c r="N728" s="32" t="s">
        <v>376</v>
      </c>
      <c r="O728" s="32">
        <v>100.0</v>
      </c>
      <c r="P728" s="50" t="str">
        <f t="shared" si="6"/>
        <v>PASSED</v>
      </c>
      <c r="Q728" s="50" t="str">
        <f t="shared" si="5"/>
        <v>10</v>
      </c>
    </row>
    <row r="729" ht="22.5" customHeight="1">
      <c r="A729" s="26">
        <v>46003.0</v>
      </c>
      <c r="B729" s="32" t="s">
        <v>520</v>
      </c>
      <c r="C729" s="191" t="str">
        <f t="array" ref="C729">_xlfn.XLOOKUP(B729, DB[samplingPoint], DB[samplingTag])</f>
        <v>DV116.03</v>
      </c>
      <c r="D729" s="33" t="s">
        <v>59</v>
      </c>
      <c r="E729" s="39" t="str">
        <f t="array" ref="E729">_xlfn.XLOOKUP($B729, DB[samplingPoint], DB[noLocation])</f>
        <v>10-2-034</v>
      </c>
      <c r="F729" s="40" t="str">
        <f t="array" ref="F729">_xlfn.XLOOKUP($B729, DB[samplingPoint], DB[building])</f>
        <v>Building 10</v>
      </c>
      <c r="G729" s="40" t="str">
        <f t="array" ref="G729">_xlfn.XLOOKUP($B729, DB[samplingPoint], DB[location])</f>
        <v>SAMPLE PREPARATION</v>
      </c>
      <c r="H729" s="40" t="str">
        <f t="array" ref="H729">_xlfn.XLOOKUP($B729, DB[samplingPoint], DB[waterType])</f>
        <v>PW</v>
      </c>
      <c r="I729" s="60">
        <f t="shared" si="1"/>
        <v>46004</v>
      </c>
      <c r="J729" s="192">
        <f t="shared" si="2"/>
        <v>46007</v>
      </c>
      <c r="K729" s="32">
        <v>0.0</v>
      </c>
      <c r="L729" s="32">
        <v>0.0</v>
      </c>
      <c r="M729" s="32">
        <f t="shared" si="3"/>
        <v>0</v>
      </c>
      <c r="N729" s="32" t="s">
        <v>376</v>
      </c>
      <c r="O729" s="32">
        <v>100.0</v>
      </c>
      <c r="P729" s="50" t="str">
        <f t="shared" si="6"/>
        <v>PASSED</v>
      </c>
      <c r="Q729" s="50" t="str">
        <f t="shared" si="5"/>
        <v>10</v>
      </c>
    </row>
    <row r="730" ht="22.5" customHeight="1">
      <c r="A730" s="26">
        <v>46003.0</v>
      </c>
      <c r="B730" s="32" t="s">
        <v>526</v>
      </c>
      <c r="C730" s="191" t="str">
        <f t="array" ref="C730">_xlfn.XLOOKUP(B730, DB[samplingPoint], DB[samplingTag])</f>
        <v>DV116.06</v>
      </c>
      <c r="D730" s="33" t="s">
        <v>59</v>
      </c>
      <c r="E730" s="39" t="str">
        <f t="array" ref="E730">_xlfn.XLOOKUP($B730, DB[samplingPoint], DB[noLocation])</f>
        <v>10-2-034</v>
      </c>
      <c r="F730" s="40" t="str">
        <f t="array" ref="F730">_xlfn.XLOOKUP($B730, DB[samplingPoint], DB[building])</f>
        <v>Building 10</v>
      </c>
      <c r="G730" s="40" t="str">
        <f t="array" ref="G730">_xlfn.XLOOKUP($B730, DB[samplingPoint], DB[location])</f>
        <v>SAMPLE PREPARATION</v>
      </c>
      <c r="H730" s="40" t="str">
        <f t="array" ref="H730">_xlfn.XLOOKUP($B730, DB[samplingPoint], DB[waterType])</f>
        <v>PW</v>
      </c>
      <c r="I730" s="60">
        <f t="shared" si="1"/>
        <v>46004</v>
      </c>
      <c r="J730" s="192">
        <f t="shared" si="2"/>
        <v>46007</v>
      </c>
      <c r="K730" s="32">
        <v>0.0</v>
      </c>
      <c r="L730" s="32">
        <v>0.0</v>
      </c>
      <c r="M730" s="32">
        <f t="shared" si="3"/>
        <v>0</v>
      </c>
      <c r="N730" s="32" t="s">
        <v>376</v>
      </c>
      <c r="O730" s="32">
        <v>100.0</v>
      </c>
      <c r="P730" s="50" t="str">
        <f t="shared" si="6"/>
        <v>PASSED</v>
      </c>
      <c r="Q730" s="50" t="str">
        <f t="shared" si="5"/>
        <v>10</v>
      </c>
    </row>
    <row r="731" ht="22.5" customHeight="1">
      <c r="A731" s="26">
        <v>46003.0</v>
      </c>
      <c r="B731" s="32" t="s">
        <v>527</v>
      </c>
      <c r="C731" s="191" t="str">
        <f t="array" ref="C731">_xlfn.XLOOKUP(B731, DB[samplingPoint], DB[samplingTag])</f>
        <v>DV116.07</v>
      </c>
      <c r="D731" s="33" t="s">
        <v>59</v>
      </c>
      <c r="E731" s="39" t="str">
        <f t="array" ref="E731">_xlfn.XLOOKUP($B731, DB[samplingPoint], DB[noLocation])</f>
        <v>10-2-032</v>
      </c>
      <c r="F731" s="40" t="str">
        <f t="array" ref="F731">_xlfn.XLOOKUP($B731, DB[samplingPoint], DB[building])</f>
        <v>Building 10</v>
      </c>
      <c r="G731" s="40" t="str">
        <f t="array" ref="G731">_xlfn.XLOOKUP($B731, DB[samplingPoint], DB[location])</f>
        <v>GLASS-WARE WASHING</v>
      </c>
      <c r="H731" s="40" t="str">
        <f t="array" ref="H731">_xlfn.XLOOKUP($B731, DB[samplingPoint], DB[waterType])</f>
        <v>PW</v>
      </c>
      <c r="I731" s="60">
        <f t="shared" si="1"/>
        <v>46004</v>
      </c>
      <c r="J731" s="192">
        <f t="shared" si="2"/>
        <v>46007</v>
      </c>
      <c r="K731" s="32">
        <v>0.0</v>
      </c>
      <c r="L731" s="32">
        <v>0.0</v>
      </c>
      <c r="M731" s="32">
        <f t="shared" si="3"/>
        <v>0</v>
      </c>
      <c r="N731" s="32" t="s">
        <v>376</v>
      </c>
      <c r="O731" s="32">
        <v>100.0</v>
      </c>
      <c r="P731" s="50" t="str">
        <f t="shared" si="6"/>
        <v>PASSED</v>
      </c>
      <c r="Q731" s="50" t="str">
        <f t="shared" si="5"/>
        <v>10</v>
      </c>
    </row>
    <row r="732" ht="22.5" customHeight="1">
      <c r="A732" s="26">
        <v>46003.0</v>
      </c>
      <c r="B732" s="32" t="s">
        <v>524</v>
      </c>
      <c r="C732" s="191" t="str">
        <f t="array" ref="C732">_xlfn.XLOOKUP(B732, DB[samplingPoint], DB[samplingTag])</f>
        <v>DV116.05</v>
      </c>
      <c r="D732" s="33" t="s">
        <v>59</v>
      </c>
      <c r="E732" s="39" t="str">
        <f t="array" ref="E732">_xlfn.XLOOKUP($B732, DB[samplingPoint], DB[noLocation])</f>
        <v>10-2-032</v>
      </c>
      <c r="F732" s="40" t="str">
        <f t="array" ref="F732">_xlfn.XLOOKUP($B732, DB[samplingPoint], DB[building])</f>
        <v>Building 10</v>
      </c>
      <c r="G732" s="40" t="str">
        <f t="array" ref="G732">_xlfn.XLOOKUP($B732, DB[samplingPoint], DB[location])</f>
        <v>GLASS-WARE WASHING</v>
      </c>
      <c r="H732" s="40" t="str">
        <f t="array" ref="H732">_xlfn.XLOOKUP($B732, DB[samplingPoint], DB[waterType])</f>
        <v>PW</v>
      </c>
      <c r="I732" s="60">
        <f t="shared" si="1"/>
        <v>46004</v>
      </c>
      <c r="J732" s="192">
        <f t="shared" si="2"/>
        <v>46007</v>
      </c>
      <c r="K732" s="32">
        <v>0.0</v>
      </c>
      <c r="L732" s="32">
        <v>0.0</v>
      </c>
      <c r="M732" s="32">
        <f t="shared" si="3"/>
        <v>0</v>
      </c>
      <c r="N732" s="32" t="s">
        <v>376</v>
      </c>
      <c r="O732" s="32">
        <v>100.0</v>
      </c>
      <c r="P732" s="50" t="str">
        <f t="shared" si="6"/>
        <v>PASSED</v>
      </c>
      <c r="Q732" s="50" t="str">
        <f t="shared" si="5"/>
        <v>10</v>
      </c>
    </row>
    <row r="733" ht="22.5" customHeight="1">
      <c r="A733" s="26">
        <v>46003.0</v>
      </c>
      <c r="B733" s="32" t="s">
        <v>522</v>
      </c>
      <c r="C733" s="191" t="str">
        <f t="array" ref="C733">_xlfn.XLOOKUP(B733, DB[samplingPoint], DB[samplingTag])</f>
        <v>DV116.04</v>
      </c>
      <c r="D733" s="33" t="s">
        <v>59</v>
      </c>
      <c r="E733" s="39" t="str">
        <f t="array" ref="E733">_xlfn.XLOOKUP($B733, DB[samplingPoint], DB[noLocation])</f>
        <v>10-2-037</v>
      </c>
      <c r="F733" s="40" t="str">
        <f t="array" ref="F733">_xlfn.XLOOKUP($B733, DB[samplingPoint], DB[building])</f>
        <v>Building 10</v>
      </c>
      <c r="G733" s="40" t="str">
        <f t="array" ref="G733">_xlfn.XLOOKUP($B733, DB[samplingPoint], DB[location])</f>
        <v>SKID FOR BIN WASHING-1</v>
      </c>
      <c r="H733" s="40" t="str">
        <f t="array" ref="H733">_xlfn.XLOOKUP($B733, DB[samplingPoint], DB[waterType])</f>
        <v>PW</v>
      </c>
      <c r="I733" s="60">
        <f t="shared" si="1"/>
        <v>46004</v>
      </c>
      <c r="J733" s="192">
        <f t="shared" si="2"/>
        <v>46007</v>
      </c>
      <c r="K733" s="32">
        <v>0.0</v>
      </c>
      <c r="L733" s="32">
        <v>0.0</v>
      </c>
      <c r="M733" s="32">
        <f t="shared" si="3"/>
        <v>0</v>
      </c>
      <c r="N733" s="32" t="s">
        <v>376</v>
      </c>
      <c r="O733" s="32">
        <v>100.0</v>
      </c>
      <c r="P733" s="50" t="str">
        <f t="shared" si="6"/>
        <v>PASSED</v>
      </c>
      <c r="Q733" s="50" t="str">
        <f t="shared" si="5"/>
        <v>10</v>
      </c>
    </row>
    <row r="734" ht="22.5" customHeight="1">
      <c r="A734" s="26">
        <v>46006.0</v>
      </c>
      <c r="B734" s="32" t="s">
        <v>469</v>
      </c>
      <c r="C734" s="191" t="str">
        <f t="array" ref="C734">_xlfn.XLOOKUP(B734, DB[samplingPoint], DB[samplingTag])</f>
        <v>SV125.02</v>
      </c>
      <c r="D734" s="33" t="s">
        <v>3</v>
      </c>
      <c r="E734" s="39" t="str">
        <f t="array" ref="E734">_xlfn.XLOOKUP($B734, DB[samplingPoint], DB[noLocation])</f>
        <v>WATER SYSTEM (B16)</v>
      </c>
      <c r="F734" s="40" t="str">
        <f t="array" ref="F734">_xlfn.XLOOKUP($B734, DB[samplingPoint], DB[building])</f>
        <v>Building 16</v>
      </c>
      <c r="G734" s="40" t="str">
        <f t="array" ref="G734">_xlfn.XLOOKUP($B734, DB[samplingPoint], DB[location])</f>
        <v>After UV (B16)</v>
      </c>
      <c r="H734" s="40" t="str">
        <f t="array" ref="H734">_xlfn.XLOOKUP($B734, DB[samplingPoint], DB[waterType])</f>
        <v>PW</v>
      </c>
      <c r="I734" s="60">
        <f t="shared" si="1"/>
        <v>46007</v>
      </c>
      <c r="J734" s="192">
        <f t="shared" si="2"/>
        <v>46010</v>
      </c>
      <c r="K734" s="32">
        <v>0.0</v>
      </c>
      <c r="L734" s="32">
        <v>0.0</v>
      </c>
      <c r="M734" s="32">
        <f t="shared" si="3"/>
        <v>0</v>
      </c>
      <c r="N734" s="32" t="s">
        <v>376</v>
      </c>
      <c r="O734" s="32">
        <v>100.0</v>
      </c>
      <c r="P734" s="50" t="str">
        <f t="shared" si="6"/>
        <v>PASSED</v>
      </c>
      <c r="Q734" s="50" t="str">
        <f t="shared" si="5"/>
        <v>WA</v>
      </c>
    </row>
    <row r="735" ht="22.5" customHeight="1">
      <c r="A735" s="26">
        <v>46006.0</v>
      </c>
      <c r="B735" s="32" t="s">
        <v>464</v>
      </c>
      <c r="C735" s="191" t="str">
        <f t="array" ref="C735">_xlfn.XLOOKUP(B735, DB[samplingPoint], DB[samplingTag])</f>
        <v>SV127.01</v>
      </c>
      <c r="D735" s="33" t="s">
        <v>3</v>
      </c>
      <c r="E735" s="39" t="str">
        <f t="array" ref="E735">_xlfn.XLOOKUP($B735, DB[samplingPoint], DB[noLocation])</f>
        <v>WATER SYSTEM (B16)</v>
      </c>
      <c r="F735" s="40" t="str">
        <f t="array" ref="F735">_xlfn.XLOOKUP($B735, DB[samplingPoint], DB[building])</f>
        <v>Building 16</v>
      </c>
      <c r="G735" s="40" t="str">
        <f t="array" ref="G735">_xlfn.XLOOKUP($B735, DB[samplingPoint], DB[location])</f>
        <v>Return loop (B16)</v>
      </c>
      <c r="H735" s="40" t="str">
        <f t="array" ref="H735">_xlfn.XLOOKUP($B735, DB[samplingPoint], DB[waterType])</f>
        <v>PW</v>
      </c>
      <c r="I735" s="60">
        <f t="shared" si="1"/>
        <v>46007</v>
      </c>
      <c r="J735" s="192">
        <f t="shared" si="2"/>
        <v>46010</v>
      </c>
      <c r="K735" s="32">
        <v>0.0</v>
      </c>
      <c r="L735" s="32">
        <v>0.0</v>
      </c>
      <c r="M735" s="32">
        <f t="shared" si="3"/>
        <v>0</v>
      </c>
      <c r="N735" s="32" t="s">
        <v>376</v>
      </c>
      <c r="O735" s="32">
        <v>100.0</v>
      </c>
      <c r="P735" s="50" t="str">
        <f t="shared" si="6"/>
        <v>PASSED</v>
      </c>
      <c r="Q735" s="50" t="str">
        <f t="shared" si="5"/>
        <v>WA</v>
      </c>
    </row>
    <row r="736" ht="22.5" customHeight="1">
      <c r="A736" s="26">
        <v>46006.0</v>
      </c>
      <c r="B736" s="32" t="s">
        <v>451</v>
      </c>
      <c r="C736" s="191" t="str">
        <f t="array" ref="C736">_xlfn.XLOOKUP(B736, DB[samplingPoint], DB[samplingTag])</f>
        <v>DV126.02</v>
      </c>
      <c r="D736" s="33" t="s">
        <v>3</v>
      </c>
      <c r="E736" s="39" t="str">
        <f t="array" ref="E736">_xlfn.XLOOKUP($B736, DB[samplingPoint], DB[noLocation])</f>
        <v>16-1-082</v>
      </c>
      <c r="F736" s="40" t="str">
        <f t="array" ref="F736">_xlfn.XLOOKUP($B736, DB[samplingPoint], DB[building])</f>
        <v>Building 16</v>
      </c>
      <c r="G736" s="40" t="str">
        <f t="array" ref="G736">_xlfn.XLOOKUP($B736, DB[samplingPoint], DB[location])</f>
        <v>WASHING</v>
      </c>
      <c r="H736" s="40" t="str">
        <f t="array" ref="H736">_xlfn.XLOOKUP($B736, DB[samplingPoint], DB[waterType])</f>
        <v>PW</v>
      </c>
      <c r="I736" s="60">
        <f t="shared" si="1"/>
        <v>46007</v>
      </c>
      <c r="J736" s="192">
        <f t="shared" si="2"/>
        <v>46010</v>
      </c>
      <c r="K736" s="32">
        <v>0.0</v>
      </c>
      <c r="L736" s="32">
        <v>0.0</v>
      </c>
      <c r="M736" s="32">
        <f t="shared" si="3"/>
        <v>0</v>
      </c>
      <c r="N736" s="32" t="s">
        <v>376</v>
      </c>
      <c r="O736" s="32">
        <v>100.0</v>
      </c>
      <c r="P736" s="50" t="str">
        <f t="shared" si="6"/>
        <v>PASSED</v>
      </c>
      <c r="Q736" s="50" t="str">
        <f t="shared" si="5"/>
        <v>16</v>
      </c>
    </row>
    <row r="737" ht="22.5" customHeight="1">
      <c r="A737" s="26">
        <v>46006.0</v>
      </c>
      <c r="B737" s="32" t="s">
        <v>447</v>
      </c>
      <c r="C737" s="191" t="str">
        <f t="array" ref="C737">_xlfn.XLOOKUP(B737, DB[samplingPoint], DB[samplingTag])</f>
        <v>DV126.01</v>
      </c>
      <c r="D737" s="33" t="s">
        <v>3</v>
      </c>
      <c r="E737" s="39" t="str">
        <f t="array" ref="E737">_xlfn.XLOOKUP($B737, DB[samplingPoint], DB[noLocation])</f>
        <v>16-1-082</v>
      </c>
      <c r="F737" s="40" t="str">
        <f t="array" ref="F737">_xlfn.XLOOKUP($B737, DB[samplingPoint], DB[building])</f>
        <v>Building 16</v>
      </c>
      <c r="G737" s="40" t="str">
        <f t="array" ref="G737">_xlfn.XLOOKUP($B737, DB[samplingPoint], DB[location])</f>
        <v>WASHING</v>
      </c>
      <c r="H737" s="40" t="str">
        <f t="array" ref="H737">_xlfn.XLOOKUP($B737, DB[samplingPoint], DB[waterType])</f>
        <v>PW</v>
      </c>
      <c r="I737" s="60">
        <f t="shared" si="1"/>
        <v>46007</v>
      </c>
      <c r="J737" s="192">
        <f t="shared" si="2"/>
        <v>46010</v>
      </c>
      <c r="K737" s="32">
        <v>0.0</v>
      </c>
      <c r="L737" s="32">
        <v>0.0</v>
      </c>
      <c r="M737" s="32">
        <f t="shared" si="3"/>
        <v>0</v>
      </c>
      <c r="N737" s="32" t="s">
        <v>376</v>
      </c>
      <c r="O737" s="32">
        <v>100.0</v>
      </c>
      <c r="P737" s="50" t="str">
        <f t="shared" si="6"/>
        <v>PASSED</v>
      </c>
      <c r="Q737" s="50" t="str">
        <f t="shared" si="5"/>
        <v>16</v>
      </c>
    </row>
    <row r="738" ht="22.5" customHeight="1">
      <c r="A738" s="26">
        <v>46006.0</v>
      </c>
      <c r="B738" s="32" t="s">
        <v>459</v>
      </c>
      <c r="C738" s="191" t="str">
        <f t="array" ref="C738">_xlfn.XLOOKUP(B738, DB[samplingPoint], DB[samplingTag])</f>
        <v>SV126.02</v>
      </c>
      <c r="D738" s="33" t="s">
        <v>3</v>
      </c>
      <c r="E738" s="39" t="str">
        <f t="array" ref="E738">_xlfn.XLOOKUP($B738, DB[samplingPoint], DB[noLocation])</f>
        <v>16-1-098</v>
      </c>
      <c r="F738" s="40" t="str">
        <f t="array" ref="F738">_xlfn.XLOOKUP($B738, DB[samplingPoint], DB[building])</f>
        <v>Building 16</v>
      </c>
      <c r="G738" s="40" t="str">
        <f t="array" ref="G738">_xlfn.XLOOKUP($B738, DB[samplingPoint], DB[location])</f>
        <v>CIP/SIP (EQUIPMENT REQUIREMENT – 200L)</v>
      </c>
      <c r="H738" s="40" t="str">
        <f t="array" ref="H738">_xlfn.XLOOKUP($B738, DB[samplingPoint], DB[waterType])</f>
        <v>PW</v>
      </c>
      <c r="I738" s="60">
        <f t="shared" si="1"/>
        <v>46007</v>
      </c>
      <c r="J738" s="192">
        <f t="shared" si="2"/>
        <v>46010</v>
      </c>
      <c r="K738" s="32">
        <v>0.0</v>
      </c>
      <c r="L738" s="32">
        <v>0.0</v>
      </c>
      <c r="M738" s="32">
        <f t="shared" si="3"/>
        <v>0</v>
      </c>
      <c r="N738" s="32" t="s">
        <v>376</v>
      </c>
      <c r="O738" s="32">
        <v>100.0</v>
      </c>
      <c r="P738" s="50" t="str">
        <f t="shared" si="6"/>
        <v>PASSED</v>
      </c>
      <c r="Q738" s="50" t="str">
        <f t="shared" si="5"/>
        <v>16</v>
      </c>
    </row>
    <row r="739" ht="22.5" customHeight="1">
      <c r="A739" s="26">
        <v>46006.0</v>
      </c>
      <c r="B739" s="32" t="s">
        <v>454</v>
      </c>
      <c r="C739" s="191" t="str">
        <f t="array" ref="C739">_xlfn.XLOOKUP(B739, DB[samplingPoint], DB[samplingTag])</f>
        <v>DV126.03</v>
      </c>
      <c r="D739" s="33" t="s">
        <v>3</v>
      </c>
      <c r="E739" s="39" t="str">
        <f t="array" ref="E739">_xlfn.XLOOKUP($B739, DB[samplingPoint], DB[noLocation])</f>
        <v>16-1-098</v>
      </c>
      <c r="F739" s="40" t="str">
        <f t="array" ref="F739">_xlfn.XLOOKUP($B739, DB[samplingPoint], DB[building])</f>
        <v>Building 16</v>
      </c>
      <c r="G739" s="40" t="str">
        <f t="array" ref="G739">_xlfn.XLOOKUP($B739, DB[samplingPoint], DB[location])</f>
        <v>CIP/SIP (SINK WASHING)</v>
      </c>
      <c r="H739" s="40" t="str">
        <f t="array" ref="H739">_xlfn.XLOOKUP($B739, DB[samplingPoint], DB[waterType])</f>
        <v>PW</v>
      </c>
      <c r="I739" s="60">
        <f t="shared" si="1"/>
        <v>46007</v>
      </c>
      <c r="J739" s="192">
        <f t="shared" si="2"/>
        <v>46010</v>
      </c>
      <c r="K739" s="32">
        <v>0.0</v>
      </c>
      <c r="L739" s="32">
        <v>0.0</v>
      </c>
      <c r="M739" s="32">
        <f t="shared" si="3"/>
        <v>0</v>
      </c>
      <c r="N739" s="32" t="s">
        <v>376</v>
      </c>
      <c r="O739" s="32">
        <v>100.0</v>
      </c>
      <c r="P739" s="50" t="str">
        <f t="shared" si="6"/>
        <v>PASSED</v>
      </c>
      <c r="Q739" s="50" t="str">
        <f t="shared" si="5"/>
        <v>16</v>
      </c>
    </row>
    <row r="740" ht="22.5" customHeight="1">
      <c r="A740" s="26">
        <v>46006.0</v>
      </c>
      <c r="B740" s="32" t="s">
        <v>457</v>
      </c>
      <c r="C740" s="191" t="str">
        <f t="array" ref="C740">_xlfn.XLOOKUP(B740, DB[samplingPoint], DB[samplingTag])</f>
        <v>SV126.01</v>
      </c>
      <c r="D740" s="33" t="s">
        <v>3</v>
      </c>
      <c r="E740" s="39" t="str">
        <f t="array" ref="E740">_xlfn.XLOOKUP($B740, DB[samplingPoint], DB[noLocation])</f>
        <v>16-1-092</v>
      </c>
      <c r="F740" s="40" t="str">
        <f t="array" ref="F740">_xlfn.XLOOKUP($B740, DB[samplingPoint], DB[building])</f>
        <v>Building 16</v>
      </c>
      <c r="G740" s="40" t="str">
        <f t="array" ref="G740">_xlfn.XLOOKUP($B740, DB[samplingPoint], DB[location])</f>
        <v>LINEN WASHING</v>
      </c>
      <c r="H740" s="40" t="str">
        <f t="array" ref="H740">_xlfn.XLOOKUP($B740, DB[samplingPoint], DB[waterType])</f>
        <v>PW</v>
      </c>
      <c r="I740" s="60">
        <f t="shared" si="1"/>
        <v>46007</v>
      </c>
      <c r="J740" s="192">
        <f t="shared" si="2"/>
        <v>46010</v>
      </c>
      <c r="K740" s="32">
        <v>0.0</v>
      </c>
      <c r="L740" s="32">
        <v>0.0</v>
      </c>
      <c r="M740" s="32">
        <f t="shared" si="3"/>
        <v>0</v>
      </c>
      <c r="N740" s="32" t="s">
        <v>376</v>
      </c>
      <c r="O740" s="32">
        <v>100.0</v>
      </c>
      <c r="P740" s="50" t="str">
        <f t="shared" si="6"/>
        <v>PASSED</v>
      </c>
      <c r="Q740" s="50" t="str">
        <f t="shared" si="5"/>
        <v>16</v>
      </c>
    </row>
    <row r="741" ht="22.5" customHeight="1">
      <c r="A741" s="26">
        <v>46007.0</v>
      </c>
      <c r="B741" s="32" t="s">
        <v>474</v>
      </c>
      <c r="C741" s="191" t="str">
        <f t="array" ref="C741">_xlfn.XLOOKUP(B741, DB[samplingPoint], DB[samplingTag])</f>
        <v>DV126.11</v>
      </c>
      <c r="D741" s="33" t="s">
        <v>3</v>
      </c>
      <c r="E741" s="39" t="str">
        <f t="array" ref="E741">_xlfn.XLOOKUP($B741, DB[samplingPoint], DB[noLocation])</f>
        <v>16-3-073</v>
      </c>
      <c r="F741" s="40" t="str">
        <f t="array" ref="F741">_xlfn.XLOOKUP($B741, DB[samplingPoint], DB[building])</f>
        <v>Building 16</v>
      </c>
      <c r="G741" s="40" t="str">
        <f t="array" ref="G741">_xlfn.XLOOKUP($B741, DB[samplingPoint], DB[location])</f>
        <v>MFG 4 (5000L)</v>
      </c>
      <c r="H741" s="40" t="str">
        <f t="array" ref="H741">_xlfn.XLOOKUP($B741, DB[samplingPoint], DB[waterType])</f>
        <v>PW</v>
      </c>
      <c r="I741" s="60">
        <f t="shared" si="1"/>
        <v>46008</v>
      </c>
      <c r="J741" s="192">
        <f t="shared" si="2"/>
        <v>46011</v>
      </c>
      <c r="K741" s="32">
        <v>0.0</v>
      </c>
      <c r="L741" s="32">
        <v>0.0</v>
      </c>
      <c r="M741" s="32">
        <f t="shared" si="3"/>
        <v>0</v>
      </c>
      <c r="N741" s="32" t="s">
        <v>376</v>
      </c>
      <c r="O741" s="32">
        <v>100.0</v>
      </c>
      <c r="P741" s="50" t="str">
        <f t="shared" si="6"/>
        <v>PASSED</v>
      </c>
      <c r="Q741" s="50" t="str">
        <f t="shared" si="5"/>
        <v>16</v>
      </c>
    </row>
    <row r="742" ht="22.5" customHeight="1">
      <c r="A742" s="26">
        <v>46007.0</v>
      </c>
      <c r="B742" s="32" t="s">
        <v>481</v>
      </c>
      <c r="C742" s="191" t="str">
        <f t="array" ref="C742">_xlfn.XLOOKUP(B742, DB[samplingPoint], DB[samplingTag])</f>
        <v>SV126.15</v>
      </c>
      <c r="D742" s="33" t="s">
        <v>3</v>
      </c>
      <c r="E742" s="39" t="str">
        <f t="array" ref="E742">_xlfn.XLOOKUP($B742, DB[samplingPoint], DB[noLocation])</f>
        <v>16-3-075</v>
      </c>
      <c r="F742" s="40" t="str">
        <f t="array" ref="F742">_xlfn.XLOOKUP($B742, DB[samplingPoint], DB[building])</f>
        <v>Building 16</v>
      </c>
      <c r="G742" s="40" t="str">
        <f t="array" ref="G742">_xlfn.XLOOKUP($B742, DB[samplingPoint], DB[location])</f>
        <v>MFG 5 PROCESS (2000L)</v>
      </c>
      <c r="H742" s="40" t="str">
        <f t="array" ref="H742">_xlfn.XLOOKUP($B742, DB[samplingPoint], DB[waterType])</f>
        <v>PW</v>
      </c>
      <c r="I742" s="60">
        <f t="shared" si="1"/>
        <v>46008</v>
      </c>
      <c r="J742" s="192">
        <f t="shared" si="2"/>
        <v>46011</v>
      </c>
      <c r="K742" s="32">
        <v>0.0</v>
      </c>
      <c r="L742" s="32">
        <v>0.0</v>
      </c>
      <c r="M742" s="32">
        <f t="shared" si="3"/>
        <v>0</v>
      </c>
      <c r="N742" s="32" t="s">
        <v>376</v>
      </c>
      <c r="O742" s="32">
        <v>100.0</v>
      </c>
      <c r="P742" s="50" t="str">
        <f t="shared" si="6"/>
        <v>PASSED</v>
      </c>
      <c r="Q742" s="50" t="str">
        <f t="shared" si="5"/>
        <v>16</v>
      </c>
    </row>
    <row r="743" ht="22.5" customHeight="1">
      <c r="A743" s="26">
        <v>46007.0</v>
      </c>
      <c r="B743" s="32" t="s">
        <v>483</v>
      </c>
      <c r="C743" s="191" t="str">
        <f t="array" ref="C743">_xlfn.XLOOKUP(B743, DB[samplingPoint], DB[samplingTag])</f>
        <v>DV126.05</v>
      </c>
      <c r="D743" s="33" t="s">
        <v>3</v>
      </c>
      <c r="E743" s="39" t="str">
        <f t="array" ref="E743">_xlfn.XLOOKUP($B743, DB[samplingPoint], DB[noLocation])</f>
        <v>16-3-054</v>
      </c>
      <c r="F743" s="40" t="str">
        <f t="array" ref="F743">_xlfn.XLOOKUP($B743, DB[samplingPoint], DB[building])</f>
        <v>Building 16</v>
      </c>
      <c r="G743" s="40" t="str">
        <f t="array" ref="G743">_xlfn.XLOOKUP($B743, DB[samplingPoint], DB[location])</f>
        <v>WASHING</v>
      </c>
      <c r="H743" s="40" t="str">
        <f t="array" ref="H743">_xlfn.XLOOKUP($B743, DB[samplingPoint], DB[waterType])</f>
        <v>PW</v>
      </c>
      <c r="I743" s="60">
        <f t="shared" si="1"/>
        <v>46008</v>
      </c>
      <c r="J743" s="192">
        <f t="shared" si="2"/>
        <v>46011</v>
      </c>
      <c r="K743" s="32">
        <v>0.0</v>
      </c>
      <c r="L743" s="32">
        <v>0.0</v>
      </c>
      <c r="M743" s="32">
        <f t="shared" si="3"/>
        <v>0</v>
      </c>
      <c r="N743" s="32" t="s">
        <v>376</v>
      </c>
      <c r="O743" s="32">
        <v>100.0</v>
      </c>
      <c r="P743" s="50" t="str">
        <f t="shared" si="6"/>
        <v>PASSED</v>
      </c>
      <c r="Q743" s="50" t="str">
        <f t="shared" si="5"/>
        <v>16</v>
      </c>
    </row>
    <row r="744" ht="22.5" customHeight="1">
      <c r="A744" s="26">
        <v>46007.0</v>
      </c>
      <c r="B744" s="32" t="s">
        <v>472</v>
      </c>
      <c r="C744" s="191" t="str">
        <f t="array" ref="C744">_xlfn.XLOOKUP(B744, DB[samplingPoint], DB[samplingTag])</f>
        <v>SV126.19</v>
      </c>
      <c r="D744" s="33" t="s">
        <v>3</v>
      </c>
      <c r="E744" s="39" t="str">
        <f t="array" ref="E744">_xlfn.XLOOKUP($B744, DB[samplingPoint], DB[noLocation])</f>
        <v>16-3-087</v>
      </c>
      <c r="F744" s="40" t="str">
        <f t="array" ref="F744">_xlfn.XLOOKUP($B744, DB[samplingPoint], DB[building])</f>
        <v>Building 16</v>
      </c>
      <c r="G744" s="40" t="str">
        <f t="array" ref="G744">_xlfn.XLOOKUP($B744, DB[samplingPoint], DB[location])</f>
        <v>CIP 2 (EQUIPMENT REQUIREMENT)</v>
      </c>
      <c r="H744" s="40" t="str">
        <f t="array" ref="H744">_xlfn.XLOOKUP($B744, DB[samplingPoint], DB[waterType])</f>
        <v>PW</v>
      </c>
      <c r="I744" s="60">
        <f t="shared" si="1"/>
        <v>46008</v>
      </c>
      <c r="J744" s="192">
        <f t="shared" si="2"/>
        <v>46011</v>
      </c>
      <c r="K744" s="32">
        <v>0.0</v>
      </c>
      <c r="L744" s="32">
        <v>0.0</v>
      </c>
      <c r="M744" s="32">
        <f t="shared" si="3"/>
        <v>0</v>
      </c>
      <c r="N744" s="32" t="s">
        <v>376</v>
      </c>
      <c r="O744" s="32">
        <v>100.0</v>
      </c>
      <c r="P744" s="50" t="str">
        <f t="shared" si="6"/>
        <v>PASSED</v>
      </c>
      <c r="Q744" s="50" t="str">
        <f t="shared" si="5"/>
        <v>16</v>
      </c>
    </row>
    <row r="745" ht="22.5" customHeight="1">
      <c r="A745" s="26">
        <v>46007.0</v>
      </c>
      <c r="B745" s="32" t="s">
        <v>478</v>
      </c>
      <c r="C745" s="191" t="str">
        <f t="array" ref="C745">_xlfn.XLOOKUP(B745, DB[samplingPoint], DB[samplingTag])</f>
        <v>SV126.14</v>
      </c>
      <c r="D745" s="33" t="s">
        <v>3</v>
      </c>
      <c r="E745" s="39" t="str">
        <f t="array" ref="E745">_xlfn.XLOOKUP($B745, DB[samplingPoint], DB[noLocation])</f>
        <v>16-3-073</v>
      </c>
      <c r="F745" s="40" t="str">
        <f t="array" ref="F745">_xlfn.XLOOKUP($B745, DB[samplingPoint], DB[building])</f>
        <v>Building 16</v>
      </c>
      <c r="G745" s="40" t="str">
        <f t="array" ref="G745">_xlfn.XLOOKUP($B745, DB[samplingPoint], DB[location])</f>
        <v>MFG 4 (400L)</v>
      </c>
      <c r="H745" s="40" t="str">
        <f t="array" ref="H745">_xlfn.XLOOKUP($B745, DB[samplingPoint], DB[waterType])</f>
        <v>PW</v>
      </c>
      <c r="I745" s="60">
        <f t="shared" si="1"/>
        <v>46008</v>
      </c>
      <c r="J745" s="192">
        <f t="shared" si="2"/>
        <v>46011</v>
      </c>
      <c r="K745" s="32">
        <v>0.0</v>
      </c>
      <c r="L745" s="32">
        <v>0.0</v>
      </c>
      <c r="M745" s="32">
        <f t="shared" si="3"/>
        <v>0</v>
      </c>
      <c r="N745" s="32" t="s">
        <v>376</v>
      </c>
      <c r="O745" s="32">
        <v>100.0</v>
      </c>
      <c r="P745" s="50" t="str">
        <f t="shared" si="6"/>
        <v>PASSED</v>
      </c>
      <c r="Q745" s="50" t="str">
        <f t="shared" si="5"/>
        <v>16</v>
      </c>
    </row>
    <row r="746" ht="22.5" customHeight="1">
      <c r="A746" s="26">
        <v>46007.0</v>
      </c>
      <c r="B746" s="32" t="s">
        <v>469</v>
      </c>
      <c r="C746" s="191" t="str">
        <f t="array" ref="C746">_xlfn.XLOOKUP(B746, DB[samplingPoint], DB[samplingTag])</f>
        <v>SV125.02</v>
      </c>
      <c r="D746" s="33" t="s">
        <v>3</v>
      </c>
      <c r="E746" s="39" t="str">
        <f t="array" ref="E746">_xlfn.XLOOKUP($B746, DB[samplingPoint], DB[noLocation])</f>
        <v>WATER SYSTEM (B16)</v>
      </c>
      <c r="F746" s="40" t="str">
        <f t="array" ref="F746">_xlfn.XLOOKUP($B746, DB[samplingPoint], DB[building])</f>
        <v>Building 16</v>
      </c>
      <c r="G746" s="40" t="str">
        <f t="array" ref="G746">_xlfn.XLOOKUP($B746, DB[samplingPoint], DB[location])</f>
        <v>After UV (B16)</v>
      </c>
      <c r="H746" s="40" t="str">
        <f t="array" ref="H746">_xlfn.XLOOKUP($B746, DB[samplingPoint], DB[waterType])</f>
        <v>PW</v>
      </c>
      <c r="I746" s="60">
        <f t="shared" si="1"/>
        <v>46008</v>
      </c>
      <c r="J746" s="192">
        <f t="shared" si="2"/>
        <v>46011</v>
      </c>
      <c r="K746" s="32">
        <v>0.0</v>
      </c>
      <c r="L746" s="32">
        <v>0.0</v>
      </c>
      <c r="M746" s="32">
        <f t="shared" si="3"/>
        <v>0</v>
      </c>
      <c r="N746" s="32" t="s">
        <v>376</v>
      </c>
      <c r="O746" s="32">
        <v>100.0</v>
      </c>
      <c r="P746" s="50" t="str">
        <f t="shared" si="6"/>
        <v>PASSED</v>
      </c>
      <c r="Q746" s="50" t="str">
        <f t="shared" si="5"/>
        <v>WA</v>
      </c>
    </row>
    <row r="747" ht="22.5" customHeight="1">
      <c r="A747" s="26">
        <v>46007.0</v>
      </c>
      <c r="B747" s="32" t="s">
        <v>464</v>
      </c>
      <c r="C747" s="191" t="str">
        <f t="array" ref="C747">_xlfn.XLOOKUP(B747, DB[samplingPoint], DB[samplingTag])</f>
        <v>SV127.01</v>
      </c>
      <c r="D747" s="33" t="s">
        <v>3</v>
      </c>
      <c r="E747" s="39" t="str">
        <f t="array" ref="E747">_xlfn.XLOOKUP($B747, DB[samplingPoint], DB[noLocation])</f>
        <v>WATER SYSTEM (B16)</v>
      </c>
      <c r="F747" s="40" t="str">
        <f t="array" ref="F747">_xlfn.XLOOKUP($B747, DB[samplingPoint], DB[building])</f>
        <v>Building 16</v>
      </c>
      <c r="G747" s="40" t="str">
        <f t="array" ref="G747">_xlfn.XLOOKUP($B747, DB[samplingPoint], DB[location])</f>
        <v>Return loop (B16)</v>
      </c>
      <c r="H747" s="40" t="str">
        <f t="array" ref="H747">_xlfn.XLOOKUP($B747, DB[samplingPoint], DB[waterType])</f>
        <v>PW</v>
      </c>
      <c r="I747" s="60">
        <f t="shared" si="1"/>
        <v>46008</v>
      </c>
      <c r="J747" s="192">
        <f t="shared" si="2"/>
        <v>46011</v>
      </c>
      <c r="K747" s="32">
        <v>0.0</v>
      </c>
      <c r="L747" s="32">
        <v>0.0</v>
      </c>
      <c r="M747" s="32">
        <f t="shared" si="3"/>
        <v>0</v>
      </c>
      <c r="N747" s="32" t="s">
        <v>376</v>
      </c>
      <c r="O747" s="32">
        <v>100.0</v>
      </c>
      <c r="P747" s="50" t="str">
        <f t="shared" si="6"/>
        <v>PASSED</v>
      </c>
      <c r="Q747" s="50" t="str">
        <f t="shared" si="5"/>
        <v>WA</v>
      </c>
    </row>
    <row r="748" ht="22.5" customHeight="1">
      <c r="A748" s="26">
        <v>46007.0</v>
      </c>
      <c r="B748" s="32" t="s">
        <v>438</v>
      </c>
      <c r="C748" s="210" t="str">
        <f t="array" ref="C748">_xlfn.XLOOKUP(B748, DB[samplingPoint], DB[samplingTag])</f>
        <v>SV135.02</v>
      </c>
      <c r="D748" s="33" t="s">
        <v>56</v>
      </c>
      <c r="E748" s="39" t="str">
        <f t="array" ref="E748">_xlfn.XLOOKUP($B748, DB[samplingPoint], DB[noLocation])</f>
        <v>WATER SYSTEM (B12)</v>
      </c>
      <c r="F748" s="40" t="str">
        <f t="array" ref="F748">_xlfn.XLOOKUP($B748, DB[samplingPoint], DB[building])</f>
        <v>Building 12</v>
      </c>
      <c r="G748" s="40" t="str">
        <f t="array" ref="G748">_xlfn.XLOOKUP($B748, DB[samplingPoint], DB[location])</f>
        <v>After UV (B12)</v>
      </c>
      <c r="H748" s="40" t="str">
        <f t="array" ref="H748">_xlfn.XLOOKUP($B748, DB[samplingPoint], DB[waterType])</f>
        <v>PW</v>
      </c>
      <c r="I748" s="60">
        <f t="shared" si="1"/>
        <v>46008</v>
      </c>
      <c r="J748" s="192">
        <f t="shared" si="2"/>
        <v>46011</v>
      </c>
      <c r="K748" s="32">
        <v>0.0</v>
      </c>
      <c r="L748" s="32">
        <v>0.0</v>
      </c>
      <c r="M748" s="32">
        <f t="shared" si="3"/>
        <v>0</v>
      </c>
      <c r="N748" s="32" t="s">
        <v>376</v>
      </c>
      <c r="O748" s="32">
        <v>100.0</v>
      </c>
      <c r="P748" s="50" t="str">
        <f t="shared" si="6"/>
        <v>PASSED</v>
      </c>
      <c r="Q748" s="50" t="str">
        <f t="shared" si="5"/>
        <v>WA</v>
      </c>
    </row>
    <row r="749" ht="22.5" customHeight="1">
      <c r="A749" s="26">
        <v>46007.0</v>
      </c>
      <c r="B749" s="32" t="s">
        <v>430</v>
      </c>
      <c r="C749" s="210" t="str">
        <f t="array" ref="C749">_xlfn.XLOOKUP(B749, DB[samplingPoint], DB[samplingTag])</f>
        <v>SV137.01</v>
      </c>
      <c r="D749" s="33" t="s">
        <v>56</v>
      </c>
      <c r="E749" s="39" t="str">
        <f t="array" ref="E749">_xlfn.XLOOKUP($B749, DB[samplingPoint], DB[noLocation])</f>
        <v>WATER SYSTEM (B12)</v>
      </c>
      <c r="F749" s="40" t="str">
        <f t="array" ref="F749">_xlfn.XLOOKUP($B749, DB[samplingPoint], DB[building])</f>
        <v>Building 12</v>
      </c>
      <c r="G749" s="40" t="str">
        <f t="array" ref="G749">_xlfn.XLOOKUP($B749, DB[samplingPoint], DB[location])</f>
        <v>Return loop (B12)</v>
      </c>
      <c r="H749" s="40" t="str">
        <f t="array" ref="H749">_xlfn.XLOOKUP($B749, DB[samplingPoint], DB[waterType])</f>
        <v>PW</v>
      </c>
      <c r="I749" s="60">
        <f t="shared" si="1"/>
        <v>46008</v>
      </c>
      <c r="J749" s="192">
        <f t="shared" si="2"/>
        <v>46011</v>
      </c>
      <c r="K749" s="32">
        <v>0.0</v>
      </c>
      <c r="L749" s="32">
        <v>0.0</v>
      </c>
      <c r="M749" s="32">
        <f t="shared" si="3"/>
        <v>0</v>
      </c>
      <c r="N749" s="32" t="s">
        <v>376</v>
      </c>
      <c r="O749" s="32">
        <v>100.0</v>
      </c>
      <c r="P749" s="50" t="str">
        <f t="shared" si="6"/>
        <v>PASSED</v>
      </c>
      <c r="Q749" s="50" t="str">
        <f t="shared" si="5"/>
        <v>WA</v>
      </c>
    </row>
    <row r="750" ht="22.5" customHeight="1">
      <c r="A750" s="26">
        <v>46007.0</v>
      </c>
      <c r="B750" s="32" t="s">
        <v>548</v>
      </c>
      <c r="C750" s="210" t="str">
        <f t="array" ref="C750">_xlfn.XLOOKUP(B750, DB[samplingPoint], DB[samplingTag])</f>
        <v>DV136.17</v>
      </c>
      <c r="D750" s="33" t="s">
        <v>56</v>
      </c>
      <c r="E750" s="39" t="str">
        <f t="array" ref="E750">_xlfn.XLOOKUP($B750, DB[samplingPoint], DB[noLocation])</f>
        <v>12-2-065</v>
      </c>
      <c r="F750" s="40" t="str">
        <f t="array" ref="F750">_xlfn.XLOOKUP($B750, DB[samplingPoint], DB[building])</f>
        <v>Building 12</v>
      </c>
      <c r="G750" s="40" t="str">
        <f t="array" ref="G750">_xlfn.XLOOKUP($B750, DB[samplingPoint], DB[location])</f>
        <v>WASHING</v>
      </c>
      <c r="H750" s="40" t="str">
        <f t="array" ref="H750">_xlfn.XLOOKUP($B750, DB[samplingPoint], DB[waterType])</f>
        <v>PW</v>
      </c>
      <c r="I750" s="60">
        <f t="shared" si="1"/>
        <v>46008</v>
      </c>
      <c r="J750" s="192">
        <f t="shared" si="2"/>
        <v>46011</v>
      </c>
      <c r="K750" s="32">
        <v>0.0</v>
      </c>
      <c r="L750" s="32">
        <v>0.0</v>
      </c>
      <c r="M750" s="32">
        <f t="shared" si="3"/>
        <v>0</v>
      </c>
      <c r="N750" s="32" t="s">
        <v>376</v>
      </c>
      <c r="O750" s="32">
        <v>100.0</v>
      </c>
      <c r="P750" s="50" t="str">
        <f t="shared" si="6"/>
        <v>PASSED</v>
      </c>
      <c r="Q750" s="50" t="str">
        <f t="shared" si="5"/>
        <v>12</v>
      </c>
    </row>
    <row r="751" ht="22.5" customHeight="1">
      <c r="A751" s="26">
        <v>46007.0</v>
      </c>
      <c r="B751" s="32" t="s">
        <v>551</v>
      </c>
      <c r="C751" s="210" t="str">
        <f t="array" ref="C751">_xlfn.XLOOKUP(B751, DB[samplingPoint], DB[samplingTag])</f>
        <v>SV136.16</v>
      </c>
      <c r="D751" s="33" t="s">
        <v>56</v>
      </c>
      <c r="E751" s="39" t="str">
        <f t="array" ref="E751">_xlfn.XLOOKUP($B751, DB[samplingPoint], DB[noLocation])</f>
        <v>12-2-057</v>
      </c>
      <c r="F751" s="40" t="str">
        <f t="array" ref="F751">_xlfn.XLOOKUP($B751, DB[samplingPoint], DB[building])</f>
        <v>Building 12</v>
      </c>
      <c r="G751" s="40" t="str">
        <f t="array" ref="G751">_xlfn.XLOOKUP($B751, DB[samplingPoint], DB[location])</f>
        <v>CIP 2</v>
      </c>
      <c r="H751" s="40" t="str">
        <f t="array" ref="H751">_xlfn.XLOOKUP($B751, DB[samplingPoint], DB[waterType])</f>
        <v>PW</v>
      </c>
      <c r="I751" s="60">
        <f t="shared" si="1"/>
        <v>46008</v>
      </c>
      <c r="J751" s="192">
        <f t="shared" si="2"/>
        <v>46011</v>
      </c>
      <c r="K751" s="32">
        <v>0.0</v>
      </c>
      <c r="L751" s="32">
        <v>0.0</v>
      </c>
      <c r="M751" s="32">
        <f t="shared" si="3"/>
        <v>0</v>
      </c>
      <c r="N751" s="32" t="s">
        <v>376</v>
      </c>
      <c r="O751" s="32">
        <v>100.0</v>
      </c>
      <c r="P751" s="50" t="str">
        <f t="shared" si="6"/>
        <v>PASSED</v>
      </c>
      <c r="Q751" s="50" t="str">
        <f t="shared" si="5"/>
        <v>12</v>
      </c>
    </row>
    <row r="752" ht="22.5" customHeight="1">
      <c r="A752" s="26">
        <v>46007.0</v>
      </c>
      <c r="B752" s="32" t="s">
        <v>518</v>
      </c>
      <c r="C752" s="210" t="str">
        <f t="array" ref="C752">_xlfn.XLOOKUP(B752, DB[samplingPoint], DB[samplingTag])</f>
        <v>SV136.12</v>
      </c>
      <c r="D752" s="33" t="s">
        <v>56</v>
      </c>
      <c r="E752" s="39" t="str">
        <f t="array" ref="E752">_xlfn.XLOOKUP($B752, DB[samplingPoint], DB[noLocation])</f>
        <v>12-2-036</v>
      </c>
      <c r="F752" s="40" t="str">
        <f t="array" ref="F752">_xlfn.XLOOKUP($B752, DB[samplingPoint], DB[building])</f>
        <v>Building 12</v>
      </c>
      <c r="G752" s="40" t="str">
        <f t="array" ref="G752">_xlfn.XLOOKUP($B752, DB[samplingPoint], DB[location])</f>
        <v>CIP 1</v>
      </c>
      <c r="H752" s="40" t="str">
        <f t="array" ref="H752">_xlfn.XLOOKUP($B752, DB[samplingPoint], DB[waterType])</f>
        <v>PW</v>
      </c>
      <c r="I752" s="60">
        <f t="shared" si="1"/>
        <v>46008</v>
      </c>
      <c r="J752" s="192">
        <f t="shared" si="2"/>
        <v>46011</v>
      </c>
      <c r="K752" s="32">
        <v>0.0</v>
      </c>
      <c r="L752" s="32">
        <v>0.0</v>
      </c>
      <c r="M752" s="32">
        <f t="shared" si="3"/>
        <v>0</v>
      </c>
      <c r="N752" s="32" t="s">
        <v>376</v>
      </c>
      <c r="O752" s="32">
        <v>100.0</v>
      </c>
      <c r="P752" s="50" t="str">
        <f t="shared" si="6"/>
        <v>PASSED</v>
      </c>
      <c r="Q752" s="50" t="str">
        <f t="shared" si="5"/>
        <v>12</v>
      </c>
    </row>
    <row r="753" ht="22.5" customHeight="1">
      <c r="A753" s="26">
        <v>46007.0</v>
      </c>
      <c r="B753" s="32" t="s">
        <v>517</v>
      </c>
      <c r="C753" s="210" t="str">
        <f t="array" ref="C753">_xlfn.XLOOKUP(B753, DB[samplingPoint], DB[samplingTag])</f>
        <v>SV136.07</v>
      </c>
      <c r="D753" s="33" t="s">
        <v>56</v>
      </c>
      <c r="E753" s="39" t="str">
        <f t="array" ref="E753">_xlfn.XLOOKUP($B753, DB[samplingPoint], DB[noLocation])</f>
        <v>12-2-034</v>
      </c>
      <c r="F753" s="40" t="str">
        <f t="array" ref="F753">_xlfn.XLOOKUP($B753, DB[samplingPoint], DB[building])</f>
        <v>Building 12</v>
      </c>
      <c r="G753" s="40" t="str">
        <f t="array" ref="G753">_xlfn.XLOOKUP($B753, DB[samplingPoint], DB[location])</f>
        <v>SYRUP PREPARATION</v>
      </c>
      <c r="H753" s="40" t="str">
        <f t="array" ref="H753">_xlfn.XLOOKUP($B753, DB[samplingPoint], DB[waterType])</f>
        <v>PW</v>
      </c>
      <c r="I753" s="60">
        <f t="shared" si="1"/>
        <v>46008</v>
      </c>
      <c r="J753" s="192">
        <f t="shared" si="2"/>
        <v>46011</v>
      </c>
      <c r="K753" s="32">
        <v>0.0</v>
      </c>
      <c r="L753" s="32">
        <v>0.0</v>
      </c>
      <c r="M753" s="32">
        <f t="shared" si="3"/>
        <v>0</v>
      </c>
      <c r="N753" s="32" t="s">
        <v>376</v>
      </c>
      <c r="O753" s="32">
        <v>100.0</v>
      </c>
      <c r="P753" s="50" t="str">
        <f t="shared" si="6"/>
        <v>PASSED</v>
      </c>
      <c r="Q753" s="50" t="str">
        <f t="shared" si="5"/>
        <v>12</v>
      </c>
    </row>
    <row r="754" ht="22.5" customHeight="1">
      <c r="A754" s="26">
        <v>46007.0</v>
      </c>
      <c r="B754" s="32" t="s">
        <v>516</v>
      </c>
      <c r="C754" s="210" t="str">
        <f t="array" ref="C754">_xlfn.XLOOKUP(B754, DB[samplingPoint], DB[samplingTag])</f>
        <v>SV136.06</v>
      </c>
      <c r="D754" s="33" t="s">
        <v>56</v>
      </c>
      <c r="E754" s="39" t="str">
        <f t="array" ref="E754">_xlfn.XLOOKUP($B754, DB[samplingPoint], DB[noLocation])</f>
        <v>12-2-034</v>
      </c>
      <c r="F754" s="40" t="str">
        <f t="array" ref="F754">_xlfn.XLOOKUP($B754, DB[samplingPoint], DB[building])</f>
        <v>Building 12</v>
      </c>
      <c r="G754" s="40" t="str">
        <f t="array" ref="G754">_xlfn.XLOOKUP($B754, DB[samplingPoint], DB[location])</f>
        <v>SYRUP PREPARATION</v>
      </c>
      <c r="H754" s="40" t="str">
        <f t="array" ref="H754">_xlfn.XLOOKUP($B754, DB[samplingPoint], DB[waterType])</f>
        <v>PW</v>
      </c>
      <c r="I754" s="60">
        <f t="shared" si="1"/>
        <v>46008</v>
      </c>
      <c r="J754" s="192">
        <f t="shared" si="2"/>
        <v>46011</v>
      </c>
      <c r="K754" s="32">
        <v>0.0</v>
      </c>
      <c r="L754" s="32">
        <v>0.0</v>
      </c>
      <c r="M754" s="32">
        <f t="shared" si="3"/>
        <v>0</v>
      </c>
      <c r="N754" s="32" t="s">
        <v>376</v>
      </c>
      <c r="O754" s="32">
        <v>100.0</v>
      </c>
      <c r="P754" s="50" t="str">
        <f t="shared" si="6"/>
        <v>PASSED</v>
      </c>
      <c r="Q754" s="50" t="str">
        <f t="shared" si="5"/>
        <v>12</v>
      </c>
    </row>
    <row r="755" ht="22.5" customHeight="1">
      <c r="A755" s="26">
        <v>46007.0</v>
      </c>
      <c r="B755" s="32" t="s">
        <v>549</v>
      </c>
      <c r="C755" s="210" t="str">
        <f t="array" ref="C755">_xlfn.XLOOKUP(B755, DB[samplingPoint], DB[samplingTag])</f>
        <v>SV136.15</v>
      </c>
      <c r="D755" s="33" t="s">
        <v>56</v>
      </c>
      <c r="E755" s="39" t="str">
        <f t="array" ref="E755">_xlfn.XLOOKUP($B755, DB[samplingPoint], DB[noLocation])</f>
        <v>12-2-055</v>
      </c>
      <c r="F755" s="40" t="str">
        <f t="array" ref="F755">_xlfn.XLOOKUP($B755, DB[samplingPoint], DB[building])</f>
        <v>Building 12</v>
      </c>
      <c r="G755" s="40" t="str">
        <f t="array" ref="G755">_xlfn.XLOOKUP($B755, DB[samplingPoint], DB[location])</f>
        <v>CIP 3</v>
      </c>
      <c r="H755" s="40" t="str">
        <f t="array" ref="H755">_xlfn.XLOOKUP($B755, DB[samplingPoint], DB[waterType])</f>
        <v>PW</v>
      </c>
      <c r="I755" s="60">
        <f t="shared" si="1"/>
        <v>46008</v>
      </c>
      <c r="J755" s="192">
        <f t="shared" si="2"/>
        <v>46011</v>
      </c>
      <c r="K755" s="32">
        <v>0.0</v>
      </c>
      <c r="L755" s="32">
        <v>0.0</v>
      </c>
      <c r="M755" s="32">
        <f t="shared" si="3"/>
        <v>0</v>
      </c>
      <c r="N755" s="32" t="s">
        <v>376</v>
      </c>
      <c r="O755" s="32">
        <v>100.0</v>
      </c>
      <c r="P755" s="50" t="str">
        <f t="shared" si="6"/>
        <v>PASSED</v>
      </c>
      <c r="Q755" s="50" t="str">
        <f t="shared" si="5"/>
        <v>12</v>
      </c>
    </row>
    <row r="756" ht="22.5" customHeight="1">
      <c r="A756" s="26">
        <v>46007.0</v>
      </c>
      <c r="B756" s="32" t="s">
        <v>510</v>
      </c>
      <c r="C756" s="210" t="str">
        <f t="array" ref="C756">_xlfn.XLOOKUP(B756, DB[samplingPoint], DB[samplingTag])</f>
        <v>SV136.03</v>
      </c>
      <c r="D756" s="33" t="s">
        <v>56</v>
      </c>
      <c r="E756" s="39" t="str">
        <f t="array" ref="E756">_xlfn.XLOOKUP($B756, DB[samplingPoint], DB[noLocation])</f>
        <v>12-2-032</v>
      </c>
      <c r="F756" s="40" t="str">
        <f t="array" ref="F756">_xlfn.XLOOKUP($B756, DB[samplingPoint], DB[building])</f>
        <v>Building 12</v>
      </c>
      <c r="G756" s="40" t="str">
        <f t="array" ref="G756">_xlfn.XLOOKUP($B756, DB[samplingPoint], DB[location])</f>
        <v>CAMPHORATED OPIUM TINCTURE</v>
      </c>
      <c r="H756" s="40" t="str">
        <f t="array" ref="H756">_xlfn.XLOOKUP($B756, DB[samplingPoint], DB[waterType])</f>
        <v>PW</v>
      </c>
      <c r="I756" s="60">
        <f t="shared" si="1"/>
        <v>46008</v>
      </c>
      <c r="J756" s="192">
        <f t="shared" si="2"/>
        <v>46011</v>
      </c>
      <c r="K756" s="32">
        <v>0.0</v>
      </c>
      <c r="L756" s="32">
        <v>0.0</v>
      </c>
      <c r="M756" s="32">
        <f t="shared" si="3"/>
        <v>0</v>
      </c>
      <c r="N756" s="32" t="s">
        <v>376</v>
      </c>
      <c r="O756" s="32">
        <v>100.0</v>
      </c>
      <c r="P756" s="50" t="str">
        <f t="shared" si="6"/>
        <v>PASSED</v>
      </c>
      <c r="Q756" s="50" t="str">
        <f t="shared" si="5"/>
        <v>12</v>
      </c>
    </row>
    <row r="757" ht="22.5" customHeight="1">
      <c r="A757" s="26">
        <v>46007.0</v>
      </c>
      <c r="B757" s="32" t="s">
        <v>514</v>
      </c>
      <c r="C757" s="210" t="str">
        <f t="array" ref="C757">_xlfn.XLOOKUP(B757, DB[samplingPoint], DB[samplingTag])</f>
        <v>SV136.05</v>
      </c>
      <c r="D757" s="33" t="s">
        <v>56</v>
      </c>
      <c r="E757" s="39" t="str">
        <f t="array" ref="E757">_xlfn.XLOOKUP($B757, DB[samplingPoint], DB[noLocation])</f>
        <v>12-2-032</v>
      </c>
      <c r="F757" s="40" t="str">
        <f t="array" ref="F757">_xlfn.XLOOKUP($B757, DB[samplingPoint], DB[building])</f>
        <v>Building 12</v>
      </c>
      <c r="G757" s="40" t="str">
        <f t="array" ref="G757">_xlfn.XLOOKUP($B757, DB[samplingPoint], DB[location])</f>
        <v>CAMPHORATED OPIUM TINCTURE</v>
      </c>
      <c r="H757" s="40" t="str">
        <f t="array" ref="H757">_xlfn.XLOOKUP($B757, DB[samplingPoint], DB[waterType])</f>
        <v>PW</v>
      </c>
      <c r="I757" s="60">
        <f t="shared" si="1"/>
        <v>46008</v>
      </c>
      <c r="J757" s="192">
        <f t="shared" si="2"/>
        <v>46011</v>
      </c>
      <c r="K757" s="32">
        <v>0.0</v>
      </c>
      <c r="L757" s="32">
        <v>0.0</v>
      </c>
      <c r="M757" s="32">
        <f t="shared" si="3"/>
        <v>0</v>
      </c>
      <c r="N757" s="32" t="s">
        <v>376</v>
      </c>
      <c r="O757" s="32">
        <v>100.0</v>
      </c>
      <c r="P757" s="50" t="str">
        <f t="shared" si="6"/>
        <v>PASSED</v>
      </c>
      <c r="Q757" s="50" t="str">
        <f t="shared" si="5"/>
        <v>12</v>
      </c>
    </row>
    <row r="758" ht="22.5" customHeight="1">
      <c r="A758" s="26">
        <v>46007.0</v>
      </c>
      <c r="B758" s="32" t="s">
        <v>513</v>
      </c>
      <c r="C758" s="210" t="str">
        <f t="array" ref="C758">_xlfn.XLOOKUP(B758, DB[samplingPoint], DB[samplingTag])</f>
        <v>SV136.04</v>
      </c>
      <c r="D758" s="33" t="s">
        <v>56</v>
      </c>
      <c r="E758" s="39" t="str">
        <f t="array" ref="E758">_xlfn.XLOOKUP($B758, DB[samplingPoint], DB[noLocation])</f>
        <v>12-2-030</v>
      </c>
      <c r="F758" s="40" t="str">
        <f t="array" ref="F758">_xlfn.XLOOKUP($B758, DB[samplingPoint], DB[building])</f>
        <v>Building 12</v>
      </c>
      <c r="G758" s="40" t="str">
        <f t="array" ref="G758">_xlfn.XLOOKUP($B758, DB[samplingPoint], DB[location])</f>
        <v>OPIUM TINCTURE</v>
      </c>
      <c r="H758" s="40" t="str">
        <f t="array" ref="H758">_xlfn.XLOOKUP($B758, DB[samplingPoint], DB[waterType])</f>
        <v>PW</v>
      </c>
      <c r="I758" s="60">
        <f t="shared" si="1"/>
        <v>46008</v>
      </c>
      <c r="J758" s="192">
        <f t="shared" si="2"/>
        <v>46011</v>
      </c>
      <c r="K758" s="32">
        <v>0.0</v>
      </c>
      <c r="L758" s="32">
        <v>0.0</v>
      </c>
      <c r="M758" s="32">
        <f t="shared" si="3"/>
        <v>0</v>
      </c>
      <c r="N758" s="32" t="s">
        <v>376</v>
      </c>
      <c r="O758" s="32">
        <v>100.0</v>
      </c>
      <c r="P758" s="50" t="str">
        <f t="shared" si="6"/>
        <v>PASSED</v>
      </c>
      <c r="Q758" s="50" t="str">
        <f t="shared" si="5"/>
        <v>12</v>
      </c>
    </row>
    <row r="759" ht="22.5" customHeight="1">
      <c r="A759" s="26">
        <v>46007.0</v>
      </c>
      <c r="B759" s="32" t="s">
        <v>506</v>
      </c>
      <c r="C759" s="210" t="str">
        <f t="array" ref="C759">_xlfn.XLOOKUP(B759, DB[samplingPoint], DB[samplingTag])</f>
        <v>DV136.02</v>
      </c>
      <c r="D759" s="33" t="s">
        <v>56</v>
      </c>
      <c r="E759" s="39" t="str">
        <f t="array" ref="E759">_xlfn.XLOOKUP($B759, DB[samplingPoint], DB[noLocation])</f>
        <v>12-2-028</v>
      </c>
      <c r="F759" s="40" t="str">
        <f t="array" ref="F759">_xlfn.XLOOKUP($B759, DB[samplingPoint], DB[building])</f>
        <v>Building 12</v>
      </c>
      <c r="G759" s="40" t="str">
        <f t="array" ref="G759">_xlfn.XLOOKUP($B759, DB[samplingPoint], DB[location])</f>
        <v>ALCOHOL STORAGE</v>
      </c>
      <c r="H759" s="40" t="str">
        <f t="array" ref="H759">_xlfn.XLOOKUP($B759, DB[samplingPoint], DB[waterType])</f>
        <v>PW</v>
      </c>
      <c r="I759" s="60">
        <f t="shared" si="1"/>
        <v>46008</v>
      </c>
      <c r="J759" s="192">
        <f t="shared" si="2"/>
        <v>46011</v>
      </c>
      <c r="K759" s="32">
        <v>0.0</v>
      </c>
      <c r="L759" s="32">
        <v>0.0</v>
      </c>
      <c r="M759" s="32">
        <f t="shared" si="3"/>
        <v>0</v>
      </c>
      <c r="N759" s="32" t="s">
        <v>376</v>
      </c>
      <c r="O759" s="32">
        <v>100.0</v>
      </c>
      <c r="P759" s="50" t="str">
        <f t="shared" si="6"/>
        <v>PASSED</v>
      </c>
      <c r="Q759" s="50" t="str">
        <f t="shared" si="5"/>
        <v>12</v>
      </c>
    </row>
    <row r="760" ht="22.5" customHeight="1">
      <c r="A760" s="26">
        <v>46007.0</v>
      </c>
      <c r="B760" s="32" t="s">
        <v>545</v>
      </c>
      <c r="C760" s="210" t="str">
        <f t="array" ref="C760">_xlfn.XLOOKUP(B760, DB[samplingPoint], DB[samplingTag])</f>
        <v>DV136.03</v>
      </c>
      <c r="D760" s="33" t="s">
        <v>56</v>
      </c>
      <c r="E760" s="39" t="str">
        <f t="array" ref="E760">_xlfn.XLOOKUP($B760, DB[samplingPoint], DB[noLocation])</f>
        <v>12-2-053</v>
      </c>
      <c r="F760" s="40" t="str">
        <f t="array" ref="F760">_xlfn.XLOOKUP($B760, DB[samplingPoint], DB[building])</f>
        <v>Building 12</v>
      </c>
      <c r="G760" s="40" t="str">
        <f t="array" ref="G760">_xlfn.XLOOKUP($B760, DB[samplingPoint], DB[location])</f>
        <v>IPQC</v>
      </c>
      <c r="H760" s="40" t="str">
        <f t="array" ref="H760">_xlfn.XLOOKUP($B760, DB[samplingPoint], DB[waterType])</f>
        <v>PW</v>
      </c>
      <c r="I760" s="60">
        <f t="shared" si="1"/>
        <v>46008</v>
      </c>
      <c r="J760" s="192">
        <f t="shared" si="2"/>
        <v>46011</v>
      </c>
      <c r="K760" s="32">
        <v>0.0</v>
      </c>
      <c r="L760" s="32">
        <v>0.0</v>
      </c>
      <c r="M760" s="32">
        <f t="shared" si="3"/>
        <v>0</v>
      </c>
      <c r="N760" s="32" t="s">
        <v>376</v>
      </c>
      <c r="O760" s="32">
        <v>100.0</v>
      </c>
      <c r="P760" s="50" t="str">
        <f t="shared" si="6"/>
        <v>PASSED</v>
      </c>
      <c r="Q760" s="50" t="str">
        <f t="shared" si="5"/>
        <v>12</v>
      </c>
    </row>
    <row r="761" ht="22.5" customHeight="1">
      <c r="A761" s="26">
        <v>46007.0</v>
      </c>
      <c r="B761" s="32" t="s">
        <v>543</v>
      </c>
      <c r="C761" s="210" t="str">
        <f t="array" ref="C761">_xlfn.XLOOKUP(B761, DB[samplingPoint], DB[samplingTag])</f>
        <v>DV136.01</v>
      </c>
      <c r="D761" s="33" t="s">
        <v>56</v>
      </c>
      <c r="E761" s="39" t="str">
        <f t="array" ref="E761">_xlfn.XLOOKUP($B761, DB[samplingPoint], DB[noLocation])</f>
        <v>12-1-035</v>
      </c>
      <c r="F761" s="40" t="str">
        <f t="array" ref="F761">_xlfn.XLOOKUP($B761, DB[samplingPoint], DB[building])</f>
        <v>Building 12</v>
      </c>
      <c r="G761" s="40" t="str">
        <f t="array" ref="G761">_xlfn.XLOOKUP($B761, DB[samplingPoint], DB[location])</f>
        <v>SUGAR TRANSFERRING</v>
      </c>
      <c r="H761" s="40" t="str">
        <f t="array" ref="H761">_xlfn.XLOOKUP($B761, DB[samplingPoint], DB[waterType])</f>
        <v>PW</v>
      </c>
      <c r="I761" s="60">
        <f t="shared" si="1"/>
        <v>46008</v>
      </c>
      <c r="J761" s="192">
        <f t="shared" si="2"/>
        <v>46011</v>
      </c>
      <c r="K761" s="32">
        <v>0.0</v>
      </c>
      <c r="L761" s="32">
        <v>0.0</v>
      </c>
      <c r="M761" s="32">
        <f t="shared" si="3"/>
        <v>0</v>
      </c>
      <c r="N761" s="32" t="s">
        <v>376</v>
      </c>
      <c r="O761" s="32">
        <v>100.0</v>
      </c>
      <c r="P761" s="50" t="str">
        <f t="shared" si="6"/>
        <v>PASSED</v>
      </c>
      <c r="Q761" s="50" t="str">
        <f t="shared" si="5"/>
        <v>12</v>
      </c>
    </row>
    <row r="762" ht="22.5" customHeight="1">
      <c r="A762" s="26">
        <v>46007.0</v>
      </c>
      <c r="B762" s="32" t="s">
        <v>547</v>
      </c>
      <c r="C762" s="210" t="str">
        <f t="array" ref="C762">_xlfn.XLOOKUP(B762, DB[samplingPoint], DB[samplingTag])</f>
        <v>DV136.16</v>
      </c>
      <c r="D762" s="33" t="s">
        <v>56</v>
      </c>
      <c r="E762" s="39" t="str">
        <f t="array" ref="E762">_xlfn.XLOOKUP($B762, DB[samplingPoint], DB[noLocation])</f>
        <v>12-1-064</v>
      </c>
      <c r="F762" s="40" t="str">
        <f t="array" ref="F762">_xlfn.XLOOKUP($B762, DB[samplingPoint], DB[building])</f>
        <v>Building 12</v>
      </c>
      <c r="G762" s="40" t="str">
        <f t="array" ref="G762">_xlfn.XLOOKUP($B762, DB[samplingPoint], DB[location])</f>
        <v>WASHING</v>
      </c>
      <c r="H762" s="40" t="str">
        <f t="array" ref="H762">_xlfn.XLOOKUP($B762, DB[samplingPoint], DB[waterType])</f>
        <v>PW</v>
      </c>
      <c r="I762" s="60">
        <f t="shared" si="1"/>
        <v>46008</v>
      </c>
      <c r="J762" s="192">
        <f t="shared" si="2"/>
        <v>46011</v>
      </c>
      <c r="K762" s="32">
        <v>0.0</v>
      </c>
      <c r="L762" s="32">
        <v>0.0</v>
      </c>
      <c r="M762" s="32">
        <f t="shared" si="3"/>
        <v>0</v>
      </c>
      <c r="N762" s="32" t="s">
        <v>376</v>
      </c>
      <c r="O762" s="32">
        <v>100.0</v>
      </c>
      <c r="P762" s="50" t="str">
        <f t="shared" si="6"/>
        <v>PASSED</v>
      </c>
      <c r="Q762" s="50" t="str">
        <f t="shared" si="5"/>
        <v>12</v>
      </c>
    </row>
    <row r="763" ht="22.5" customHeight="1">
      <c r="A763" s="26">
        <v>46007.0</v>
      </c>
      <c r="B763" s="32" t="s">
        <v>431</v>
      </c>
      <c r="C763" s="191" t="str">
        <f t="array" ref="C763">_xlfn.XLOOKUP(B763, DB[samplingPoint], DB[samplingTag])</f>
        <v>SV-14</v>
      </c>
      <c r="D763" s="33" t="s">
        <v>59</v>
      </c>
      <c r="E763" s="39" t="str">
        <f t="array" ref="E763">_xlfn.XLOOKUP($B763, DB[samplingPoint], DB[noLocation])</f>
        <v>PROCESS WATER (B19)</v>
      </c>
      <c r="F763" s="40" t="str">
        <f t="array" ref="F763">_xlfn.XLOOKUP($B763, DB[samplingPoint], DB[building])</f>
        <v>Building 19</v>
      </c>
      <c r="G763" s="40" t="str">
        <f t="array" ref="G763">_xlfn.XLOOKUP($B763, DB[samplingPoint], DB[location])</f>
        <v>AFTER RO SYSTEM NO.12 SV14</v>
      </c>
      <c r="H763" s="40" t="str">
        <f t="array" ref="H763">_xlfn.XLOOKUP($B763, DB[samplingPoint], DB[waterType])</f>
        <v>PRW</v>
      </c>
      <c r="I763" s="60">
        <f t="shared" si="1"/>
        <v>46008</v>
      </c>
      <c r="J763" s="192">
        <f t="shared" si="2"/>
        <v>46011</v>
      </c>
      <c r="K763" s="32">
        <v>0.0</v>
      </c>
      <c r="L763" s="32">
        <v>0.0</v>
      </c>
      <c r="M763" s="32">
        <f t="shared" si="3"/>
        <v>0</v>
      </c>
      <c r="N763" s="32" t="s">
        <v>376</v>
      </c>
      <c r="O763" s="32">
        <v>500.0</v>
      </c>
      <c r="P763" s="50" t="str">
        <f t="shared" si="6"/>
        <v>PASSED</v>
      </c>
      <c r="Q763" s="50" t="str">
        <f t="shared" si="5"/>
        <v>PR</v>
      </c>
    </row>
    <row r="764" ht="22.5" customHeight="1">
      <c r="A764" s="26">
        <v>46007.0</v>
      </c>
      <c r="B764" s="32" t="s">
        <v>349</v>
      </c>
      <c r="C764" s="191" t="str">
        <f t="array" ref="C764">_xlfn.XLOOKUP(B764, DB[samplingPoint], DB[samplingTag])</f>
        <v>VB-05(10)</v>
      </c>
      <c r="D764" s="33" t="s">
        <v>59</v>
      </c>
      <c r="E764" s="39" t="str">
        <f t="array" ref="E764">_xlfn.XLOOKUP($B764, DB[samplingPoint], DB[noLocation])</f>
        <v>WATER SYSTEM (B10)</v>
      </c>
      <c r="F764" s="40" t="str">
        <f t="array" ref="F764">_xlfn.XLOOKUP($B764, DB[samplingPoint], DB[building])</f>
        <v>Building 10</v>
      </c>
      <c r="G764" s="40" t="str">
        <f t="array" ref="G764">_xlfn.XLOOKUP($B764, DB[samplingPoint], DB[location])</f>
        <v>After Chlorine circulation tank (B10)</v>
      </c>
      <c r="H764" s="40" t="str">
        <f t="array" ref="H764">_xlfn.XLOOKUP($B764, DB[samplingPoint], DB[waterType])</f>
        <v>PRW</v>
      </c>
      <c r="I764" s="60">
        <f t="shared" si="1"/>
        <v>46008</v>
      </c>
      <c r="J764" s="192">
        <f t="shared" si="2"/>
        <v>46011</v>
      </c>
      <c r="K764" s="32">
        <v>1.0</v>
      </c>
      <c r="L764" s="32">
        <v>0.0</v>
      </c>
      <c r="M764" s="32">
        <f t="shared" si="3"/>
        <v>1</v>
      </c>
      <c r="N764" s="32" t="s">
        <v>376</v>
      </c>
      <c r="O764" s="32">
        <v>500.0</v>
      </c>
      <c r="P764" s="50" t="str">
        <f t="shared" si="6"/>
        <v>PASSED</v>
      </c>
      <c r="Q764" s="50" t="str">
        <f t="shared" si="5"/>
        <v>WA</v>
      </c>
    </row>
    <row r="765" ht="22.5" customHeight="1">
      <c r="A765" s="26">
        <v>46007.0</v>
      </c>
      <c r="B765" s="32" t="s">
        <v>366</v>
      </c>
      <c r="C765" s="191" t="str">
        <f t="array" ref="C765">_xlfn.XLOOKUP(B765, DB[samplingPoint], DB[samplingTag])</f>
        <v>V50-61(10)</v>
      </c>
      <c r="D765" s="33" t="s">
        <v>59</v>
      </c>
      <c r="E765" s="39" t="str">
        <f t="array" ref="E765">_xlfn.XLOOKUP($B765, DB[samplingPoint], DB[noLocation])</f>
        <v>WATER SYSTEM (B10)</v>
      </c>
      <c r="F765" s="40" t="str">
        <f t="array" ref="F765">_xlfn.XLOOKUP($B765, DB[samplingPoint], DB[building])</f>
        <v>Building 10</v>
      </c>
      <c r="G765" s="40" t="str">
        <f t="array" ref="G765">_xlfn.XLOOKUP($B765, DB[samplingPoint], DB[location])</f>
        <v>After Cartridge filter 5 µm (B10)</v>
      </c>
      <c r="H765" s="40" t="str">
        <f t="array" ref="H765">_xlfn.XLOOKUP($B765, DB[samplingPoint], DB[waterType])</f>
        <v>PRW</v>
      </c>
      <c r="I765" s="60">
        <f t="shared" si="1"/>
        <v>46008</v>
      </c>
      <c r="J765" s="192">
        <f t="shared" si="2"/>
        <v>46011</v>
      </c>
      <c r="K765" s="32">
        <v>13.0</v>
      </c>
      <c r="L765" s="32">
        <v>1.0</v>
      </c>
      <c r="M765" s="32">
        <f t="shared" si="3"/>
        <v>7</v>
      </c>
      <c r="N765" s="32" t="s">
        <v>376</v>
      </c>
      <c r="O765" s="32">
        <v>500.0</v>
      </c>
      <c r="P765" s="50" t="str">
        <f t="shared" si="6"/>
        <v>PASSED</v>
      </c>
      <c r="Q765" s="50" t="str">
        <f t="shared" si="5"/>
        <v>WA</v>
      </c>
    </row>
    <row r="766" ht="22.5" customHeight="1">
      <c r="A766" s="26">
        <v>46007.0</v>
      </c>
      <c r="B766" s="32" t="s">
        <v>368</v>
      </c>
      <c r="C766" s="191" t="str">
        <f t="array" ref="C766">_xlfn.XLOOKUP(B766, DB[samplingPoint], DB[samplingTag])</f>
        <v>V50-11C(10)</v>
      </c>
      <c r="D766" s="33" t="s">
        <v>59</v>
      </c>
      <c r="E766" s="39" t="str">
        <f t="array" ref="E766">_xlfn.XLOOKUP($B766, DB[samplingPoint], DB[noLocation])</f>
        <v>WATER SYSTEM (B10)</v>
      </c>
      <c r="F766" s="40" t="str">
        <f t="array" ref="F766">_xlfn.XLOOKUP($B766, DB[samplingPoint], DB[building])</f>
        <v>Building 10</v>
      </c>
      <c r="G766" s="40" t="str">
        <f t="array" ref="G766">_xlfn.XLOOKUP($B766, DB[samplingPoint], DB[location])</f>
        <v>After RO (Before EDI) (B10)</v>
      </c>
      <c r="H766" s="40" t="str">
        <f t="array" ref="H766">_xlfn.XLOOKUP($B766, DB[samplingPoint], DB[waterType])</f>
        <v>RO water</v>
      </c>
      <c r="I766" s="60">
        <f t="shared" si="1"/>
        <v>46008</v>
      </c>
      <c r="J766" s="192">
        <f t="shared" si="2"/>
        <v>46011</v>
      </c>
      <c r="K766" s="32">
        <v>0.0</v>
      </c>
      <c r="L766" s="32">
        <v>0.0</v>
      </c>
      <c r="M766" s="32">
        <f t="shared" si="3"/>
        <v>0</v>
      </c>
      <c r="N766" s="32" t="s">
        <v>376</v>
      </c>
      <c r="O766" s="32">
        <v>100.0</v>
      </c>
      <c r="P766" s="50" t="str">
        <f t="shared" si="6"/>
        <v>PASSED</v>
      </c>
      <c r="Q766" s="50" t="str">
        <f t="shared" si="5"/>
        <v>WA</v>
      </c>
    </row>
    <row r="767" ht="22.5" customHeight="1">
      <c r="A767" s="26">
        <v>46007.0</v>
      </c>
      <c r="B767" s="32" t="s">
        <v>374</v>
      </c>
      <c r="C767" s="191" t="str">
        <f t="array" ref="C767">_xlfn.XLOOKUP(B767, DB[samplingPoint], DB[samplingTag])</f>
        <v>V50-39(10)</v>
      </c>
      <c r="D767" s="33" t="s">
        <v>59</v>
      </c>
      <c r="E767" s="39" t="str">
        <f t="array" ref="E767">_xlfn.XLOOKUP($B767, DB[samplingPoint], DB[noLocation])</f>
        <v>WATER SYSTEM (B10)</v>
      </c>
      <c r="F767" s="40" t="str">
        <f t="array" ref="F767">_xlfn.XLOOKUP($B767, DB[samplingPoint], DB[building])</f>
        <v>Building 10</v>
      </c>
      <c r="G767" s="40" t="str">
        <f t="array" ref="G767">_xlfn.XLOOKUP($B767, DB[samplingPoint], DB[location])</f>
        <v>After EDI (B10)</v>
      </c>
      <c r="H767" s="40" t="str">
        <f t="array" ref="H767">_xlfn.XLOOKUP($B767, DB[samplingPoint], DB[waterType])</f>
        <v>PW</v>
      </c>
      <c r="I767" s="60">
        <f t="shared" si="1"/>
        <v>46008</v>
      </c>
      <c r="J767" s="192">
        <f t="shared" si="2"/>
        <v>46011</v>
      </c>
      <c r="K767" s="32">
        <v>0.0</v>
      </c>
      <c r="L767" s="32">
        <v>0.0</v>
      </c>
      <c r="M767" s="32">
        <f t="shared" si="3"/>
        <v>0</v>
      </c>
      <c r="N767" s="32" t="s">
        <v>376</v>
      </c>
      <c r="O767" s="32">
        <v>100.0</v>
      </c>
      <c r="P767" s="50" t="str">
        <f t="shared" si="6"/>
        <v>PASSED</v>
      </c>
      <c r="Q767" s="50" t="str">
        <f t="shared" si="5"/>
        <v>WA</v>
      </c>
    </row>
    <row r="768" ht="22.5" customHeight="1">
      <c r="A768" s="26">
        <v>46007.0</v>
      </c>
      <c r="B768" s="32" t="s">
        <v>390</v>
      </c>
      <c r="C768" s="191" t="str">
        <f t="array" ref="C768">_xlfn.XLOOKUP(B768, DB[samplingPoint], DB[samplingTag])</f>
        <v>SV117.01</v>
      </c>
      <c r="D768" s="33" t="s">
        <v>59</v>
      </c>
      <c r="E768" s="39" t="str">
        <f t="array" ref="E768">_xlfn.XLOOKUP($B768, DB[samplingPoint], DB[noLocation])</f>
        <v>WATER SYSTEM (B10)</v>
      </c>
      <c r="F768" s="40" t="str">
        <f t="array" ref="F768">_xlfn.XLOOKUP($B768, DB[samplingPoint], DB[building])</f>
        <v>Building 10</v>
      </c>
      <c r="G768" s="40" t="str">
        <f t="array" ref="G768">_xlfn.XLOOKUP($B768, DB[samplingPoint], DB[location])</f>
        <v>Return loop (B10)</v>
      </c>
      <c r="H768" s="40" t="str">
        <f t="array" ref="H768">_xlfn.XLOOKUP($B768, DB[samplingPoint], DB[waterType])</f>
        <v>PW</v>
      </c>
      <c r="I768" s="60">
        <f t="shared" si="1"/>
        <v>46008</v>
      </c>
      <c r="J768" s="192">
        <f t="shared" si="2"/>
        <v>46011</v>
      </c>
      <c r="K768" s="32">
        <v>0.0</v>
      </c>
      <c r="L768" s="32">
        <v>0.0</v>
      </c>
      <c r="M768" s="32">
        <f t="shared" si="3"/>
        <v>0</v>
      </c>
      <c r="N768" s="32" t="s">
        <v>376</v>
      </c>
      <c r="O768" s="32">
        <v>100.0</v>
      </c>
      <c r="P768" s="50" t="str">
        <f t="shared" si="6"/>
        <v>PASSED</v>
      </c>
      <c r="Q768" s="50" t="str">
        <f t="shared" si="5"/>
        <v>WA</v>
      </c>
    </row>
    <row r="769" ht="22.5" customHeight="1">
      <c r="A769" s="26">
        <v>46007.0</v>
      </c>
      <c r="B769" s="39" t="s">
        <v>406</v>
      </c>
      <c r="C769" s="191" t="str">
        <f t="array" ref="C769">_xlfn.XLOOKUP(B769, DB[samplingPoint], DB[samplingTag])</f>
        <v>DV116.21</v>
      </c>
      <c r="D769" s="33" t="s">
        <v>59</v>
      </c>
      <c r="E769" s="39" t="str">
        <f t="array" ref="E769">_xlfn.XLOOKUP($B769, DB[samplingPoint], DB[noLocation])</f>
        <v>10-3-152</v>
      </c>
      <c r="F769" s="40" t="str">
        <f t="array" ref="F769">_xlfn.XLOOKUP($B769, DB[samplingPoint], DB[building])</f>
        <v>Building 10</v>
      </c>
      <c r="G769" s="40" t="str">
        <f t="array" ref="G769">_xlfn.XLOOKUP($B769, DB[samplingPoint], DB[location])</f>
        <v>WASHING-P</v>
      </c>
      <c r="H769" s="40" t="str">
        <f t="array" ref="H769">_xlfn.XLOOKUP($B769, DB[samplingPoint], DB[waterType])</f>
        <v>PW</v>
      </c>
      <c r="I769" s="60">
        <f t="shared" si="1"/>
        <v>46008</v>
      </c>
      <c r="J769" s="192">
        <f t="shared" si="2"/>
        <v>46011</v>
      </c>
      <c r="K769" s="32">
        <v>0.0</v>
      </c>
      <c r="L769" s="32">
        <v>0.0</v>
      </c>
      <c r="M769" s="32">
        <f t="shared" si="3"/>
        <v>0</v>
      </c>
      <c r="N769" s="32" t="s">
        <v>376</v>
      </c>
      <c r="O769" s="32">
        <v>100.0</v>
      </c>
      <c r="P769" s="50" t="str">
        <f t="shared" si="6"/>
        <v>PASSED</v>
      </c>
      <c r="Q769" s="50" t="str">
        <f t="shared" si="5"/>
        <v>10</v>
      </c>
    </row>
    <row r="770" ht="22.5" customHeight="1">
      <c r="A770" s="26">
        <v>46007.0</v>
      </c>
      <c r="B770" s="32" t="s">
        <v>410</v>
      </c>
      <c r="C770" s="191" t="str">
        <f t="array" ref="C770">_xlfn.XLOOKUP(B770, DB[samplingPoint], DB[samplingTag])</f>
        <v>DV116.22</v>
      </c>
      <c r="D770" s="33" t="s">
        <v>59</v>
      </c>
      <c r="E770" s="39" t="str">
        <f t="array" ref="E770">_xlfn.XLOOKUP($B770, DB[samplingPoint], DB[noLocation])</f>
        <v>10-3-152</v>
      </c>
      <c r="F770" s="40" t="str">
        <f t="array" ref="F770">_xlfn.XLOOKUP($B770, DB[samplingPoint], DB[building])</f>
        <v>Building 10</v>
      </c>
      <c r="G770" s="40" t="str">
        <f t="array" ref="G770">_xlfn.XLOOKUP($B770, DB[samplingPoint], DB[location])</f>
        <v>WASHING-P</v>
      </c>
      <c r="H770" s="40" t="str">
        <f t="array" ref="H770">_xlfn.XLOOKUP($B770, DB[samplingPoint], DB[waterType])</f>
        <v>PW</v>
      </c>
      <c r="I770" s="60">
        <f t="shared" si="1"/>
        <v>46008</v>
      </c>
      <c r="J770" s="192">
        <f t="shared" si="2"/>
        <v>46011</v>
      </c>
      <c r="K770" s="32">
        <v>0.0</v>
      </c>
      <c r="L770" s="32">
        <v>0.0</v>
      </c>
      <c r="M770" s="32">
        <f t="shared" si="3"/>
        <v>0</v>
      </c>
      <c r="N770" s="32" t="s">
        <v>376</v>
      </c>
      <c r="O770" s="32">
        <v>100.0</v>
      </c>
      <c r="P770" s="50" t="str">
        <f t="shared" si="6"/>
        <v>PASSED</v>
      </c>
      <c r="Q770" s="50" t="str">
        <f t="shared" si="5"/>
        <v>10</v>
      </c>
    </row>
    <row r="771" ht="22.5" customHeight="1">
      <c r="A771" s="26">
        <v>46007.0</v>
      </c>
      <c r="B771" s="32" t="s">
        <v>414</v>
      </c>
      <c r="C771" s="191" t="str">
        <f t="array" ref="C771">_xlfn.XLOOKUP(B771, DB[samplingPoint], DB[samplingTag])</f>
        <v>SV116.13</v>
      </c>
      <c r="D771" s="33" t="s">
        <v>59</v>
      </c>
      <c r="E771" s="39" t="str">
        <f t="array" ref="E771">_xlfn.XLOOKUP($B771, DB[samplingPoint], DB[noLocation])</f>
        <v>10-3-152</v>
      </c>
      <c r="F771" s="40" t="str">
        <f t="array" ref="F771">_xlfn.XLOOKUP($B771, DB[samplingPoint], DB[building])</f>
        <v>Building 10</v>
      </c>
      <c r="G771" s="40" t="str">
        <f t="array" ref="G771">_xlfn.XLOOKUP($B771, DB[samplingPoint], DB[location])</f>
        <v>WASHING-P</v>
      </c>
      <c r="H771" s="40" t="str">
        <f t="array" ref="H771">_xlfn.XLOOKUP($B771, DB[samplingPoint], DB[waterType])</f>
        <v>PW</v>
      </c>
      <c r="I771" s="60">
        <f t="shared" si="1"/>
        <v>46008</v>
      </c>
      <c r="J771" s="192">
        <f t="shared" si="2"/>
        <v>46011</v>
      </c>
      <c r="K771" s="32">
        <v>0.0</v>
      </c>
      <c r="L771" s="32">
        <v>0.0</v>
      </c>
      <c r="M771" s="32">
        <f t="shared" si="3"/>
        <v>0</v>
      </c>
      <c r="N771" s="32" t="s">
        <v>376</v>
      </c>
      <c r="O771" s="32">
        <v>100.0</v>
      </c>
      <c r="P771" s="50" t="str">
        <f t="shared" si="6"/>
        <v>PASSED</v>
      </c>
      <c r="Q771" s="50" t="str">
        <f t="shared" si="5"/>
        <v>10</v>
      </c>
    </row>
    <row r="772" ht="22.5" customHeight="1">
      <c r="A772" s="26">
        <v>46007.0</v>
      </c>
      <c r="B772" s="32" t="s">
        <v>421</v>
      </c>
      <c r="C772" s="191" t="str">
        <f t="array" ref="C772">_xlfn.XLOOKUP(B772, DB[samplingPoint], DB[samplingTag])</f>
        <v>DV116.19</v>
      </c>
      <c r="D772" s="33" t="s">
        <v>59</v>
      </c>
      <c r="E772" s="39" t="str">
        <f t="array" ref="E772">_xlfn.XLOOKUP($B772, DB[samplingPoint], DB[noLocation])</f>
        <v>10-3-143</v>
      </c>
      <c r="F772" s="40" t="str">
        <f t="array" ref="F772">_xlfn.XLOOKUP($B772, DB[samplingPoint], DB[building])</f>
        <v>Building 10</v>
      </c>
      <c r="G772" s="40" t="str">
        <f t="array" ref="G772">_xlfn.XLOOKUP($B772, DB[samplingPoint], DB[location])</f>
        <v>COATING SOLUTION PREP.-P</v>
      </c>
      <c r="H772" s="40" t="str">
        <f t="array" ref="H772">_xlfn.XLOOKUP($B772, DB[samplingPoint], DB[waterType])</f>
        <v>PW</v>
      </c>
      <c r="I772" s="60">
        <f t="shared" si="1"/>
        <v>46008</v>
      </c>
      <c r="J772" s="192">
        <f t="shared" si="2"/>
        <v>46011</v>
      </c>
      <c r="K772" s="32">
        <v>0.0</v>
      </c>
      <c r="L772" s="32">
        <v>0.0</v>
      </c>
      <c r="M772" s="32">
        <f t="shared" si="3"/>
        <v>0</v>
      </c>
      <c r="N772" s="32" t="s">
        <v>376</v>
      </c>
      <c r="O772" s="32">
        <v>100.0</v>
      </c>
      <c r="P772" s="50" t="str">
        <f t="shared" si="6"/>
        <v>PASSED</v>
      </c>
      <c r="Q772" s="50" t="str">
        <f t="shared" si="5"/>
        <v>10</v>
      </c>
    </row>
    <row r="773" ht="22.5" customHeight="1">
      <c r="A773" s="26">
        <v>46007.0</v>
      </c>
      <c r="B773" s="32" t="s">
        <v>417</v>
      </c>
      <c r="C773" s="191" t="str">
        <f t="array" ref="C773">_xlfn.XLOOKUP(B773, DB[samplingPoint], DB[samplingTag])</f>
        <v>DV116.20</v>
      </c>
      <c r="D773" s="33" t="s">
        <v>59</v>
      </c>
      <c r="E773" s="39" t="str">
        <f t="array" ref="E773">_xlfn.XLOOKUP($B773, DB[samplingPoint], DB[noLocation])</f>
        <v>10-3-149</v>
      </c>
      <c r="F773" s="40" t="str">
        <f t="array" ref="F773">_xlfn.XLOOKUP($B773, DB[samplingPoint], DB[building])</f>
        <v>Building 10</v>
      </c>
      <c r="G773" s="40" t="str">
        <f t="array" ref="G773">_xlfn.XLOOKUP($B773, DB[samplingPoint], DB[location])</f>
        <v>IPQC-1-P</v>
      </c>
      <c r="H773" s="40" t="str">
        <f t="array" ref="H773">_xlfn.XLOOKUP($B773, DB[samplingPoint], DB[waterType])</f>
        <v>PW</v>
      </c>
      <c r="I773" s="60">
        <f t="shared" si="1"/>
        <v>46008</v>
      </c>
      <c r="J773" s="192">
        <f t="shared" si="2"/>
        <v>46011</v>
      </c>
      <c r="K773" s="32">
        <v>0.0</v>
      </c>
      <c r="L773" s="32">
        <v>0.0</v>
      </c>
      <c r="M773" s="32">
        <f t="shared" si="3"/>
        <v>0</v>
      </c>
      <c r="N773" s="32" t="s">
        <v>376</v>
      </c>
      <c r="O773" s="32">
        <v>100.0</v>
      </c>
      <c r="P773" s="50" t="str">
        <f t="shared" si="6"/>
        <v>PASSED</v>
      </c>
      <c r="Q773" s="50" t="str">
        <f t="shared" si="5"/>
        <v>10</v>
      </c>
    </row>
    <row r="774" ht="22.5" customHeight="1">
      <c r="A774" s="26">
        <v>46007.0</v>
      </c>
      <c r="B774" s="32" t="s">
        <v>401</v>
      </c>
      <c r="C774" s="191" t="str">
        <f t="array" ref="C774">_xlfn.XLOOKUP(B774, DB[samplingPoint], DB[samplingTag])</f>
        <v>DV116.23</v>
      </c>
      <c r="D774" s="33" t="s">
        <v>59</v>
      </c>
      <c r="E774" s="39" t="str">
        <f t="array" ref="E774">_xlfn.XLOOKUP($B774, DB[samplingPoint], DB[noLocation])</f>
        <v>10-3-159</v>
      </c>
      <c r="F774" s="40" t="str">
        <f t="array" ref="F774">_xlfn.XLOOKUP($B774, DB[samplingPoint], DB[building])</f>
        <v>Building 10</v>
      </c>
      <c r="G774" s="40" t="str">
        <f t="array" ref="G774">_xlfn.XLOOKUP($B774, DB[samplingPoint], DB[location])</f>
        <v>BINDER PREPARATION-P</v>
      </c>
      <c r="H774" s="40" t="str">
        <f t="array" ref="H774">_xlfn.XLOOKUP($B774, DB[samplingPoint], DB[waterType])</f>
        <v>PW</v>
      </c>
      <c r="I774" s="60">
        <f t="shared" si="1"/>
        <v>46008</v>
      </c>
      <c r="J774" s="192">
        <f t="shared" si="2"/>
        <v>46011</v>
      </c>
      <c r="K774" s="32">
        <v>0.0</v>
      </c>
      <c r="L774" s="32">
        <v>0.0</v>
      </c>
      <c r="M774" s="32">
        <f t="shared" si="3"/>
        <v>0</v>
      </c>
      <c r="N774" s="32" t="s">
        <v>376</v>
      </c>
      <c r="O774" s="32">
        <v>100.0</v>
      </c>
      <c r="P774" s="50" t="str">
        <f t="shared" si="6"/>
        <v>PASSED</v>
      </c>
      <c r="Q774" s="50" t="str">
        <f t="shared" si="5"/>
        <v>10</v>
      </c>
    </row>
    <row r="775" ht="22.5" customHeight="1">
      <c r="A775" s="26">
        <v>46007.0</v>
      </c>
      <c r="B775" s="32" t="s">
        <v>428</v>
      </c>
      <c r="C775" s="191" t="str">
        <f t="array" ref="C775">_xlfn.XLOOKUP(B775, DB[samplingPoint], DB[samplingTag])</f>
        <v>DV116.01</v>
      </c>
      <c r="D775" s="33" t="s">
        <v>59</v>
      </c>
      <c r="E775" s="39" t="str">
        <f t="array" ref="E775">_xlfn.XLOOKUP($B775, DB[samplingPoint], DB[noLocation])</f>
        <v>10-1-057</v>
      </c>
      <c r="F775" s="40" t="str">
        <f t="array" ref="F775">_xlfn.XLOOKUP($B775, DB[samplingPoint], DB[building])</f>
        <v>Building 10</v>
      </c>
      <c r="G775" s="40" t="str">
        <f t="array" ref="G775">_xlfn.XLOOKUP($B775, DB[samplingPoint], DB[location])</f>
        <v>WASHING-P</v>
      </c>
      <c r="H775" s="40" t="str">
        <f t="array" ref="H775">_xlfn.XLOOKUP($B775, DB[samplingPoint], DB[waterType])</f>
        <v>PW</v>
      </c>
      <c r="I775" s="60">
        <f t="shared" si="1"/>
        <v>46008</v>
      </c>
      <c r="J775" s="192">
        <f t="shared" si="2"/>
        <v>46011</v>
      </c>
      <c r="K775" s="32">
        <v>0.0</v>
      </c>
      <c r="L775" s="32">
        <v>0.0</v>
      </c>
      <c r="M775" s="32">
        <f t="shared" si="3"/>
        <v>0</v>
      </c>
      <c r="N775" s="32" t="s">
        <v>376</v>
      </c>
      <c r="O775" s="32">
        <v>100.0</v>
      </c>
      <c r="P775" s="50" t="str">
        <f t="shared" si="6"/>
        <v>PASSED</v>
      </c>
      <c r="Q775" s="50" t="str">
        <f t="shared" si="5"/>
        <v>10</v>
      </c>
    </row>
    <row r="776" ht="22.5" customHeight="1">
      <c r="A776" s="26">
        <v>46007.0</v>
      </c>
      <c r="B776" s="32" t="s">
        <v>394</v>
      </c>
      <c r="C776" s="191" t="str">
        <f t="array" ref="C776">_xlfn.XLOOKUP(B776, DB[samplingPoint], DB[samplingTag])</f>
        <v>DV116.25</v>
      </c>
      <c r="D776" s="33" t="s">
        <v>59</v>
      </c>
      <c r="E776" s="39" t="str">
        <f t="array" ref="E776">_xlfn.XLOOKUP($B776, DB[samplingPoint], DB[noLocation])</f>
        <v>10-3-171</v>
      </c>
      <c r="F776" s="40" t="str">
        <f t="array" ref="F776">_xlfn.XLOOKUP($B776, DB[samplingPoint], DB[building])</f>
        <v>Building 10</v>
      </c>
      <c r="G776" s="40" t="str">
        <f t="array" ref="G776">_xlfn.XLOOKUP($B776, DB[samplingPoint], DB[location])</f>
        <v>TOOL WASHING-P</v>
      </c>
      <c r="H776" s="40" t="str">
        <f t="array" ref="H776">_xlfn.XLOOKUP($B776, DB[samplingPoint], DB[waterType])</f>
        <v>PW</v>
      </c>
      <c r="I776" s="60">
        <f t="shared" si="1"/>
        <v>46008</v>
      </c>
      <c r="J776" s="192">
        <f t="shared" si="2"/>
        <v>46011</v>
      </c>
      <c r="K776" s="32">
        <v>0.0</v>
      </c>
      <c r="L776" s="32">
        <v>0.0</v>
      </c>
      <c r="M776" s="32">
        <f t="shared" si="3"/>
        <v>0</v>
      </c>
      <c r="N776" s="32" t="s">
        <v>376</v>
      </c>
      <c r="O776" s="32">
        <v>100.0</v>
      </c>
      <c r="P776" s="50" t="str">
        <f t="shared" si="6"/>
        <v>PASSED</v>
      </c>
      <c r="Q776" s="50" t="str">
        <f t="shared" si="5"/>
        <v>10</v>
      </c>
    </row>
    <row r="777" ht="22.5" customHeight="1">
      <c r="A777" s="26">
        <v>46007.0</v>
      </c>
      <c r="B777" s="32" t="s">
        <v>398</v>
      </c>
      <c r="C777" s="191" t="str">
        <f t="array" ref="C777">_xlfn.XLOOKUP(B777, DB[samplingPoint], DB[samplingTag])</f>
        <v>DV116.24</v>
      </c>
      <c r="D777" s="33" t="s">
        <v>59</v>
      </c>
      <c r="E777" s="39" t="str">
        <f t="array" ref="E777">_xlfn.XLOOKUP($B777, DB[samplingPoint], DB[noLocation])</f>
        <v>10-3-163</v>
      </c>
      <c r="F777" s="40" t="str">
        <f t="array" ref="F777">_xlfn.XLOOKUP($B777, DB[samplingPoint], DB[building])</f>
        <v>Building 10</v>
      </c>
      <c r="G777" s="40" t="str">
        <f t="array" ref="G777">_xlfn.XLOOKUP($B777, DB[samplingPoint], DB[location])</f>
        <v>WET GRANULATION 1-P</v>
      </c>
      <c r="H777" s="40" t="str">
        <f t="array" ref="H777">_xlfn.XLOOKUP($B777, DB[samplingPoint], DB[waterType])</f>
        <v>PW</v>
      </c>
      <c r="I777" s="60">
        <f t="shared" si="1"/>
        <v>46008</v>
      </c>
      <c r="J777" s="192">
        <f t="shared" si="2"/>
        <v>46011</v>
      </c>
      <c r="K777" s="32">
        <v>0.0</v>
      </c>
      <c r="L777" s="32">
        <v>0.0</v>
      </c>
      <c r="M777" s="32">
        <f t="shared" si="3"/>
        <v>0</v>
      </c>
      <c r="N777" s="32" t="s">
        <v>376</v>
      </c>
      <c r="O777" s="32">
        <v>100.0</v>
      </c>
      <c r="P777" s="50" t="str">
        <f t="shared" si="6"/>
        <v>PASSED</v>
      </c>
      <c r="Q777" s="50" t="str">
        <f t="shared" si="5"/>
        <v>10</v>
      </c>
    </row>
    <row r="778" ht="22.5" customHeight="1">
      <c r="A778" s="26">
        <v>46007.0</v>
      </c>
      <c r="B778" s="32" t="s">
        <v>425</v>
      </c>
      <c r="C778" s="191" t="str">
        <f t="array" ref="C778">_xlfn.XLOOKUP(B778, DB[samplingPoint], DB[samplingTag])</f>
        <v>DV116.02</v>
      </c>
      <c r="D778" s="33" t="s">
        <v>59</v>
      </c>
      <c r="E778" s="39" t="str">
        <f t="array" ref="E778">_xlfn.XLOOKUP($B778, DB[samplingPoint], DB[noLocation])</f>
        <v>10-1-115</v>
      </c>
      <c r="F778" s="40" t="str">
        <f t="array" ref="F778">_xlfn.XLOOKUP($B778, DB[samplingPoint], DB[building])</f>
        <v>Building 10</v>
      </c>
      <c r="G778" s="40" t="str">
        <f t="array" ref="G778">_xlfn.XLOOKUP($B778, DB[samplingPoint], DB[location])</f>
        <v>WASHING</v>
      </c>
      <c r="H778" s="40" t="str">
        <f t="array" ref="H778">_xlfn.XLOOKUP($B778, DB[samplingPoint], DB[waterType])</f>
        <v>PW</v>
      </c>
      <c r="I778" s="60">
        <f t="shared" si="1"/>
        <v>46008</v>
      </c>
      <c r="J778" s="192">
        <f t="shared" si="2"/>
        <v>46011</v>
      </c>
      <c r="K778" s="32">
        <v>6.0</v>
      </c>
      <c r="L778" s="32">
        <v>3.0</v>
      </c>
      <c r="M778" s="32">
        <f t="shared" si="3"/>
        <v>5</v>
      </c>
      <c r="N778" s="32"/>
      <c r="O778" s="32">
        <v>100.0</v>
      </c>
      <c r="P778" s="50" t="str">
        <f t="shared" si="6"/>
        <v>PASSED</v>
      </c>
      <c r="Q778" s="50" t="str">
        <f t="shared" si="5"/>
        <v>10</v>
      </c>
    </row>
    <row r="779" ht="22.5" customHeight="1">
      <c r="A779" s="26">
        <v>46007.0</v>
      </c>
      <c r="B779" s="32" t="s">
        <v>423</v>
      </c>
      <c r="C779" s="191" t="str">
        <f t="array" ref="C779">_xlfn.XLOOKUP(B779, DB[samplingPoint], DB[samplingTag])</f>
        <v>SV116.12</v>
      </c>
      <c r="D779" s="33" t="s">
        <v>59</v>
      </c>
      <c r="E779" s="39" t="str">
        <f t="array" ref="E779">_xlfn.XLOOKUP($B779, DB[samplingPoint], DB[noLocation])</f>
        <v>10-3-144</v>
      </c>
      <c r="F779" s="40" t="str">
        <f t="array" ref="F779">_xlfn.XLOOKUP($B779, DB[samplingPoint], DB[building])</f>
        <v>Building 10</v>
      </c>
      <c r="G779" s="40" t="str">
        <f t="array" ref="G779">_xlfn.XLOOKUP($B779, DB[samplingPoint], DB[location])</f>
        <v>COATING-P</v>
      </c>
      <c r="H779" s="40" t="str">
        <f t="array" ref="H779">_xlfn.XLOOKUP($B779, DB[samplingPoint], DB[waterType])</f>
        <v>PW</v>
      </c>
      <c r="I779" s="60">
        <f t="shared" si="1"/>
        <v>46008</v>
      </c>
      <c r="J779" s="192">
        <f t="shared" si="2"/>
        <v>46011</v>
      </c>
      <c r="K779" s="32">
        <v>0.0</v>
      </c>
      <c r="L779" s="32">
        <v>0.0</v>
      </c>
      <c r="M779" s="32">
        <f t="shared" si="3"/>
        <v>0</v>
      </c>
      <c r="N779" s="32" t="s">
        <v>376</v>
      </c>
      <c r="O779" s="32">
        <v>100.0</v>
      </c>
      <c r="P779" s="50" t="str">
        <f t="shared" si="6"/>
        <v>PASSED</v>
      </c>
      <c r="Q779" s="50" t="str">
        <f t="shared" si="5"/>
        <v>10</v>
      </c>
    </row>
    <row r="780" ht="22.5" customHeight="1">
      <c r="A780" s="26">
        <v>46008.0</v>
      </c>
      <c r="B780" s="32" t="s">
        <v>562</v>
      </c>
      <c r="C780" s="191" t="str">
        <f t="array" ref="C780">_xlfn.XLOOKUP(B780, DB[samplingPoint], DB[samplingTag])</f>
        <v>DV126.09</v>
      </c>
      <c r="D780" s="33" t="s">
        <v>3</v>
      </c>
      <c r="E780" s="39" t="str">
        <f t="array" ref="E780">_xlfn.XLOOKUP($B780, DB[samplingPoint], DB[noLocation])</f>
        <v>16-3-090</v>
      </c>
      <c r="F780" s="40" t="str">
        <f t="array" ref="F780">_xlfn.XLOOKUP($B780, DB[samplingPoint], DB[building])</f>
        <v>Building 16</v>
      </c>
      <c r="G780" s="40" t="str">
        <f t="array" ref="G780">_xlfn.XLOOKUP($B780, DB[samplingPoint], DB[location])</f>
        <v>CIP 1 (ZINK WASHING)</v>
      </c>
      <c r="H780" s="40" t="str">
        <f t="array" ref="H780">_xlfn.XLOOKUP($B780, DB[samplingPoint], DB[waterType])</f>
        <v>PW</v>
      </c>
      <c r="I780" s="60">
        <f t="shared" si="1"/>
        <v>46009</v>
      </c>
      <c r="J780" s="192">
        <f t="shared" si="2"/>
        <v>46012</v>
      </c>
      <c r="K780" s="32">
        <v>0.0</v>
      </c>
      <c r="L780" s="32">
        <v>0.0</v>
      </c>
      <c r="M780" s="32">
        <f t="shared" si="3"/>
        <v>0</v>
      </c>
      <c r="N780" s="32" t="s">
        <v>376</v>
      </c>
      <c r="O780" s="32">
        <v>100.0</v>
      </c>
      <c r="P780" s="50" t="str">
        <f t="shared" si="6"/>
        <v>PASSED</v>
      </c>
      <c r="Q780" s="50" t="str">
        <f t="shared" si="5"/>
        <v>16</v>
      </c>
    </row>
    <row r="781" ht="22.5" customHeight="1">
      <c r="A781" s="26">
        <v>46008.0</v>
      </c>
      <c r="B781" s="32" t="s">
        <v>569</v>
      </c>
      <c r="C781" s="191" t="str">
        <f t="array" ref="C781">_xlfn.XLOOKUP(B781, DB[samplingPoint], DB[samplingTag])</f>
        <v>SV126.21</v>
      </c>
      <c r="D781" s="33" t="s">
        <v>3</v>
      </c>
      <c r="E781" s="39" t="str">
        <f t="array" ref="E781">_xlfn.XLOOKUP($B781, DB[samplingPoint], DB[noLocation])</f>
        <v>16-3-090</v>
      </c>
      <c r="F781" s="40" t="str">
        <f t="array" ref="F781">_xlfn.XLOOKUP($B781, DB[samplingPoint], DB[building])</f>
        <v>Building 16</v>
      </c>
      <c r="G781" s="40" t="str">
        <f t="array" ref="G781">_xlfn.XLOOKUP($B781, DB[samplingPoint], DB[location])</f>
        <v>CIP 1 (EQUIPMENT REQUIREMENT)</v>
      </c>
      <c r="H781" s="40" t="str">
        <f t="array" ref="H781">_xlfn.XLOOKUP($B781, DB[samplingPoint], DB[waterType])</f>
        <v>PW</v>
      </c>
      <c r="I781" s="60">
        <f t="shared" si="1"/>
        <v>46009</v>
      </c>
      <c r="J781" s="192">
        <f t="shared" si="2"/>
        <v>46012</v>
      </c>
      <c r="K781" s="32">
        <v>0.0</v>
      </c>
      <c r="L781" s="32">
        <v>0.0</v>
      </c>
      <c r="M781" s="32">
        <f t="shared" si="3"/>
        <v>0</v>
      </c>
      <c r="N781" s="32" t="s">
        <v>376</v>
      </c>
      <c r="O781" s="32">
        <v>100.0</v>
      </c>
      <c r="P781" s="50" t="str">
        <f t="shared" si="6"/>
        <v>PASSED</v>
      </c>
      <c r="Q781" s="50" t="str">
        <f t="shared" si="5"/>
        <v>16</v>
      </c>
    </row>
    <row r="782" ht="22.5" customHeight="1">
      <c r="A782" s="26">
        <v>46008.0</v>
      </c>
      <c r="B782" s="39" t="s">
        <v>564</v>
      </c>
      <c r="C782" s="191" t="str">
        <f t="array" ref="C782">_xlfn.XLOOKUP(B782, DB[samplingPoint], DB[samplingTag])</f>
        <v>SV126.05</v>
      </c>
      <c r="D782" s="33" t="s">
        <v>3</v>
      </c>
      <c r="E782" s="39" t="str">
        <f t="array" ref="E782">_xlfn.XLOOKUP($B782, DB[samplingPoint], DB[noLocation])</f>
        <v>16-3-049</v>
      </c>
      <c r="F782" s="40" t="str">
        <f t="array" ref="F782">_xlfn.XLOOKUP($B782, DB[samplingPoint], DB[building])</f>
        <v>Building 16</v>
      </c>
      <c r="G782" s="40" t="str">
        <f t="array" ref="G782">_xlfn.XLOOKUP($B782, DB[samplingPoint], DB[location])</f>
        <v>LINEN WASHING</v>
      </c>
      <c r="H782" s="40" t="str">
        <f t="array" ref="H782">_xlfn.XLOOKUP($B782, DB[samplingPoint], DB[waterType])</f>
        <v>PW</v>
      </c>
      <c r="I782" s="60">
        <f t="shared" si="1"/>
        <v>46009</v>
      </c>
      <c r="J782" s="192">
        <f t="shared" si="2"/>
        <v>46012</v>
      </c>
      <c r="K782" s="32">
        <v>0.0</v>
      </c>
      <c r="L782" s="32">
        <v>0.0</v>
      </c>
      <c r="M782" s="32">
        <f t="shared" si="3"/>
        <v>0</v>
      </c>
      <c r="N782" s="32" t="s">
        <v>376</v>
      </c>
      <c r="O782" s="32">
        <v>100.0</v>
      </c>
      <c r="P782" s="50" t="str">
        <f t="shared" si="6"/>
        <v>PASSED</v>
      </c>
      <c r="Q782" s="50" t="str">
        <f t="shared" si="5"/>
        <v>16</v>
      </c>
    </row>
    <row r="783" ht="22.5" customHeight="1">
      <c r="A783" s="51">
        <v>46008.0</v>
      </c>
      <c r="B783" s="35" t="s">
        <v>567</v>
      </c>
      <c r="C783" s="211" t="str">
        <f t="array" ref="C783">_xlfn.XLOOKUP(B783, DB[samplingPoint], DB[samplingTag])</f>
        <v>SV126.06</v>
      </c>
      <c r="D783" s="54" t="s">
        <v>3</v>
      </c>
      <c r="E783" s="61" t="str">
        <f t="array" ref="E783">_xlfn.XLOOKUP($B783, DB[samplingPoint], DB[noLocation])</f>
        <v>16-3-067</v>
      </c>
      <c r="F783" s="57" t="str">
        <f t="array" ref="F783">_xlfn.XLOOKUP($B783, DB[samplingPoint], DB[building])</f>
        <v>Building 16</v>
      </c>
      <c r="G783" s="57" t="str">
        <f t="array" ref="G783">_xlfn.XLOOKUP($B783, DB[samplingPoint], DB[location])</f>
        <v>MFG 1</v>
      </c>
      <c r="H783" s="57" t="str">
        <f t="array" ref="H783">_xlfn.XLOOKUP($B783, DB[samplingPoint], DB[waterType])</f>
        <v>PW</v>
      </c>
      <c r="I783" s="212">
        <f t="shared" si="1"/>
        <v>46009</v>
      </c>
      <c r="J783" s="205">
        <f t="shared" si="2"/>
        <v>46012</v>
      </c>
      <c r="K783" s="35">
        <v>0.0</v>
      </c>
      <c r="L783" s="35">
        <v>0.0</v>
      </c>
      <c r="M783" s="35">
        <f t="shared" si="3"/>
        <v>0</v>
      </c>
      <c r="N783" s="35" t="s">
        <v>376</v>
      </c>
      <c r="O783" s="35">
        <v>100.0</v>
      </c>
      <c r="P783" s="206" t="str">
        <f t="shared" si="6"/>
        <v>PASSED</v>
      </c>
      <c r="Q783" s="206" t="str">
        <f t="shared" si="5"/>
        <v>16</v>
      </c>
    </row>
    <row r="784" ht="22.5" customHeight="1">
      <c r="A784" s="26">
        <v>46008.0</v>
      </c>
      <c r="B784" s="32" t="s">
        <v>568</v>
      </c>
      <c r="C784" s="191" t="str">
        <f t="array" ref="C784">_xlfn.XLOOKUP(B784, DB[samplingPoint], DB[samplingTag])</f>
        <v>SV126.18</v>
      </c>
      <c r="D784" s="33" t="s">
        <v>3</v>
      </c>
      <c r="E784" s="39" t="str">
        <f t="array" ref="E784">_xlfn.XLOOKUP($B784, DB[samplingPoint], DB[noLocation])</f>
        <v>16-3-085</v>
      </c>
      <c r="F784" s="40" t="str">
        <f t="array" ref="F784">_xlfn.XLOOKUP($B784, DB[samplingPoint], DB[building])</f>
        <v>Building 16</v>
      </c>
      <c r="G784" s="40" t="str">
        <f t="array" ref="G784">_xlfn.XLOOKUP($B784, DB[samplingPoint], DB[location])</f>
        <v>CIP 3 (EQUIPMENT REQUIREMENT)</v>
      </c>
      <c r="H784" s="40" t="str">
        <f t="array" ref="H784">_xlfn.XLOOKUP($B784, DB[samplingPoint], DB[waterType])</f>
        <v>PW</v>
      </c>
      <c r="I784" s="60">
        <f t="shared" si="1"/>
        <v>46009</v>
      </c>
      <c r="J784" s="192">
        <f t="shared" si="2"/>
        <v>46012</v>
      </c>
      <c r="K784" s="32">
        <v>0.0</v>
      </c>
      <c r="L784" s="32">
        <v>0.0</v>
      </c>
      <c r="M784" s="32">
        <f t="shared" si="3"/>
        <v>0</v>
      </c>
      <c r="N784" s="32" t="s">
        <v>376</v>
      </c>
      <c r="O784" s="32">
        <v>100.0</v>
      </c>
      <c r="P784" s="50" t="str">
        <f t="shared" si="6"/>
        <v>PASSED</v>
      </c>
      <c r="Q784" s="50" t="str">
        <f t="shared" si="5"/>
        <v>16</v>
      </c>
    </row>
    <row r="785" ht="22.5" customHeight="1">
      <c r="A785" s="26">
        <v>46008.0</v>
      </c>
      <c r="B785" s="32" t="s">
        <v>469</v>
      </c>
      <c r="C785" s="191" t="str">
        <f t="array" ref="C785">_xlfn.XLOOKUP(B785, DB[samplingPoint], DB[samplingTag])</f>
        <v>SV125.02</v>
      </c>
      <c r="D785" s="33" t="s">
        <v>3</v>
      </c>
      <c r="E785" s="39" t="str">
        <f t="array" ref="E785">_xlfn.XLOOKUP($B785, DB[samplingPoint], DB[noLocation])</f>
        <v>WATER SYSTEM (B16)</v>
      </c>
      <c r="F785" s="40" t="str">
        <f t="array" ref="F785">_xlfn.XLOOKUP($B785, DB[samplingPoint], DB[building])</f>
        <v>Building 16</v>
      </c>
      <c r="G785" s="40" t="str">
        <f t="array" ref="G785">_xlfn.XLOOKUP($B785, DB[samplingPoint], DB[location])</f>
        <v>After UV (B16)</v>
      </c>
      <c r="H785" s="40" t="str">
        <f t="array" ref="H785">_xlfn.XLOOKUP($B785, DB[samplingPoint], DB[waterType])</f>
        <v>PW</v>
      </c>
      <c r="I785" s="60">
        <f t="shared" si="1"/>
        <v>46009</v>
      </c>
      <c r="J785" s="192">
        <f t="shared" si="2"/>
        <v>46012</v>
      </c>
      <c r="K785" s="32">
        <v>0.0</v>
      </c>
      <c r="L785" s="32">
        <v>0.0</v>
      </c>
      <c r="M785" s="32">
        <f t="shared" si="3"/>
        <v>0</v>
      </c>
      <c r="N785" s="32" t="s">
        <v>376</v>
      </c>
      <c r="O785" s="32">
        <v>100.0</v>
      </c>
      <c r="P785" s="50" t="str">
        <f t="shared" si="6"/>
        <v>PASSED</v>
      </c>
      <c r="Q785" s="50" t="str">
        <f t="shared" si="5"/>
        <v>WA</v>
      </c>
    </row>
    <row r="786" ht="22.5" customHeight="1">
      <c r="A786" s="26">
        <v>46008.0</v>
      </c>
      <c r="B786" s="32" t="s">
        <v>464</v>
      </c>
      <c r="C786" s="191" t="str">
        <f t="array" ref="C786">_xlfn.XLOOKUP(B786, DB[samplingPoint], DB[samplingTag])</f>
        <v>SV127.01</v>
      </c>
      <c r="D786" s="33" t="s">
        <v>3</v>
      </c>
      <c r="E786" s="39" t="str">
        <f t="array" ref="E786">_xlfn.XLOOKUP($B786, DB[samplingPoint], DB[noLocation])</f>
        <v>WATER SYSTEM (B16)</v>
      </c>
      <c r="F786" s="40" t="str">
        <f t="array" ref="F786">_xlfn.XLOOKUP($B786, DB[samplingPoint], DB[building])</f>
        <v>Building 16</v>
      </c>
      <c r="G786" s="40" t="str">
        <f t="array" ref="G786">_xlfn.XLOOKUP($B786, DB[samplingPoint], DB[location])</f>
        <v>Return loop (B16)</v>
      </c>
      <c r="H786" s="40" t="str">
        <f t="array" ref="H786">_xlfn.XLOOKUP($B786, DB[samplingPoint], DB[waterType])</f>
        <v>PW</v>
      </c>
      <c r="I786" s="60">
        <f t="shared" si="1"/>
        <v>46009</v>
      </c>
      <c r="J786" s="192">
        <f t="shared" si="2"/>
        <v>46012</v>
      </c>
      <c r="K786" s="32">
        <v>0.0</v>
      </c>
      <c r="L786" s="32">
        <v>0.0</v>
      </c>
      <c r="M786" s="32">
        <f t="shared" si="3"/>
        <v>0</v>
      </c>
      <c r="N786" s="32" t="s">
        <v>376</v>
      </c>
      <c r="O786" s="32">
        <v>100.0</v>
      </c>
      <c r="P786" s="50" t="str">
        <f t="shared" si="6"/>
        <v>PASSED</v>
      </c>
      <c r="Q786" s="50" t="str">
        <f t="shared" si="5"/>
        <v>WA</v>
      </c>
    </row>
    <row r="787" ht="22.5" customHeight="1">
      <c r="A787" s="26">
        <v>46008.0</v>
      </c>
      <c r="B787" s="32" t="s">
        <v>438</v>
      </c>
      <c r="C787" s="213" t="str">
        <f t="array" ref="C787">_xlfn.XLOOKUP(B787, DB[samplingPoint], DB[samplingTag])</f>
        <v>SV135.02</v>
      </c>
      <c r="D787" s="33" t="s">
        <v>56</v>
      </c>
      <c r="E787" s="39" t="str">
        <f t="array" ref="E787">_xlfn.XLOOKUP($B787, DB[samplingPoint], DB[noLocation])</f>
        <v>WATER SYSTEM (B12)</v>
      </c>
      <c r="F787" s="40" t="str">
        <f t="array" ref="F787">_xlfn.XLOOKUP($B787, DB[samplingPoint], DB[building])</f>
        <v>Building 12</v>
      </c>
      <c r="G787" s="40" t="str">
        <f t="array" ref="G787">_xlfn.XLOOKUP($B787, DB[samplingPoint], DB[location])</f>
        <v>After UV (B12)</v>
      </c>
      <c r="H787" s="40" t="str">
        <f t="array" ref="H787">_xlfn.XLOOKUP($B787, DB[samplingPoint], DB[waterType])</f>
        <v>PW</v>
      </c>
      <c r="I787" s="60">
        <f t="shared" si="1"/>
        <v>46009</v>
      </c>
      <c r="J787" s="192">
        <f t="shared" si="2"/>
        <v>46012</v>
      </c>
      <c r="K787" s="32">
        <v>0.0</v>
      </c>
      <c r="L787" s="32">
        <v>0.0</v>
      </c>
      <c r="M787" s="32">
        <f t="shared" si="3"/>
        <v>0</v>
      </c>
      <c r="N787" s="32" t="s">
        <v>376</v>
      </c>
      <c r="O787" s="32">
        <v>100.0</v>
      </c>
      <c r="P787" s="50" t="str">
        <f t="shared" si="6"/>
        <v>PASSED</v>
      </c>
      <c r="Q787" s="50" t="str">
        <f t="shared" si="5"/>
        <v>WA</v>
      </c>
    </row>
    <row r="788" ht="22.5" customHeight="1">
      <c r="A788" s="26">
        <v>46008.0</v>
      </c>
      <c r="B788" s="32" t="s">
        <v>430</v>
      </c>
      <c r="C788" s="213" t="str">
        <f t="array" ref="C788">_xlfn.XLOOKUP(B788, DB[samplingPoint], DB[samplingTag])</f>
        <v>SV137.01</v>
      </c>
      <c r="D788" s="33" t="s">
        <v>56</v>
      </c>
      <c r="E788" s="39" t="str">
        <f t="array" ref="E788">_xlfn.XLOOKUP($B788, DB[samplingPoint], DB[noLocation])</f>
        <v>WATER SYSTEM (B12)</v>
      </c>
      <c r="F788" s="40" t="str">
        <f t="array" ref="F788">_xlfn.XLOOKUP($B788, DB[samplingPoint], DB[building])</f>
        <v>Building 12</v>
      </c>
      <c r="G788" s="40" t="str">
        <f t="array" ref="G788">_xlfn.XLOOKUP($B788, DB[samplingPoint], DB[location])</f>
        <v>Return loop (B12)</v>
      </c>
      <c r="H788" s="40" t="str">
        <f t="array" ref="H788">_xlfn.XLOOKUP($B788, DB[samplingPoint], DB[waterType])</f>
        <v>PW</v>
      </c>
      <c r="I788" s="60">
        <f t="shared" si="1"/>
        <v>46009</v>
      </c>
      <c r="J788" s="192">
        <f t="shared" si="2"/>
        <v>46012</v>
      </c>
      <c r="K788" s="32">
        <v>0.0</v>
      </c>
      <c r="L788" s="32">
        <v>0.0</v>
      </c>
      <c r="M788" s="32">
        <f t="shared" si="3"/>
        <v>0</v>
      </c>
      <c r="N788" s="32" t="s">
        <v>376</v>
      </c>
      <c r="O788" s="32">
        <v>100.0</v>
      </c>
      <c r="P788" s="50" t="str">
        <f t="shared" si="6"/>
        <v>PASSED</v>
      </c>
      <c r="Q788" s="50" t="str">
        <f t="shared" si="5"/>
        <v>WA</v>
      </c>
    </row>
    <row r="789" ht="22.5" customHeight="1">
      <c r="A789" s="26">
        <v>46008.0</v>
      </c>
      <c r="B789" s="32" t="s">
        <v>443</v>
      </c>
      <c r="C789" s="213" t="str">
        <f t="array" ref="C789">_xlfn.XLOOKUP(B789, DB[samplingPoint], DB[samplingTag])</f>
        <v>SV136.09</v>
      </c>
      <c r="D789" s="33" t="s">
        <v>56</v>
      </c>
      <c r="E789" s="39" t="str">
        <f t="array" ref="E789">_xlfn.XLOOKUP($B789, DB[samplingPoint], DB[noLocation])</f>
        <v>12-2-039</v>
      </c>
      <c r="F789" s="40" t="str">
        <f t="array" ref="F789">_xlfn.XLOOKUP($B789, DB[samplingPoint], DB[building])</f>
        <v>Building 12</v>
      </c>
      <c r="G789" s="40" t="str">
        <f t="array" ref="G789">_xlfn.XLOOKUP($B789, DB[samplingPoint], DB[location])</f>
        <v>MFG 1</v>
      </c>
      <c r="H789" s="40" t="str">
        <f t="array" ref="H789">_xlfn.XLOOKUP($B789, DB[samplingPoint], DB[waterType])</f>
        <v>PW</v>
      </c>
      <c r="I789" s="60">
        <f t="shared" si="1"/>
        <v>46009</v>
      </c>
      <c r="J789" s="192">
        <f t="shared" si="2"/>
        <v>46012</v>
      </c>
      <c r="K789" s="32">
        <v>0.0</v>
      </c>
      <c r="L789" s="32">
        <v>0.0</v>
      </c>
      <c r="M789" s="32">
        <f t="shared" si="3"/>
        <v>0</v>
      </c>
      <c r="N789" s="32" t="s">
        <v>376</v>
      </c>
      <c r="O789" s="32">
        <v>100.0</v>
      </c>
      <c r="P789" s="50" t="str">
        <f t="shared" si="6"/>
        <v>PASSED</v>
      </c>
      <c r="Q789" s="50" t="str">
        <f t="shared" si="5"/>
        <v>12</v>
      </c>
    </row>
    <row r="790" ht="22.5" customHeight="1">
      <c r="A790" s="26">
        <v>46008.0</v>
      </c>
      <c r="B790" s="32" t="s">
        <v>445</v>
      </c>
      <c r="C790" s="213" t="str">
        <f t="array" ref="C790">_xlfn.XLOOKUP(B790, DB[samplingPoint], DB[samplingTag])</f>
        <v>SV136.10</v>
      </c>
      <c r="D790" s="33" t="s">
        <v>56</v>
      </c>
      <c r="E790" s="39" t="str">
        <f t="array" ref="E790">_xlfn.XLOOKUP($B790, DB[samplingPoint], DB[noLocation])</f>
        <v>12-2-041</v>
      </c>
      <c r="F790" s="40" t="str">
        <f t="array" ref="F790">_xlfn.XLOOKUP($B790, DB[samplingPoint], DB[building])</f>
        <v>Building 12</v>
      </c>
      <c r="G790" s="40" t="str">
        <f t="array" ref="G790">_xlfn.XLOOKUP($B790, DB[samplingPoint], DB[location])</f>
        <v>MFG 2</v>
      </c>
      <c r="H790" s="40" t="str">
        <f t="array" ref="H790">_xlfn.XLOOKUP($B790, DB[samplingPoint], DB[waterType])</f>
        <v>PW</v>
      </c>
      <c r="I790" s="60">
        <f t="shared" si="1"/>
        <v>46009</v>
      </c>
      <c r="J790" s="192">
        <f t="shared" si="2"/>
        <v>46012</v>
      </c>
      <c r="K790" s="32">
        <v>0.0</v>
      </c>
      <c r="L790" s="32">
        <v>0.0</v>
      </c>
      <c r="M790" s="32">
        <f t="shared" si="3"/>
        <v>0</v>
      </c>
      <c r="N790" s="32" t="s">
        <v>376</v>
      </c>
      <c r="O790" s="32">
        <v>100.0</v>
      </c>
      <c r="P790" s="50" t="str">
        <f t="shared" si="6"/>
        <v>PASSED</v>
      </c>
      <c r="Q790" s="50" t="str">
        <f t="shared" si="5"/>
        <v>12</v>
      </c>
    </row>
    <row r="791" ht="22.5" customHeight="1">
      <c r="A791" s="26">
        <v>46008.0</v>
      </c>
      <c r="B791" s="32" t="s">
        <v>449</v>
      </c>
      <c r="C791" s="213" t="str">
        <f t="array" ref="C791">_xlfn.XLOOKUP(B791, DB[samplingPoint], DB[samplingTag])</f>
        <v>SV136.11</v>
      </c>
      <c r="D791" s="33" t="s">
        <v>56</v>
      </c>
      <c r="E791" s="39" t="str">
        <f t="array" ref="E791">_xlfn.XLOOKUP($B791, DB[samplingPoint], DB[noLocation])</f>
        <v>12-2-043</v>
      </c>
      <c r="F791" s="40" t="str">
        <f t="array" ref="F791">_xlfn.XLOOKUP($B791, DB[samplingPoint], DB[building])</f>
        <v>Building 12</v>
      </c>
      <c r="G791" s="40" t="str">
        <f t="array" ref="G791">_xlfn.XLOOKUP($B791, DB[samplingPoint], DB[location])</f>
        <v>MFG 3</v>
      </c>
      <c r="H791" s="40" t="str">
        <f t="array" ref="H791">_xlfn.XLOOKUP($B791, DB[samplingPoint], DB[waterType])</f>
        <v>PW</v>
      </c>
      <c r="I791" s="60">
        <f t="shared" si="1"/>
        <v>46009</v>
      </c>
      <c r="J791" s="192">
        <f t="shared" si="2"/>
        <v>46012</v>
      </c>
      <c r="K791" s="32">
        <v>0.0</v>
      </c>
      <c r="L791" s="32">
        <v>0.0</v>
      </c>
      <c r="M791" s="32">
        <f t="shared" si="3"/>
        <v>0</v>
      </c>
      <c r="N791" s="32" t="s">
        <v>376</v>
      </c>
      <c r="O791" s="32">
        <v>100.0</v>
      </c>
      <c r="P791" s="50" t="str">
        <f t="shared" si="6"/>
        <v>PASSED</v>
      </c>
      <c r="Q791" s="50" t="str">
        <f t="shared" si="5"/>
        <v>12</v>
      </c>
    </row>
    <row r="792" ht="22.5" customHeight="1">
      <c r="A792" s="26">
        <v>46008.0</v>
      </c>
      <c r="B792" s="32" t="s">
        <v>453</v>
      </c>
      <c r="C792" s="213" t="str">
        <f t="array" ref="C792">_xlfn.XLOOKUP(B792, DB[samplingPoint], DB[samplingTag])</f>
        <v>SV136.13</v>
      </c>
      <c r="D792" s="33" t="s">
        <v>56</v>
      </c>
      <c r="E792" s="39" t="str">
        <f t="array" ref="E792">_xlfn.XLOOKUP($B792, DB[samplingPoint], DB[noLocation])</f>
        <v>12-2-043</v>
      </c>
      <c r="F792" s="40" t="str">
        <f t="array" ref="F792">_xlfn.XLOOKUP($B792, DB[samplingPoint], DB[building])</f>
        <v>Building 12</v>
      </c>
      <c r="G792" s="40" t="str">
        <f t="array" ref="G792">_xlfn.XLOOKUP($B792, DB[samplingPoint], DB[location])</f>
        <v>MFG 3</v>
      </c>
      <c r="H792" s="40" t="str">
        <f t="array" ref="H792">_xlfn.XLOOKUP($B792, DB[samplingPoint], DB[waterType])</f>
        <v>PW</v>
      </c>
      <c r="I792" s="60">
        <f t="shared" si="1"/>
        <v>46009</v>
      </c>
      <c r="J792" s="192">
        <f t="shared" si="2"/>
        <v>46012</v>
      </c>
      <c r="K792" s="32">
        <v>0.0</v>
      </c>
      <c r="L792" s="32">
        <v>0.0</v>
      </c>
      <c r="M792" s="32">
        <f t="shared" si="3"/>
        <v>0</v>
      </c>
      <c r="N792" s="32" t="s">
        <v>376</v>
      </c>
      <c r="O792" s="32">
        <v>100.0</v>
      </c>
      <c r="P792" s="50" t="str">
        <f t="shared" si="6"/>
        <v>PASSED</v>
      </c>
      <c r="Q792" s="50" t="str">
        <f t="shared" si="5"/>
        <v>12</v>
      </c>
    </row>
    <row r="793" ht="22.5" customHeight="1">
      <c r="A793" s="26">
        <v>46008.0</v>
      </c>
      <c r="B793" s="32" t="s">
        <v>455</v>
      </c>
      <c r="C793" s="213" t="str">
        <f t="array" ref="C793">_xlfn.XLOOKUP(B793, DB[samplingPoint], DB[samplingTag])</f>
        <v>SV136.08</v>
      </c>
      <c r="D793" s="33" t="s">
        <v>56</v>
      </c>
      <c r="E793" s="39" t="str">
        <f t="array" ref="E793">_xlfn.XLOOKUP($B793, DB[samplingPoint], DB[noLocation])</f>
        <v>12-2-043</v>
      </c>
      <c r="F793" s="40" t="str">
        <f t="array" ref="F793">_xlfn.XLOOKUP($B793, DB[samplingPoint], DB[building])</f>
        <v>Building 12</v>
      </c>
      <c r="G793" s="40" t="str">
        <f t="array" ref="G793">_xlfn.XLOOKUP($B793, DB[samplingPoint], DB[location])</f>
        <v>MFG 3</v>
      </c>
      <c r="H793" s="40" t="str">
        <f t="array" ref="H793">_xlfn.XLOOKUP($B793, DB[samplingPoint], DB[waterType])</f>
        <v>PW</v>
      </c>
      <c r="I793" s="60">
        <f t="shared" si="1"/>
        <v>46009</v>
      </c>
      <c r="J793" s="192">
        <f t="shared" si="2"/>
        <v>46012</v>
      </c>
      <c r="K793" s="32">
        <v>0.0</v>
      </c>
      <c r="L793" s="32">
        <v>0.0</v>
      </c>
      <c r="M793" s="32">
        <f t="shared" si="3"/>
        <v>0</v>
      </c>
      <c r="N793" s="32" t="s">
        <v>376</v>
      </c>
      <c r="O793" s="32">
        <v>100.0</v>
      </c>
      <c r="P793" s="50" t="str">
        <f t="shared" si="6"/>
        <v>PASSED</v>
      </c>
      <c r="Q793" s="50" t="str">
        <f t="shared" si="5"/>
        <v>12</v>
      </c>
    </row>
    <row r="794" ht="22.5" customHeight="1">
      <c r="A794" s="26">
        <v>46008.0</v>
      </c>
      <c r="B794" s="32" t="s">
        <v>460</v>
      </c>
      <c r="C794" s="213" t="str">
        <f t="array" ref="C794">_xlfn.XLOOKUP(B794, DB[samplingPoint], DB[samplingTag])</f>
        <v>SV136.02</v>
      </c>
      <c r="D794" s="33" t="s">
        <v>56</v>
      </c>
      <c r="E794" s="39" t="str">
        <f t="array" ref="E794">_xlfn.XLOOKUP($B794, DB[samplingPoint], DB[noLocation])</f>
        <v>12-2-024</v>
      </c>
      <c r="F794" s="40" t="str">
        <f t="array" ref="F794">_xlfn.XLOOKUP($B794, DB[samplingPoint], DB[building])</f>
        <v>Building 12</v>
      </c>
      <c r="G794" s="40" t="str">
        <f t="array" ref="G794">_xlfn.XLOOKUP($B794, DB[samplingPoint], DB[location])</f>
        <v>LIQUORICE EXTRACT</v>
      </c>
      <c r="H794" s="40" t="str">
        <f t="array" ref="H794">_xlfn.XLOOKUP($B794, DB[samplingPoint], DB[waterType])</f>
        <v>PW</v>
      </c>
      <c r="I794" s="60">
        <f t="shared" si="1"/>
        <v>46009</v>
      </c>
      <c r="J794" s="192">
        <f t="shared" si="2"/>
        <v>46012</v>
      </c>
      <c r="K794" s="32">
        <v>0.0</v>
      </c>
      <c r="L794" s="32">
        <v>0.0</v>
      </c>
      <c r="M794" s="32">
        <f t="shared" si="3"/>
        <v>0</v>
      </c>
      <c r="N794" s="32" t="s">
        <v>376</v>
      </c>
      <c r="O794" s="32">
        <v>100.0</v>
      </c>
      <c r="P794" s="50" t="str">
        <f t="shared" si="6"/>
        <v>PASSED</v>
      </c>
      <c r="Q794" s="50" t="str">
        <f t="shared" si="5"/>
        <v>12</v>
      </c>
    </row>
    <row r="795" ht="22.5" customHeight="1">
      <c r="A795" s="26">
        <v>46008.0</v>
      </c>
      <c r="B795" s="32" t="s">
        <v>458</v>
      </c>
      <c r="C795" s="213" t="str">
        <f t="array" ref="C795">_xlfn.XLOOKUP(B795, DB[samplingPoint], DB[samplingTag])</f>
        <v>SV136.14</v>
      </c>
      <c r="D795" s="33" t="s">
        <v>56</v>
      </c>
      <c r="E795" s="39" t="str">
        <f t="array" ref="E795">_xlfn.XLOOKUP($B795, DB[samplingPoint], DB[noLocation])</f>
        <v>12-2-045</v>
      </c>
      <c r="F795" s="40" t="str">
        <f t="array" ref="F795">_xlfn.XLOOKUP($B795, DB[samplingPoint], DB[building])</f>
        <v>Building 12</v>
      </c>
      <c r="G795" s="40" t="str">
        <f t="array" ref="G795">_xlfn.XLOOKUP($B795, DB[samplingPoint], DB[location])</f>
        <v>MFG 4</v>
      </c>
      <c r="H795" s="40" t="str">
        <f t="array" ref="H795">_xlfn.XLOOKUP($B795, DB[samplingPoint], DB[waterType])</f>
        <v>PW</v>
      </c>
      <c r="I795" s="60">
        <f t="shared" si="1"/>
        <v>46009</v>
      </c>
      <c r="J795" s="192">
        <f t="shared" si="2"/>
        <v>46012</v>
      </c>
      <c r="K795" s="32">
        <v>0.0</v>
      </c>
      <c r="L795" s="32">
        <v>0.0</v>
      </c>
      <c r="M795" s="32">
        <f t="shared" si="3"/>
        <v>0</v>
      </c>
      <c r="N795" s="32" t="s">
        <v>376</v>
      </c>
      <c r="O795" s="32">
        <v>100.0</v>
      </c>
      <c r="P795" s="50" t="str">
        <f t="shared" si="6"/>
        <v>PASSED</v>
      </c>
      <c r="Q795" s="50" t="str">
        <f t="shared" si="5"/>
        <v>12</v>
      </c>
    </row>
    <row r="796" ht="22.5" customHeight="1">
      <c r="A796" s="26">
        <v>46009.0</v>
      </c>
      <c r="B796" s="32" t="s">
        <v>557</v>
      </c>
      <c r="C796" s="214" t="str">
        <f t="array" ref="C796">_xlfn.XLOOKUP(B796, DB[samplingPoint], DB[samplingTag])</f>
        <v>SV126.10</v>
      </c>
      <c r="D796" s="33" t="s">
        <v>3</v>
      </c>
      <c r="E796" s="39" t="str">
        <f t="array" ref="E796">_xlfn.XLOOKUP($B796, DB[samplingPoint], DB[noLocation])</f>
        <v>16-3-071</v>
      </c>
      <c r="F796" s="40" t="str">
        <f t="array" ref="F796">_xlfn.XLOOKUP($B796, DB[samplingPoint], DB[building])</f>
        <v>Building 16</v>
      </c>
      <c r="G796" s="40" t="str">
        <f t="array" ref="G796">_xlfn.XLOOKUP($B796, DB[samplingPoint], DB[location])</f>
        <v>MFG 3 (1200L)</v>
      </c>
      <c r="H796" s="40" t="str">
        <f t="array" ref="H796">_xlfn.XLOOKUP($B796, DB[samplingPoint], DB[waterType])</f>
        <v>PW</v>
      </c>
      <c r="I796" s="60">
        <f t="shared" si="1"/>
        <v>46010</v>
      </c>
      <c r="J796" s="192">
        <f t="shared" si="2"/>
        <v>46013</v>
      </c>
      <c r="K796" s="32">
        <v>0.0</v>
      </c>
      <c r="L796" s="32">
        <v>0.0</v>
      </c>
      <c r="M796" s="32">
        <f t="shared" si="3"/>
        <v>0</v>
      </c>
      <c r="N796" s="32" t="s">
        <v>376</v>
      </c>
      <c r="O796" s="32">
        <v>100.0</v>
      </c>
      <c r="P796" s="50" t="str">
        <f t="shared" si="6"/>
        <v>PASSED</v>
      </c>
      <c r="Q796" s="50" t="str">
        <f t="shared" si="5"/>
        <v>16</v>
      </c>
    </row>
    <row r="797" ht="22.5" customHeight="1">
      <c r="A797" s="26">
        <v>46009.0</v>
      </c>
      <c r="B797" s="32" t="s">
        <v>553</v>
      </c>
      <c r="C797" s="214" t="str">
        <f t="array" ref="C797">_xlfn.XLOOKUP(B797, DB[samplingPoint], DB[samplingTag])</f>
        <v>DV126.10</v>
      </c>
      <c r="D797" s="33" t="s">
        <v>3</v>
      </c>
      <c r="E797" s="39" t="str">
        <f t="array" ref="E797">_xlfn.XLOOKUP($B797, DB[samplingPoint], DB[noLocation])</f>
        <v>16-3-069</v>
      </c>
      <c r="F797" s="40" t="str">
        <f t="array" ref="F797">_xlfn.XLOOKUP($B797, DB[samplingPoint], DB[building])</f>
        <v>Building 16</v>
      </c>
      <c r="G797" s="40" t="str">
        <f t="array" ref="G797">_xlfn.XLOOKUP($B797, DB[samplingPoint], DB[location])</f>
        <v>MFG 2</v>
      </c>
      <c r="H797" s="40" t="str">
        <f t="array" ref="H797">_xlfn.XLOOKUP($B797, DB[samplingPoint], DB[waterType])</f>
        <v>PW</v>
      </c>
      <c r="I797" s="60">
        <f t="shared" si="1"/>
        <v>46010</v>
      </c>
      <c r="J797" s="192">
        <f t="shared" si="2"/>
        <v>46013</v>
      </c>
      <c r="K797" s="32">
        <v>0.0</v>
      </c>
      <c r="L797" s="32">
        <v>0.0</v>
      </c>
      <c r="M797" s="32">
        <f t="shared" si="3"/>
        <v>0</v>
      </c>
      <c r="N797" s="32" t="s">
        <v>376</v>
      </c>
      <c r="O797" s="32">
        <v>100.0</v>
      </c>
      <c r="P797" s="50" t="str">
        <f t="shared" si="6"/>
        <v>PASSED</v>
      </c>
      <c r="Q797" s="50" t="str">
        <f t="shared" si="5"/>
        <v>16</v>
      </c>
    </row>
    <row r="798" ht="22.5" customHeight="1">
      <c r="A798" s="26">
        <v>46009.0</v>
      </c>
      <c r="B798" s="32" t="s">
        <v>555</v>
      </c>
      <c r="C798" s="214" t="str">
        <f t="array" ref="C798">_xlfn.XLOOKUP(B798, DB[samplingPoint], DB[samplingTag])</f>
        <v>DV126.06</v>
      </c>
      <c r="D798" s="33" t="s">
        <v>3</v>
      </c>
      <c r="E798" s="39" t="str">
        <f t="array" ref="E798">_xlfn.XLOOKUP($B798, DB[samplingPoint], DB[noLocation])</f>
        <v>16-3-069</v>
      </c>
      <c r="F798" s="40" t="str">
        <f t="array" ref="F798">_xlfn.XLOOKUP($B798, DB[samplingPoint], DB[building])</f>
        <v>Building 16</v>
      </c>
      <c r="G798" s="40" t="str">
        <f t="array" ref="G798">_xlfn.XLOOKUP($B798, DB[samplingPoint], DB[location])</f>
        <v>MFG 2</v>
      </c>
      <c r="H798" s="40" t="str">
        <f t="array" ref="H798">_xlfn.XLOOKUP($B798, DB[samplingPoint], DB[waterType])</f>
        <v>PW</v>
      </c>
      <c r="I798" s="60">
        <f t="shared" si="1"/>
        <v>46010</v>
      </c>
      <c r="J798" s="192">
        <f t="shared" si="2"/>
        <v>46013</v>
      </c>
      <c r="K798" s="32">
        <v>0.0</v>
      </c>
      <c r="L798" s="32">
        <v>0.0</v>
      </c>
      <c r="M798" s="32">
        <f t="shared" si="3"/>
        <v>0</v>
      </c>
      <c r="N798" s="32" t="s">
        <v>376</v>
      </c>
      <c r="O798" s="32">
        <v>100.0</v>
      </c>
      <c r="P798" s="50" t="str">
        <f t="shared" si="6"/>
        <v>PASSED</v>
      </c>
      <c r="Q798" s="50" t="str">
        <f t="shared" si="5"/>
        <v>16</v>
      </c>
    </row>
    <row r="799" ht="22.5" customHeight="1">
      <c r="A799" s="26">
        <v>46009.0</v>
      </c>
      <c r="B799" s="39" t="s">
        <v>561</v>
      </c>
      <c r="C799" s="214" t="str">
        <f t="array" ref="C799">_xlfn.XLOOKUP(B799, DB[samplingPoint], DB[samplingTag])</f>
        <v>SV126.09</v>
      </c>
      <c r="D799" s="33" t="s">
        <v>3</v>
      </c>
      <c r="E799" s="39" t="str">
        <f t="array" ref="E799">_xlfn.XLOOKUP($B799, DB[samplingPoint], DB[noLocation])</f>
        <v>16-3-071</v>
      </c>
      <c r="F799" s="40" t="str">
        <f t="array" ref="F799">_xlfn.XLOOKUP($B799, DB[samplingPoint], DB[building])</f>
        <v>Building 16</v>
      </c>
      <c r="G799" s="40" t="str">
        <f t="array" ref="G799">_xlfn.XLOOKUP($B799, DB[samplingPoint], DB[location])</f>
        <v>MFG 3 (5000L)</v>
      </c>
      <c r="H799" s="40" t="str">
        <f t="array" ref="H799">_xlfn.XLOOKUP($B799, DB[samplingPoint], DB[waterType])</f>
        <v>PW</v>
      </c>
      <c r="I799" s="60">
        <f t="shared" si="1"/>
        <v>46010</v>
      </c>
      <c r="J799" s="192">
        <f t="shared" si="2"/>
        <v>46013</v>
      </c>
      <c r="K799" s="32">
        <v>0.0</v>
      </c>
      <c r="L799" s="32">
        <v>0.0</v>
      </c>
      <c r="M799" s="32">
        <f t="shared" si="3"/>
        <v>0</v>
      </c>
      <c r="N799" s="32" t="s">
        <v>376</v>
      </c>
      <c r="O799" s="32">
        <v>100.0</v>
      </c>
      <c r="P799" s="50" t="str">
        <f t="shared" si="6"/>
        <v>PASSED</v>
      </c>
      <c r="Q799" s="50" t="str">
        <f t="shared" si="5"/>
        <v>16</v>
      </c>
    </row>
    <row r="800" ht="22.5" customHeight="1">
      <c r="A800" s="26">
        <v>46009.0</v>
      </c>
      <c r="B800" s="32" t="s">
        <v>566</v>
      </c>
      <c r="C800" s="214" t="str">
        <f t="array" ref="C800">_xlfn.XLOOKUP(B800, DB[samplingPoint], DB[samplingTag])</f>
        <v>DV126.08</v>
      </c>
      <c r="D800" s="33" t="s">
        <v>3</v>
      </c>
      <c r="E800" s="39" t="str">
        <f t="array" ref="E800">_xlfn.XLOOKUP($B800, DB[samplingPoint], DB[noLocation])</f>
        <v>16-3-077</v>
      </c>
      <c r="F800" s="40" t="str">
        <f t="array" ref="F800">_xlfn.XLOOKUP($B800, DB[samplingPoint], DB[building])</f>
        <v>Building 16</v>
      </c>
      <c r="G800" s="40" t="str">
        <f t="array" ref="G800">_xlfn.XLOOKUP($B800, DB[samplingPoint], DB[location])</f>
        <v>MFG 6</v>
      </c>
      <c r="H800" s="40" t="str">
        <f t="array" ref="H800">_xlfn.XLOOKUP($B800, DB[samplingPoint], DB[waterType])</f>
        <v>PW</v>
      </c>
      <c r="I800" s="60">
        <f t="shared" si="1"/>
        <v>46010</v>
      </c>
      <c r="J800" s="192">
        <f t="shared" si="2"/>
        <v>46013</v>
      </c>
      <c r="K800" s="32">
        <v>0.0</v>
      </c>
      <c r="L800" s="32">
        <v>0.0</v>
      </c>
      <c r="M800" s="32">
        <f t="shared" si="3"/>
        <v>0</v>
      </c>
      <c r="N800" s="32" t="s">
        <v>376</v>
      </c>
      <c r="O800" s="32">
        <v>100.0</v>
      </c>
      <c r="P800" s="50" t="str">
        <f t="shared" si="6"/>
        <v>PASSED</v>
      </c>
      <c r="Q800" s="50" t="str">
        <f t="shared" si="5"/>
        <v>16</v>
      </c>
    </row>
    <row r="801" ht="22.5" customHeight="1">
      <c r="A801" s="26">
        <v>46009.0</v>
      </c>
      <c r="B801" s="32" t="s">
        <v>563</v>
      </c>
      <c r="C801" s="214" t="str">
        <f t="array" ref="C801">_xlfn.XLOOKUP(B801, DB[samplingPoint], DB[samplingTag])</f>
        <v>DV126.07</v>
      </c>
      <c r="D801" s="33" t="s">
        <v>3</v>
      </c>
      <c r="E801" s="39" t="str">
        <f t="array" ref="E801">_xlfn.XLOOKUP($B801, DB[samplingPoint], DB[noLocation])</f>
        <v>16-3-077</v>
      </c>
      <c r="F801" s="40" t="str">
        <f t="array" ref="F801">_xlfn.XLOOKUP($B801, DB[samplingPoint], DB[building])</f>
        <v>Building 16</v>
      </c>
      <c r="G801" s="40" t="str">
        <f t="array" ref="G801">_xlfn.XLOOKUP($B801, DB[samplingPoint], DB[location])</f>
        <v>MFG 6</v>
      </c>
      <c r="H801" s="40" t="str">
        <f t="array" ref="H801">_xlfn.XLOOKUP($B801, DB[samplingPoint], DB[waterType])</f>
        <v>PW</v>
      </c>
      <c r="I801" s="60">
        <f t="shared" si="1"/>
        <v>46010</v>
      </c>
      <c r="J801" s="192">
        <f t="shared" si="2"/>
        <v>46013</v>
      </c>
      <c r="K801" s="32">
        <v>0.0</v>
      </c>
      <c r="L801" s="32">
        <v>0.0</v>
      </c>
      <c r="M801" s="32">
        <f t="shared" si="3"/>
        <v>0</v>
      </c>
      <c r="N801" s="32" t="s">
        <v>376</v>
      </c>
      <c r="O801" s="32">
        <v>100.0</v>
      </c>
      <c r="P801" s="50" t="str">
        <f t="shared" si="6"/>
        <v>PASSED</v>
      </c>
      <c r="Q801" s="50" t="str">
        <f t="shared" si="5"/>
        <v>16</v>
      </c>
    </row>
    <row r="802" ht="22.5" customHeight="1">
      <c r="A802" s="26">
        <v>46009.0</v>
      </c>
      <c r="B802" s="32" t="s">
        <v>469</v>
      </c>
      <c r="C802" s="214" t="str">
        <f t="array" ref="C802">_xlfn.XLOOKUP(B802, DB[samplingPoint], DB[samplingTag])</f>
        <v>SV125.02</v>
      </c>
      <c r="D802" s="33" t="s">
        <v>3</v>
      </c>
      <c r="E802" s="39" t="str">
        <f t="array" ref="E802">_xlfn.XLOOKUP($B802, DB[samplingPoint], DB[noLocation])</f>
        <v>WATER SYSTEM (B16)</v>
      </c>
      <c r="F802" s="40" t="str">
        <f t="array" ref="F802">_xlfn.XLOOKUP($B802, DB[samplingPoint], DB[building])</f>
        <v>Building 16</v>
      </c>
      <c r="G802" s="40" t="str">
        <f t="array" ref="G802">_xlfn.XLOOKUP($B802, DB[samplingPoint], DB[location])</f>
        <v>After UV (B16)</v>
      </c>
      <c r="H802" s="40" t="str">
        <f t="array" ref="H802">_xlfn.XLOOKUP($B802, DB[samplingPoint], DB[waterType])</f>
        <v>PW</v>
      </c>
      <c r="I802" s="60">
        <f t="shared" si="1"/>
        <v>46010</v>
      </c>
      <c r="J802" s="192">
        <f t="shared" si="2"/>
        <v>46013</v>
      </c>
      <c r="K802" s="32">
        <v>0.0</v>
      </c>
      <c r="L802" s="32">
        <v>0.0</v>
      </c>
      <c r="M802" s="32">
        <f t="shared" si="3"/>
        <v>0</v>
      </c>
      <c r="N802" s="32" t="s">
        <v>376</v>
      </c>
      <c r="O802" s="32">
        <v>100.0</v>
      </c>
      <c r="P802" s="50" t="str">
        <f t="shared" si="6"/>
        <v>PASSED</v>
      </c>
      <c r="Q802" s="50" t="str">
        <f t="shared" si="5"/>
        <v>WA</v>
      </c>
    </row>
    <row r="803" ht="22.5" customHeight="1">
      <c r="A803" s="26">
        <v>46009.0</v>
      </c>
      <c r="B803" s="32" t="s">
        <v>464</v>
      </c>
      <c r="C803" s="214" t="str">
        <f t="array" ref="C803">_xlfn.XLOOKUP(B803, DB[samplingPoint], DB[samplingTag])</f>
        <v>SV127.01</v>
      </c>
      <c r="D803" s="33" t="s">
        <v>3</v>
      </c>
      <c r="E803" s="39" t="str">
        <f t="array" ref="E803">_xlfn.XLOOKUP($B803, DB[samplingPoint], DB[noLocation])</f>
        <v>WATER SYSTEM (B16)</v>
      </c>
      <c r="F803" s="40" t="str">
        <f t="array" ref="F803">_xlfn.XLOOKUP($B803, DB[samplingPoint], DB[building])</f>
        <v>Building 16</v>
      </c>
      <c r="G803" s="40" t="str">
        <f t="array" ref="G803">_xlfn.XLOOKUP($B803, DB[samplingPoint], DB[location])</f>
        <v>Return loop (B16)</v>
      </c>
      <c r="H803" s="40" t="str">
        <f t="array" ref="H803">_xlfn.XLOOKUP($B803, DB[samplingPoint], DB[waterType])</f>
        <v>PW</v>
      </c>
      <c r="I803" s="60">
        <f t="shared" si="1"/>
        <v>46010</v>
      </c>
      <c r="J803" s="192">
        <f t="shared" si="2"/>
        <v>46013</v>
      </c>
      <c r="K803" s="32">
        <v>0.0</v>
      </c>
      <c r="L803" s="32">
        <v>0.0</v>
      </c>
      <c r="M803" s="32">
        <f t="shared" si="3"/>
        <v>0</v>
      </c>
      <c r="N803" s="32" t="s">
        <v>376</v>
      </c>
      <c r="O803" s="32">
        <v>100.0</v>
      </c>
      <c r="P803" s="50" t="str">
        <f t="shared" si="6"/>
        <v>PASSED</v>
      </c>
      <c r="Q803" s="50" t="str">
        <f t="shared" si="5"/>
        <v>WA</v>
      </c>
    </row>
    <row r="804" ht="22.5" customHeight="1">
      <c r="A804" s="26">
        <v>46009.0</v>
      </c>
      <c r="B804" s="32" t="s">
        <v>438</v>
      </c>
      <c r="C804" s="215" t="str">
        <f t="array" ref="C804">_xlfn.XLOOKUP(B804, DB[samplingPoint], DB[samplingTag])</f>
        <v>SV135.02</v>
      </c>
      <c r="D804" s="33" t="s">
        <v>56</v>
      </c>
      <c r="E804" s="39" t="str">
        <f t="array" ref="E804">_xlfn.XLOOKUP($B804, DB[samplingPoint], DB[noLocation])</f>
        <v>WATER SYSTEM (B12)</v>
      </c>
      <c r="F804" s="40" t="str">
        <f t="array" ref="F804">_xlfn.XLOOKUP($B804, DB[samplingPoint], DB[building])</f>
        <v>Building 12</v>
      </c>
      <c r="G804" s="40" t="str">
        <f t="array" ref="G804">_xlfn.XLOOKUP($B804, DB[samplingPoint], DB[location])</f>
        <v>After UV (B12)</v>
      </c>
      <c r="H804" s="40" t="str">
        <f t="array" ref="H804">_xlfn.XLOOKUP($B804, DB[samplingPoint], DB[waterType])</f>
        <v>PW</v>
      </c>
      <c r="I804" s="60">
        <f t="shared" si="1"/>
        <v>46010</v>
      </c>
      <c r="J804" s="192">
        <f t="shared" si="2"/>
        <v>46013</v>
      </c>
      <c r="K804" s="32">
        <v>0.0</v>
      </c>
      <c r="L804" s="32">
        <v>0.0</v>
      </c>
      <c r="M804" s="32">
        <f t="shared" si="3"/>
        <v>0</v>
      </c>
      <c r="N804" s="32" t="s">
        <v>376</v>
      </c>
      <c r="O804" s="32">
        <v>100.0</v>
      </c>
      <c r="P804" s="50" t="str">
        <f t="shared" si="6"/>
        <v>PASSED</v>
      </c>
      <c r="Q804" s="50" t="str">
        <f t="shared" si="5"/>
        <v>WA</v>
      </c>
    </row>
    <row r="805" ht="22.5" customHeight="1">
      <c r="A805" s="26">
        <v>46009.0</v>
      </c>
      <c r="B805" s="32" t="s">
        <v>430</v>
      </c>
      <c r="C805" s="215" t="str">
        <f t="array" ref="C805">_xlfn.XLOOKUP(B805, DB[samplingPoint], DB[samplingTag])</f>
        <v>SV137.01</v>
      </c>
      <c r="D805" s="33" t="s">
        <v>56</v>
      </c>
      <c r="E805" s="39" t="str">
        <f t="array" ref="E805">_xlfn.XLOOKUP($B805, DB[samplingPoint], DB[noLocation])</f>
        <v>WATER SYSTEM (B12)</v>
      </c>
      <c r="F805" s="40" t="str">
        <f t="array" ref="F805">_xlfn.XLOOKUP($B805, DB[samplingPoint], DB[building])</f>
        <v>Building 12</v>
      </c>
      <c r="G805" s="40" t="str">
        <f t="array" ref="G805">_xlfn.XLOOKUP($B805, DB[samplingPoint], DB[location])</f>
        <v>Return loop (B12)</v>
      </c>
      <c r="H805" s="40" t="str">
        <f t="array" ref="H805">_xlfn.XLOOKUP($B805, DB[samplingPoint], DB[waterType])</f>
        <v>PW</v>
      </c>
      <c r="I805" s="60">
        <f t="shared" si="1"/>
        <v>46010</v>
      </c>
      <c r="J805" s="192">
        <f t="shared" si="2"/>
        <v>46013</v>
      </c>
      <c r="K805" s="32">
        <v>0.0</v>
      </c>
      <c r="L805" s="32">
        <v>0.0</v>
      </c>
      <c r="M805" s="32">
        <f t="shared" si="3"/>
        <v>0</v>
      </c>
      <c r="N805" s="32" t="s">
        <v>376</v>
      </c>
      <c r="O805" s="32">
        <v>100.0</v>
      </c>
      <c r="P805" s="50" t="str">
        <f t="shared" si="6"/>
        <v>PASSED</v>
      </c>
      <c r="Q805" s="50" t="str">
        <f t="shared" si="5"/>
        <v>WA</v>
      </c>
    </row>
    <row r="806" ht="22.5" customHeight="1">
      <c r="A806" s="26">
        <v>46009.0</v>
      </c>
      <c r="B806" s="32" t="s">
        <v>419</v>
      </c>
      <c r="C806" s="215" t="str">
        <f t="array" ref="C806">_xlfn.XLOOKUP(B806, DB[samplingPoint], DB[samplingTag])</f>
        <v>DV136.15</v>
      </c>
      <c r="D806" s="33" t="s">
        <v>56</v>
      </c>
      <c r="E806" s="39" t="str">
        <f t="array" ref="E806">_xlfn.XLOOKUP($B806, DB[samplingPoint], DB[noLocation])</f>
        <v>12-3-078</v>
      </c>
      <c r="F806" s="40" t="str">
        <f t="array" ref="F806">_xlfn.XLOOKUP($B806, DB[samplingPoint], DB[building])</f>
        <v>Building 12</v>
      </c>
      <c r="G806" s="40" t="str">
        <f t="array" ref="G806">_xlfn.XLOOKUP($B806, DB[samplingPoint], DB[location])</f>
        <v>GLASSWARE WASHING 2</v>
      </c>
      <c r="H806" s="40" t="str">
        <f t="array" ref="H806">_xlfn.XLOOKUP($B806, DB[samplingPoint], DB[waterType])</f>
        <v>PW</v>
      </c>
      <c r="I806" s="60">
        <f t="shared" si="1"/>
        <v>46010</v>
      </c>
      <c r="J806" s="192">
        <f t="shared" si="2"/>
        <v>46013</v>
      </c>
      <c r="K806" s="32">
        <v>0.0</v>
      </c>
      <c r="L806" s="32">
        <v>0.0</v>
      </c>
      <c r="M806" s="32">
        <f t="shared" si="3"/>
        <v>0</v>
      </c>
      <c r="N806" s="32" t="s">
        <v>376</v>
      </c>
      <c r="O806" s="32">
        <v>100.0</v>
      </c>
      <c r="P806" s="50" t="str">
        <f t="shared" si="6"/>
        <v>PASSED</v>
      </c>
      <c r="Q806" s="50" t="str">
        <f t="shared" si="5"/>
        <v>12</v>
      </c>
    </row>
    <row r="807" ht="22.5" customHeight="1">
      <c r="A807" s="26">
        <v>46009.0</v>
      </c>
      <c r="B807" s="32" t="s">
        <v>409</v>
      </c>
      <c r="C807" s="215" t="str">
        <f t="array" ref="C807">_xlfn.XLOOKUP(B807, DB[samplingPoint], DB[samplingTag])</f>
        <v>DV136.13</v>
      </c>
      <c r="D807" s="33" t="s">
        <v>56</v>
      </c>
      <c r="E807" s="39" t="str">
        <f t="array" ref="E807">_xlfn.XLOOKUP($B807, DB[samplingPoint], DB[noLocation])</f>
        <v>12-3-057</v>
      </c>
      <c r="F807" s="40" t="str">
        <f t="array" ref="F807">_xlfn.XLOOKUP($B807, DB[samplingPoint], DB[building])</f>
        <v>Building 12</v>
      </c>
      <c r="G807" s="40" t="str">
        <f t="array" ref="G807">_xlfn.XLOOKUP($B807, DB[samplingPoint], DB[location])</f>
        <v>STERILIZATION</v>
      </c>
      <c r="H807" s="40" t="str">
        <f t="array" ref="H807">_xlfn.XLOOKUP($B807, DB[samplingPoint], DB[waterType])</f>
        <v>PW</v>
      </c>
      <c r="I807" s="60">
        <f t="shared" si="1"/>
        <v>46010</v>
      </c>
      <c r="J807" s="192">
        <f t="shared" si="2"/>
        <v>46013</v>
      </c>
      <c r="K807" s="32">
        <v>0.0</v>
      </c>
      <c r="L807" s="32">
        <v>0.0</v>
      </c>
      <c r="M807" s="32">
        <f t="shared" si="3"/>
        <v>0</v>
      </c>
      <c r="N807" s="32" t="s">
        <v>376</v>
      </c>
      <c r="O807" s="32">
        <v>100.0</v>
      </c>
      <c r="P807" s="50" t="str">
        <f t="shared" si="6"/>
        <v>PASSED</v>
      </c>
      <c r="Q807" s="50" t="str">
        <f t="shared" si="5"/>
        <v>12</v>
      </c>
    </row>
    <row r="808" ht="22.5" customHeight="1">
      <c r="A808" s="26">
        <v>46009.0</v>
      </c>
      <c r="B808" s="32" t="s">
        <v>427</v>
      </c>
      <c r="C808" s="215" t="str">
        <f t="array" ref="C808">_xlfn.XLOOKUP(B808, DB[samplingPoint], DB[samplingTag])</f>
        <v>SV136.18</v>
      </c>
      <c r="D808" s="33" t="s">
        <v>56</v>
      </c>
      <c r="E808" s="39" t="str">
        <f t="array" ref="E808">_xlfn.XLOOKUP($B808, DB[samplingPoint], DB[noLocation])</f>
        <v>12-3-059</v>
      </c>
      <c r="F808" s="40" t="str">
        <f t="array" ref="F808">_xlfn.XLOOKUP($B808, DB[samplingPoint], DB[building])</f>
        <v>Building 12</v>
      </c>
      <c r="G808" s="40" t="str">
        <f t="array" ref="G808">_xlfn.XLOOKUP($B808, DB[samplingPoint], DB[location])</f>
        <v>AUTOCLAVE</v>
      </c>
      <c r="H808" s="40" t="str">
        <f t="array" ref="H808">_xlfn.XLOOKUP($B808, DB[samplingPoint], DB[waterType])</f>
        <v>PW</v>
      </c>
      <c r="I808" s="60">
        <f t="shared" si="1"/>
        <v>46010</v>
      </c>
      <c r="J808" s="192">
        <f t="shared" si="2"/>
        <v>46013</v>
      </c>
      <c r="K808" s="32">
        <v>0.0</v>
      </c>
      <c r="L808" s="32">
        <v>0.0</v>
      </c>
      <c r="M808" s="32">
        <f t="shared" si="3"/>
        <v>0</v>
      </c>
      <c r="N808" s="32" t="s">
        <v>376</v>
      </c>
      <c r="O808" s="32">
        <v>100.0</v>
      </c>
      <c r="P808" s="50" t="str">
        <f t="shared" si="6"/>
        <v>PASSED</v>
      </c>
      <c r="Q808" s="50" t="str">
        <f t="shared" si="5"/>
        <v>12</v>
      </c>
    </row>
    <row r="809" ht="22.5" customHeight="1">
      <c r="A809" s="26">
        <v>46009.0</v>
      </c>
      <c r="B809" s="32" t="s">
        <v>399</v>
      </c>
      <c r="C809" s="215" t="str">
        <f t="array" ref="C809">_xlfn.XLOOKUP(B809, DB[samplingPoint], DB[samplingTag])</f>
        <v>DV136.11</v>
      </c>
      <c r="D809" s="33" t="s">
        <v>56</v>
      </c>
      <c r="E809" s="39" t="str">
        <f t="array" ref="E809">_xlfn.XLOOKUP($B809, DB[samplingPoint], DB[noLocation])</f>
        <v>12-3-059</v>
      </c>
      <c r="F809" s="40" t="str">
        <f t="array" ref="F809">_xlfn.XLOOKUP($B809, DB[samplingPoint], DB[building])</f>
        <v>Building 12</v>
      </c>
      <c r="G809" s="40" t="str">
        <f t="array" ref="G809">_xlfn.XLOOKUP($B809, DB[samplingPoint], DB[location])</f>
        <v>AUTOCLAVE</v>
      </c>
      <c r="H809" s="40" t="str">
        <f t="array" ref="H809">_xlfn.XLOOKUP($B809, DB[samplingPoint], DB[waterType])</f>
        <v>PW</v>
      </c>
      <c r="I809" s="60">
        <f t="shared" si="1"/>
        <v>46010</v>
      </c>
      <c r="J809" s="192">
        <f t="shared" si="2"/>
        <v>46013</v>
      </c>
      <c r="K809" s="32">
        <v>0.0</v>
      </c>
      <c r="L809" s="32">
        <v>0.0</v>
      </c>
      <c r="M809" s="32">
        <f t="shared" si="3"/>
        <v>0</v>
      </c>
      <c r="N809" s="32" t="s">
        <v>376</v>
      </c>
      <c r="O809" s="32">
        <v>100.0</v>
      </c>
      <c r="P809" s="50" t="str">
        <f t="shared" si="6"/>
        <v>PASSED</v>
      </c>
      <c r="Q809" s="50" t="str">
        <f t="shared" si="5"/>
        <v>12</v>
      </c>
    </row>
    <row r="810" ht="22.5" customHeight="1">
      <c r="A810" s="26">
        <v>46009.0</v>
      </c>
      <c r="B810" s="32" t="s">
        <v>405</v>
      </c>
      <c r="C810" s="215" t="str">
        <f t="array" ref="C810">_xlfn.XLOOKUP(B810, DB[samplingPoint], DB[samplingTag])</f>
        <v>DV136.12</v>
      </c>
      <c r="D810" s="33" t="s">
        <v>56</v>
      </c>
      <c r="E810" s="39" t="str">
        <f t="array" ref="E810">_xlfn.XLOOKUP($B810, DB[samplingPoint], DB[noLocation])</f>
        <v>12-3-056</v>
      </c>
      <c r="F810" s="40" t="str">
        <f t="array" ref="F810">_xlfn.XLOOKUP($B810, DB[samplingPoint], DB[building])</f>
        <v>Building 12</v>
      </c>
      <c r="G810" s="40" t="str">
        <f t="array" ref="G810">_xlfn.XLOOKUP($B810, DB[samplingPoint], DB[location])</f>
        <v>MEDIA PREPARATION</v>
      </c>
      <c r="H810" s="40" t="str">
        <f t="array" ref="H810">_xlfn.XLOOKUP($B810, DB[samplingPoint], DB[waterType])</f>
        <v>PW</v>
      </c>
      <c r="I810" s="60">
        <f t="shared" si="1"/>
        <v>46010</v>
      </c>
      <c r="J810" s="192">
        <f t="shared" si="2"/>
        <v>46013</v>
      </c>
      <c r="K810" s="32">
        <v>0.0</v>
      </c>
      <c r="L810" s="32">
        <v>0.0</v>
      </c>
      <c r="M810" s="32">
        <f t="shared" si="3"/>
        <v>0</v>
      </c>
      <c r="N810" s="32" t="s">
        <v>376</v>
      </c>
      <c r="O810" s="32">
        <v>100.0</v>
      </c>
      <c r="P810" s="50" t="str">
        <f t="shared" si="6"/>
        <v>PASSED</v>
      </c>
      <c r="Q810" s="50" t="str">
        <f t="shared" si="5"/>
        <v>12</v>
      </c>
    </row>
    <row r="811" ht="22.5" customHeight="1">
      <c r="A811" s="26">
        <v>46009.0</v>
      </c>
      <c r="B811" s="32" t="s">
        <v>393</v>
      </c>
      <c r="C811" s="215" t="str">
        <f t="array" ref="C811">_xlfn.XLOOKUP(B811, DB[samplingPoint], DB[samplingTag])</f>
        <v>DV136.10</v>
      </c>
      <c r="D811" s="33" t="s">
        <v>56</v>
      </c>
      <c r="E811" s="39" t="str">
        <f t="array" ref="E811">_xlfn.XLOOKUP($B811, DB[samplingPoint], DB[noLocation])</f>
        <v>12-3-056</v>
      </c>
      <c r="F811" s="40" t="str">
        <f t="array" ref="F811">_xlfn.XLOOKUP($B811, DB[samplingPoint], DB[building])</f>
        <v>Building 12</v>
      </c>
      <c r="G811" s="40" t="str">
        <f t="array" ref="G811">_xlfn.XLOOKUP($B811, DB[samplingPoint], DB[location])</f>
        <v>MEDIA PREPARATION</v>
      </c>
      <c r="H811" s="40" t="str">
        <f t="array" ref="H811">_xlfn.XLOOKUP($B811, DB[samplingPoint], DB[waterType])</f>
        <v>PW</v>
      </c>
      <c r="I811" s="60">
        <f t="shared" si="1"/>
        <v>46010</v>
      </c>
      <c r="J811" s="192">
        <f t="shared" si="2"/>
        <v>46013</v>
      </c>
      <c r="K811" s="32">
        <v>0.0</v>
      </c>
      <c r="L811" s="32">
        <v>0.0</v>
      </c>
      <c r="M811" s="32">
        <f t="shared" si="3"/>
        <v>0</v>
      </c>
      <c r="N811" s="32" t="s">
        <v>376</v>
      </c>
      <c r="O811" s="32">
        <v>100.0</v>
      </c>
      <c r="P811" s="50" t="str">
        <f t="shared" si="6"/>
        <v>PASSED</v>
      </c>
      <c r="Q811" s="50" t="str">
        <f t="shared" si="5"/>
        <v>12</v>
      </c>
    </row>
    <row r="812" ht="22.5" customHeight="1">
      <c r="A812" s="26">
        <v>46009.0</v>
      </c>
      <c r="B812" s="32" t="s">
        <v>413</v>
      </c>
      <c r="C812" s="215" t="str">
        <f t="array" ref="C812">_xlfn.XLOOKUP(B812, DB[samplingPoint], DB[samplingTag])</f>
        <v>DV136.14</v>
      </c>
      <c r="D812" s="33" t="s">
        <v>56</v>
      </c>
      <c r="E812" s="39" t="str">
        <f t="array" ref="E812">_xlfn.XLOOKUP($B812, DB[samplingPoint], DB[noLocation])</f>
        <v>12-3-074</v>
      </c>
      <c r="F812" s="40" t="str">
        <f t="array" ref="F812">_xlfn.XLOOKUP($B812, DB[samplingPoint], DB[building])</f>
        <v>Building 12</v>
      </c>
      <c r="G812" s="40" t="str">
        <f t="array" ref="G812">_xlfn.XLOOKUP($B812, DB[samplingPoint], DB[location])</f>
        <v>DECONTAMINATION</v>
      </c>
      <c r="H812" s="40" t="str">
        <f t="array" ref="H812">_xlfn.XLOOKUP($B812, DB[samplingPoint], DB[waterType])</f>
        <v>PW</v>
      </c>
      <c r="I812" s="60">
        <f t="shared" si="1"/>
        <v>46010</v>
      </c>
      <c r="J812" s="192">
        <f t="shared" si="2"/>
        <v>46013</v>
      </c>
      <c r="K812" s="32">
        <v>0.0</v>
      </c>
      <c r="L812" s="32">
        <v>0.0</v>
      </c>
      <c r="M812" s="32">
        <f t="shared" si="3"/>
        <v>0</v>
      </c>
      <c r="N812" s="32" t="s">
        <v>376</v>
      </c>
      <c r="O812" s="32">
        <v>100.0</v>
      </c>
      <c r="P812" s="50" t="str">
        <f t="shared" si="6"/>
        <v>PASSED</v>
      </c>
      <c r="Q812" s="50" t="str">
        <f t="shared" si="5"/>
        <v>12</v>
      </c>
    </row>
    <row r="813" ht="22.5" customHeight="1">
      <c r="A813" s="26">
        <v>46010.0</v>
      </c>
      <c r="B813" s="32" t="s">
        <v>471</v>
      </c>
      <c r="C813" s="216" t="str">
        <f t="array" ref="C813">_xlfn.XLOOKUP(B813, DB[samplingPoint], DB[samplingTag])</f>
        <v>VB-05 (16)</v>
      </c>
      <c r="D813" s="33" t="s">
        <v>3</v>
      </c>
      <c r="E813" s="39" t="str">
        <f t="array" ref="E813">_xlfn.XLOOKUP($B813, DB[samplingPoint], DB[noLocation])</f>
        <v>WATER SYSTEM (B16)</v>
      </c>
      <c r="F813" s="40" t="str">
        <f t="array" ref="F813">_xlfn.XLOOKUP($B813, DB[samplingPoint], DB[building])</f>
        <v>Building 16</v>
      </c>
      <c r="G813" s="40" t="str">
        <f t="array" ref="G813">_xlfn.XLOOKUP($B813, DB[samplingPoint], DB[location])</f>
        <v>After Chlorine circulation tank (B16)</v>
      </c>
      <c r="H813" s="40" t="str">
        <f t="array" ref="H813">_xlfn.XLOOKUP($B813, DB[samplingPoint], DB[waterType])</f>
        <v>PRW</v>
      </c>
      <c r="I813" s="60">
        <f t="shared" si="1"/>
        <v>46011</v>
      </c>
      <c r="J813" s="192">
        <f t="shared" si="2"/>
        <v>46014</v>
      </c>
      <c r="K813" s="32">
        <v>0.0</v>
      </c>
      <c r="L813" s="32">
        <v>0.0</v>
      </c>
      <c r="M813" s="32">
        <f t="shared" si="3"/>
        <v>0</v>
      </c>
      <c r="N813" s="32" t="s">
        <v>376</v>
      </c>
      <c r="O813" s="32">
        <v>500.0</v>
      </c>
      <c r="P813" s="50" t="str">
        <f t="shared" si="6"/>
        <v>PASSED</v>
      </c>
      <c r="Q813" s="50" t="str">
        <f t="shared" si="5"/>
        <v>WA</v>
      </c>
    </row>
    <row r="814" ht="22.5" customHeight="1">
      <c r="A814" s="26">
        <v>46010.0</v>
      </c>
      <c r="B814" s="32" t="s">
        <v>470</v>
      </c>
      <c r="C814" s="215" t="str">
        <f t="array" ref="C814">_xlfn.XLOOKUP(B814, DB[samplingPoint], DB[samplingTag])</f>
        <v>V50-61 (16)</v>
      </c>
      <c r="D814" s="33" t="s">
        <v>3</v>
      </c>
      <c r="E814" s="39" t="str">
        <f t="array" ref="E814">_xlfn.XLOOKUP($B814, DB[samplingPoint], DB[noLocation])</f>
        <v>WATER SYSTEM (B16)</v>
      </c>
      <c r="F814" s="40" t="str">
        <f t="array" ref="F814">_xlfn.XLOOKUP($B814, DB[samplingPoint], DB[building])</f>
        <v>Building 16</v>
      </c>
      <c r="G814" s="40" t="str">
        <f t="array" ref="G814">_xlfn.XLOOKUP($B814, DB[samplingPoint], DB[location])</f>
        <v>After Cartridge filter 5 µm (B16)</v>
      </c>
      <c r="H814" s="40" t="str">
        <f t="array" ref="H814">_xlfn.XLOOKUP($B814, DB[samplingPoint], DB[waterType])</f>
        <v>PRW</v>
      </c>
      <c r="I814" s="60">
        <f t="shared" si="1"/>
        <v>46011</v>
      </c>
      <c r="J814" s="192">
        <f t="shared" si="2"/>
        <v>46014</v>
      </c>
      <c r="K814" s="32">
        <v>0.0</v>
      </c>
      <c r="L814" s="32">
        <v>0.0</v>
      </c>
      <c r="M814" s="32">
        <f t="shared" si="3"/>
        <v>0</v>
      </c>
      <c r="N814" s="32" t="s">
        <v>376</v>
      </c>
      <c r="O814" s="32">
        <v>500.0</v>
      </c>
      <c r="P814" s="50" t="str">
        <f t="shared" si="6"/>
        <v>PASSED</v>
      </c>
      <c r="Q814" s="50" t="str">
        <f t="shared" si="5"/>
        <v>WA</v>
      </c>
    </row>
    <row r="815" ht="22.5" customHeight="1">
      <c r="A815" s="26">
        <v>46010.0</v>
      </c>
      <c r="B815" s="32" t="s">
        <v>466</v>
      </c>
      <c r="C815" s="215" t="str">
        <f t="array" ref="C815">_xlfn.XLOOKUP(B815, DB[samplingPoint], DB[samplingTag])</f>
        <v>V50-11C (16)</v>
      </c>
      <c r="D815" s="33" t="s">
        <v>3</v>
      </c>
      <c r="E815" s="39" t="str">
        <f t="array" ref="E815">_xlfn.XLOOKUP($B815, DB[samplingPoint], DB[noLocation])</f>
        <v>WATER SYSTEM (B16)</v>
      </c>
      <c r="F815" s="40" t="str">
        <f t="array" ref="F815">_xlfn.XLOOKUP($B815, DB[samplingPoint], DB[building])</f>
        <v>Building 16</v>
      </c>
      <c r="G815" s="40" t="str">
        <f t="array" ref="G815">_xlfn.XLOOKUP($B815, DB[samplingPoint], DB[location])</f>
        <v>After RO (Before EDI) (B16)</v>
      </c>
      <c r="H815" s="40" t="str">
        <f t="array" ref="H815">_xlfn.XLOOKUP($B815, DB[samplingPoint], DB[waterType])</f>
        <v>RO water</v>
      </c>
      <c r="I815" s="60">
        <f t="shared" si="1"/>
        <v>46011</v>
      </c>
      <c r="J815" s="192">
        <f t="shared" si="2"/>
        <v>46014</v>
      </c>
      <c r="K815" s="32">
        <v>0.0</v>
      </c>
      <c r="L815" s="32">
        <v>0.0</v>
      </c>
      <c r="M815" s="32">
        <f t="shared" si="3"/>
        <v>0</v>
      </c>
      <c r="N815" s="32" t="s">
        <v>376</v>
      </c>
      <c r="O815" s="32">
        <v>100.0</v>
      </c>
      <c r="P815" s="50" t="str">
        <f t="shared" si="6"/>
        <v>PASSED</v>
      </c>
      <c r="Q815" s="50" t="str">
        <f t="shared" si="5"/>
        <v>WA</v>
      </c>
    </row>
    <row r="816" ht="22.5" customHeight="1">
      <c r="A816" s="26">
        <v>46010.0</v>
      </c>
      <c r="B816" s="32" t="s">
        <v>468</v>
      </c>
      <c r="C816" s="215" t="str">
        <f t="array" ref="C816">_xlfn.XLOOKUP(B816, DB[samplingPoint], DB[samplingTag])</f>
        <v>V50-39 (16)</v>
      </c>
      <c r="D816" s="33" t="s">
        <v>3</v>
      </c>
      <c r="E816" s="39" t="str">
        <f t="array" ref="E816">_xlfn.XLOOKUP($B816, DB[samplingPoint], DB[noLocation])</f>
        <v>WATER SYSTEM (B16)</v>
      </c>
      <c r="F816" s="40" t="str">
        <f t="array" ref="F816">_xlfn.XLOOKUP($B816, DB[samplingPoint], DB[building])</f>
        <v>Building 16</v>
      </c>
      <c r="G816" s="40" t="str">
        <f t="array" ref="G816">_xlfn.XLOOKUP($B816, DB[samplingPoint], DB[location])</f>
        <v>After EDI (B16)</v>
      </c>
      <c r="H816" s="40" t="str">
        <f t="array" ref="H816">_xlfn.XLOOKUP($B816, DB[samplingPoint], DB[waterType])</f>
        <v>PW</v>
      </c>
      <c r="I816" s="60">
        <f t="shared" si="1"/>
        <v>46011</v>
      </c>
      <c r="J816" s="192">
        <f t="shared" si="2"/>
        <v>46014</v>
      </c>
      <c r="K816" s="32">
        <v>0.0</v>
      </c>
      <c r="L816" s="32">
        <v>0.0</v>
      </c>
      <c r="M816" s="32">
        <f t="shared" si="3"/>
        <v>0</v>
      </c>
      <c r="N816" s="32" t="s">
        <v>376</v>
      </c>
      <c r="O816" s="32">
        <v>100.0</v>
      </c>
      <c r="P816" s="50" t="str">
        <f t="shared" si="6"/>
        <v>PASSED</v>
      </c>
      <c r="Q816" s="50" t="str">
        <f t="shared" si="5"/>
        <v>WA</v>
      </c>
    </row>
    <row r="817" ht="22.5" customHeight="1">
      <c r="A817" s="26">
        <v>46010.0</v>
      </c>
      <c r="B817" s="32" t="s">
        <v>467</v>
      </c>
      <c r="C817" s="215" t="str">
        <f t="array" ref="C817">_xlfn.XLOOKUP(B817, DB[samplingPoint], DB[samplingTag])</f>
        <v>SV123.01</v>
      </c>
      <c r="D817" s="33" t="s">
        <v>3</v>
      </c>
      <c r="E817" s="39" t="str">
        <f t="array" ref="E817">_xlfn.XLOOKUP($B817, DB[samplingPoint], DB[noLocation])</f>
        <v>WATER SYSTEM (B16)</v>
      </c>
      <c r="F817" s="40" t="str">
        <f t="array" ref="F817">_xlfn.XLOOKUP($B817, DB[samplingPoint], DB[building])</f>
        <v>Building 16</v>
      </c>
      <c r="G817" s="40" t="str">
        <f t="array" ref="G817">_xlfn.XLOOKUP($B817, DB[samplingPoint], DB[location])</f>
        <v>After Storage tank (B16)</v>
      </c>
      <c r="H817" s="40" t="str">
        <f t="array" ref="H817">_xlfn.XLOOKUP($B817, DB[samplingPoint], DB[waterType])</f>
        <v>PW</v>
      </c>
      <c r="I817" s="60">
        <f t="shared" si="1"/>
        <v>46011</v>
      </c>
      <c r="J817" s="192">
        <f t="shared" si="2"/>
        <v>46014</v>
      </c>
      <c r="K817" s="32">
        <v>0.0</v>
      </c>
      <c r="L817" s="32">
        <v>0.0</v>
      </c>
      <c r="M817" s="32">
        <f t="shared" si="3"/>
        <v>0</v>
      </c>
      <c r="N817" s="32" t="s">
        <v>376</v>
      </c>
      <c r="O817" s="32">
        <v>100.0</v>
      </c>
      <c r="P817" s="50" t="str">
        <f t="shared" si="6"/>
        <v>PASSED</v>
      </c>
      <c r="Q817" s="50" t="str">
        <f t="shared" si="5"/>
        <v>WA</v>
      </c>
    </row>
    <row r="818" ht="22.5" customHeight="1">
      <c r="A818" s="26">
        <v>46010.0</v>
      </c>
      <c r="B818" s="32" t="s">
        <v>469</v>
      </c>
      <c r="C818" s="215" t="str">
        <f t="array" ref="C818">_xlfn.XLOOKUP(B818, DB[samplingPoint], DB[samplingTag])</f>
        <v>SV125.02</v>
      </c>
      <c r="D818" s="33" t="s">
        <v>3</v>
      </c>
      <c r="E818" s="39" t="str">
        <f t="array" ref="E818">_xlfn.XLOOKUP($B818, DB[samplingPoint], DB[noLocation])</f>
        <v>WATER SYSTEM (B16)</v>
      </c>
      <c r="F818" s="40" t="str">
        <f t="array" ref="F818">_xlfn.XLOOKUP($B818, DB[samplingPoint], DB[building])</f>
        <v>Building 16</v>
      </c>
      <c r="G818" s="40" t="str">
        <f t="array" ref="G818">_xlfn.XLOOKUP($B818, DB[samplingPoint], DB[location])</f>
        <v>After UV (B16)</v>
      </c>
      <c r="H818" s="40" t="str">
        <f t="array" ref="H818">_xlfn.XLOOKUP($B818, DB[samplingPoint], DB[waterType])</f>
        <v>PW</v>
      </c>
      <c r="I818" s="60">
        <f t="shared" si="1"/>
        <v>46011</v>
      </c>
      <c r="J818" s="192">
        <f t="shared" si="2"/>
        <v>46014</v>
      </c>
      <c r="K818" s="32">
        <v>0.0</v>
      </c>
      <c r="L818" s="32">
        <v>0.0</v>
      </c>
      <c r="M818" s="32">
        <f t="shared" si="3"/>
        <v>0</v>
      </c>
      <c r="N818" s="32" t="s">
        <v>376</v>
      </c>
      <c r="O818" s="32">
        <v>100.0</v>
      </c>
      <c r="P818" s="50" t="str">
        <f t="shared" si="6"/>
        <v>PASSED</v>
      </c>
      <c r="Q818" s="50" t="str">
        <f t="shared" si="5"/>
        <v>WA</v>
      </c>
    </row>
    <row r="819" ht="22.5" customHeight="1">
      <c r="A819" s="26">
        <v>46010.0</v>
      </c>
      <c r="B819" s="32" t="s">
        <v>464</v>
      </c>
      <c r="C819" s="215" t="str">
        <f t="array" ref="C819">_xlfn.XLOOKUP(B819, DB[samplingPoint], DB[samplingTag])</f>
        <v>SV127.01</v>
      </c>
      <c r="D819" s="33" t="s">
        <v>3</v>
      </c>
      <c r="E819" s="39" t="str">
        <f t="array" ref="E819">_xlfn.XLOOKUP($B819, DB[samplingPoint], DB[noLocation])</f>
        <v>WATER SYSTEM (B16)</v>
      </c>
      <c r="F819" s="40" t="str">
        <f t="array" ref="F819">_xlfn.XLOOKUP($B819, DB[samplingPoint], DB[building])</f>
        <v>Building 16</v>
      </c>
      <c r="G819" s="40" t="str">
        <f t="array" ref="G819">_xlfn.XLOOKUP($B819, DB[samplingPoint], DB[location])</f>
        <v>Return loop (B16)</v>
      </c>
      <c r="H819" s="40" t="str">
        <f t="array" ref="H819">_xlfn.XLOOKUP($B819, DB[samplingPoint], DB[waterType])</f>
        <v>PW</v>
      </c>
      <c r="I819" s="60">
        <f t="shared" si="1"/>
        <v>46011</v>
      </c>
      <c r="J819" s="192">
        <f t="shared" si="2"/>
        <v>46014</v>
      </c>
      <c r="K819" s="32">
        <v>0.0</v>
      </c>
      <c r="L819" s="32">
        <v>0.0</v>
      </c>
      <c r="M819" s="32">
        <f t="shared" si="3"/>
        <v>0</v>
      </c>
      <c r="N819" s="32" t="s">
        <v>376</v>
      </c>
      <c r="O819" s="32">
        <v>100.0</v>
      </c>
      <c r="P819" s="50" t="str">
        <f t="shared" si="6"/>
        <v>PASSED</v>
      </c>
      <c r="Q819" s="50" t="str">
        <f t="shared" si="5"/>
        <v>WA</v>
      </c>
    </row>
    <row r="820" ht="22.5" customHeight="1">
      <c r="A820" s="26">
        <v>46010.0</v>
      </c>
      <c r="B820" s="32" t="s">
        <v>461</v>
      </c>
      <c r="C820" s="215" t="str">
        <f t="array" ref="C820">_xlfn.XLOOKUP(B820, DB[samplingPoint], DB[samplingTag])</f>
        <v>SV126.03</v>
      </c>
      <c r="D820" s="33" t="s">
        <v>3</v>
      </c>
      <c r="E820" s="39" t="str">
        <f t="array" ref="E820">_xlfn.XLOOKUP($B820, DB[samplingPoint], DB[noLocation])</f>
        <v>16-2-010</v>
      </c>
      <c r="F820" s="40" t="str">
        <f t="array" ref="F820">_xlfn.XLOOKUP($B820, DB[samplingPoint], DB[building])</f>
        <v>Building 16</v>
      </c>
      <c r="G820" s="40" t="str">
        <f t="array" ref="G820">_xlfn.XLOOKUP($B820, DB[samplingPoint], DB[location])</f>
        <v>WATER SYSTEM (WFI)</v>
      </c>
      <c r="H820" s="40" t="str">
        <f t="array" ref="H820">_xlfn.XLOOKUP($B820, DB[samplingPoint], DB[waterType])</f>
        <v>PW</v>
      </c>
      <c r="I820" s="60">
        <f t="shared" si="1"/>
        <v>46011</v>
      </c>
      <c r="J820" s="192">
        <f t="shared" si="2"/>
        <v>46014</v>
      </c>
      <c r="K820" s="32">
        <v>0.0</v>
      </c>
      <c r="L820" s="32">
        <v>0.0</v>
      </c>
      <c r="M820" s="32">
        <f t="shared" si="3"/>
        <v>0</v>
      </c>
      <c r="N820" s="32" t="s">
        <v>376</v>
      </c>
      <c r="O820" s="32">
        <v>100.0</v>
      </c>
      <c r="P820" s="50" t="str">
        <f t="shared" si="6"/>
        <v>PASSED</v>
      </c>
      <c r="Q820" s="50" t="str">
        <f t="shared" si="5"/>
        <v>16</v>
      </c>
    </row>
    <row r="821" ht="22.5" customHeight="1">
      <c r="A821" s="26">
        <v>46010.0</v>
      </c>
      <c r="B821" s="32" t="s">
        <v>486</v>
      </c>
      <c r="C821" s="215" t="str">
        <f t="array" ref="C821">_xlfn.XLOOKUP(B821, DB[samplingPoint], DB[samplingTag])</f>
        <v>SV126.04</v>
      </c>
      <c r="D821" s="33" t="s">
        <v>3</v>
      </c>
      <c r="E821" s="39" t="str">
        <f t="array" ref="E821">_xlfn.XLOOKUP($B821, DB[samplingPoint], DB[noLocation])</f>
        <v>16-2-010</v>
      </c>
      <c r="F821" s="40" t="str">
        <f t="array" ref="F821">_xlfn.XLOOKUP($B821, DB[samplingPoint], DB[building])</f>
        <v>Building 16</v>
      </c>
      <c r="G821" s="40" t="str">
        <f t="array" ref="G821">_xlfn.XLOOKUP($B821, DB[samplingPoint], DB[location])</f>
        <v>WATER SYSTEM (PSG)</v>
      </c>
      <c r="H821" s="40" t="str">
        <f t="array" ref="H821">_xlfn.XLOOKUP($B821, DB[samplingPoint], DB[waterType])</f>
        <v>PW</v>
      </c>
      <c r="I821" s="60">
        <f t="shared" si="1"/>
        <v>46011</v>
      </c>
      <c r="J821" s="192">
        <f t="shared" si="2"/>
        <v>46014</v>
      </c>
      <c r="K821" s="32">
        <v>0.0</v>
      </c>
      <c r="L821" s="32">
        <v>0.0</v>
      </c>
      <c r="M821" s="32">
        <f t="shared" si="3"/>
        <v>0</v>
      </c>
      <c r="N821" s="32" t="s">
        <v>376</v>
      </c>
      <c r="O821" s="32">
        <v>100.0</v>
      </c>
      <c r="P821" s="50" t="str">
        <f t="shared" si="6"/>
        <v>PASSED</v>
      </c>
      <c r="Q821" s="50" t="str">
        <f t="shared" si="5"/>
        <v>16</v>
      </c>
    </row>
    <row r="822" ht="22.5" customHeight="1">
      <c r="A822" s="26">
        <v>46010.0</v>
      </c>
      <c r="B822" s="32" t="s">
        <v>558</v>
      </c>
      <c r="C822" s="215" t="str">
        <f t="array" ref="C822">_xlfn.XLOOKUP(B822, DB[samplingPoint], DB[samplingTag])</f>
        <v>DV126.04</v>
      </c>
      <c r="D822" s="33" t="s">
        <v>3</v>
      </c>
      <c r="E822" s="39" t="str">
        <f t="array" ref="E822">_xlfn.XLOOKUP($B822, DB[samplingPoint], DB[noLocation])</f>
        <v>16-2-010</v>
      </c>
      <c r="F822" s="40" t="str">
        <f t="array" ref="F822">_xlfn.XLOOKUP($B822, DB[samplingPoint], DB[building])</f>
        <v>Building 16</v>
      </c>
      <c r="G822" s="40" t="str">
        <f t="array" ref="G822">_xlfn.XLOOKUP($B822, DB[samplingPoint], DB[location])</f>
        <v>WATER SYSTEM (PW)</v>
      </c>
      <c r="H822" s="40" t="str">
        <f t="array" ref="H822">_xlfn.XLOOKUP($B822, DB[samplingPoint], DB[waterType])</f>
        <v>PW</v>
      </c>
      <c r="I822" s="60">
        <f t="shared" si="1"/>
        <v>46011</v>
      </c>
      <c r="J822" s="192">
        <f t="shared" si="2"/>
        <v>46014</v>
      </c>
      <c r="K822" s="32">
        <v>0.0</v>
      </c>
      <c r="L822" s="32">
        <v>0.0</v>
      </c>
      <c r="M822" s="32">
        <f t="shared" si="3"/>
        <v>0</v>
      </c>
      <c r="N822" s="32" t="s">
        <v>376</v>
      </c>
      <c r="O822" s="32">
        <v>100.0</v>
      </c>
      <c r="P822" s="50" t="str">
        <f t="shared" si="6"/>
        <v>PASSED</v>
      </c>
      <c r="Q822" s="50" t="str">
        <f t="shared" si="5"/>
        <v>16</v>
      </c>
    </row>
    <row r="823" ht="22.5" customHeight="1">
      <c r="A823" s="26">
        <v>46010.0</v>
      </c>
      <c r="B823" s="32" t="s">
        <v>442</v>
      </c>
      <c r="C823" s="214" t="str">
        <f t="array" ref="C823">_xlfn.XLOOKUP(B823, DB[samplingPoint], DB[samplingTag])</f>
        <v>V50-61 (12)</v>
      </c>
      <c r="D823" s="33" t="s">
        <v>56</v>
      </c>
      <c r="E823" s="39" t="str">
        <f t="array" ref="E823">_xlfn.XLOOKUP($B823, DB[samplingPoint], DB[noLocation])</f>
        <v>WATER SYSTEM (B12)</v>
      </c>
      <c r="F823" s="40" t="str">
        <f t="array" ref="F823">_xlfn.XLOOKUP($B823, DB[samplingPoint], DB[building])</f>
        <v>Building 12</v>
      </c>
      <c r="G823" s="40" t="str">
        <f t="array" ref="G823">_xlfn.XLOOKUP($B823, DB[samplingPoint], DB[location])</f>
        <v>After Cartridge filter 5 µm (B12)</v>
      </c>
      <c r="H823" s="40" t="str">
        <f t="array" ref="H823">_xlfn.XLOOKUP($B823, DB[samplingPoint], DB[waterType])</f>
        <v>PRW</v>
      </c>
      <c r="I823" s="60">
        <f t="shared" si="1"/>
        <v>46011</v>
      </c>
      <c r="J823" s="192">
        <f t="shared" si="2"/>
        <v>46014</v>
      </c>
      <c r="K823" s="32">
        <v>0.0</v>
      </c>
      <c r="L823" s="32">
        <v>0.0</v>
      </c>
      <c r="M823" s="32">
        <f t="shared" si="3"/>
        <v>0</v>
      </c>
      <c r="N823" s="32" t="s">
        <v>376</v>
      </c>
      <c r="O823" s="32">
        <v>500.0</v>
      </c>
      <c r="P823" s="50" t="str">
        <f t="shared" si="6"/>
        <v>PASSED</v>
      </c>
      <c r="Q823" s="50" t="str">
        <f t="shared" si="5"/>
        <v>WA</v>
      </c>
    </row>
    <row r="824" ht="22.5" customHeight="1">
      <c r="A824" s="26">
        <v>46010.0</v>
      </c>
      <c r="B824" s="32" t="s">
        <v>434</v>
      </c>
      <c r="C824" s="214" t="str">
        <f t="array" ref="C824">_xlfn.XLOOKUP(B824, DB[samplingPoint], DB[samplingTag])</f>
        <v>V50-11C (12)</v>
      </c>
      <c r="D824" s="33" t="s">
        <v>56</v>
      </c>
      <c r="E824" s="39" t="str">
        <f t="array" ref="E824">_xlfn.XLOOKUP($B824, DB[samplingPoint], DB[noLocation])</f>
        <v>WATER SYSTEM (B12)</v>
      </c>
      <c r="F824" s="40" t="str">
        <f t="array" ref="F824">_xlfn.XLOOKUP($B824, DB[samplingPoint], DB[building])</f>
        <v>Building 12</v>
      </c>
      <c r="G824" s="40" t="str">
        <f t="array" ref="G824">_xlfn.XLOOKUP($B824, DB[samplingPoint], DB[location])</f>
        <v>After RO (Before EDI) (B12)</v>
      </c>
      <c r="H824" s="40" t="str">
        <f t="array" ref="H824">_xlfn.XLOOKUP($B824, DB[samplingPoint], DB[waterType])</f>
        <v>RO water</v>
      </c>
      <c r="I824" s="60">
        <f t="shared" si="1"/>
        <v>46011</v>
      </c>
      <c r="J824" s="192">
        <f t="shared" si="2"/>
        <v>46014</v>
      </c>
      <c r="K824" s="32">
        <v>0.0</v>
      </c>
      <c r="L824" s="32">
        <v>0.0</v>
      </c>
      <c r="M824" s="32">
        <f t="shared" si="3"/>
        <v>0</v>
      </c>
      <c r="N824" s="32" t="s">
        <v>376</v>
      </c>
      <c r="O824" s="32">
        <v>100.0</v>
      </c>
      <c r="P824" s="50" t="str">
        <f t="shared" si="6"/>
        <v>PASSED</v>
      </c>
      <c r="Q824" s="50" t="str">
        <f t="shared" si="5"/>
        <v>WA</v>
      </c>
    </row>
    <row r="825" ht="22.5" customHeight="1">
      <c r="A825" s="26">
        <v>46010.0</v>
      </c>
      <c r="B825" s="32" t="s">
        <v>440</v>
      </c>
      <c r="C825" s="214" t="str">
        <f t="array" ref="C825">_xlfn.XLOOKUP(B825, DB[samplingPoint], DB[samplingTag])</f>
        <v>V50-39 (12)</v>
      </c>
      <c r="D825" s="33" t="s">
        <v>56</v>
      </c>
      <c r="E825" s="39" t="str">
        <f t="array" ref="E825">_xlfn.XLOOKUP($B825, DB[samplingPoint], DB[noLocation])</f>
        <v>WATER SYSTEM (B12)</v>
      </c>
      <c r="F825" s="40" t="str">
        <f t="array" ref="F825">_xlfn.XLOOKUP($B825, DB[samplingPoint], DB[building])</f>
        <v>Building 12</v>
      </c>
      <c r="G825" s="40" t="str">
        <f t="array" ref="G825">_xlfn.XLOOKUP($B825, DB[samplingPoint], DB[location])</f>
        <v>After EDI (B12)</v>
      </c>
      <c r="H825" s="40" t="str">
        <f t="array" ref="H825">_xlfn.XLOOKUP($B825, DB[samplingPoint], DB[waterType])</f>
        <v>PW</v>
      </c>
      <c r="I825" s="60">
        <f t="shared" si="1"/>
        <v>46011</v>
      </c>
      <c r="J825" s="192">
        <f t="shared" si="2"/>
        <v>46014</v>
      </c>
      <c r="K825" s="32">
        <v>0.0</v>
      </c>
      <c r="L825" s="32">
        <v>0.0</v>
      </c>
      <c r="M825" s="32">
        <f t="shared" si="3"/>
        <v>0</v>
      </c>
      <c r="N825" s="32" t="s">
        <v>376</v>
      </c>
      <c r="O825" s="32">
        <v>100.0</v>
      </c>
      <c r="P825" s="50" t="str">
        <f t="shared" si="6"/>
        <v>PASSED</v>
      </c>
      <c r="Q825" s="50" t="str">
        <f t="shared" si="5"/>
        <v>WA</v>
      </c>
    </row>
    <row r="826" ht="22.5" customHeight="1">
      <c r="A826" s="26">
        <v>46010.0</v>
      </c>
      <c r="B826" s="32" t="s">
        <v>435</v>
      </c>
      <c r="C826" s="214" t="str">
        <f t="array" ref="C826">_xlfn.XLOOKUP(B826, DB[samplingPoint], DB[samplingTag])</f>
        <v>SV133.01</v>
      </c>
      <c r="D826" s="33" t="s">
        <v>56</v>
      </c>
      <c r="E826" s="39" t="str">
        <f t="array" ref="E826">_xlfn.XLOOKUP($B826, DB[samplingPoint], DB[noLocation])</f>
        <v>WATER SYSTEM (B12)</v>
      </c>
      <c r="F826" s="40" t="str">
        <f t="array" ref="F826">_xlfn.XLOOKUP($B826, DB[samplingPoint], DB[building])</f>
        <v>Building 12</v>
      </c>
      <c r="G826" s="40" t="str">
        <f t="array" ref="G826">_xlfn.XLOOKUP($B826, DB[samplingPoint], DB[location])</f>
        <v>After Storage tank (B12)</v>
      </c>
      <c r="H826" s="40" t="str">
        <f t="array" ref="H826">_xlfn.XLOOKUP($B826, DB[samplingPoint], DB[waterType])</f>
        <v>PW</v>
      </c>
      <c r="I826" s="60">
        <f t="shared" si="1"/>
        <v>46011</v>
      </c>
      <c r="J826" s="192">
        <f t="shared" si="2"/>
        <v>46014</v>
      </c>
      <c r="K826" s="32">
        <v>0.0</v>
      </c>
      <c r="L826" s="32">
        <v>0.0</v>
      </c>
      <c r="M826" s="32">
        <f t="shared" si="3"/>
        <v>0</v>
      </c>
      <c r="N826" s="32" t="s">
        <v>376</v>
      </c>
      <c r="O826" s="32">
        <v>100.0</v>
      </c>
      <c r="P826" s="50" t="str">
        <f t="shared" si="6"/>
        <v>PASSED</v>
      </c>
      <c r="Q826" s="50" t="str">
        <f t="shared" si="5"/>
        <v>WA</v>
      </c>
    </row>
    <row r="827" ht="22.5" customHeight="1">
      <c r="A827" s="26">
        <v>46010.0</v>
      </c>
      <c r="B827" s="32" t="s">
        <v>438</v>
      </c>
      <c r="C827" s="214" t="str">
        <f t="array" ref="C827">_xlfn.XLOOKUP(B827, DB[samplingPoint], DB[samplingTag])</f>
        <v>SV135.02</v>
      </c>
      <c r="D827" s="33" t="s">
        <v>56</v>
      </c>
      <c r="E827" s="39" t="str">
        <f t="array" ref="E827">_xlfn.XLOOKUP($B827, DB[samplingPoint], DB[noLocation])</f>
        <v>WATER SYSTEM (B12)</v>
      </c>
      <c r="F827" s="40" t="str">
        <f t="array" ref="F827">_xlfn.XLOOKUP($B827, DB[samplingPoint], DB[building])</f>
        <v>Building 12</v>
      </c>
      <c r="G827" s="40" t="str">
        <f t="array" ref="G827">_xlfn.XLOOKUP($B827, DB[samplingPoint], DB[location])</f>
        <v>After UV (B12)</v>
      </c>
      <c r="H827" s="40" t="str">
        <f t="array" ref="H827">_xlfn.XLOOKUP($B827, DB[samplingPoint], DB[waterType])</f>
        <v>PW</v>
      </c>
      <c r="I827" s="60">
        <f t="shared" si="1"/>
        <v>46011</v>
      </c>
      <c r="J827" s="192">
        <f t="shared" si="2"/>
        <v>46014</v>
      </c>
      <c r="K827" s="32">
        <v>0.0</v>
      </c>
      <c r="L827" s="32">
        <v>0.0</v>
      </c>
      <c r="M827" s="32">
        <f t="shared" si="3"/>
        <v>0</v>
      </c>
      <c r="N827" s="32" t="s">
        <v>376</v>
      </c>
      <c r="O827" s="32">
        <v>100.0</v>
      </c>
      <c r="P827" s="50" t="str">
        <f t="shared" si="6"/>
        <v>PASSED</v>
      </c>
      <c r="Q827" s="50" t="str">
        <f t="shared" si="5"/>
        <v>WA</v>
      </c>
    </row>
    <row r="828" ht="22.5" customHeight="1">
      <c r="A828" s="26">
        <v>46010.0</v>
      </c>
      <c r="B828" s="32" t="s">
        <v>430</v>
      </c>
      <c r="C828" s="214" t="str">
        <f t="array" ref="C828">_xlfn.XLOOKUP(B828, DB[samplingPoint], DB[samplingTag])</f>
        <v>SV137.01</v>
      </c>
      <c r="D828" s="33" t="s">
        <v>56</v>
      </c>
      <c r="E828" s="39" t="str">
        <f t="array" ref="E828">_xlfn.XLOOKUP($B828, DB[samplingPoint], DB[noLocation])</f>
        <v>WATER SYSTEM (B12)</v>
      </c>
      <c r="F828" s="40" t="str">
        <f t="array" ref="F828">_xlfn.XLOOKUP($B828, DB[samplingPoint], DB[building])</f>
        <v>Building 12</v>
      </c>
      <c r="G828" s="40" t="str">
        <f t="array" ref="G828">_xlfn.XLOOKUP($B828, DB[samplingPoint], DB[location])</f>
        <v>Return loop (B12)</v>
      </c>
      <c r="H828" s="40" t="str">
        <f t="array" ref="H828">_xlfn.XLOOKUP($B828, DB[samplingPoint], DB[waterType])</f>
        <v>PW</v>
      </c>
      <c r="I828" s="60">
        <f t="shared" si="1"/>
        <v>46011</v>
      </c>
      <c r="J828" s="192">
        <f t="shared" si="2"/>
        <v>46014</v>
      </c>
      <c r="K828" s="32">
        <v>0.0</v>
      </c>
      <c r="L828" s="32">
        <v>0.0</v>
      </c>
      <c r="M828" s="32">
        <f t="shared" si="3"/>
        <v>0</v>
      </c>
      <c r="N828" s="32" t="s">
        <v>376</v>
      </c>
      <c r="O828" s="32">
        <v>100.0</v>
      </c>
      <c r="P828" s="50" t="str">
        <f t="shared" si="6"/>
        <v>PASSED</v>
      </c>
      <c r="Q828" s="50" t="str">
        <f t="shared" si="5"/>
        <v>WA</v>
      </c>
    </row>
    <row r="829" ht="22.5" customHeight="1">
      <c r="A829" s="26">
        <v>46010.0</v>
      </c>
      <c r="B829" s="32" t="s">
        <v>422</v>
      </c>
      <c r="C829" s="214" t="str">
        <f t="array" ref="C829">_xlfn.XLOOKUP(B829, DB[samplingPoint], DB[samplingTag])</f>
        <v>DV136.18</v>
      </c>
      <c r="D829" s="33" t="s">
        <v>56</v>
      </c>
      <c r="E829" s="39" t="str">
        <f t="array" ref="E829">_xlfn.XLOOKUP($B829, DB[samplingPoint], DB[noLocation])</f>
        <v>12-3-037</v>
      </c>
      <c r="F829" s="40" t="str">
        <f t="array" ref="F829">_xlfn.XLOOKUP($B829, DB[samplingPoint], DB[building])</f>
        <v>Building 12</v>
      </c>
      <c r="G829" s="40" t="str">
        <f t="array" ref="G829">_xlfn.XLOOKUP($B829, DB[samplingPoint], DB[location])</f>
        <v>GLASSWARE WASHING 1</v>
      </c>
      <c r="H829" s="40" t="str">
        <f t="array" ref="H829">_xlfn.XLOOKUP($B829, DB[samplingPoint], DB[waterType])</f>
        <v>PW</v>
      </c>
      <c r="I829" s="60">
        <f t="shared" si="1"/>
        <v>46011</v>
      </c>
      <c r="J829" s="192">
        <f t="shared" si="2"/>
        <v>46014</v>
      </c>
      <c r="K829" s="32">
        <v>0.0</v>
      </c>
      <c r="L829" s="32">
        <v>0.0</v>
      </c>
      <c r="M829" s="32">
        <f t="shared" si="3"/>
        <v>0</v>
      </c>
      <c r="N829" s="32" t="s">
        <v>376</v>
      </c>
      <c r="O829" s="32">
        <v>100.0</v>
      </c>
      <c r="P829" s="50" t="str">
        <f t="shared" si="6"/>
        <v>PASSED</v>
      </c>
      <c r="Q829" s="50" t="str">
        <f t="shared" si="5"/>
        <v>12</v>
      </c>
    </row>
    <row r="830" ht="22.5" customHeight="1">
      <c r="A830" s="26">
        <v>46010.0</v>
      </c>
      <c r="B830" s="32" t="s">
        <v>373</v>
      </c>
      <c r="C830" s="214" t="str">
        <f t="array" ref="C830">_xlfn.XLOOKUP(B830, DB[samplingPoint], DB[samplingTag])</f>
        <v>DV136.05</v>
      </c>
      <c r="D830" s="33" t="s">
        <v>56</v>
      </c>
      <c r="E830" s="39" t="str">
        <f t="array" ref="E830">_xlfn.XLOOKUP($B830, DB[samplingPoint], DB[noLocation])</f>
        <v>12-3-037</v>
      </c>
      <c r="F830" s="40" t="str">
        <f t="array" ref="F830">_xlfn.XLOOKUP($B830, DB[samplingPoint], DB[building])</f>
        <v>Building 12</v>
      </c>
      <c r="G830" s="40" t="str">
        <f t="array" ref="G830">_xlfn.XLOOKUP($B830, DB[samplingPoint], DB[location])</f>
        <v>GLASSWARE WASHING 1</v>
      </c>
      <c r="H830" s="40" t="str">
        <f t="array" ref="H830">_xlfn.XLOOKUP($B830, DB[samplingPoint], DB[waterType])</f>
        <v>PW</v>
      </c>
      <c r="I830" s="60">
        <f t="shared" si="1"/>
        <v>46011</v>
      </c>
      <c r="J830" s="192">
        <f t="shared" si="2"/>
        <v>46014</v>
      </c>
      <c r="K830" s="32">
        <v>0.0</v>
      </c>
      <c r="L830" s="32">
        <v>0.0</v>
      </c>
      <c r="M830" s="32">
        <f t="shared" si="3"/>
        <v>0</v>
      </c>
      <c r="N830" s="32" t="s">
        <v>376</v>
      </c>
      <c r="O830" s="32">
        <v>100.0</v>
      </c>
      <c r="P830" s="50" t="str">
        <f t="shared" si="6"/>
        <v>PASSED</v>
      </c>
      <c r="Q830" s="50" t="str">
        <f t="shared" si="5"/>
        <v>12</v>
      </c>
    </row>
    <row r="831" ht="22.5" customHeight="1">
      <c r="A831" s="26">
        <v>46010.0</v>
      </c>
      <c r="B831" s="32" t="s">
        <v>389</v>
      </c>
      <c r="C831" s="214" t="str">
        <f t="array" ref="C831">_xlfn.XLOOKUP(B831, DB[samplingPoint], DB[samplingTag])</f>
        <v>DV136.06</v>
      </c>
      <c r="D831" s="33" t="s">
        <v>56</v>
      </c>
      <c r="E831" s="39" t="str">
        <f t="array" ref="E831">_xlfn.XLOOKUP($B831, DB[samplingPoint], DB[noLocation])</f>
        <v>12-3-037</v>
      </c>
      <c r="F831" s="40" t="str">
        <f t="array" ref="F831">_xlfn.XLOOKUP($B831, DB[samplingPoint], DB[building])</f>
        <v>Building 12</v>
      </c>
      <c r="G831" s="40" t="str">
        <f t="array" ref="G831">_xlfn.XLOOKUP($B831, DB[samplingPoint], DB[location])</f>
        <v>GLASSWARE WASHING 1</v>
      </c>
      <c r="H831" s="40" t="str">
        <f t="array" ref="H831">_xlfn.XLOOKUP($B831, DB[samplingPoint], DB[waterType])</f>
        <v>PW</v>
      </c>
      <c r="I831" s="60">
        <f t="shared" si="1"/>
        <v>46011</v>
      </c>
      <c r="J831" s="192">
        <f t="shared" si="2"/>
        <v>46014</v>
      </c>
      <c r="K831" s="32">
        <v>0.0</v>
      </c>
      <c r="L831" s="32">
        <v>0.0</v>
      </c>
      <c r="M831" s="32">
        <f t="shared" si="3"/>
        <v>0</v>
      </c>
      <c r="N831" s="32" t="s">
        <v>376</v>
      </c>
      <c r="O831" s="32">
        <v>100.0</v>
      </c>
      <c r="P831" s="50" t="str">
        <f t="shared" si="6"/>
        <v>PASSED</v>
      </c>
      <c r="Q831" s="50" t="str">
        <f t="shared" si="5"/>
        <v>12</v>
      </c>
    </row>
    <row r="832" ht="22.5" customHeight="1">
      <c r="A832" s="26">
        <v>46010.0</v>
      </c>
      <c r="B832" s="32" t="s">
        <v>508</v>
      </c>
      <c r="C832" s="214" t="str">
        <f t="array" ref="C832">_xlfn.XLOOKUP(B832, DB[samplingPoint], DB[samplingTag])</f>
        <v>DV136.07</v>
      </c>
      <c r="D832" s="33" t="s">
        <v>56</v>
      </c>
      <c r="E832" s="39" t="str">
        <f t="array" ref="E832">_xlfn.XLOOKUP($B832, DB[samplingPoint], DB[noLocation])</f>
        <v>12-3-039</v>
      </c>
      <c r="F832" s="40" t="str">
        <f t="array" ref="F832">_xlfn.XLOOKUP($B832, DB[samplingPoint], DB[building])</f>
        <v>Building 12</v>
      </c>
      <c r="G832" s="40" t="str">
        <f t="array" ref="G832">_xlfn.XLOOKUP($B832, DB[samplingPoint], DB[location])</f>
        <v>INSTRUMENT 7</v>
      </c>
      <c r="H832" s="40" t="str">
        <f t="array" ref="H832">_xlfn.XLOOKUP($B832, DB[samplingPoint], DB[waterType])</f>
        <v>PW</v>
      </c>
      <c r="I832" s="60">
        <f t="shared" si="1"/>
        <v>46011</v>
      </c>
      <c r="J832" s="192">
        <f t="shared" si="2"/>
        <v>46014</v>
      </c>
      <c r="K832" s="32">
        <v>0.0</v>
      </c>
      <c r="L832" s="32">
        <v>0.0</v>
      </c>
      <c r="M832" s="32">
        <f t="shared" si="3"/>
        <v>0</v>
      </c>
      <c r="N832" s="32" t="s">
        <v>376</v>
      </c>
      <c r="O832" s="32">
        <v>100.0</v>
      </c>
      <c r="P832" s="50" t="str">
        <f t="shared" si="6"/>
        <v>PASSED</v>
      </c>
      <c r="Q832" s="50" t="str">
        <f t="shared" si="5"/>
        <v>12</v>
      </c>
    </row>
    <row r="833" ht="22.5" customHeight="1">
      <c r="A833" s="26">
        <v>46010.0</v>
      </c>
      <c r="B833" s="32" t="s">
        <v>463</v>
      </c>
      <c r="C833" s="214" t="str">
        <f t="array" ref="C833">_xlfn.XLOOKUP(B833, DB[samplingPoint], DB[samplingTag])</f>
        <v>DV136.08</v>
      </c>
      <c r="D833" s="33" t="s">
        <v>56</v>
      </c>
      <c r="E833" s="39" t="str">
        <f t="array" ref="E833">_xlfn.XLOOKUP($B833, DB[samplingPoint], DB[noLocation])</f>
        <v>12-3-042</v>
      </c>
      <c r="F833" s="40" t="str">
        <f t="array" ref="F833">_xlfn.XLOOKUP($B833, DB[samplingPoint], DB[building])</f>
        <v>Building 12</v>
      </c>
      <c r="G833" s="40" t="str">
        <f t="array" ref="G833">_xlfn.XLOOKUP($B833, DB[samplingPoint], DB[location])</f>
        <v>SAMPLE PREPARATION</v>
      </c>
      <c r="H833" s="40" t="str">
        <f t="array" ref="H833">_xlfn.XLOOKUP($B833, DB[samplingPoint], DB[waterType])</f>
        <v>PW</v>
      </c>
      <c r="I833" s="60">
        <f t="shared" si="1"/>
        <v>46011</v>
      </c>
      <c r="J833" s="192">
        <f t="shared" si="2"/>
        <v>46014</v>
      </c>
      <c r="K833" s="32">
        <v>0.0</v>
      </c>
      <c r="L833" s="32">
        <v>0.0</v>
      </c>
      <c r="M833" s="32">
        <f t="shared" si="3"/>
        <v>0</v>
      </c>
      <c r="N833" s="32" t="s">
        <v>376</v>
      </c>
      <c r="O833" s="32">
        <v>100.0</v>
      </c>
      <c r="P833" s="50" t="str">
        <f t="shared" si="6"/>
        <v>PASSED</v>
      </c>
      <c r="Q833" s="50" t="str">
        <f t="shared" si="5"/>
        <v>12</v>
      </c>
    </row>
    <row r="834" ht="22.5" customHeight="1">
      <c r="A834" s="26">
        <v>46010.0</v>
      </c>
      <c r="B834" s="32" t="s">
        <v>465</v>
      </c>
      <c r="C834" s="214" t="str">
        <f t="array" ref="C834">_xlfn.XLOOKUP(B834, DB[samplingPoint], DB[samplingTag])</f>
        <v>DV136.09</v>
      </c>
      <c r="D834" s="33" t="s">
        <v>56</v>
      </c>
      <c r="E834" s="39" t="str">
        <f t="array" ref="E834">_xlfn.XLOOKUP($B834, DB[samplingPoint], DB[noLocation])</f>
        <v>12-3-042</v>
      </c>
      <c r="F834" s="40" t="str">
        <f t="array" ref="F834">_xlfn.XLOOKUP($B834, DB[samplingPoint], DB[building])</f>
        <v>Building 12</v>
      </c>
      <c r="G834" s="40" t="str">
        <f t="array" ref="G834">_xlfn.XLOOKUP($B834, DB[samplingPoint], DB[location])</f>
        <v>SAMPLE PREPARATION</v>
      </c>
      <c r="H834" s="40" t="str">
        <f t="array" ref="H834">_xlfn.XLOOKUP($B834, DB[samplingPoint], DB[waterType])</f>
        <v>PW</v>
      </c>
      <c r="I834" s="60">
        <f t="shared" si="1"/>
        <v>46011</v>
      </c>
      <c r="J834" s="192">
        <f t="shared" si="2"/>
        <v>46014</v>
      </c>
      <c r="K834" s="32">
        <v>0.0</v>
      </c>
      <c r="L834" s="32">
        <v>0.0</v>
      </c>
      <c r="M834" s="32">
        <f t="shared" si="3"/>
        <v>0</v>
      </c>
      <c r="N834" s="32" t="s">
        <v>376</v>
      </c>
      <c r="O834" s="32">
        <v>100.0</v>
      </c>
      <c r="P834" s="50" t="str">
        <f t="shared" si="6"/>
        <v>PASSED</v>
      </c>
      <c r="Q834" s="50" t="str">
        <f t="shared" si="5"/>
        <v>12</v>
      </c>
    </row>
    <row r="835" ht="22.5" customHeight="1">
      <c r="A835" s="26">
        <v>46010.0</v>
      </c>
      <c r="B835" s="32" t="s">
        <v>546</v>
      </c>
      <c r="C835" s="214" t="str">
        <f t="array" ref="C835">_xlfn.XLOOKUP(B835, DB[samplingPoint], DB[samplingTag])</f>
        <v>DV136.04</v>
      </c>
      <c r="D835" s="33" t="s">
        <v>56</v>
      </c>
      <c r="E835" s="39" t="str">
        <f t="array" ref="E835">_xlfn.XLOOKUP($B835, DB[samplingPoint], DB[noLocation])</f>
        <v>12-2-077</v>
      </c>
      <c r="F835" s="40" t="str">
        <f t="array" ref="F835">_xlfn.XLOOKUP($B835, DB[samplingPoint], DB[building])</f>
        <v>Building 12</v>
      </c>
      <c r="G835" s="40" t="str">
        <f t="array" ref="G835">_xlfn.XLOOKUP($B835, DB[samplingPoint], DB[location])</f>
        <v>WATER SYSTEM ROOM</v>
      </c>
      <c r="H835" s="40" t="str">
        <f t="array" ref="H835">_xlfn.XLOOKUP($B835, DB[samplingPoint], DB[waterType])</f>
        <v>PW</v>
      </c>
      <c r="I835" s="60">
        <f t="shared" si="1"/>
        <v>46011</v>
      </c>
      <c r="J835" s="192">
        <f t="shared" si="2"/>
        <v>46014</v>
      </c>
      <c r="K835" s="32">
        <v>0.0</v>
      </c>
      <c r="L835" s="32">
        <v>0.0</v>
      </c>
      <c r="M835" s="32">
        <f t="shared" si="3"/>
        <v>0</v>
      </c>
      <c r="N835" s="32" t="s">
        <v>376</v>
      </c>
      <c r="O835" s="32">
        <v>100.0</v>
      </c>
      <c r="P835" s="50" t="str">
        <f t="shared" si="6"/>
        <v>PASSED</v>
      </c>
      <c r="Q835" s="50" t="str">
        <f t="shared" si="5"/>
        <v>12</v>
      </c>
    </row>
    <row r="836" ht="22.5" customHeight="1">
      <c r="A836" s="26">
        <v>46013.0</v>
      </c>
      <c r="B836" s="32" t="s">
        <v>469</v>
      </c>
      <c r="C836" s="217" t="str">
        <f t="array" ref="C836">_xlfn.XLOOKUP(B836, DB[samplingPoint], DB[samplingTag])</f>
        <v>SV125.02</v>
      </c>
      <c r="D836" s="33" t="s">
        <v>3</v>
      </c>
      <c r="E836" s="39" t="str">
        <f t="array" ref="E836">_xlfn.XLOOKUP($B836, DB[samplingPoint], DB[noLocation])</f>
        <v>WATER SYSTEM (B16)</v>
      </c>
      <c r="F836" s="40" t="str">
        <f t="array" ref="F836">_xlfn.XLOOKUP($B836, DB[samplingPoint], DB[building])</f>
        <v>Building 16</v>
      </c>
      <c r="G836" s="40" t="str">
        <f t="array" ref="G836">_xlfn.XLOOKUP($B836, DB[samplingPoint], DB[location])</f>
        <v>After UV (B16)</v>
      </c>
      <c r="H836" s="40" t="str">
        <f t="array" ref="H836">_xlfn.XLOOKUP($B836, DB[samplingPoint], DB[waterType])</f>
        <v>PW</v>
      </c>
      <c r="I836" s="60">
        <f t="shared" si="1"/>
        <v>46014</v>
      </c>
      <c r="J836" s="192">
        <f t="shared" si="2"/>
        <v>46017</v>
      </c>
      <c r="K836" s="32">
        <v>0.0</v>
      </c>
      <c r="L836" s="32">
        <v>0.0</v>
      </c>
      <c r="M836" s="32">
        <f t="shared" si="3"/>
        <v>0</v>
      </c>
      <c r="N836" s="32" t="s">
        <v>376</v>
      </c>
      <c r="O836" s="32">
        <v>100.0</v>
      </c>
      <c r="P836" s="50" t="str">
        <f t="shared" si="6"/>
        <v>PASSED</v>
      </c>
      <c r="Q836" s="50" t="str">
        <f t="shared" si="5"/>
        <v>WA</v>
      </c>
    </row>
    <row r="837" ht="22.5" customHeight="1">
      <c r="A837" s="26">
        <v>46013.0</v>
      </c>
      <c r="B837" s="32" t="s">
        <v>464</v>
      </c>
      <c r="C837" s="217" t="str">
        <f t="array" ref="C837">_xlfn.XLOOKUP(B837, DB[samplingPoint], DB[samplingTag])</f>
        <v>SV127.01</v>
      </c>
      <c r="D837" s="33" t="s">
        <v>3</v>
      </c>
      <c r="E837" s="39" t="str">
        <f t="array" ref="E837">_xlfn.XLOOKUP($B837, DB[samplingPoint], DB[noLocation])</f>
        <v>WATER SYSTEM (B16)</v>
      </c>
      <c r="F837" s="40" t="str">
        <f t="array" ref="F837">_xlfn.XLOOKUP($B837, DB[samplingPoint], DB[building])</f>
        <v>Building 16</v>
      </c>
      <c r="G837" s="40" t="str">
        <f t="array" ref="G837">_xlfn.XLOOKUP($B837, DB[samplingPoint], DB[location])</f>
        <v>Return loop (B16)</v>
      </c>
      <c r="H837" s="40" t="str">
        <f t="array" ref="H837">_xlfn.XLOOKUP($B837, DB[samplingPoint], DB[waterType])</f>
        <v>PW</v>
      </c>
      <c r="I837" s="60">
        <f t="shared" si="1"/>
        <v>46014</v>
      </c>
      <c r="J837" s="192">
        <f t="shared" si="2"/>
        <v>46017</v>
      </c>
      <c r="K837" s="32">
        <v>0.0</v>
      </c>
      <c r="L837" s="32">
        <v>0.0</v>
      </c>
      <c r="M837" s="32">
        <f t="shared" si="3"/>
        <v>0</v>
      </c>
      <c r="N837" s="32" t="s">
        <v>376</v>
      </c>
      <c r="O837" s="32">
        <v>100.0</v>
      </c>
      <c r="P837" s="50" t="str">
        <f t="shared" si="6"/>
        <v>PASSED</v>
      </c>
      <c r="Q837" s="50" t="str">
        <f t="shared" si="5"/>
        <v>WA</v>
      </c>
    </row>
    <row r="838" ht="22.5" customHeight="1">
      <c r="A838" s="26">
        <v>46013.0</v>
      </c>
      <c r="B838" s="32" t="s">
        <v>567</v>
      </c>
      <c r="C838" s="217" t="str">
        <f t="array" ref="C838">_xlfn.XLOOKUP(B838, DB[samplingPoint], DB[samplingTag])</f>
        <v>SV126.06</v>
      </c>
      <c r="D838" s="33" t="s">
        <v>3</v>
      </c>
      <c r="E838" s="39" t="str">
        <f t="array" ref="E838">_xlfn.XLOOKUP($B838, DB[samplingPoint], DB[noLocation])</f>
        <v>16-3-067</v>
      </c>
      <c r="F838" s="40" t="str">
        <f t="array" ref="F838">_xlfn.XLOOKUP($B838, DB[samplingPoint], DB[building])</f>
        <v>Building 16</v>
      </c>
      <c r="G838" s="40" t="str">
        <f t="array" ref="G838">_xlfn.XLOOKUP($B838, DB[samplingPoint], DB[location])</f>
        <v>MFG 1</v>
      </c>
      <c r="H838" s="40" t="str">
        <f t="array" ref="H838">_xlfn.XLOOKUP($B838, DB[samplingPoint], DB[waterType])</f>
        <v>PW</v>
      </c>
      <c r="I838" s="60">
        <f t="shared" si="1"/>
        <v>46014</v>
      </c>
      <c r="J838" s="192">
        <f t="shared" si="2"/>
        <v>46017</v>
      </c>
      <c r="K838" s="32">
        <v>0.0</v>
      </c>
      <c r="L838" s="32">
        <v>0.0</v>
      </c>
      <c r="M838" s="32">
        <f t="shared" si="3"/>
        <v>0</v>
      </c>
      <c r="N838" s="32" t="s">
        <v>376</v>
      </c>
      <c r="O838" s="32">
        <v>100.0</v>
      </c>
      <c r="P838" s="50" t="str">
        <f t="shared" si="6"/>
        <v>PASSED</v>
      </c>
      <c r="Q838" s="50" t="str">
        <f t="shared" si="5"/>
        <v>16</v>
      </c>
    </row>
    <row r="839" ht="22.5" customHeight="1">
      <c r="A839" s="26">
        <v>46013.0</v>
      </c>
      <c r="B839" s="32" t="s">
        <v>569</v>
      </c>
      <c r="C839" s="217" t="str">
        <f t="array" ref="C839">_xlfn.XLOOKUP(B839, DB[samplingPoint], DB[samplingTag])</f>
        <v>SV126.21</v>
      </c>
      <c r="D839" s="33" t="s">
        <v>3</v>
      </c>
      <c r="E839" s="39" t="str">
        <f t="array" ref="E839">_xlfn.XLOOKUP($B839, DB[samplingPoint], DB[noLocation])</f>
        <v>16-3-090</v>
      </c>
      <c r="F839" s="40" t="str">
        <f t="array" ref="F839">_xlfn.XLOOKUP($B839, DB[samplingPoint], DB[building])</f>
        <v>Building 16</v>
      </c>
      <c r="G839" s="40" t="str">
        <f t="array" ref="G839">_xlfn.XLOOKUP($B839, DB[samplingPoint], DB[location])</f>
        <v>CIP 1 (EQUIPMENT REQUIREMENT)</v>
      </c>
      <c r="H839" s="40" t="str">
        <f t="array" ref="H839">_xlfn.XLOOKUP($B839, DB[samplingPoint], DB[waterType])</f>
        <v>PW</v>
      </c>
      <c r="I839" s="60">
        <f t="shared" si="1"/>
        <v>46014</v>
      </c>
      <c r="J839" s="192">
        <f t="shared" si="2"/>
        <v>46017</v>
      </c>
      <c r="K839" s="32">
        <v>0.0</v>
      </c>
      <c r="L839" s="32">
        <v>0.0</v>
      </c>
      <c r="M839" s="32">
        <f t="shared" si="3"/>
        <v>0</v>
      </c>
      <c r="N839" s="32" t="s">
        <v>376</v>
      </c>
      <c r="O839" s="32">
        <v>100.0</v>
      </c>
      <c r="P839" s="50" t="str">
        <f t="shared" si="6"/>
        <v>PASSED</v>
      </c>
      <c r="Q839" s="50" t="str">
        <f t="shared" si="5"/>
        <v>16</v>
      </c>
    </row>
    <row r="840" ht="22.5" customHeight="1">
      <c r="A840" s="26">
        <v>46013.0</v>
      </c>
      <c r="B840" s="32" t="s">
        <v>562</v>
      </c>
      <c r="C840" s="217" t="str">
        <f t="array" ref="C840">_xlfn.XLOOKUP(B840, DB[samplingPoint], DB[samplingTag])</f>
        <v>DV126.09</v>
      </c>
      <c r="D840" s="33" t="s">
        <v>3</v>
      </c>
      <c r="E840" s="39" t="str">
        <f t="array" ref="E840">_xlfn.XLOOKUP($B840, DB[samplingPoint], DB[noLocation])</f>
        <v>16-3-090</v>
      </c>
      <c r="F840" s="40" t="str">
        <f t="array" ref="F840">_xlfn.XLOOKUP($B840, DB[samplingPoint], DB[building])</f>
        <v>Building 16</v>
      </c>
      <c r="G840" s="40" t="str">
        <f t="array" ref="G840">_xlfn.XLOOKUP($B840, DB[samplingPoint], DB[location])</f>
        <v>CIP 1 (ZINK WASHING)</v>
      </c>
      <c r="H840" s="40" t="str">
        <f t="array" ref="H840">_xlfn.XLOOKUP($B840, DB[samplingPoint], DB[waterType])</f>
        <v>PW</v>
      </c>
      <c r="I840" s="60">
        <f t="shared" si="1"/>
        <v>46014</v>
      </c>
      <c r="J840" s="192">
        <f t="shared" si="2"/>
        <v>46017</v>
      </c>
      <c r="K840" s="32">
        <v>0.0</v>
      </c>
      <c r="L840" s="32">
        <v>0.0</v>
      </c>
      <c r="M840" s="32">
        <f t="shared" si="3"/>
        <v>0</v>
      </c>
      <c r="N840" s="32" t="s">
        <v>376</v>
      </c>
      <c r="O840" s="32">
        <v>100.0</v>
      </c>
      <c r="P840" s="50" t="str">
        <f t="shared" si="6"/>
        <v>PASSED</v>
      </c>
      <c r="Q840" s="50" t="str">
        <f t="shared" si="5"/>
        <v>16</v>
      </c>
    </row>
    <row r="841" ht="22.5" customHeight="1">
      <c r="A841" s="26">
        <v>46013.0</v>
      </c>
      <c r="B841" s="32" t="s">
        <v>568</v>
      </c>
      <c r="C841" s="217" t="str">
        <f t="array" ref="C841">_xlfn.XLOOKUP(B841, DB[samplingPoint], DB[samplingTag])</f>
        <v>SV126.18</v>
      </c>
      <c r="D841" s="33" t="s">
        <v>3</v>
      </c>
      <c r="E841" s="39" t="str">
        <f t="array" ref="E841">_xlfn.XLOOKUP($B841, DB[samplingPoint], DB[noLocation])</f>
        <v>16-3-085</v>
      </c>
      <c r="F841" s="40" t="str">
        <f t="array" ref="F841">_xlfn.XLOOKUP($B841, DB[samplingPoint], DB[building])</f>
        <v>Building 16</v>
      </c>
      <c r="G841" s="40" t="str">
        <f t="array" ref="G841">_xlfn.XLOOKUP($B841, DB[samplingPoint], DB[location])</f>
        <v>CIP 3 (EQUIPMENT REQUIREMENT)</v>
      </c>
      <c r="H841" s="40" t="str">
        <f t="array" ref="H841">_xlfn.XLOOKUP($B841, DB[samplingPoint], DB[waterType])</f>
        <v>PW</v>
      </c>
      <c r="I841" s="60">
        <f t="shared" si="1"/>
        <v>46014</v>
      </c>
      <c r="J841" s="192">
        <f t="shared" si="2"/>
        <v>46017</v>
      </c>
      <c r="K841" s="32">
        <v>0.0</v>
      </c>
      <c r="L841" s="32">
        <v>0.0</v>
      </c>
      <c r="M841" s="32">
        <f t="shared" si="3"/>
        <v>0</v>
      </c>
      <c r="N841" s="32" t="s">
        <v>376</v>
      </c>
      <c r="O841" s="32">
        <v>100.0</v>
      </c>
      <c r="P841" s="50" t="str">
        <f t="shared" si="6"/>
        <v>PASSED</v>
      </c>
      <c r="Q841" s="50" t="str">
        <f t="shared" si="5"/>
        <v>16</v>
      </c>
    </row>
    <row r="842" ht="22.5" customHeight="1">
      <c r="A842" s="26">
        <v>46013.0</v>
      </c>
      <c r="B842" s="32" t="s">
        <v>564</v>
      </c>
      <c r="C842" s="217" t="str">
        <f t="array" ref="C842">_xlfn.XLOOKUP(B842, DB[samplingPoint], DB[samplingTag])</f>
        <v>SV126.05</v>
      </c>
      <c r="D842" s="33" t="s">
        <v>3</v>
      </c>
      <c r="E842" s="39" t="str">
        <f t="array" ref="E842">_xlfn.XLOOKUP($B842, DB[samplingPoint], DB[noLocation])</f>
        <v>16-3-049</v>
      </c>
      <c r="F842" s="40" t="str">
        <f t="array" ref="F842">_xlfn.XLOOKUP($B842, DB[samplingPoint], DB[building])</f>
        <v>Building 16</v>
      </c>
      <c r="G842" s="40" t="str">
        <f t="array" ref="G842">_xlfn.XLOOKUP($B842, DB[samplingPoint], DB[location])</f>
        <v>LINEN WASHING</v>
      </c>
      <c r="H842" s="40" t="str">
        <f t="array" ref="H842">_xlfn.XLOOKUP($B842, DB[samplingPoint], DB[waterType])</f>
        <v>PW</v>
      </c>
      <c r="I842" s="60">
        <f t="shared" si="1"/>
        <v>46014</v>
      </c>
      <c r="J842" s="192">
        <f t="shared" si="2"/>
        <v>46017</v>
      </c>
      <c r="K842" s="32">
        <v>0.0</v>
      </c>
      <c r="L842" s="32">
        <v>0.0</v>
      </c>
      <c r="M842" s="32">
        <f t="shared" si="3"/>
        <v>0</v>
      </c>
      <c r="N842" s="32" t="s">
        <v>376</v>
      </c>
      <c r="O842" s="32">
        <v>100.0</v>
      </c>
      <c r="P842" s="50" t="str">
        <f t="shared" si="6"/>
        <v>PASSED</v>
      </c>
      <c r="Q842" s="50" t="str">
        <f t="shared" si="5"/>
        <v>16</v>
      </c>
    </row>
    <row r="843" ht="22.5" customHeight="1">
      <c r="A843" s="26">
        <v>46013.0</v>
      </c>
      <c r="B843" s="32" t="s">
        <v>438</v>
      </c>
      <c r="C843" s="217" t="str">
        <f t="array" ref="C843">_xlfn.XLOOKUP(B843, DB[samplingPoint], DB[samplingTag])</f>
        <v>SV135.02</v>
      </c>
      <c r="D843" s="33" t="s">
        <v>56</v>
      </c>
      <c r="E843" s="39" t="str">
        <f t="array" ref="E843">_xlfn.XLOOKUP($B843, DB[samplingPoint], DB[noLocation])</f>
        <v>WATER SYSTEM (B12)</v>
      </c>
      <c r="F843" s="40" t="str">
        <f t="array" ref="F843">_xlfn.XLOOKUP($B843, DB[samplingPoint], DB[building])</f>
        <v>Building 12</v>
      </c>
      <c r="G843" s="40" t="str">
        <f t="array" ref="G843">_xlfn.XLOOKUP($B843, DB[samplingPoint], DB[location])</f>
        <v>After UV (B12)</v>
      </c>
      <c r="H843" s="40" t="str">
        <f t="array" ref="H843">_xlfn.XLOOKUP($B843, DB[samplingPoint], DB[waterType])</f>
        <v>PW</v>
      </c>
      <c r="I843" s="60">
        <f t="shared" si="1"/>
        <v>46014</v>
      </c>
      <c r="J843" s="192">
        <f t="shared" si="2"/>
        <v>46017</v>
      </c>
      <c r="K843" s="32">
        <v>0.0</v>
      </c>
      <c r="L843" s="32">
        <v>0.0</v>
      </c>
      <c r="M843" s="32">
        <f t="shared" si="3"/>
        <v>0</v>
      </c>
      <c r="N843" s="32" t="s">
        <v>376</v>
      </c>
      <c r="O843" s="32">
        <v>100.0</v>
      </c>
      <c r="P843" s="50" t="str">
        <f t="shared" si="6"/>
        <v>PASSED</v>
      </c>
      <c r="Q843" s="50" t="str">
        <f t="shared" si="5"/>
        <v>WA</v>
      </c>
    </row>
    <row r="844" ht="22.5" customHeight="1">
      <c r="A844" s="26">
        <v>46013.0</v>
      </c>
      <c r="B844" s="32" t="s">
        <v>430</v>
      </c>
      <c r="C844" s="217" t="str">
        <f t="array" ref="C844">_xlfn.XLOOKUP(B844, DB[samplingPoint], DB[samplingTag])</f>
        <v>SV137.01</v>
      </c>
      <c r="D844" s="33" t="s">
        <v>56</v>
      </c>
      <c r="E844" s="39" t="str">
        <f t="array" ref="E844">_xlfn.XLOOKUP($B844, DB[samplingPoint], DB[noLocation])</f>
        <v>WATER SYSTEM (B12)</v>
      </c>
      <c r="F844" s="40" t="str">
        <f t="array" ref="F844">_xlfn.XLOOKUP($B844, DB[samplingPoint], DB[building])</f>
        <v>Building 12</v>
      </c>
      <c r="G844" s="40" t="str">
        <f t="array" ref="G844">_xlfn.XLOOKUP($B844, DB[samplingPoint], DB[location])</f>
        <v>Return loop (B12)</v>
      </c>
      <c r="H844" s="40" t="str">
        <f t="array" ref="H844">_xlfn.XLOOKUP($B844, DB[samplingPoint], DB[waterType])</f>
        <v>PW</v>
      </c>
      <c r="I844" s="60">
        <f t="shared" si="1"/>
        <v>46014</v>
      </c>
      <c r="J844" s="192">
        <f t="shared" si="2"/>
        <v>46017</v>
      </c>
      <c r="K844" s="32">
        <v>0.0</v>
      </c>
      <c r="L844" s="32">
        <v>0.0</v>
      </c>
      <c r="M844" s="32">
        <f t="shared" si="3"/>
        <v>0</v>
      </c>
      <c r="N844" s="32" t="s">
        <v>376</v>
      </c>
      <c r="O844" s="32">
        <v>100.0</v>
      </c>
      <c r="P844" s="50" t="str">
        <f t="shared" si="6"/>
        <v>PASSED</v>
      </c>
      <c r="Q844" s="50" t="str">
        <f t="shared" si="5"/>
        <v>WA</v>
      </c>
    </row>
    <row r="845" ht="22.5" customHeight="1">
      <c r="A845" s="26">
        <v>46013.0</v>
      </c>
      <c r="B845" s="32" t="s">
        <v>443</v>
      </c>
      <c r="C845" s="217" t="str">
        <f t="array" ref="C845">_xlfn.XLOOKUP(B845, DB[samplingPoint], DB[samplingTag])</f>
        <v>SV136.09</v>
      </c>
      <c r="D845" s="33" t="s">
        <v>56</v>
      </c>
      <c r="E845" s="39" t="str">
        <f t="array" ref="E845">_xlfn.XLOOKUP($B845, DB[samplingPoint], DB[noLocation])</f>
        <v>12-2-039</v>
      </c>
      <c r="F845" s="40" t="str">
        <f t="array" ref="F845">_xlfn.XLOOKUP($B845, DB[samplingPoint], DB[building])</f>
        <v>Building 12</v>
      </c>
      <c r="G845" s="40" t="str">
        <f t="array" ref="G845">_xlfn.XLOOKUP($B845, DB[samplingPoint], DB[location])</f>
        <v>MFG 1</v>
      </c>
      <c r="H845" s="40" t="str">
        <f t="array" ref="H845">_xlfn.XLOOKUP($B845, DB[samplingPoint], DB[waterType])</f>
        <v>PW</v>
      </c>
      <c r="I845" s="60">
        <f t="shared" si="1"/>
        <v>46014</v>
      </c>
      <c r="J845" s="192">
        <f t="shared" si="2"/>
        <v>46017</v>
      </c>
      <c r="K845" s="32">
        <v>0.0</v>
      </c>
      <c r="L845" s="32">
        <v>0.0</v>
      </c>
      <c r="M845" s="32">
        <f t="shared" si="3"/>
        <v>0</v>
      </c>
      <c r="N845" s="32" t="s">
        <v>376</v>
      </c>
      <c r="O845" s="32">
        <v>100.0</v>
      </c>
      <c r="P845" s="50" t="str">
        <f t="shared" si="6"/>
        <v>PASSED</v>
      </c>
      <c r="Q845" s="50" t="str">
        <f t="shared" si="5"/>
        <v>12</v>
      </c>
    </row>
    <row r="846" ht="22.5" customHeight="1">
      <c r="A846" s="26">
        <v>46013.0</v>
      </c>
      <c r="B846" s="32" t="s">
        <v>445</v>
      </c>
      <c r="C846" s="217" t="str">
        <f t="array" ref="C846">_xlfn.XLOOKUP(B846, DB[samplingPoint], DB[samplingTag])</f>
        <v>SV136.10</v>
      </c>
      <c r="D846" s="33" t="s">
        <v>56</v>
      </c>
      <c r="E846" s="39" t="str">
        <f t="array" ref="E846">_xlfn.XLOOKUP($B846, DB[samplingPoint], DB[noLocation])</f>
        <v>12-2-041</v>
      </c>
      <c r="F846" s="40" t="str">
        <f t="array" ref="F846">_xlfn.XLOOKUP($B846, DB[samplingPoint], DB[building])</f>
        <v>Building 12</v>
      </c>
      <c r="G846" s="40" t="str">
        <f t="array" ref="G846">_xlfn.XLOOKUP($B846, DB[samplingPoint], DB[location])</f>
        <v>MFG 2</v>
      </c>
      <c r="H846" s="40" t="str">
        <f t="array" ref="H846">_xlfn.XLOOKUP($B846, DB[samplingPoint], DB[waterType])</f>
        <v>PW</v>
      </c>
      <c r="I846" s="60">
        <f t="shared" si="1"/>
        <v>46014</v>
      </c>
      <c r="J846" s="192">
        <f t="shared" si="2"/>
        <v>46017</v>
      </c>
      <c r="K846" s="32">
        <v>0.0</v>
      </c>
      <c r="L846" s="32">
        <v>0.0</v>
      </c>
      <c r="M846" s="32">
        <f t="shared" si="3"/>
        <v>0</v>
      </c>
      <c r="N846" s="32" t="s">
        <v>376</v>
      </c>
      <c r="O846" s="32">
        <v>100.0</v>
      </c>
      <c r="P846" s="50" t="str">
        <f t="shared" si="6"/>
        <v>PASSED</v>
      </c>
      <c r="Q846" s="50" t="str">
        <f t="shared" si="5"/>
        <v>12</v>
      </c>
    </row>
    <row r="847" ht="22.5" customHeight="1">
      <c r="A847" s="26">
        <v>46013.0</v>
      </c>
      <c r="B847" s="32" t="s">
        <v>449</v>
      </c>
      <c r="C847" s="217" t="str">
        <f t="array" ref="C847">_xlfn.XLOOKUP(B847, DB[samplingPoint], DB[samplingTag])</f>
        <v>SV136.11</v>
      </c>
      <c r="D847" s="33" t="s">
        <v>56</v>
      </c>
      <c r="E847" s="39" t="str">
        <f t="array" ref="E847">_xlfn.XLOOKUP($B847, DB[samplingPoint], DB[noLocation])</f>
        <v>12-2-043</v>
      </c>
      <c r="F847" s="40" t="str">
        <f t="array" ref="F847">_xlfn.XLOOKUP($B847, DB[samplingPoint], DB[building])</f>
        <v>Building 12</v>
      </c>
      <c r="G847" s="40" t="str">
        <f t="array" ref="G847">_xlfn.XLOOKUP($B847, DB[samplingPoint], DB[location])</f>
        <v>MFG 3</v>
      </c>
      <c r="H847" s="40" t="str">
        <f t="array" ref="H847">_xlfn.XLOOKUP($B847, DB[samplingPoint], DB[waterType])</f>
        <v>PW</v>
      </c>
      <c r="I847" s="60">
        <f t="shared" si="1"/>
        <v>46014</v>
      </c>
      <c r="J847" s="192">
        <f t="shared" si="2"/>
        <v>46017</v>
      </c>
      <c r="K847" s="32">
        <v>0.0</v>
      </c>
      <c r="L847" s="32">
        <v>0.0</v>
      </c>
      <c r="M847" s="32">
        <f t="shared" si="3"/>
        <v>0</v>
      </c>
      <c r="N847" s="32" t="s">
        <v>376</v>
      </c>
      <c r="O847" s="32">
        <v>100.0</v>
      </c>
      <c r="P847" s="50" t="str">
        <f t="shared" si="6"/>
        <v>PASSED</v>
      </c>
      <c r="Q847" s="50" t="str">
        <f t="shared" si="5"/>
        <v>12</v>
      </c>
    </row>
    <row r="848" ht="22.5" customHeight="1">
      <c r="A848" s="26">
        <v>46013.0</v>
      </c>
      <c r="B848" s="32" t="s">
        <v>453</v>
      </c>
      <c r="C848" s="217" t="str">
        <f t="array" ref="C848">_xlfn.XLOOKUP(B848, DB[samplingPoint], DB[samplingTag])</f>
        <v>SV136.13</v>
      </c>
      <c r="D848" s="33" t="s">
        <v>56</v>
      </c>
      <c r="E848" s="39" t="str">
        <f t="array" ref="E848">_xlfn.XLOOKUP($B848, DB[samplingPoint], DB[noLocation])</f>
        <v>12-2-043</v>
      </c>
      <c r="F848" s="40" t="str">
        <f t="array" ref="F848">_xlfn.XLOOKUP($B848, DB[samplingPoint], DB[building])</f>
        <v>Building 12</v>
      </c>
      <c r="G848" s="40" t="str">
        <f t="array" ref="G848">_xlfn.XLOOKUP($B848, DB[samplingPoint], DB[location])</f>
        <v>MFG 3</v>
      </c>
      <c r="H848" s="40" t="str">
        <f t="array" ref="H848">_xlfn.XLOOKUP($B848, DB[samplingPoint], DB[waterType])</f>
        <v>PW</v>
      </c>
      <c r="I848" s="60">
        <f t="shared" si="1"/>
        <v>46014</v>
      </c>
      <c r="J848" s="192">
        <f t="shared" si="2"/>
        <v>46017</v>
      </c>
      <c r="K848" s="32">
        <v>0.0</v>
      </c>
      <c r="L848" s="32">
        <v>0.0</v>
      </c>
      <c r="M848" s="32">
        <f t="shared" si="3"/>
        <v>0</v>
      </c>
      <c r="N848" s="32" t="s">
        <v>376</v>
      </c>
      <c r="O848" s="32">
        <v>100.0</v>
      </c>
      <c r="P848" s="50" t="str">
        <f t="shared" si="6"/>
        <v>PASSED</v>
      </c>
      <c r="Q848" s="50" t="str">
        <f t="shared" si="5"/>
        <v>12</v>
      </c>
    </row>
    <row r="849" ht="22.5" customHeight="1">
      <c r="A849" s="26">
        <v>46013.0</v>
      </c>
      <c r="B849" s="32" t="s">
        <v>455</v>
      </c>
      <c r="C849" s="217" t="str">
        <f t="array" ref="C849">_xlfn.XLOOKUP(B849, DB[samplingPoint], DB[samplingTag])</f>
        <v>SV136.08</v>
      </c>
      <c r="D849" s="33" t="s">
        <v>56</v>
      </c>
      <c r="E849" s="39" t="str">
        <f t="array" ref="E849">_xlfn.XLOOKUP($B849, DB[samplingPoint], DB[noLocation])</f>
        <v>12-2-043</v>
      </c>
      <c r="F849" s="40" t="str">
        <f t="array" ref="F849">_xlfn.XLOOKUP($B849, DB[samplingPoint], DB[building])</f>
        <v>Building 12</v>
      </c>
      <c r="G849" s="40" t="str">
        <f t="array" ref="G849">_xlfn.XLOOKUP($B849, DB[samplingPoint], DB[location])</f>
        <v>MFG 3</v>
      </c>
      <c r="H849" s="40" t="str">
        <f t="array" ref="H849">_xlfn.XLOOKUP($B849, DB[samplingPoint], DB[waterType])</f>
        <v>PW</v>
      </c>
      <c r="I849" s="60">
        <f t="shared" si="1"/>
        <v>46014</v>
      </c>
      <c r="J849" s="192">
        <f t="shared" si="2"/>
        <v>46017</v>
      </c>
      <c r="K849" s="32">
        <v>0.0</v>
      </c>
      <c r="L849" s="32">
        <v>0.0</v>
      </c>
      <c r="M849" s="32">
        <f t="shared" si="3"/>
        <v>0</v>
      </c>
      <c r="N849" s="32" t="s">
        <v>376</v>
      </c>
      <c r="O849" s="32">
        <v>100.0</v>
      </c>
      <c r="P849" s="50" t="str">
        <f t="shared" si="6"/>
        <v>PASSED</v>
      </c>
      <c r="Q849" s="50" t="str">
        <f t="shared" si="5"/>
        <v>12</v>
      </c>
    </row>
    <row r="850" ht="22.5" customHeight="1">
      <c r="A850" s="26">
        <v>46013.0</v>
      </c>
      <c r="B850" s="32" t="s">
        <v>458</v>
      </c>
      <c r="C850" s="217" t="str">
        <f t="array" ref="C850">_xlfn.XLOOKUP(B850, DB[samplingPoint], DB[samplingTag])</f>
        <v>SV136.14</v>
      </c>
      <c r="D850" s="33" t="s">
        <v>56</v>
      </c>
      <c r="E850" s="39" t="str">
        <f t="array" ref="E850">_xlfn.XLOOKUP($B850, DB[samplingPoint], DB[noLocation])</f>
        <v>12-2-045</v>
      </c>
      <c r="F850" s="40" t="str">
        <f t="array" ref="F850">_xlfn.XLOOKUP($B850, DB[samplingPoint], DB[building])</f>
        <v>Building 12</v>
      </c>
      <c r="G850" s="40" t="str">
        <f t="array" ref="G850">_xlfn.XLOOKUP($B850, DB[samplingPoint], DB[location])</f>
        <v>MFG 4</v>
      </c>
      <c r="H850" s="40" t="str">
        <f t="array" ref="H850">_xlfn.XLOOKUP($B850, DB[samplingPoint], DB[waterType])</f>
        <v>PW</v>
      </c>
      <c r="I850" s="60">
        <f t="shared" si="1"/>
        <v>46014</v>
      </c>
      <c r="J850" s="192">
        <f t="shared" si="2"/>
        <v>46017</v>
      </c>
      <c r="K850" s="32">
        <v>0.0</v>
      </c>
      <c r="L850" s="32">
        <v>0.0</v>
      </c>
      <c r="M850" s="32">
        <f t="shared" si="3"/>
        <v>0</v>
      </c>
      <c r="N850" s="32" t="s">
        <v>376</v>
      </c>
      <c r="O850" s="32">
        <v>100.0</v>
      </c>
      <c r="P850" s="50" t="str">
        <f t="shared" si="6"/>
        <v>PASSED</v>
      </c>
      <c r="Q850" s="50" t="str">
        <f t="shared" si="5"/>
        <v>12</v>
      </c>
    </row>
    <row r="851" ht="22.5" customHeight="1">
      <c r="A851" s="26">
        <v>46013.0</v>
      </c>
      <c r="B851" s="32" t="s">
        <v>460</v>
      </c>
      <c r="C851" s="217" t="str">
        <f t="array" ref="C851">_xlfn.XLOOKUP(B851, DB[samplingPoint], DB[samplingTag])</f>
        <v>SV136.02</v>
      </c>
      <c r="D851" s="33" t="s">
        <v>56</v>
      </c>
      <c r="E851" s="39" t="str">
        <f t="array" ref="E851">_xlfn.XLOOKUP($B851, DB[samplingPoint], DB[noLocation])</f>
        <v>12-2-024</v>
      </c>
      <c r="F851" s="40" t="str">
        <f t="array" ref="F851">_xlfn.XLOOKUP($B851, DB[samplingPoint], DB[building])</f>
        <v>Building 12</v>
      </c>
      <c r="G851" s="40" t="str">
        <f t="array" ref="G851">_xlfn.XLOOKUP($B851, DB[samplingPoint], DB[location])</f>
        <v>LIQUORICE EXTRACT</v>
      </c>
      <c r="H851" s="40" t="str">
        <f t="array" ref="H851">_xlfn.XLOOKUP($B851, DB[samplingPoint], DB[waterType])</f>
        <v>PW</v>
      </c>
      <c r="I851" s="60">
        <f t="shared" si="1"/>
        <v>46014</v>
      </c>
      <c r="J851" s="192">
        <f t="shared" si="2"/>
        <v>46017</v>
      </c>
      <c r="K851" s="32">
        <v>0.0</v>
      </c>
      <c r="L851" s="32">
        <v>0.0</v>
      </c>
      <c r="M851" s="32">
        <f t="shared" si="3"/>
        <v>0</v>
      </c>
      <c r="N851" s="32" t="s">
        <v>376</v>
      </c>
      <c r="O851" s="32">
        <v>100.0</v>
      </c>
      <c r="P851" s="50" t="str">
        <f t="shared" si="6"/>
        <v>PASSED</v>
      </c>
      <c r="Q851" s="50" t="str">
        <f t="shared" si="5"/>
        <v>12</v>
      </c>
    </row>
    <row r="852" ht="22.5" customHeight="1">
      <c r="A852" s="26">
        <v>46013.0</v>
      </c>
      <c r="B852" s="32" t="s">
        <v>380</v>
      </c>
      <c r="C852" s="191" t="str">
        <f t="array" ref="C852">_xlfn.XLOOKUP(B852, DB[samplingPoint], DB[samplingTag])</f>
        <v>SV113.01</v>
      </c>
      <c r="D852" s="33" t="s">
        <v>59</v>
      </c>
      <c r="E852" s="39" t="str">
        <f t="array" ref="E852">_xlfn.XLOOKUP($B852, DB[samplingPoint], DB[noLocation])</f>
        <v>WATER SYSTEM (B10)</v>
      </c>
      <c r="F852" s="40" t="str">
        <f t="array" ref="F852">_xlfn.XLOOKUP($B852, DB[samplingPoint], DB[building])</f>
        <v>Building 10</v>
      </c>
      <c r="G852" s="40" t="str">
        <f t="array" ref="G852">_xlfn.XLOOKUP($B852, DB[samplingPoint], DB[location])</f>
        <v>After Storage tank (B10)</v>
      </c>
      <c r="H852" s="40" t="str">
        <f t="array" ref="H852">_xlfn.XLOOKUP($B852, DB[samplingPoint], DB[waterType])</f>
        <v>PW</v>
      </c>
      <c r="I852" s="60">
        <f t="shared" si="1"/>
        <v>46014</v>
      </c>
      <c r="J852" s="192">
        <f t="shared" si="2"/>
        <v>46017</v>
      </c>
      <c r="K852" s="32">
        <v>0.0</v>
      </c>
      <c r="L852" s="32">
        <v>0.0</v>
      </c>
      <c r="M852" s="32">
        <f t="shared" si="3"/>
        <v>0</v>
      </c>
      <c r="N852" s="32" t="s">
        <v>376</v>
      </c>
      <c r="O852" s="32">
        <v>100.0</v>
      </c>
      <c r="P852" s="50" t="str">
        <f t="shared" si="6"/>
        <v>PASSED</v>
      </c>
      <c r="Q852" s="50" t="str">
        <f t="shared" si="5"/>
        <v>WA</v>
      </c>
    </row>
    <row r="853" ht="22.5" customHeight="1">
      <c r="A853" s="26">
        <v>46013.0</v>
      </c>
      <c r="B853" s="32" t="s">
        <v>385</v>
      </c>
      <c r="C853" s="191" t="str">
        <f t="array" ref="C853">_xlfn.XLOOKUP(B853, DB[samplingPoint], DB[samplingTag])</f>
        <v>SV115.02</v>
      </c>
      <c r="D853" s="33" t="s">
        <v>59</v>
      </c>
      <c r="E853" s="39" t="str">
        <f t="array" ref="E853">_xlfn.XLOOKUP($B853, DB[samplingPoint], DB[noLocation])</f>
        <v>WATER SYSTEM (B10)</v>
      </c>
      <c r="F853" s="40" t="str">
        <f t="array" ref="F853">_xlfn.XLOOKUP($B853, DB[samplingPoint], DB[building])</f>
        <v>Building 10</v>
      </c>
      <c r="G853" s="40" t="str">
        <f t="array" ref="G853">_xlfn.XLOOKUP($B853, DB[samplingPoint], DB[location])</f>
        <v>After UV (B10)</v>
      </c>
      <c r="H853" s="40" t="str">
        <f t="array" ref="H853">_xlfn.XLOOKUP($B853, DB[samplingPoint], DB[waterType])</f>
        <v>PW</v>
      </c>
      <c r="I853" s="60">
        <f t="shared" si="1"/>
        <v>46014</v>
      </c>
      <c r="J853" s="192">
        <f t="shared" si="2"/>
        <v>46017</v>
      </c>
      <c r="K853" s="32">
        <v>0.0</v>
      </c>
      <c r="L853" s="32">
        <v>0.0</v>
      </c>
      <c r="M853" s="32">
        <f t="shared" si="3"/>
        <v>0</v>
      </c>
      <c r="N853" s="32" t="s">
        <v>376</v>
      </c>
      <c r="O853" s="32">
        <v>100.0</v>
      </c>
      <c r="P853" s="50" t="str">
        <f t="shared" si="6"/>
        <v>PASSED</v>
      </c>
      <c r="Q853" s="50" t="str">
        <f t="shared" si="5"/>
        <v>WA</v>
      </c>
    </row>
    <row r="854" ht="22.5" customHeight="1">
      <c r="A854" s="26">
        <v>46013.0</v>
      </c>
      <c r="B854" s="32" t="s">
        <v>390</v>
      </c>
      <c r="C854" s="191" t="str">
        <f t="array" ref="C854">_xlfn.XLOOKUP(B854, DB[samplingPoint], DB[samplingTag])</f>
        <v>SV117.01</v>
      </c>
      <c r="D854" s="33" t="s">
        <v>59</v>
      </c>
      <c r="E854" s="39" t="str">
        <f t="array" ref="E854">_xlfn.XLOOKUP($B854, DB[samplingPoint], DB[noLocation])</f>
        <v>WATER SYSTEM (B10)</v>
      </c>
      <c r="F854" s="40" t="str">
        <f t="array" ref="F854">_xlfn.XLOOKUP($B854, DB[samplingPoint], DB[building])</f>
        <v>Building 10</v>
      </c>
      <c r="G854" s="40" t="str">
        <f t="array" ref="G854">_xlfn.XLOOKUP($B854, DB[samplingPoint], DB[location])</f>
        <v>Return loop (B10)</v>
      </c>
      <c r="H854" s="40" t="str">
        <f t="array" ref="H854">_xlfn.XLOOKUP($B854, DB[samplingPoint], DB[waterType])</f>
        <v>PW</v>
      </c>
      <c r="I854" s="60">
        <f t="shared" si="1"/>
        <v>46014</v>
      </c>
      <c r="J854" s="192">
        <f t="shared" si="2"/>
        <v>46017</v>
      </c>
      <c r="K854" s="32">
        <v>0.0</v>
      </c>
      <c r="L854" s="32">
        <v>0.0</v>
      </c>
      <c r="M854" s="32">
        <f t="shared" si="3"/>
        <v>0</v>
      </c>
      <c r="N854" s="32" t="s">
        <v>376</v>
      </c>
      <c r="O854" s="32">
        <v>100.0</v>
      </c>
      <c r="P854" s="50" t="str">
        <f t="shared" si="6"/>
        <v>PASSED</v>
      </c>
      <c r="Q854" s="50" t="str">
        <f t="shared" si="5"/>
        <v>WA</v>
      </c>
    </row>
    <row r="855" ht="22.5" customHeight="1">
      <c r="A855" s="26">
        <v>46013.0</v>
      </c>
      <c r="B855" s="32" t="s">
        <v>491</v>
      </c>
      <c r="C855" s="191" t="str">
        <f t="array" ref="C855">_xlfn.XLOOKUP(B855, DB[samplingPoint], DB[samplingTag])</f>
        <v>SV116.15</v>
      </c>
      <c r="D855" s="33" t="s">
        <v>59</v>
      </c>
      <c r="E855" s="39" t="str">
        <f t="array" ref="E855">_xlfn.XLOOKUP($B855, DB[samplingPoint], DB[noLocation])</f>
        <v>10-4-012</v>
      </c>
      <c r="F855" s="40" t="str">
        <f t="array" ref="F855">_xlfn.XLOOKUP($B855, DB[samplingPoint], DB[building])</f>
        <v>Building 10</v>
      </c>
      <c r="G855" s="40" t="str">
        <f t="array" ref="G855">_xlfn.XLOOKUP($B855, DB[samplingPoint], DB[location])</f>
        <v>CIP SKID-1 FOR BIN WASHING-1</v>
      </c>
      <c r="H855" s="40" t="str">
        <f t="array" ref="H855">_xlfn.XLOOKUP($B855, DB[samplingPoint], DB[waterType])</f>
        <v>PW</v>
      </c>
      <c r="I855" s="60">
        <f t="shared" si="1"/>
        <v>46014</v>
      </c>
      <c r="J855" s="192">
        <f t="shared" si="2"/>
        <v>46017</v>
      </c>
      <c r="K855" s="32">
        <v>0.0</v>
      </c>
      <c r="L855" s="32">
        <v>0.0</v>
      </c>
      <c r="M855" s="32">
        <f t="shared" si="3"/>
        <v>0</v>
      </c>
      <c r="N855" s="32" t="s">
        <v>376</v>
      </c>
      <c r="O855" s="32">
        <v>100.0</v>
      </c>
      <c r="P855" s="50" t="str">
        <f t="shared" si="6"/>
        <v>PASSED</v>
      </c>
      <c r="Q855" s="50" t="str">
        <f t="shared" si="5"/>
        <v>10</v>
      </c>
    </row>
    <row r="856" ht="22.5" customHeight="1">
      <c r="A856" s="26">
        <v>46013.0</v>
      </c>
      <c r="B856" s="32" t="s">
        <v>493</v>
      </c>
      <c r="C856" s="191" t="str">
        <f t="array" ref="C856">_xlfn.XLOOKUP(B856, DB[samplingPoint], DB[samplingTag])</f>
        <v>SV116.16</v>
      </c>
      <c r="D856" s="33" t="s">
        <v>59</v>
      </c>
      <c r="E856" s="39" t="str">
        <f t="array" ref="E856">_xlfn.XLOOKUP($B856, DB[samplingPoint], DB[noLocation])</f>
        <v>10-4-012</v>
      </c>
      <c r="F856" s="40" t="str">
        <f t="array" ref="F856">_xlfn.XLOOKUP($B856, DB[samplingPoint], DB[building])</f>
        <v>Building 10</v>
      </c>
      <c r="G856" s="40" t="str">
        <f t="array" ref="G856">_xlfn.XLOOKUP($B856, DB[samplingPoint], DB[location])</f>
        <v>WIP SKID-3 FOR GRANULATION POTENT</v>
      </c>
      <c r="H856" s="40" t="str">
        <f t="array" ref="H856">_xlfn.XLOOKUP($B856, DB[samplingPoint], DB[waterType])</f>
        <v>PW</v>
      </c>
      <c r="I856" s="60">
        <f t="shared" si="1"/>
        <v>46014</v>
      </c>
      <c r="J856" s="192">
        <f t="shared" si="2"/>
        <v>46017</v>
      </c>
      <c r="K856" s="32">
        <v>0.0</v>
      </c>
      <c r="L856" s="32">
        <v>0.0</v>
      </c>
      <c r="M856" s="32">
        <f t="shared" si="3"/>
        <v>0</v>
      </c>
      <c r="N856" s="32" t="s">
        <v>376</v>
      </c>
      <c r="O856" s="32">
        <v>100.0</v>
      </c>
      <c r="P856" s="50" t="str">
        <f t="shared" si="6"/>
        <v>PASSED</v>
      </c>
      <c r="Q856" s="50" t="str">
        <f t="shared" si="5"/>
        <v>10</v>
      </c>
    </row>
    <row r="857" ht="22.5" customHeight="1">
      <c r="A857" s="26">
        <v>46013.0</v>
      </c>
      <c r="B857" s="32" t="s">
        <v>494</v>
      </c>
      <c r="C857" s="191" t="str">
        <f t="array" ref="C857">_xlfn.XLOOKUP(B857, DB[samplingPoint], DB[samplingTag])</f>
        <v>SV116.17</v>
      </c>
      <c r="D857" s="33" t="s">
        <v>59</v>
      </c>
      <c r="E857" s="39" t="str">
        <f t="array" ref="E857">_xlfn.XLOOKUP($B857, DB[samplingPoint], DB[noLocation])</f>
        <v>10-4-012</v>
      </c>
      <c r="F857" s="40" t="str">
        <f t="array" ref="F857">_xlfn.XLOOKUP($B857, DB[samplingPoint], DB[building])</f>
        <v>Building 10</v>
      </c>
      <c r="G857" s="40" t="str">
        <f t="array" ref="G857">_xlfn.XLOOKUP($B857, DB[samplingPoint], DB[location])</f>
        <v>CIP SKID-2 FOR BIN WASHING-1</v>
      </c>
      <c r="H857" s="40" t="str">
        <f t="array" ref="H857">_xlfn.XLOOKUP($B857, DB[samplingPoint], DB[waterType])</f>
        <v>PW</v>
      </c>
      <c r="I857" s="60">
        <f t="shared" si="1"/>
        <v>46014</v>
      </c>
      <c r="J857" s="192">
        <f t="shared" si="2"/>
        <v>46017</v>
      </c>
      <c r="K857" s="32">
        <v>0.0</v>
      </c>
      <c r="L857" s="32">
        <v>0.0</v>
      </c>
      <c r="M857" s="32">
        <f t="shared" si="3"/>
        <v>0</v>
      </c>
      <c r="N857" s="32" t="s">
        <v>376</v>
      </c>
      <c r="O857" s="32">
        <v>100.0</v>
      </c>
      <c r="P857" s="50" t="str">
        <f t="shared" si="6"/>
        <v>PASSED</v>
      </c>
      <c r="Q857" s="50" t="str">
        <f t="shared" si="5"/>
        <v>10</v>
      </c>
    </row>
    <row r="858" ht="22.5" customHeight="1">
      <c r="A858" s="26">
        <v>46013.0</v>
      </c>
      <c r="B858" s="32" t="s">
        <v>495</v>
      </c>
      <c r="C858" s="191" t="str">
        <f t="array" ref="C858">_xlfn.XLOOKUP(B858, DB[samplingPoint], DB[samplingTag])</f>
        <v>SV116.18</v>
      </c>
      <c r="D858" s="33" t="s">
        <v>59</v>
      </c>
      <c r="E858" s="39" t="str">
        <f t="array" ref="E858">_xlfn.XLOOKUP($B858, DB[samplingPoint], DB[noLocation])</f>
        <v>10-4-012</v>
      </c>
      <c r="F858" s="40" t="str">
        <f t="array" ref="F858">_xlfn.XLOOKUP($B858, DB[samplingPoint], DB[building])</f>
        <v>Building 10</v>
      </c>
      <c r="G858" s="40" t="str">
        <f t="array" ref="G858">_xlfn.XLOOKUP($B858, DB[samplingPoint], DB[location])</f>
        <v>WIP SKID-1 FOR GRANULATION NON POTENT</v>
      </c>
      <c r="H858" s="40" t="str">
        <f t="array" ref="H858">_xlfn.XLOOKUP($B858, DB[samplingPoint], DB[waterType])</f>
        <v>PW</v>
      </c>
      <c r="I858" s="60">
        <f t="shared" si="1"/>
        <v>46014</v>
      </c>
      <c r="J858" s="192">
        <f t="shared" si="2"/>
        <v>46017</v>
      </c>
      <c r="K858" s="32">
        <v>0.0</v>
      </c>
      <c r="L858" s="32">
        <v>0.0</v>
      </c>
      <c r="M858" s="32">
        <f t="shared" si="3"/>
        <v>0</v>
      </c>
      <c r="N858" s="32" t="s">
        <v>376</v>
      </c>
      <c r="O858" s="32">
        <v>100.0</v>
      </c>
      <c r="P858" s="50" t="str">
        <f t="shared" si="6"/>
        <v>PASSED</v>
      </c>
      <c r="Q858" s="50" t="str">
        <f t="shared" si="5"/>
        <v>10</v>
      </c>
    </row>
    <row r="859" ht="22.5" customHeight="1">
      <c r="A859" s="26">
        <v>46013.0</v>
      </c>
      <c r="B859" s="32" t="s">
        <v>496</v>
      </c>
      <c r="C859" s="191" t="str">
        <f t="array" ref="C859">_xlfn.XLOOKUP(B859, DB[samplingPoint], DB[samplingTag])</f>
        <v>SV116.19</v>
      </c>
      <c r="D859" s="33" t="s">
        <v>59</v>
      </c>
      <c r="E859" s="39" t="str">
        <f t="array" ref="E859">_xlfn.XLOOKUP($B859, DB[samplingPoint], DB[noLocation])</f>
        <v>10-4-012</v>
      </c>
      <c r="F859" s="40" t="str">
        <f t="array" ref="F859">_xlfn.XLOOKUP($B859, DB[samplingPoint], DB[building])</f>
        <v>Building 10</v>
      </c>
      <c r="G859" s="40" t="str">
        <f t="array" ref="G859">_xlfn.XLOOKUP($B859, DB[samplingPoint], DB[location])</f>
        <v>WIP SKID-2 FOR GRANULATION NON POTENT</v>
      </c>
      <c r="H859" s="40" t="str">
        <f t="array" ref="H859">_xlfn.XLOOKUP($B859, DB[samplingPoint], DB[waterType])</f>
        <v>PW</v>
      </c>
      <c r="I859" s="60">
        <f t="shared" si="1"/>
        <v>46014</v>
      </c>
      <c r="J859" s="192">
        <f t="shared" si="2"/>
        <v>46017</v>
      </c>
      <c r="K859" s="32">
        <v>0.0</v>
      </c>
      <c r="L859" s="32">
        <v>0.0</v>
      </c>
      <c r="M859" s="32">
        <f t="shared" si="3"/>
        <v>0</v>
      </c>
      <c r="N859" s="32" t="s">
        <v>376</v>
      </c>
      <c r="O859" s="32">
        <v>100.0</v>
      </c>
      <c r="P859" s="50" t="str">
        <f t="shared" si="6"/>
        <v>PASSED</v>
      </c>
      <c r="Q859" s="50" t="str">
        <f t="shared" si="5"/>
        <v>10</v>
      </c>
    </row>
    <row r="860" ht="22.5" customHeight="1">
      <c r="A860" s="26">
        <v>46013.0</v>
      </c>
      <c r="B860" s="32" t="s">
        <v>498</v>
      </c>
      <c r="C860" s="191" t="str">
        <f t="array" ref="C860">_xlfn.XLOOKUP(B860, DB[samplingPoint], DB[samplingTag])</f>
        <v>SV116.02</v>
      </c>
      <c r="D860" s="33" t="s">
        <v>59</v>
      </c>
      <c r="E860" s="39" t="str">
        <f t="array" ref="E860">_xlfn.XLOOKUP($B860, DB[samplingPoint], DB[noLocation])</f>
        <v>10-2-037</v>
      </c>
      <c r="F860" s="40" t="str">
        <f t="array" ref="F860">_xlfn.XLOOKUP($B860, DB[samplingPoint], DB[building])</f>
        <v>Building 10</v>
      </c>
      <c r="G860" s="40" t="str">
        <f t="array" ref="G860">_xlfn.XLOOKUP($B860, DB[samplingPoint], DB[location])</f>
        <v>SKID FOR BIN WASHING-2</v>
      </c>
      <c r="H860" s="40" t="str">
        <f t="array" ref="H860">_xlfn.XLOOKUP($B860, DB[samplingPoint], DB[waterType])</f>
        <v>PW</v>
      </c>
      <c r="I860" s="60">
        <f t="shared" si="1"/>
        <v>46014</v>
      </c>
      <c r="J860" s="192">
        <f t="shared" si="2"/>
        <v>46017</v>
      </c>
      <c r="K860" s="32">
        <v>0.0</v>
      </c>
      <c r="L860" s="32">
        <v>0.0</v>
      </c>
      <c r="M860" s="32">
        <f t="shared" si="3"/>
        <v>0</v>
      </c>
      <c r="N860" s="32" t="s">
        <v>376</v>
      </c>
      <c r="O860" s="32">
        <v>100.0</v>
      </c>
      <c r="P860" s="50" t="str">
        <f t="shared" si="6"/>
        <v>PASSED</v>
      </c>
      <c r="Q860" s="50" t="str">
        <f t="shared" si="5"/>
        <v>10</v>
      </c>
    </row>
    <row r="861" ht="22.5" customHeight="1">
      <c r="A861" s="26">
        <v>46013.0</v>
      </c>
      <c r="B861" s="32" t="s">
        <v>499</v>
      </c>
      <c r="C861" s="191" t="str">
        <f t="array" ref="C861">_xlfn.XLOOKUP(B861, DB[samplingPoint], DB[samplingTag])</f>
        <v>SV116.01</v>
      </c>
      <c r="D861" s="33" t="s">
        <v>59</v>
      </c>
      <c r="E861" s="39" t="str">
        <f t="array" ref="E861">_xlfn.XLOOKUP($B861, DB[samplingPoint], DB[noLocation])</f>
        <v>10-2-021</v>
      </c>
      <c r="F861" s="40" t="str">
        <f t="array" ref="F861">_xlfn.XLOOKUP($B861, DB[samplingPoint], DB[building])</f>
        <v>Building 10</v>
      </c>
      <c r="G861" s="40" t="str">
        <f t="array" ref="G861">_xlfn.XLOOKUP($B861, DB[samplingPoint], DB[location])</f>
        <v>INSTRUMENT-1</v>
      </c>
      <c r="H861" s="40" t="str">
        <f t="array" ref="H861">_xlfn.XLOOKUP($B861, DB[samplingPoint], DB[waterType])</f>
        <v>PW</v>
      </c>
      <c r="I861" s="60">
        <f t="shared" si="1"/>
        <v>46014</v>
      </c>
      <c r="J861" s="192">
        <f t="shared" si="2"/>
        <v>46017</v>
      </c>
      <c r="K861" s="32">
        <v>0.0</v>
      </c>
      <c r="L861" s="32">
        <v>0.0</v>
      </c>
      <c r="M861" s="32">
        <f t="shared" si="3"/>
        <v>0</v>
      </c>
      <c r="N861" s="32" t="s">
        <v>376</v>
      </c>
      <c r="O861" s="32">
        <v>100.0</v>
      </c>
      <c r="P861" s="50" t="str">
        <f t="shared" si="6"/>
        <v>PASSED</v>
      </c>
      <c r="Q861" s="50" t="str">
        <f t="shared" si="5"/>
        <v>10</v>
      </c>
    </row>
    <row r="862" ht="22.5" customHeight="1">
      <c r="A862" s="26">
        <v>46013.0</v>
      </c>
      <c r="B862" s="32" t="s">
        <v>502</v>
      </c>
      <c r="C862" s="191" t="str">
        <f t="array" ref="C862">_xlfn.XLOOKUP(B862, DB[samplingPoint], DB[samplingTag])</f>
        <v>DV116.26</v>
      </c>
      <c r="D862" s="33" t="s">
        <v>59</v>
      </c>
      <c r="E862" s="39" t="str">
        <f t="array" ref="E862">_xlfn.XLOOKUP($B862, DB[samplingPoint], DB[noLocation])</f>
        <v>10-4-015</v>
      </c>
      <c r="F862" s="40" t="str">
        <f t="array" ref="F862">_xlfn.XLOOKUP($B862, DB[samplingPoint], DB[building])</f>
        <v>Building 10</v>
      </c>
      <c r="G862" s="40" t="str">
        <f t="array" ref="G862">_xlfn.XLOOKUP($B862, DB[samplingPoint], DB[location])</f>
        <v>WATER SYSTEM ROOM</v>
      </c>
      <c r="H862" s="40" t="str">
        <f t="array" ref="H862">_xlfn.XLOOKUP($B862, DB[samplingPoint], DB[waterType])</f>
        <v>PW</v>
      </c>
      <c r="I862" s="60">
        <f t="shared" si="1"/>
        <v>46014</v>
      </c>
      <c r="J862" s="192">
        <f t="shared" si="2"/>
        <v>46017</v>
      </c>
      <c r="K862" s="32">
        <v>0.0</v>
      </c>
      <c r="L862" s="32">
        <v>0.0</v>
      </c>
      <c r="M862" s="32">
        <f t="shared" si="3"/>
        <v>0</v>
      </c>
      <c r="N862" s="32" t="s">
        <v>376</v>
      </c>
      <c r="O862" s="32">
        <v>100.0</v>
      </c>
      <c r="P862" s="50" t="str">
        <f t="shared" si="6"/>
        <v>PASSED</v>
      </c>
      <c r="Q862" s="50" t="str">
        <f t="shared" si="5"/>
        <v>10</v>
      </c>
    </row>
    <row r="863" ht="22.5" customHeight="1">
      <c r="A863" s="26">
        <v>46014.0</v>
      </c>
      <c r="B863" s="57" t="s">
        <v>469</v>
      </c>
      <c r="C863" s="210" t="str">
        <f t="array" ref="C863">_xlfn.XLOOKUP(B863, DB[samplingPoint], DB[samplingTag])</f>
        <v>SV125.02</v>
      </c>
      <c r="D863" s="33" t="s">
        <v>3</v>
      </c>
      <c r="E863" s="39" t="str">
        <f t="array" ref="E863">_xlfn.XLOOKUP($B863, DB[samplingPoint], DB[noLocation])</f>
        <v>WATER SYSTEM (B16)</v>
      </c>
      <c r="F863" s="40" t="str">
        <f t="array" ref="F863">_xlfn.XLOOKUP($B863, DB[samplingPoint], DB[building])</f>
        <v>Building 16</v>
      </c>
      <c r="G863" s="40" t="str">
        <f t="array" ref="G863">_xlfn.XLOOKUP($B863, DB[samplingPoint], DB[location])</f>
        <v>After UV (B16)</v>
      </c>
      <c r="H863" s="40" t="str">
        <f t="array" ref="H863">_xlfn.XLOOKUP($B863, DB[samplingPoint], DB[waterType])</f>
        <v>PW</v>
      </c>
      <c r="I863" s="60">
        <f t="shared" si="1"/>
        <v>46015</v>
      </c>
      <c r="J863" s="26">
        <v>46020.0</v>
      </c>
      <c r="K863" s="32">
        <v>0.0</v>
      </c>
      <c r="L863" s="32">
        <v>0.0</v>
      </c>
      <c r="M863" s="32">
        <f t="shared" si="3"/>
        <v>0</v>
      </c>
      <c r="N863" s="32" t="s">
        <v>376</v>
      </c>
      <c r="O863" s="32">
        <v>100.0</v>
      </c>
      <c r="P863" s="50" t="str">
        <f t="shared" si="6"/>
        <v>PASSED</v>
      </c>
      <c r="Q863" s="50" t="str">
        <f t="shared" si="5"/>
        <v>WA</v>
      </c>
    </row>
    <row r="864" ht="22.5" customHeight="1">
      <c r="A864" s="26">
        <v>46014.0</v>
      </c>
      <c r="B864" s="57" t="s">
        <v>464</v>
      </c>
      <c r="C864" s="210" t="str">
        <f t="array" ref="C864">_xlfn.XLOOKUP(B864, DB[samplingPoint], DB[samplingTag])</f>
        <v>SV127.01</v>
      </c>
      <c r="D864" s="33" t="s">
        <v>3</v>
      </c>
      <c r="E864" s="39" t="str">
        <f t="array" ref="E864">_xlfn.XLOOKUP($B864, DB[samplingPoint], DB[noLocation])</f>
        <v>WATER SYSTEM (B16)</v>
      </c>
      <c r="F864" s="40" t="str">
        <f t="array" ref="F864">_xlfn.XLOOKUP($B864, DB[samplingPoint], DB[building])</f>
        <v>Building 16</v>
      </c>
      <c r="G864" s="40" t="str">
        <f t="array" ref="G864">_xlfn.XLOOKUP($B864, DB[samplingPoint], DB[location])</f>
        <v>Return loop (B16)</v>
      </c>
      <c r="H864" s="40" t="str">
        <f t="array" ref="H864">_xlfn.XLOOKUP($B864, DB[samplingPoint], DB[waterType])</f>
        <v>PW</v>
      </c>
      <c r="I864" s="60">
        <f t="shared" si="1"/>
        <v>46015</v>
      </c>
      <c r="J864" s="26">
        <v>46020.0</v>
      </c>
      <c r="K864" s="32">
        <v>0.0</v>
      </c>
      <c r="L864" s="32">
        <v>0.0</v>
      </c>
      <c r="M864" s="32">
        <f t="shared" si="3"/>
        <v>0</v>
      </c>
      <c r="N864" s="32" t="s">
        <v>376</v>
      </c>
      <c r="O864" s="32">
        <v>100.0</v>
      </c>
      <c r="P864" s="50" t="str">
        <f t="shared" si="6"/>
        <v>PASSED</v>
      </c>
      <c r="Q864" s="50" t="str">
        <f t="shared" si="5"/>
        <v>WA</v>
      </c>
    </row>
    <row r="865" ht="22.5" customHeight="1">
      <c r="A865" s="26">
        <v>46014.0</v>
      </c>
      <c r="B865" s="57" t="s">
        <v>438</v>
      </c>
      <c r="C865" s="210" t="str">
        <f t="array" ref="C865">_xlfn.XLOOKUP(B865, DB[samplingPoint], DB[samplingTag])</f>
        <v>SV135.02</v>
      </c>
      <c r="D865" s="33" t="s">
        <v>56</v>
      </c>
      <c r="E865" s="39" t="str">
        <f t="array" ref="E865">_xlfn.XLOOKUP($B865, DB[samplingPoint], DB[noLocation])</f>
        <v>WATER SYSTEM (B12)</v>
      </c>
      <c r="F865" s="40" t="str">
        <f t="array" ref="F865">_xlfn.XLOOKUP($B865, DB[samplingPoint], DB[building])</f>
        <v>Building 12</v>
      </c>
      <c r="G865" s="40" t="str">
        <f t="array" ref="G865">_xlfn.XLOOKUP($B865, DB[samplingPoint], DB[location])</f>
        <v>After UV (B12)</v>
      </c>
      <c r="H865" s="40" t="str">
        <f t="array" ref="H865">_xlfn.XLOOKUP($B865, DB[samplingPoint], DB[waterType])</f>
        <v>PW</v>
      </c>
      <c r="I865" s="60">
        <f t="shared" si="1"/>
        <v>46015</v>
      </c>
      <c r="J865" s="26">
        <v>46020.0</v>
      </c>
      <c r="K865" s="32">
        <v>0.0</v>
      </c>
      <c r="L865" s="32">
        <v>0.0</v>
      </c>
      <c r="M865" s="32">
        <f t="shared" si="3"/>
        <v>0</v>
      </c>
      <c r="N865" s="32" t="s">
        <v>376</v>
      </c>
      <c r="O865" s="32">
        <v>100.0</v>
      </c>
      <c r="P865" s="50" t="str">
        <f t="shared" si="6"/>
        <v>PASSED</v>
      </c>
      <c r="Q865" s="50" t="str">
        <f t="shared" si="5"/>
        <v>WA</v>
      </c>
    </row>
    <row r="866" ht="22.5" customHeight="1">
      <c r="A866" s="26">
        <v>46014.0</v>
      </c>
      <c r="B866" s="57" t="s">
        <v>430</v>
      </c>
      <c r="C866" s="210" t="str">
        <f t="array" ref="C866">_xlfn.XLOOKUP(B866, DB[samplingPoint], DB[samplingTag])</f>
        <v>SV137.01</v>
      </c>
      <c r="D866" s="33" t="s">
        <v>56</v>
      </c>
      <c r="E866" s="39" t="str">
        <f t="array" ref="E866">_xlfn.XLOOKUP($B866, DB[samplingPoint], DB[noLocation])</f>
        <v>WATER SYSTEM (B12)</v>
      </c>
      <c r="F866" s="40" t="str">
        <f t="array" ref="F866">_xlfn.XLOOKUP($B866, DB[samplingPoint], DB[building])</f>
        <v>Building 12</v>
      </c>
      <c r="G866" s="40" t="str">
        <f t="array" ref="G866">_xlfn.XLOOKUP($B866, DB[samplingPoint], DB[location])</f>
        <v>Return loop (B12)</v>
      </c>
      <c r="H866" s="40" t="str">
        <f t="array" ref="H866">_xlfn.XLOOKUP($B866, DB[samplingPoint], DB[waterType])</f>
        <v>PW</v>
      </c>
      <c r="I866" s="60">
        <f t="shared" si="1"/>
        <v>46015</v>
      </c>
      <c r="J866" s="26">
        <v>46020.0</v>
      </c>
      <c r="K866" s="32">
        <v>0.0</v>
      </c>
      <c r="L866" s="32">
        <v>0.0</v>
      </c>
      <c r="M866" s="32">
        <f t="shared" si="3"/>
        <v>0</v>
      </c>
      <c r="N866" s="32" t="s">
        <v>376</v>
      </c>
      <c r="O866" s="32">
        <v>100.0</v>
      </c>
      <c r="P866" s="50" t="str">
        <f t="shared" si="6"/>
        <v>PASSED</v>
      </c>
      <c r="Q866" s="50" t="str">
        <f t="shared" si="5"/>
        <v>WA</v>
      </c>
    </row>
    <row r="867" ht="22.5" customHeight="1">
      <c r="A867" s="26">
        <v>46014.0</v>
      </c>
      <c r="B867" s="61" t="s">
        <v>451</v>
      </c>
      <c r="C867" s="210" t="str">
        <f t="array" ref="C867">_xlfn.XLOOKUP(B867, DB[samplingPoint], DB[samplingTag])</f>
        <v>DV126.02</v>
      </c>
      <c r="D867" s="33" t="s">
        <v>3</v>
      </c>
      <c r="E867" s="39" t="str">
        <f t="array" ref="E867">_xlfn.XLOOKUP($B867, DB[samplingPoint], DB[noLocation])</f>
        <v>16-1-082</v>
      </c>
      <c r="F867" s="40" t="str">
        <f t="array" ref="F867">_xlfn.XLOOKUP($B867, DB[samplingPoint], DB[building])</f>
        <v>Building 16</v>
      </c>
      <c r="G867" s="40" t="str">
        <f t="array" ref="G867">_xlfn.XLOOKUP($B867, DB[samplingPoint], DB[location])</f>
        <v>WASHING</v>
      </c>
      <c r="H867" s="40" t="str">
        <f t="array" ref="H867">_xlfn.XLOOKUP($B867, DB[samplingPoint], DB[waterType])</f>
        <v>PW</v>
      </c>
      <c r="I867" s="60">
        <f t="shared" si="1"/>
        <v>46015</v>
      </c>
      <c r="J867" s="26">
        <v>46020.0</v>
      </c>
      <c r="K867" s="32">
        <v>0.0</v>
      </c>
      <c r="L867" s="32">
        <v>0.0</v>
      </c>
      <c r="M867" s="32">
        <f t="shared" si="3"/>
        <v>0</v>
      </c>
      <c r="N867" s="32" t="s">
        <v>376</v>
      </c>
      <c r="O867" s="32">
        <v>100.0</v>
      </c>
      <c r="P867" s="50" t="str">
        <f t="shared" si="6"/>
        <v>PASSED</v>
      </c>
      <c r="Q867" s="50" t="str">
        <f t="shared" si="5"/>
        <v>16</v>
      </c>
    </row>
    <row r="868" ht="22.5" customHeight="1">
      <c r="A868" s="26">
        <v>46014.0</v>
      </c>
      <c r="B868" s="57" t="s">
        <v>447</v>
      </c>
      <c r="C868" s="210" t="str">
        <f t="array" ref="C868">_xlfn.XLOOKUP(B868, DB[samplingPoint], DB[samplingTag])</f>
        <v>DV126.01</v>
      </c>
      <c r="D868" s="33" t="s">
        <v>3</v>
      </c>
      <c r="E868" s="39" t="str">
        <f t="array" ref="E868">_xlfn.XLOOKUP($B868, DB[samplingPoint], DB[noLocation])</f>
        <v>16-1-082</v>
      </c>
      <c r="F868" s="40" t="str">
        <f t="array" ref="F868">_xlfn.XLOOKUP($B868, DB[samplingPoint], DB[building])</f>
        <v>Building 16</v>
      </c>
      <c r="G868" s="40" t="str">
        <f t="array" ref="G868">_xlfn.XLOOKUP($B868, DB[samplingPoint], DB[location])</f>
        <v>WASHING</v>
      </c>
      <c r="H868" s="40" t="str">
        <f t="array" ref="H868">_xlfn.XLOOKUP($B868, DB[samplingPoint], DB[waterType])</f>
        <v>PW</v>
      </c>
      <c r="I868" s="60">
        <f t="shared" si="1"/>
        <v>46015</v>
      </c>
      <c r="J868" s="26">
        <v>46020.0</v>
      </c>
      <c r="K868" s="32">
        <v>0.0</v>
      </c>
      <c r="L868" s="32">
        <v>0.0</v>
      </c>
      <c r="M868" s="32">
        <f t="shared" si="3"/>
        <v>0</v>
      </c>
      <c r="N868" s="32" t="s">
        <v>376</v>
      </c>
      <c r="O868" s="32">
        <v>100.0</v>
      </c>
      <c r="P868" s="50" t="str">
        <f t="shared" si="6"/>
        <v>PASSED</v>
      </c>
      <c r="Q868" s="50" t="str">
        <f t="shared" si="5"/>
        <v>16</v>
      </c>
    </row>
    <row r="869" ht="22.5" customHeight="1">
      <c r="A869" s="26">
        <v>46014.0</v>
      </c>
      <c r="B869" s="57" t="s">
        <v>459</v>
      </c>
      <c r="C869" s="210" t="str">
        <f t="array" ref="C869">_xlfn.XLOOKUP(B869, DB[samplingPoint], DB[samplingTag])</f>
        <v>SV126.02</v>
      </c>
      <c r="D869" s="33" t="s">
        <v>3</v>
      </c>
      <c r="E869" s="39" t="str">
        <f t="array" ref="E869">_xlfn.XLOOKUP($B869, DB[samplingPoint], DB[noLocation])</f>
        <v>16-1-098</v>
      </c>
      <c r="F869" s="40" t="str">
        <f t="array" ref="F869">_xlfn.XLOOKUP($B869, DB[samplingPoint], DB[building])</f>
        <v>Building 16</v>
      </c>
      <c r="G869" s="40" t="str">
        <f t="array" ref="G869">_xlfn.XLOOKUP($B869, DB[samplingPoint], DB[location])</f>
        <v>CIP/SIP (EQUIPMENT REQUIREMENT – 200L)</v>
      </c>
      <c r="H869" s="40" t="str">
        <f t="array" ref="H869">_xlfn.XLOOKUP($B869, DB[samplingPoint], DB[waterType])</f>
        <v>PW</v>
      </c>
      <c r="I869" s="60">
        <f t="shared" si="1"/>
        <v>46015</v>
      </c>
      <c r="J869" s="26">
        <v>46020.0</v>
      </c>
      <c r="K869" s="32">
        <v>0.0</v>
      </c>
      <c r="L869" s="32">
        <v>0.0</v>
      </c>
      <c r="M869" s="32">
        <f t="shared" si="3"/>
        <v>0</v>
      </c>
      <c r="N869" s="32" t="s">
        <v>376</v>
      </c>
      <c r="O869" s="32">
        <v>100.0</v>
      </c>
      <c r="P869" s="50" t="str">
        <f t="shared" si="6"/>
        <v>PASSED</v>
      </c>
      <c r="Q869" s="50" t="str">
        <f t="shared" si="5"/>
        <v>16</v>
      </c>
    </row>
    <row r="870" ht="22.5" customHeight="1">
      <c r="A870" s="26">
        <v>46014.0</v>
      </c>
      <c r="B870" s="57" t="s">
        <v>457</v>
      </c>
      <c r="C870" s="210" t="str">
        <f t="array" ref="C870">_xlfn.XLOOKUP(B870, DB[samplingPoint], DB[samplingTag])</f>
        <v>SV126.01</v>
      </c>
      <c r="D870" s="33" t="s">
        <v>3</v>
      </c>
      <c r="E870" s="39" t="str">
        <f t="array" ref="E870">_xlfn.XLOOKUP($B870, DB[samplingPoint], DB[noLocation])</f>
        <v>16-1-092</v>
      </c>
      <c r="F870" s="40" t="str">
        <f t="array" ref="F870">_xlfn.XLOOKUP($B870, DB[samplingPoint], DB[building])</f>
        <v>Building 16</v>
      </c>
      <c r="G870" s="40" t="str">
        <f t="array" ref="G870">_xlfn.XLOOKUP($B870, DB[samplingPoint], DB[location])</f>
        <v>LINEN WASHING</v>
      </c>
      <c r="H870" s="40" t="str">
        <f t="array" ref="H870">_xlfn.XLOOKUP($B870, DB[samplingPoint], DB[waterType])</f>
        <v>PW</v>
      </c>
      <c r="I870" s="60">
        <f t="shared" si="1"/>
        <v>46015</v>
      </c>
      <c r="J870" s="26">
        <v>46020.0</v>
      </c>
      <c r="K870" s="32">
        <v>0.0</v>
      </c>
      <c r="L870" s="32">
        <v>0.0</v>
      </c>
      <c r="M870" s="32">
        <f t="shared" si="3"/>
        <v>0</v>
      </c>
      <c r="N870" s="32" t="s">
        <v>376</v>
      </c>
      <c r="O870" s="32">
        <v>100.0</v>
      </c>
      <c r="P870" s="50" t="str">
        <f t="shared" si="6"/>
        <v>PASSED</v>
      </c>
      <c r="Q870" s="50" t="str">
        <f t="shared" si="5"/>
        <v>16</v>
      </c>
    </row>
    <row r="871" ht="22.5" customHeight="1">
      <c r="A871" s="26">
        <v>46014.0</v>
      </c>
      <c r="B871" s="61" t="s">
        <v>454</v>
      </c>
      <c r="C871" s="210" t="str">
        <f t="array" ref="C871">_xlfn.XLOOKUP(B871, DB[samplingPoint], DB[samplingTag])</f>
        <v>DV126.03</v>
      </c>
      <c r="D871" s="33" t="s">
        <v>3</v>
      </c>
      <c r="E871" s="39" t="str">
        <f t="array" ref="E871">_xlfn.XLOOKUP($B871, DB[samplingPoint], DB[noLocation])</f>
        <v>16-1-098</v>
      </c>
      <c r="F871" s="40" t="str">
        <f t="array" ref="F871">_xlfn.XLOOKUP($B871, DB[samplingPoint], DB[building])</f>
        <v>Building 16</v>
      </c>
      <c r="G871" s="40" t="str">
        <f t="array" ref="G871">_xlfn.XLOOKUP($B871, DB[samplingPoint], DB[location])</f>
        <v>CIP/SIP (SINK WASHING)</v>
      </c>
      <c r="H871" s="40" t="str">
        <f t="array" ref="H871">_xlfn.XLOOKUP($B871, DB[samplingPoint], DB[waterType])</f>
        <v>PW</v>
      </c>
      <c r="I871" s="60">
        <f t="shared" si="1"/>
        <v>46015</v>
      </c>
      <c r="J871" s="26">
        <v>46020.0</v>
      </c>
      <c r="K871" s="32">
        <v>0.0</v>
      </c>
      <c r="L871" s="32">
        <v>0.0</v>
      </c>
      <c r="M871" s="32">
        <f t="shared" si="3"/>
        <v>0</v>
      </c>
      <c r="N871" s="32" t="s">
        <v>376</v>
      </c>
      <c r="O871" s="32">
        <v>100.0</v>
      </c>
      <c r="P871" s="50" t="str">
        <f t="shared" si="6"/>
        <v>PASSED</v>
      </c>
      <c r="Q871" s="50" t="str">
        <f t="shared" si="5"/>
        <v>16</v>
      </c>
    </row>
    <row r="872" ht="22.5" customHeight="1">
      <c r="A872" s="26">
        <v>46014.0</v>
      </c>
      <c r="B872" s="57" t="s">
        <v>548</v>
      </c>
      <c r="C872" s="210" t="str">
        <f t="array" ref="C872">_xlfn.XLOOKUP(B872, DB[samplingPoint], DB[samplingTag])</f>
        <v>DV136.17</v>
      </c>
      <c r="D872" s="33" t="s">
        <v>56</v>
      </c>
      <c r="E872" s="39" t="str">
        <f t="array" ref="E872">_xlfn.XLOOKUP($B872, DB[samplingPoint], DB[noLocation])</f>
        <v>12-2-065</v>
      </c>
      <c r="F872" s="40" t="str">
        <f t="array" ref="F872">_xlfn.XLOOKUP($B872, DB[samplingPoint], DB[building])</f>
        <v>Building 12</v>
      </c>
      <c r="G872" s="40" t="str">
        <f t="array" ref="G872">_xlfn.XLOOKUP($B872, DB[samplingPoint], DB[location])</f>
        <v>WASHING</v>
      </c>
      <c r="H872" s="40" t="str">
        <f t="array" ref="H872">_xlfn.XLOOKUP($B872, DB[samplingPoint], DB[waterType])</f>
        <v>PW</v>
      </c>
      <c r="I872" s="60">
        <f t="shared" si="1"/>
        <v>46015</v>
      </c>
      <c r="J872" s="26">
        <v>46020.0</v>
      </c>
      <c r="K872" s="32">
        <v>0.0</v>
      </c>
      <c r="L872" s="32">
        <v>0.0</v>
      </c>
      <c r="M872" s="32">
        <f t="shared" si="3"/>
        <v>0</v>
      </c>
      <c r="N872" s="32" t="s">
        <v>376</v>
      </c>
      <c r="O872" s="32">
        <v>100.0</v>
      </c>
      <c r="P872" s="50" t="str">
        <f t="shared" si="6"/>
        <v>PASSED</v>
      </c>
      <c r="Q872" s="50" t="str">
        <f t="shared" si="5"/>
        <v>12</v>
      </c>
    </row>
    <row r="873" ht="22.5" customHeight="1">
      <c r="A873" s="26">
        <v>46014.0</v>
      </c>
      <c r="B873" s="57" t="s">
        <v>551</v>
      </c>
      <c r="C873" s="210" t="str">
        <f t="array" ref="C873">_xlfn.XLOOKUP(B873, DB[samplingPoint], DB[samplingTag])</f>
        <v>SV136.16</v>
      </c>
      <c r="D873" s="33" t="s">
        <v>56</v>
      </c>
      <c r="E873" s="39" t="str">
        <f t="array" ref="E873">_xlfn.XLOOKUP($B873, DB[samplingPoint], DB[noLocation])</f>
        <v>12-2-057</v>
      </c>
      <c r="F873" s="40" t="str">
        <f t="array" ref="F873">_xlfn.XLOOKUP($B873, DB[samplingPoint], DB[building])</f>
        <v>Building 12</v>
      </c>
      <c r="G873" s="40" t="str">
        <f t="array" ref="G873">_xlfn.XLOOKUP($B873, DB[samplingPoint], DB[location])</f>
        <v>CIP 2</v>
      </c>
      <c r="H873" s="40" t="str">
        <f t="array" ref="H873">_xlfn.XLOOKUP($B873, DB[samplingPoint], DB[waterType])</f>
        <v>PW</v>
      </c>
      <c r="I873" s="60">
        <f t="shared" si="1"/>
        <v>46015</v>
      </c>
      <c r="J873" s="26">
        <v>46020.0</v>
      </c>
      <c r="K873" s="32">
        <v>0.0</v>
      </c>
      <c r="L873" s="32">
        <v>0.0</v>
      </c>
      <c r="M873" s="32">
        <f t="shared" si="3"/>
        <v>0</v>
      </c>
      <c r="N873" s="32" t="s">
        <v>376</v>
      </c>
      <c r="O873" s="32">
        <v>100.0</v>
      </c>
      <c r="P873" s="50" t="str">
        <f t="shared" si="6"/>
        <v>PASSED</v>
      </c>
      <c r="Q873" s="50" t="str">
        <f t="shared" si="5"/>
        <v>12</v>
      </c>
    </row>
    <row r="874" ht="22.5" customHeight="1">
      <c r="A874" s="26">
        <v>46014.0</v>
      </c>
      <c r="B874" s="57" t="s">
        <v>549</v>
      </c>
      <c r="C874" s="210" t="str">
        <f t="array" ref="C874">_xlfn.XLOOKUP(B874, DB[samplingPoint], DB[samplingTag])</f>
        <v>SV136.15</v>
      </c>
      <c r="D874" s="33" t="s">
        <v>56</v>
      </c>
      <c r="E874" s="39" t="str">
        <f t="array" ref="E874">_xlfn.XLOOKUP($B874, DB[samplingPoint], DB[noLocation])</f>
        <v>12-2-055</v>
      </c>
      <c r="F874" s="40" t="str">
        <f t="array" ref="F874">_xlfn.XLOOKUP($B874, DB[samplingPoint], DB[building])</f>
        <v>Building 12</v>
      </c>
      <c r="G874" s="40" t="str">
        <f t="array" ref="G874">_xlfn.XLOOKUP($B874, DB[samplingPoint], DB[location])</f>
        <v>CIP 3</v>
      </c>
      <c r="H874" s="40" t="str">
        <f t="array" ref="H874">_xlfn.XLOOKUP($B874, DB[samplingPoint], DB[waterType])</f>
        <v>PW</v>
      </c>
      <c r="I874" s="60">
        <f t="shared" si="1"/>
        <v>46015</v>
      </c>
      <c r="J874" s="26">
        <v>46020.0</v>
      </c>
      <c r="K874" s="32">
        <v>0.0</v>
      </c>
      <c r="L874" s="32">
        <v>0.0</v>
      </c>
      <c r="M874" s="32">
        <f t="shared" si="3"/>
        <v>0</v>
      </c>
      <c r="N874" s="32" t="s">
        <v>376</v>
      </c>
      <c r="O874" s="32">
        <v>100.0</v>
      </c>
      <c r="P874" s="50" t="str">
        <f t="shared" si="6"/>
        <v>PASSED</v>
      </c>
      <c r="Q874" s="50" t="str">
        <f t="shared" si="5"/>
        <v>12</v>
      </c>
    </row>
    <row r="875" ht="22.5" customHeight="1">
      <c r="A875" s="26">
        <v>46014.0</v>
      </c>
      <c r="B875" s="57" t="s">
        <v>545</v>
      </c>
      <c r="C875" s="210" t="str">
        <f t="array" ref="C875">_xlfn.XLOOKUP(B875, DB[samplingPoint], DB[samplingTag])</f>
        <v>DV136.03</v>
      </c>
      <c r="D875" s="33" t="s">
        <v>56</v>
      </c>
      <c r="E875" s="39" t="str">
        <f t="array" ref="E875">_xlfn.XLOOKUP($B875, DB[samplingPoint], DB[noLocation])</f>
        <v>12-2-053</v>
      </c>
      <c r="F875" s="40" t="str">
        <f t="array" ref="F875">_xlfn.XLOOKUP($B875, DB[samplingPoint], DB[building])</f>
        <v>Building 12</v>
      </c>
      <c r="G875" s="40" t="str">
        <f t="array" ref="G875">_xlfn.XLOOKUP($B875, DB[samplingPoint], DB[location])</f>
        <v>IPQC</v>
      </c>
      <c r="H875" s="40" t="str">
        <f t="array" ref="H875">_xlfn.XLOOKUP($B875, DB[samplingPoint], DB[waterType])</f>
        <v>PW</v>
      </c>
      <c r="I875" s="60">
        <f t="shared" si="1"/>
        <v>46015</v>
      </c>
      <c r="J875" s="26">
        <v>46020.0</v>
      </c>
      <c r="K875" s="32">
        <v>0.0</v>
      </c>
      <c r="L875" s="32">
        <v>0.0</v>
      </c>
      <c r="M875" s="32">
        <f t="shared" si="3"/>
        <v>0</v>
      </c>
      <c r="N875" s="32" t="s">
        <v>376</v>
      </c>
      <c r="O875" s="32">
        <v>100.0</v>
      </c>
      <c r="P875" s="50" t="str">
        <f t="shared" si="6"/>
        <v>PASSED</v>
      </c>
      <c r="Q875" s="50" t="str">
        <f t="shared" si="5"/>
        <v>12</v>
      </c>
    </row>
    <row r="876" ht="22.5" customHeight="1">
      <c r="A876" s="26">
        <v>46014.0</v>
      </c>
      <c r="B876" s="57" t="s">
        <v>543</v>
      </c>
      <c r="C876" s="210" t="str">
        <f t="array" ref="C876">_xlfn.XLOOKUP(B876, DB[samplingPoint], DB[samplingTag])</f>
        <v>DV136.01</v>
      </c>
      <c r="D876" s="33" t="s">
        <v>56</v>
      </c>
      <c r="E876" s="39" t="str">
        <f t="array" ref="E876">_xlfn.XLOOKUP($B876, DB[samplingPoint], DB[noLocation])</f>
        <v>12-1-035</v>
      </c>
      <c r="F876" s="40" t="str">
        <f t="array" ref="F876">_xlfn.XLOOKUP($B876, DB[samplingPoint], DB[building])</f>
        <v>Building 12</v>
      </c>
      <c r="G876" s="40" t="str">
        <f t="array" ref="G876">_xlfn.XLOOKUP($B876, DB[samplingPoint], DB[location])</f>
        <v>SUGAR TRANSFERRING</v>
      </c>
      <c r="H876" s="40" t="str">
        <f t="array" ref="H876">_xlfn.XLOOKUP($B876, DB[samplingPoint], DB[waterType])</f>
        <v>PW</v>
      </c>
      <c r="I876" s="60">
        <f t="shared" si="1"/>
        <v>46015</v>
      </c>
      <c r="J876" s="26">
        <v>46020.0</v>
      </c>
      <c r="K876" s="32">
        <v>0.0</v>
      </c>
      <c r="L876" s="32">
        <v>0.0</v>
      </c>
      <c r="M876" s="32">
        <f t="shared" si="3"/>
        <v>0</v>
      </c>
      <c r="N876" s="32" t="s">
        <v>376</v>
      </c>
      <c r="O876" s="32">
        <v>100.0</v>
      </c>
      <c r="P876" s="50" t="str">
        <f t="shared" si="6"/>
        <v>PASSED</v>
      </c>
      <c r="Q876" s="50" t="str">
        <f t="shared" si="5"/>
        <v>12</v>
      </c>
    </row>
    <row r="877" ht="22.5" customHeight="1">
      <c r="A877" s="26">
        <v>46014.0</v>
      </c>
      <c r="B877" s="57" t="s">
        <v>547</v>
      </c>
      <c r="C877" s="210" t="str">
        <f t="array" ref="C877">_xlfn.XLOOKUP(B877, DB[samplingPoint], DB[samplingTag])</f>
        <v>DV136.16</v>
      </c>
      <c r="D877" s="33" t="s">
        <v>56</v>
      </c>
      <c r="E877" s="39" t="str">
        <f t="array" ref="E877">_xlfn.XLOOKUP($B877, DB[samplingPoint], DB[noLocation])</f>
        <v>12-1-064</v>
      </c>
      <c r="F877" s="40" t="str">
        <f t="array" ref="F877">_xlfn.XLOOKUP($B877, DB[samplingPoint], DB[building])</f>
        <v>Building 12</v>
      </c>
      <c r="G877" s="40" t="str">
        <f t="array" ref="G877">_xlfn.XLOOKUP($B877, DB[samplingPoint], DB[location])</f>
        <v>WASHING</v>
      </c>
      <c r="H877" s="40" t="str">
        <f t="array" ref="H877">_xlfn.XLOOKUP($B877, DB[samplingPoint], DB[waterType])</f>
        <v>PW</v>
      </c>
      <c r="I877" s="60">
        <f t="shared" si="1"/>
        <v>46015</v>
      </c>
      <c r="J877" s="26">
        <v>46020.0</v>
      </c>
      <c r="K877" s="32">
        <v>0.0</v>
      </c>
      <c r="L877" s="32">
        <v>0.0</v>
      </c>
      <c r="M877" s="32">
        <f t="shared" si="3"/>
        <v>0</v>
      </c>
      <c r="N877" s="32" t="s">
        <v>376</v>
      </c>
      <c r="O877" s="32">
        <v>100.0</v>
      </c>
      <c r="P877" s="50" t="str">
        <f t="shared" si="6"/>
        <v>PASSED</v>
      </c>
      <c r="Q877" s="50" t="str">
        <f t="shared" si="5"/>
        <v>12</v>
      </c>
    </row>
    <row r="878" ht="22.5" customHeight="1">
      <c r="A878" s="26">
        <v>46015.0</v>
      </c>
      <c r="B878" s="57" t="s">
        <v>469</v>
      </c>
      <c r="C878" s="213" t="str">
        <f t="array" ref="C878">_xlfn.XLOOKUP(B878, DB[samplingPoint], DB[samplingTag])</f>
        <v>SV125.02</v>
      </c>
      <c r="D878" s="33" t="s">
        <v>3</v>
      </c>
      <c r="E878" s="39" t="str">
        <f t="array" ref="E878">_xlfn.XLOOKUP($B878, DB[samplingPoint], DB[noLocation])</f>
        <v>WATER SYSTEM (B16)</v>
      </c>
      <c r="F878" s="40" t="str">
        <f t="array" ref="F878">_xlfn.XLOOKUP($B878, DB[samplingPoint], DB[building])</f>
        <v>Building 16</v>
      </c>
      <c r="G878" s="40" t="str">
        <f t="array" ref="G878">_xlfn.XLOOKUP($B878, DB[samplingPoint], DB[location])</f>
        <v>After UV (B16)</v>
      </c>
      <c r="H878" s="40" t="str">
        <f t="array" ref="H878">_xlfn.XLOOKUP($B878, DB[samplingPoint], DB[waterType])</f>
        <v>PW</v>
      </c>
      <c r="I878" s="60">
        <f t="shared" si="1"/>
        <v>46016</v>
      </c>
      <c r="J878" s="26">
        <v>46020.0</v>
      </c>
      <c r="K878" s="32">
        <v>0.0</v>
      </c>
      <c r="L878" s="32">
        <v>0.0</v>
      </c>
      <c r="M878" s="32">
        <f t="shared" si="3"/>
        <v>0</v>
      </c>
      <c r="N878" s="32" t="s">
        <v>376</v>
      </c>
      <c r="O878" s="32">
        <v>100.0</v>
      </c>
      <c r="P878" s="50" t="str">
        <f t="shared" si="6"/>
        <v>PASSED</v>
      </c>
      <c r="Q878" s="50" t="str">
        <f t="shared" si="5"/>
        <v>WA</v>
      </c>
    </row>
    <row r="879" ht="22.5" customHeight="1">
      <c r="A879" s="26">
        <v>46015.0</v>
      </c>
      <c r="B879" s="57" t="s">
        <v>464</v>
      </c>
      <c r="C879" s="213" t="str">
        <f t="array" ref="C879">_xlfn.XLOOKUP(B879, DB[samplingPoint], DB[samplingTag])</f>
        <v>SV127.01</v>
      </c>
      <c r="D879" s="33" t="s">
        <v>3</v>
      </c>
      <c r="E879" s="39" t="str">
        <f t="array" ref="E879">_xlfn.XLOOKUP($B879, DB[samplingPoint], DB[noLocation])</f>
        <v>WATER SYSTEM (B16)</v>
      </c>
      <c r="F879" s="40" t="str">
        <f t="array" ref="F879">_xlfn.XLOOKUP($B879, DB[samplingPoint], DB[building])</f>
        <v>Building 16</v>
      </c>
      <c r="G879" s="40" t="str">
        <f t="array" ref="G879">_xlfn.XLOOKUP($B879, DB[samplingPoint], DB[location])</f>
        <v>Return loop (B16)</v>
      </c>
      <c r="H879" s="40" t="str">
        <f t="array" ref="H879">_xlfn.XLOOKUP($B879, DB[samplingPoint], DB[waterType])</f>
        <v>PW</v>
      </c>
      <c r="I879" s="60">
        <f t="shared" si="1"/>
        <v>46016</v>
      </c>
      <c r="J879" s="26">
        <v>46020.0</v>
      </c>
      <c r="K879" s="32">
        <v>0.0</v>
      </c>
      <c r="L879" s="32">
        <v>0.0</v>
      </c>
      <c r="M879" s="32">
        <f t="shared" si="3"/>
        <v>0</v>
      </c>
      <c r="N879" s="32" t="s">
        <v>376</v>
      </c>
      <c r="O879" s="32">
        <v>100.0</v>
      </c>
      <c r="P879" s="50" t="str">
        <f t="shared" si="6"/>
        <v>PASSED</v>
      </c>
      <c r="Q879" s="50" t="str">
        <f t="shared" si="5"/>
        <v>WA</v>
      </c>
    </row>
    <row r="880" ht="22.5" customHeight="1">
      <c r="A880" s="26">
        <v>46015.0</v>
      </c>
      <c r="B880" s="57" t="s">
        <v>438</v>
      </c>
      <c r="C880" s="213" t="str">
        <f t="array" ref="C880">_xlfn.XLOOKUP(B880, DB[samplingPoint], DB[samplingTag])</f>
        <v>SV135.02</v>
      </c>
      <c r="D880" s="33" t="s">
        <v>56</v>
      </c>
      <c r="E880" s="39" t="str">
        <f t="array" ref="E880">_xlfn.XLOOKUP($B880, DB[samplingPoint], DB[noLocation])</f>
        <v>WATER SYSTEM (B12)</v>
      </c>
      <c r="F880" s="40" t="str">
        <f t="array" ref="F880">_xlfn.XLOOKUP($B880, DB[samplingPoint], DB[building])</f>
        <v>Building 12</v>
      </c>
      <c r="G880" s="40" t="str">
        <f t="array" ref="G880">_xlfn.XLOOKUP($B880, DB[samplingPoint], DB[location])</f>
        <v>After UV (B12)</v>
      </c>
      <c r="H880" s="40" t="str">
        <f t="array" ref="H880">_xlfn.XLOOKUP($B880, DB[samplingPoint], DB[waterType])</f>
        <v>PW</v>
      </c>
      <c r="I880" s="60">
        <f t="shared" si="1"/>
        <v>46016</v>
      </c>
      <c r="J880" s="26">
        <v>46020.0</v>
      </c>
      <c r="K880" s="32">
        <v>0.0</v>
      </c>
      <c r="L880" s="32">
        <v>0.0</v>
      </c>
      <c r="M880" s="32">
        <f t="shared" si="3"/>
        <v>0</v>
      </c>
      <c r="N880" s="32" t="s">
        <v>376</v>
      </c>
      <c r="O880" s="32">
        <v>100.0</v>
      </c>
      <c r="P880" s="50" t="str">
        <f t="shared" si="6"/>
        <v>PASSED</v>
      </c>
      <c r="Q880" s="50" t="str">
        <f t="shared" si="5"/>
        <v>WA</v>
      </c>
    </row>
    <row r="881" ht="22.5" customHeight="1">
      <c r="A881" s="26">
        <v>46015.0</v>
      </c>
      <c r="B881" s="57" t="s">
        <v>430</v>
      </c>
      <c r="C881" s="213" t="str">
        <f t="array" ref="C881">_xlfn.XLOOKUP(B881, DB[samplingPoint], DB[samplingTag])</f>
        <v>SV137.01</v>
      </c>
      <c r="D881" s="33" t="s">
        <v>56</v>
      </c>
      <c r="E881" s="39" t="str">
        <f t="array" ref="E881">_xlfn.XLOOKUP($B881, DB[samplingPoint], DB[noLocation])</f>
        <v>WATER SYSTEM (B12)</v>
      </c>
      <c r="F881" s="40" t="str">
        <f t="array" ref="F881">_xlfn.XLOOKUP($B881, DB[samplingPoint], DB[building])</f>
        <v>Building 12</v>
      </c>
      <c r="G881" s="40" t="str">
        <f t="array" ref="G881">_xlfn.XLOOKUP($B881, DB[samplingPoint], DB[location])</f>
        <v>Return loop (B12)</v>
      </c>
      <c r="H881" s="40" t="str">
        <f t="array" ref="H881">_xlfn.XLOOKUP($B881, DB[samplingPoint], DB[waterType])</f>
        <v>PW</v>
      </c>
      <c r="I881" s="60">
        <f t="shared" si="1"/>
        <v>46016</v>
      </c>
      <c r="J881" s="26">
        <v>46020.0</v>
      </c>
      <c r="K881" s="32">
        <v>0.0</v>
      </c>
      <c r="L881" s="32">
        <v>0.0</v>
      </c>
      <c r="M881" s="32">
        <f t="shared" si="3"/>
        <v>0</v>
      </c>
      <c r="N881" s="32" t="s">
        <v>376</v>
      </c>
      <c r="O881" s="32">
        <v>100.0</v>
      </c>
      <c r="P881" s="50" t="str">
        <f t="shared" si="6"/>
        <v>PASSED</v>
      </c>
      <c r="Q881" s="50" t="str">
        <f t="shared" si="5"/>
        <v>WA</v>
      </c>
    </row>
    <row r="882" ht="22.5" customHeight="1">
      <c r="A882" s="26">
        <v>46015.0</v>
      </c>
      <c r="B882" s="57" t="s">
        <v>472</v>
      </c>
      <c r="C882" s="213" t="str">
        <f t="array" ref="C882">_xlfn.XLOOKUP(B882, DB[samplingPoint], DB[samplingTag])</f>
        <v>SV126.19</v>
      </c>
      <c r="D882" s="33" t="s">
        <v>3</v>
      </c>
      <c r="E882" s="39" t="str">
        <f t="array" ref="E882">_xlfn.XLOOKUP($B882, DB[samplingPoint], DB[noLocation])</f>
        <v>16-3-087</v>
      </c>
      <c r="F882" s="40" t="str">
        <f t="array" ref="F882">_xlfn.XLOOKUP($B882, DB[samplingPoint], DB[building])</f>
        <v>Building 16</v>
      </c>
      <c r="G882" s="40" t="str">
        <f t="array" ref="G882">_xlfn.XLOOKUP($B882, DB[samplingPoint], DB[location])</f>
        <v>CIP 2 (EQUIPMENT REQUIREMENT)</v>
      </c>
      <c r="H882" s="40" t="str">
        <f t="array" ref="H882">_xlfn.XLOOKUP($B882, DB[samplingPoint], DB[waterType])</f>
        <v>PW</v>
      </c>
      <c r="I882" s="60">
        <f t="shared" si="1"/>
        <v>46016</v>
      </c>
      <c r="J882" s="26">
        <v>46020.0</v>
      </c>
      <c r="K882" s="32">
        <v>0.0</v>
      </c>
      <c r="L882" s="32">
        <v>0.0</v>
      </c>
      <c r="M882" s="32">
        <f t="shared" si="3"/>
        <v>0</v>
      </c>
      <c r="N882" s="32" t="s">
        <v>376</v>
      </c>
      <c r="O882" s="32">
        <v>100.0</v>
      </c>
      <c r="P882" s="50" t="str">
        <f t="shared" si="6"/>
        <v>PASSED</v>
      </c>
      <c r="Q882" s="50" t="str">
        <f t="shared" si="5"/>
        <v>16</v>
      </c>
    </row>
    <row r="883" ht="22.5" customHeight="1">
      <c r="A883" s="26">
        <v>46015.0</v>
      </c>
      <c r="B883" s="57" t="s">
        <v>474</v>
      </c>
      <c r="C883" s="213" t="str">
        <f t="array" ref="C883">_xlfn.XLOOKUP(B883, DB[samplingPoint], DB[samplingTag])</f>
        <v>DV126.11</v>
      </c>
      <c r="D883" s="33" t="s">
        <v>3</v>
      </c>
      <c r="E883" s="39" t="str">
        <f t="array" ref="E883">_xlfn.XLOOKUP($B883, DB[samplingPoint], DB[noLocation])</f>
        <v>16-3-073</v>
      </c>
      <c r="F883" s="40" t="str">
        <f t="array" ref="F883">_xlfn.XLOOKUP($B883, DB[samplingPoint], DB[building])</f>
        <v>Building 16</v>
      </c>
      <c r="G883" s="40" t="str">
        <f t="array" ref="G883">_xlfn.XLOOKUP($B883, DB[samplingPoint], DB[location])</f>
        <v>MFG 4 (5000L)</v>
      </c>
      <c r="H883" s="40" t="str">
        <f t="array" ref="H883">_xlfn.XLOOKUP($B883, DB[samplingPoint], DB[waterType])</f>
        <v>PW</v>
      </c>
      <c r="I883" s="60">
        <f t="shared" si="1"/>
        <v>46016</v>
      </c>
      <c r="J883" s="26">
        <v>46020.0</v>
      </c>
      <c r="K883" s="32">
        <v>0.0</v>
      </c>
      <c r="L883" s="32">
        <v>0.0</v>
      </c>
      <c r="M883" s="32">
        <f t="shared" si="3"/>
        <v>0</v>
      </c>
      <c r="N883" s="32" t="s">
        <v>376</v>
      </c>
      <c r="O883" s="32">
        <v>100.0</v>
      </c>
      <c r="P883" s="50" t="str">
        <f t="shared" si="6"/>
        <v>PASSED</v>
      </c>
      <c r="Q883" s="50" t="str">
        <f t="shared" si="5"/>
        <v>16</v>
      </c>
    </row>
    <row r="884" ht="22.5" customHeight="1">
      <c r="A884" s="26">
        <v>46015.0</v>
      </c>
      <c r="B884" s="57" t="s">
        <v>478</v>
      </c>
      <c r="C884" s="213" t="str">
        <f t="array" ref="C884">_xlfn.XLOOKUP(B884, DB[samplingPoint], DB[samplingTag])</f>
        <v>SV126.14</v>
      </c>
      <c r="D884" s="33" t="s">
        <v>3</v>
      </c>
      <c r="E884" s="39" t="str">
        <f t="array" ref="E884">_xlfn.XLOOKUP($B884, DB[samplingPoint], DB[noLocation])</f>
        <v>16-3-073</v>
      </c>
      <c r="F884" s="40" t="str">
        <f t="array" ref="F884">_xlfn.XLOOKUP($B884, DB[samplingPoint], DB[building])</f>
        <v>Building 16</v>
      </c>
      <c r="G884" s="40" t="str">
        <f t="array" ref="G884">_xlfn.XLOOKUP($B884, DB[samplingPoint], DB[location])</f>
        <v>MFG 4 (400L)</v>
      </c>
      <c r="H884" s="40" t="str">
        <f t="array" ref="H884">_xlfn.XLOOKUP($B884, DB[samplingPoint], DB[waterType])</f>
        <v>PW</v>
      </c>
      <c r="I884" s="60">
        <f t="shared" si="1"/>
        <v>46016</v>
      </c>
      <c r="J884" s="26">
        <v>46020.0</v>
      </c>
      <c r="K884" s="32">
        <v>0.0</v>
      </c>
      <c r="L884" s="32">
        <v>0.0</v>
      </c>
      <c r="M884" s="32">
        <f t="shared" si="3"/>
        <v>0</v>
      </c>
      <c r="N884" s="32" t="s">
        <v>376</v>
      </c>
      <c r="O884" s="32">
        <v>100.0</v>
      </c>
      <c r="P884" s="50" t="str">
        <f t="shared" si="6"/>
        <v>PASSED</v>
      </c>
      <c r="Q884" s="50" t="str">
        <f t="shared" si="5"/>
        <v>16</v>
      </c>
    </row>
    <row r="885" ht="22.5" customHeight="1">
      <c r="A885" s="26">
        <v>46015.0</v>
      </c>
      <c r="B885" s="57" t="s">
        <v>481</v>
      </c>
      <c r="C885" s="213" t="str">
        <f t="array" ref="C885">_xlfn.XLOOKUP(B885, DB[samplingPoint], DB[samplingTag])</f>
        <v>SV126.15</v>
      </c>
      <c r="D885" s="33" t="s">
        <v>3</v>
      </c>
      <c r="E885" s="39" t="str">
        <f t="array" ref="E885">_xlfn.XLOOKUP($B885, DB[samplingPoint], DB[noLocation])</f>
        <v>16-3-075</v>
      </c>
      <c r="F885" s="40" t="str">
        <f t="array" ref="F885">_xlfn.XLOOKUP($B885, DB[samplingPoint], DB[building])</f>
        <v>Building 16</v>
      </c>
      <c r="G885" s="40" t="str">
        <f t="array" ref="G885">_xlfn.XLOOKUP($B885, DB[samplingPoint], DB[location])</f>
        <v>MFG 5 PROCESS (2000L)</v>
      </c>
      <c r="H885" s="40" t="str">
        <f t="array" ref="H885">_xlfn.XLOOKUP($B885, DB[samplingPoint], DB[waterType])</f>
        <v>PW</v>
      </c>
      <c r="I885" s="60">
        <f t="shared" si="1"/>
        <v>46016</v>
      </c>
      <c r="J885" s="26">
        <v>46020.0</v>
      </c>
      <c r="K885" s="32">
        <v>0.0</v>
      </c>
      <c r="L885" s="32">
        <v>0.0</v>
      </c>
      <c r="M885" s="32">
        <f t="shared" si="3"/>
        <v>0</v>
      </c>
      <c r="N885" s="32" t="s">
        <v>376</v>
      </c>
      <c r="O885" s="32">
        <v>100.0</v>
      </c>
      <c r="P885" s="50" t="str">
        <f t="shared" si="6"/>
        <v>PASSED</v>
      </c>
      <c r="Q885" s="50" t="str">
        <f t="shared" si="5"/>
        <v>16</v>
      </c>
    </row>
    <row r="886" ht="22.5" customHeight="1">
      <c r="A886" s="26">
        <v>46015.0</v>
      </c>
      <c r="B886" s="61" t="s">
        <v>483</v>
      </c>
      <c r="C886" s="213" t="str">
        <f t="array" ref="C886">_xlfn.XLOOKUP(B886, DB[samplingPoint], DB[samplingTag])</f>
        <v>DV126.05</v>
      </c>
      <c r="D886" s="33" t="s">
        <v>3</v>
      </c>
      <c r="E886" s="39" t="str">
        <f t="array" ref="E886">_xlfn.XLOOKUP($B886, DB[samplingPoint], DB[noLocation])</f>
        <v>16-3-054</v>
      </c>
      <c r="F886" s="40" t="str">
        <f t="array" ref="F886">_xlfn.XLOOKUP($B886, DB[samplingPoint], DB[building])</f>
        <v>Building 16</v>
      </c>
      <c r="G886" s="40" t="str">
        <f t="array" ref="G886">_xlfn.XLOOKUP($B886, DB[samplingPoint], DB[location])</f>
        <v>WASHING</v>
      </c>
      <c r="H886" s="40" t="str">
        <f t="array" ref="H886">_xlfn.XLOOKUP($B886, DB[samplingPoint], DB[waterType])</f>
        <v>PW</v>
      </c>
      <c r="I886" s="60">
        <f t="shared" si="1"/>
        <v>46016</v>
      </c>
      <c r="J886" s="26">
        <v>46020.0</v>
      </c>
      <c r="K886" s="32">
        <v>0.0</v>
      </c>
      <c r="L886" s="32">
        <v>0.0</v>
      </c>
      <c r="M886" s="32">
        <f t="shared" si="3"/>
        <v>0</v>
      </c>
      <c r="N886" s="32" t="s">
        <v>376</v>
      </c>
      <c r="O886" s="32">
        <v>100.0</v>
      </c>
      <c r="P886" s="50" t="str">
        <f t="shared" si="6"/>
        <v>PASSED</v>
      </c>
      <c r="Q886" s="50" t="str">
        <f t="shared" si="5"/>
        <v>16</v>
      </c>
    </row>
    <row r="887" ht="22.5" customHeight="1">
      <c r="A887" s="26">
        <v>46015.0</v>
      </c>
      <c r="B887" s="57" t="s">
        <v>518</v>
      </c>
      <c r="C887" s="213" t="str">
        <f t="array" ref="C887">_xlfn.XLOOKUP(B887, DB[samplingPoint], DB[samplingTag])</f>
        <v>SV136.12</v>
      </c>
      <c r="D887" s="33" t="s">
        <v>56</v>
      </c>
      <c r="E887" s="39" t="str">
        <f t="array" ref="E887">_xlfn.XLOOKUP($B887, DB[samplingPoint], DB[noLocation])</f>
        <v>12-2-036</v>
      </c>
      <c r="F887" s="40" t="str">
        <f t="array" ref="F887">_xlfn.XLOOKUP($B887, DB[samplingPoint], DB[building])</f>
        <v>Building 12</v>
      </c>
      <c r="G887" s="40" t="str">
        <f t="array" ref="G887">_xlfn.XLOOKUP($B887, DB[samplingPoint], DB[location])</f>
        <v>CIP 1</v>
      </c>
      <c r="H887" s="40" t="str">
        <f t="array" ref="H887">_xlfn.XLOOKUP($B887, DB[samplingPoint], DB[waterType])</f>
        <v>PW</v>
      </c>
      <c r="I887" s="60">
        <f t="shared" si="1"/>
        <v>46016</v>
      </c>
      <c r="J887" s="26">
        <v>46020.0</v>
      </c>
      <c r="K887" s="32">
        <v>0.0</v>
      </c>
      <c r="L887" s="32">
        <v>0.0</v>
      </c>
      <c r="M887" s="32">
        <f t="shared" si="3"/>
        <v>0</v>
      </c>
      <c r="N887" s="32" t="s">
        <v>376</v>
      </c>
      <c r="O887" s="32">
        <v>100.0</v>
      </c>
      <c r="P887" s="50" t="str">
        <f t="shared" si="6"/>
        <v>PASSED</v>
      </c>
      <c r="Q887" s="50" t="str">
        <f t="shared" si="5"/>
        <v>12</v>
      </c>
    </row>
    <row r="888" ht="22.5" customHeight="1">
      <c r="A888" s="26">
        <v>46015.0</v>
      </c>
      <c r="B888" s="57" t="s">
        <v>517</v>
      </c>
      <c r="C888" s="213" t="str">
        <f t="array" ref="C888">_xlfn.XLOOKUP(B888, DB[samplingPoint], DB[samplingTag])</f>
        <v>SV136.07</v>
      </c>
      <c r="D888" s="33" t="s">
        <v>56</v>
      </c>
      <c r="E888" s="39" t="str">
        <f t="array" ref="E888">_xlfn.XLOOKUP($B888, DB[samplingPoint], DB[noLocation])</f>
        <v>12-2-034</v>
      </c>
      <c r="F888" s="40" t="str">
        <f t="array" ref="F888">_xlfn.XLOOKUP($B888, DB[samplingPoint], DB[building])</f>
        <v>Building 12</v>
      </c>
      <c r="G888" s="40" t="str">
        <f t="array" ref="G888">_xlfn.XLOOKUP($B888, DB[samplingPoint], DB[location])</f>
        <v>SYRUP PREPARATION</v>
      </c>
      <c r="H888" s="40" t="str">
        <f t="array" ref="H888">_xlfn.XLOOKUP($B888, DB[samplingPoint], DB[waterType])</f>
        <v>PW</v>
      </c>
      <c r="I888" s="60">
        <f t="shared" si="1"/>
        <v>46016</v>
      </c>
      <c r="J888" s="26">
        <v>46020.0</v>
      </c>
      <c r="K888" s="32">
        <v>0.0</v>
      </c>
      <c r="L888" s="32">
        <v>0.0</v>
      </c>
      <c r="M888" s="32">
        <f t="shared" si="3"/>
        <v>0</v>
      </c>
      <c r="N888" s="32" t="s">
        <v>376</v>
      </c>
      <c r="O888" s="32">
        <v>100.0</v>
      </c>
      <c r="P888" s="50" t="str">
        <f t="shared" si="6"/>
        <v>PASSED</v>
      </c>
      <c r="Q888" s="50" t="str">
        <f t="shared" si="5"/>
        <v>12</v>
      </c>
    </row>
    <row r="889" ht="22.5" customHeight="1">
      <c r="A889" s="26">
        <v>46015.0</v>
      </c>
      <c r="B889" s="57" t="s">
        <v>516</v>
      </c>
      <c r="C889" s="213" t="str">
        <f t="array" ref="C889">_xlfn.XLOOKUP(B889, DB[samplingPoint], DB[samplingTag])</f>
        <v>SV136.06</v>
      </c>
      <c r="D889" s="33" t="s">
        <v>56</v>
      </c>
      <c r="E889" s="39" t="str">
        <f t="array" ref="E889">_xlfn.XLOOKUP($B889, DB[samplingPoint], DB[noLocation])</f>
        <v>12-2-034</v>
      </c>
      <c r="F889" s="40" t="str">
        <f t="array" ref="F889">_xlfn.XLOOKUP($B889, DB[samplingPoint], DB[building])</f>
        <v>Building 12</v>
      </c>
      <c r="G889" s="40" t="str">
        <f t="array" ref="G889">_xlfn.XLOOKUP($B889, DB[samplingPoint], DB[location])</f>
        <v>SYRUP PREPARATION</v>
      </c>
      <c r="H889" s="40" t="str">
        <f t="array" ref="H889">_xlfn.XLOOKUP($B889, DB[samplingPoint], DB[waterType])</f>
        <v>PW</v>
      </c>
      <c r="I889" s="60">
        <f t="shared" si="1"/>
        <v>46016</v>
      </c>
      <c r="J889" s="26">
        <v>46020.0</v>
      </c>
      <c r="K889" s="32">
        <v>0.0</v>
      </c>
      <c r="L889" s="32">
        <v>0.0</v>
      </c>
      <c r="M889" s="32">
        <f t="shared" si="3"/>
        <v>0</v>
      </c>
      <c r="N889" s="32" t="s">
        <v>376</v>
      </c>
      <c r="O889" s="32">
        <v>100.0</v>
      </c>
      <c r="P889" s="50" t="str">
        <f t="shared" si="6"/>
        <v>PASSED</v>
      </c>
      <c r="Q889" s="50" t="str">
        <f t="shared" si="5"/>
        <v>12</v>
      </c>
    </row>
    <row r="890" ht="22.5" customHeight="1">
      <c r="A890" s="26">
        <v>46015.0</v>
      </c>
      <c r="B890" s="61" t="s">
        <v>510</v>
      </c>
      <c r="C890" s="213" t="str">
        <f t="array" ref="C890">_xlfn.XLOOKUP(B890, DB[samplingPoint], DB[samplingTag])</f>
        <v>SV136.03</v>
      </c>
      <c r="D890" s="33" t="s">
        <v>56</v>
      </c>
      <c r="E890" s="39" t="str">
        <f t="array" ref="E890">_xlfn.XLOOKUP($B890, DB[samplingPoint], DB[noLocation])</f>
        <v>12-2-032</v>
      </c>
      <c r="F890" s="40" t="str">
        <f t="array" ref="F890">_xlfn.XLOOKUP($B890, DB[samplingPoint], DB[building])</f>
        <v>Building 12</v>
      </c>
      <c r="G890" s="40" t="str">
        <f t="array" ref="G890">_xlfn.XLOOKUP($B890, DB[samplingPoint], DB[location])</f>
        <v>CAMPHORATED OPIUM TINCTURE</v>
      </c>
      <c r="H890" s="40" t="str">
        <f t="array" ref="H890">_xlfn.XLOOKUP($B890, DB[samplingPoint], DB[waterType])</f>
        <v>PW</v>
      </c>
      <c r="I890" s="60">
        <f t="shared" si="1"/>
        <v>46016</v>
      </c>
      <c r="J890" s="26">
        <v>46020.0</v>
      </c>
      <c r="K890" s="32">
        <v>0.0</v>
      </c>
      <c r="L890" s="32">
        <v>0.0</v>
      </c>
      <c r="M890" s="32">
        <f t="shared" si="3"/>
        <v>0</v>
      </c>
      <c r="N890" s="32" t="s">
        <v>376</v>
      </c>
      <c r="O890" s="32">
        <v>100.0</v>
      </c>
      <c r="P890" s="50" t="str">
        <f t="shared" si="6"/>
        <v>PASSED</v>
      </c>
      <c r="Q890" s="50" t="str">
        <f t="shared" si="5"/>
        <v>12</v>
      </c>
    </row>
    <row r="891" ht="22.5" customHeight="1">
      <c r="A891" s="26">
        <v>46015.0</v>
      </c>
      <c r="B891" s="57" t="s">
        <v>514</v>
      </c>
      <c r="C891" s="213" t="str">
        <f t="array" ref="C891">_xlfn.XLOOKUP(B891, DB[samplingPoint], DB[samplingTag])</f>
        <v>SV136.05</v>
      </c>
      <c r="D891" s="33" t="s">
        <v>56</v>
      </c>
      <c r="E891" s="39" t="str">
        <f t="array" ref="E891">_xlfn.XLOOKUP($B891, DB[samplingPoint], DB[noLocation])</f>
        <v>12-2-032</v>
      </c>
      <c r="F891" s="40" t="str">
        <f t="array" ref="F891">_xlfn.XLOOKUP($B891, DB[samplingPoint], DB[building])</f>
        <v>Building 12</v>
      </c>
      <c r="G891" s="40" t="str">
        <f t="array" ref="G891">_xlfn.XLOOKUP($B891, DB[samplingPoint], DB[location])</f>
        <v>CAMPHORATED OPIUM TINCTURE</v>
      </c>
      <c r="H891" s="40" t="str">
        <f t="array" ref="H891">_xlfn.XLOOKUP($B891, DB[samplingPoint], DB[waterType])</f>
        <v>PW</v>
      </c>
      <c r="I891" s="60">
        <f t="shared" si="1"/>
        <v>46016</v>
      </c>
      <c r="J891" s="26">
        <v>46020.0</v>
      </c>
      <c r="K891" s="32">
        <v>0.0</v>
      </c>
      <c r="L891" s="32">
        <v>0.0</v>
      </c>
      <c r="M891" s="32">
        <f t="shared" si="3"/>
        <v>0</v>
      </c>
      <c r="N891" s="32" t="s">
        <v>376</v>
      </c>
      <c r="O891" s="32">
        <v>100.0</v>
      </c>
      <c r="P891" s="50" t="str">
        <f t="shared" si="6"/>
        <v>PASSED</v>
      </c>
      <c r="Q891" s="50" t="str">
        <f t="shared" si="5"/>
        <v>12</v>
      </c>
    </row>
    <row r="892" ht="22.5" customHeight="1">
      <c r="A892" s="26">
        <v>46015.0</v>
      </c>
      <c r="B892" s="57" t="s">
        <v>513</v>
      </c>
      <c r="C892" s="213" t="str">
        <f t="array" ref="C892">_xlfn.XLOOKUP(B892, DB[samplingPoint], DB[samplingTag])</f>
        <v>SV136.04</v>
      </c>
      <c r="D892" s="33" t="s">
        <v>56</v>
      </c>
      <c r="E892" s="39" t="str">
        <f t="array" ref="E892">_xlfn.XLOOKUP($B892, DB[samplingPoint], DB[noLocation])</f>
        <v>12-2-030</v>
      </c>
      <c r="F892" s="40" t="str">
        <f t="array" ref="F892">_xlfn.XLOOKUP($B892, DB[samplingPoint], DB[building])</f>
        <v>Building 12</v>
      </c>
      <c r="G892" s="40" t="str">
        <f t="array" ref="G892">_xlfn.XLOOKUP($B892, DB[samplingPoint], DB[location])</f>
        <v>OPIUM TINCTURE</v>
      </c>
      <c r="H892" s="40" t="str">
        <f t="array" ref="H892">_xlfn.XLOOKUP($B892, DB[samplingPoint], DB[waterType])</f>
        <v>PW</v>
      </c>
      <c r="I892" s="60">
        <f t="shared" si="1"/>
        <v>46016</v>
      </c>
      <c r="J892" s="26">
        <v>46020.0</v>
      </c>
      <c r="K892" s="32">
        <v>0.0</v>
      </c>
      <c r="L892" s="32">
        <v>0.0</v>
      </c>
      <c r="M892" s="32">
        <f t="shared" si="3"/>
        <v>0</v>
      </c>
      <c r="N892" s="32" t="s">
        <v>376</v>
      </c>
      <c r="O892" s="32">
        <v>100.0</v>
      </c>
      <c r="P892" s="50" t="str">
        <f t="shared" si="6"/>
        <v>PASSED</v>
      </c>
      <c r="Q892" s="50" t="str">
        <f t="shared" si="5"/>
        <v>12</v>
      </c>
    </row>
    <row r="893" ht="22.5" customHeight="1">
      <c r="A893" s="26">
        <v>46015.0</v>
      </c>
      <c r="B893" s="57" t="s">
        <v>506</v>
      </c>
      <c r="C893" s="213" t="str">
        <f t="array" ref="C893">_xlfn.XLOOKUP(B893, DB[samplingPoint], DB[samplingTag])</f>
        <v>DV136.02</v>
      </c>
      <c r="D893" s="33" t="s">
        <v>56</v>
      </c>
      <c r="E893" s="39" t="str">
        <f t="array" ref="E893">_xlfn.XLOOKUP($B893, DB[samplingPoint], DB[noLocation])</f>
        <v>12-2-028</v>
      </c>
      <c r="F893" s="40" t="str">
        <f t="array" ref="F893">_xlfn.XLOOKUP($B893, DB[samplingPoint], DB[building])</f>
        <v>Building 12</v>
      </c>
      <c r="G893" s="40" t="str">
        <f t="array" ref="G893">_xlfn.XLOOKUP($B893, DB[samplingPoint], DB[location])</f>
        <v>ALCOHOL STORAGE</v>
      </c>
      <c r="H893" s="40" t="str">
        <f t="array" ref="H893">_xlfn.XLOOKUP($B893, DB[samplingPoint], DB[waterType])</f>
        <v>PW</v>
      </c>
      <c r="I893" s="60">
        <f t="shared" si="1"/>
        <v>46016</v>
      </c>
      <c r="J893" s="26">
        <v>46020.0</v>
      </c>
      <c r="K893" s="32">
        <v>0.0</v>
      </c>
      <c r="L893" s="32">
        <v>0.0</v>
      </c>
      <c r="M893" s="32">
        <f t="shared" si="3"/>
        <v>0</v>
      </c>
      <c r="N893" s="32" t="s">
        <v>376</v>
      </c>
      <c r="O893" s="32">
        <v>100.0</v>
      </c>
      <c r="P893" s="50" t="str">
        <f t="shared" si="6"/>
        <v>PASSED</v>
      </c>
      <c r="Q893" s="50" t="str">
        <f t="shared" si="5"/>
        <v>12</v>
      </c>
    </row>
    <row r="894" ht="22.5" customHeight="1">
      <c r="A894" s="26">
        <v>46016.0</v>
      </c>
      <c r="B894" s="57" t="s">
        <v>469</v>
      </c>
      <c r="C894" s="215" t="str">
        <f t="array" ref="C894">_xlfn.XLOOKUP(B894, DB[samplingPoint], DB[samplingTag])</f>
        <v>SV125.02</v>
      </c>
      <c r="D894" s="33" t="s">
        <v>3</v>
      </c>
      <c r="E894" s="39" t="str">
        <f t="array" ref="E894">_xlfn.XLOOKUP($B894, DB[samplingPoint], DB[noLocation])</f>
        <v>WATER SYSTEM (B16)</v>
      </c>
      <c r="F894" s="40" t="str">
        <f t="array" ref="F894">_xlfn.XLOOKUP($B894, DB[samplingPoint], DB[building])</f>
        <v>Building 16</v>
      </c>
      <c r="G894" s="40" t="str">
        <f t="array" ref="G894">_xlfn.XLOOKUP($B894, DB[samplingPoint], DB[location])</f>
        <v>After UV (B16)</v>
      </c>
      <c r="H894" s="40" t="str">
        <f t="array" ref="H894">_xlfn.XLOOKUP($B894, DB[samplingPoint], DB[waterType])</f>
        <v>PW</v>
      </c>
      <c r="I894" s="60">
        <f t="shared" si="1"/>
        <v>46017</v>
      </c>
      <c r="J894" s="26">
        <v>46020.0</v>
      </c>
      <c r="K894" s="32">
        <v>1.0</v>
      </c>
      <c r="L894" s="32">
        <v>1.0</v>
      </c>
      <c r="M894" s="32">
        <f t="shared" si="3"/>
        <v>1</v>
      </c>
      <c r="N894" s="32" t="s">
        <v>376</v>
      </c>
      <c r="O894" s="32">
        <v>100.0</v>
      </c>
      <c r="P894" s="50" t="str">
        <f t="shared" si="6"/>
        <v>PASSED</v>
      </c>
      <c r="Q894" s="50" t="str">
        <f t="shared" si="5"/>
        <v>WA</v>
      </c>
    </row>
    <row r="895" ht="22.5" customHeight="1">
      <c r="A895" s="26">
        <v>46016.0</v>
      </c>
      <c r="B895" s="57" t="s">
        <v>464</v>
      </c>
      <c r="C895" s="215" t="str">
        <f t="array" ref="C895">_xlfn.XLOOKUP(B895, DB[samplingPoint], DB[samplingTag])</f>
        <v>SV127.01</v>
      </c>
      <c r="D895" s="33" t="s">
        <v>3</v>
      </c>
      <c r="E895" s="39" t="str">
        <f t="array" ref="E895">_xlfn.XLOOKUP($B895, DB[samplingPoint], DB[noLocation])</f>
        <v>WATER SYSTEM (B16)</v>
      </c>
      <c r="F895" s="40" t="str">
        <f t="array" ref="F895">_xlfn.XLOOKUP($B895, DB[samplingPoint], DB[building])</f>
        <v>Building 16</v>
      </c>
      <c r="G895" s="40" t="str">
        <f t="array" ref="G895">_xlfn.XLOOKUP($B895, DB[samplingPoint], DB[location])</f>
        <v>Return loop (B16)</v>
      </c>
      <c r="H895" s="40" t="str">
        <f t="array" ref="H895">_xlfn.XLOOKUP($B895, DB[samplingPoint], DB[waterType])</f>
        <v>PW</v>
      </c>
      <c r="I895" s="60">
        <f t="shared" si="1"/>
        <v>46017</v>
      </c>
      <c r="J895" s="26">
        <v>46020.0</v>
      </c>
      <c r="K895" s="32">
        <v>0.0</v>
      </c>
      <c r="L895" s="32">
        <v>0.0</v>
      </c>
      <c r="M895" s="32">
        <f t="shared" si="3"/>
        <v>0</v>
      </c>
      <c r="N895" s="32" t="s">
        <v>376</v>
      </c>
      <c r="O895" s="32">
        <v>100.0</v>
      </c>
      <c r="P895" s="50" t="str">
        <f t="shared" si="6"/>
        <v>PASSED</v>
      </c>
      <c r="Q895" s="50" t="str">
        <f t="shared" si="5"/>
        <v>WA</v>
      </c>
    </row>
    <row r="896" ht="22.5" customHeight="1">
      <c r="A896" s="26">
        <v>46016.0</v>
      </c>
      <c r="B896" s="57" t="s">
        <v>438</v>
      </c>
      <c r="C896" s="215" t="str">
        <f t="array" ref="C896">_xlfn.XLOOKUP(B896, DB[samplingPoint], DB[samplingTag])</f>
        <v>SV135.02</v>
      </c>
      <c r="D896" s="33" t="s">
        <v>56</v>
      </c>
      <c r="E896" s="39" t="str">
        <f t="array" ref="E896">_xlfn.XLOOKUP($B896, DB[samplingPoint], DB[noLocation])</f>
        <v>WATER SYSTEM (B12)</v>
      </c>
      <c r="F896" s="40" t="str">
        <f t="array" ref="F896">_xlfn.XLOOKUP($B896, DB[samplingPoint], DB[building])</f>
        <v>Building 12</v>
      </c>
      <c r="G896" s="40" t="str">
        <f t="array" ref="G896">_xlfn.XLOOKUP($B896, DB[samplingPoint], DB[location])</f>
        <v>After UV (B12)</v>
      </c>
      <c r="H896" s="40" t="str">
        <f t="array" ref="H896">_xlfn.XLOOKUP($B896, DB[samplingPoint], DB[waterType])</f>
        <v>PW</v>
      </c>
      <c r="I896" s="60">
        <f t="shared" si="1"/>
        <v>46017</v>
      </c>
      <c r="J896" s="26">
        <v>46020.0</v>
      </c>
      <c r="K896" s="32">
        <v>0.0</v>
      </c>
      <c r="L896" s="32">
        <v>0.0</v>
      </c>
      <c r="M896" s="32">
        <f t="shared" si="3"/>
        <v>0</v>
      </c>
      <c r="N896" s="32" t="s">
        <v>376</v>
      </c>
      <c r="O896" s="32">
        <v>100.0</v>
      </c>
      <c r="P896" s="50" t="str">
        <f t="shared" si="6"/>
        <v>PASSED</v>
      </c>
      <c r="Q896" s="50" t="str">
        <f t="shared" si="5"/>
        <v>WA</v>
      </c>
    </row>
    <row r="897" ht="22.5" customHeight="1">
      <c r="A897" s="26">
        <v>46016.0</v>
      </c>
      <c r="B897" s="57" t="s">
        <v>430</v>
      </c>
      <c r="C897" s="215" t="str">
        <f t="array" ref="C897">_xlfn.XLOOKUP(B897, DB[samplingPoint], DB[samplingTag])</f>
        <v>SV137.01</v>
      </c>
      <c r="D897" s="33" t="s">
        <v>56</v>
      </c>
      <c r="E897" s="39" t="str">
        <f t="array" ref="E897">_xlfn.XLOOKUP($B897, DB[samplingPoint], DB[noLocation])</f>
        <v>WATER SYSTEM (B12)</v>
      </c>
      <c r="F897" s="40" t="str">
        <f t="array" ref="F897">_xlfn.XLOOKUP($B897, DB[samplingPoint], DB[building])</f>
        <v>Building 12</v>
      </c>
      <c r="G897" s="40" t="str">
        <f t="array" ref="G897">_xlfn.XLOOKUP($B897, DB[samplingPoint], DB[location])</f>
        <v>Return loop (B12)</v>
      </c>
      <c r="H897" s="40" t="str">
        <f t="array" ref="H897">_xlfn.XLOOKUP($B897, DB[samplingPoint], DB[waterType])</f>
        <v>PW</v>
      </c>
      <c r="I897" s="60">
        <f t="shared" si="1"/>
        <v>46017</v>
      </c>
      <c r="J897" s="26">
        <v>46020.0</v>
      </c>
      <c r="K897" s="32">
        <v>0.0</v>
      </c>
      <c r="L897" s="32">
        <v>0.0</v>
      </c>
      <c r="M897" s="32">
        <f t="shared" si="3"/>
        <v>0</v>
      </c>
      <c r="N897" s="32" t="s">
        <v>376</v>
      </c>
      <c r="O897" s="32">
        <v>100.0</v>
      </c>
      <c r="P897" s="50" t="str">
        <f t="shared" si="6"/>
        <v>PASSED</v>
      </c>
      <c r="Q897" s="50" t="str">
        <f t="shared" si="5"/>
        <v>WA</v>
      </c>
    </row>
    <row r="898" ht="22.5" customHeight="1">
      <c r="A898" s="26">
        <v>46016.0</v>
      </c>
      <c r="B898" s="57" t="s">
        <v>553</v>
      </c>
      <c r="C898" s="215" t="str">
        <f t="array" ref="C898">_xlfn.XLOOKUP(B898, DB[samplingPoint], DB[samplingTag])</f>
        <v>DV126.10</v>
      </c>
      <c r="D898" s="33" t="s">
        <v>3</v>
      </c>
      <c r="E898" s="39" t="str">
        <f t="array" ref="E898">_xlfn.XLOOKUP($B898, DB[samplingPoint], DB[noLocation])</f>
        <v>16-3-069</v>
      </c>
      <c r="F898" s="40" t="str">
        <f t="array" ref="F898">_xlfn.XLOOKUP($B898, DB[samplingPoint], DB[building])</f>
        <v>Building 16</v>
      </c>
      <c r="G898" s="40" t="str">
        <f t="array" ref="G898">_xlfn.XLOOKUP($B898, DB[samplingPoint], DB[location])</f>
        <v>MFG 2</v>
      </c>
      <c r="H898" s="40" t="str">
        <f t="array" ref="H898">_xlfn.XLOOKUP($B898, DB[samplingPoint], DB[waterType])</f>
        <v>PW</v>
      </c>
      <c r="I898" s="60">
        <f t="shared" si="1"/>
        <v>46017</v>
      </c>
      <c r="J898" s="26">
        <v>46020.0</v>
      </c>
      <c r="K898" s="32">
        <v>0.0</v>
      </c>
      <c r="L898" s="32">
        <v>0.0</v>
      </c>
      <c r="M898" s="32">
        <f t="shared" si="3"/>
        <v>0</v>
      </c>
      <c r="N898" s="32" t="s">
        <v>376</v>
      </c>
      <c r="O898" s="32">
        <v>100.0</v>
      </c>
      <c r="P898" s="50" t="str">
        <f t="shared" si="6"/>
        <v>PASSED</v>
      </c>
      <c r="Q898" s="50" t="str">
        <f t="shared" si="5"/>
        <v>16</v>
      </c>
    </row>
    <row r="899" ht="22.5" customHeight="1">
      <c r="A899" s="26">
        <v>46016.0</v>
      </c>
      <c r="B899" s="57" t="s">
        <v>555</v>
      </c>
      <c r="C899" s="215" t="str">
        <f t="array" ref="C899">_xlfn.XLOOKUP(B899, DB[samplingPoint], DB[samplingTag])</f>
        <v>DV126.06</v>
      </c>
      <c r="D899" s="33" t="s">
        <v>3</v>
      </c>
      <c r="E899" s="39" t="str">
        <f t="array" ref="E899">_xlfn.XLOOKUP($B899, DB[samplingPoint], DB[noLocation])</f>
        <v>16-3-069</v>
      </c>
      <c r="F899" s="40" t="str">
        <f t="array" ref="F899">_xlfn.XLOOKUP($B899, DB[samplingPoint], DB[building])</f>
        <v>Building 16</v>
      </c>
      <c r="G899" s="40" t="str">
        <f t="array" ref="G899">_xlfn.XLOOKUP($B899, DB[samplingPoint], DB[location])</f>
        <v>MFG 2</v>
      </c>
      <c r="H899" s="40" t="str">
        <f t="array" ref="H899">_xlfn.XLOOKUP($B899, DB[samplingPoint], DB[waterType])</f>
        <v>PW</v>
      </c>
      <c r="I899" s="60">
        <f t="shared" si="1"/>
        <v>46017</v>
      </c>
      <c r="J899" s="26">
        <v>46020.0</v>
      </c>
      <c r="K899" s="32">
        <v>0.0</v>
      </c>
      <c r="L899" s="32">
        <v>0.0</v>
      </c>
      <c r="M899" s="32">
        <f t="shared" si="3"/>
        <v>0</v>
      </c>
      <c r="N899" s="32" t="s">
        <v>376</v>
      </c>
      <c r="O899" s="32">
        <v>100.0</v>
      </c>
      <c r="P899" s="50" t="str">
        <f t="shared" si="6"/>
        <v>PASSED</v>
      </c>
      <c r="Q899" s="50" t="str">
        <f t="shared" si="5"/>
        <v>16</v>
      </c>
    </row>
    <row r="900" ht="22.5" customHeight="1">
      <c r="A900" s="26">
        <v>46016.0</v>
      </c>
      <c r="B900" s="57" t="s">
        <v>557</v>
      </c>
      <c r="C900" s="215" t="str">
        <f t="array" ref="C900">_xlfn.XLOOKUP(B900, DB[samplingPoint], DB[samplingTag])</f>
        <v>SV126.10</v>
      </c>
      <c r="D900" s="33" t="s">
        <v>3</v>
      </c>
      <c r="E900" s="39" t="str">
        <f t="array" ref="E900">_xlfn.XLOOKUP($B900, DB[samplingPoint], DB[noLocation])</f>
        <v>16-3-071</v>
      </c>
      <c r="F900" s="40" t="str">
        <f t="array" ref="F900">_xlfn.XLOOKUP($B900, DB[samplingPoint], DB[building])</f>
        <v>Building 16</v>
      </c>
      <c r="G900" s="40" t="str">
        <f t="array" ref="G900">_xlfn.XLOOKUP($B900, DB[samplingPoint], DB[location])</f>
        <v>MFG 3 (1200L)</v>
      </c>
      <c r="H900" s="40" t="str">
        <f t="array" ref="H900">_xlfn.XLOOKUP($B900, DB[samplingPoint], DB[waterType])</f>
        <v>PW</v>
      </c>
      <c r="I900" s="60">
        <f t="shared" si="1"/>
        <v>46017</v>
      </c>
      <c r="J900" s="26">
        <v>46020.0</v>
      </c>
      <c r="K900" s="32">
        <v>0.0</v>
      </c>
      <c r="L900" s="32">
        <v>0.0</v>
      </c>
      <c r="M900" s="32">
        <f t="shared" si="3"/>
        <v>0</v>
      </c>
      <c r="N900" s="32" t="s">
        <v>376</v>
      </c>
      <c r="O900" s="32">
        <v>100.0</v>
      </c>
      <c r="P900" s="50" t="str">
        <f t="shared" si="6"/>
        <v>PASSED</v>
      </c>
      <c r="Q900" s="50" t="str">
        <f t="shared" si="5"/>
        <v>16</v>
      </c>
    </row>
    <row r="901" ht="22.5" customHeight="1">
      <c r="A901" s="26">
        <v>46016.0</v>
      </c>
      <c r="B901" s="61" t="s">
        <v>561</v>
      </c>
      <c r="C901" s="215" t="str">
        <f t="array" ref="C901">_xlfn.XLOOKUP(B901, DB[samplingPoint], DB[samplingTag])</f>
        <v>SV126.09</v>
      </c>
      <c r="D901" s="33" t="s">
        <v>3</v>
      </c>
      <c r="E901" s="39" t="str">
        <f t="array" ref="E901">_xlfn.XLOOKUP($B901, DB[samplingPoint], DB[noLocation])</f>
        <v>16-3-071</v>
      </c>
      <c r="F901" s="40" t="str">
        <f t="array" ref="F901">_xlfn.XLOOKUP($B901, DB[samplingPoint], DB[building])</f>
        <v>Building 16</v>
      </c>
      <c r="G901" s="40" t="str">
        <f t="array" ref="G901">_xlfn.XLOOKUP($B901, DB[samplingPoint], DB[location])</f>
        <v>MFG 3 (5000L)</v>
      </c>
      <c r="H901" s="40" t="str">
        <f t="array" ref="H901">_xlfn.XLOOKUP($B901, DB[samplingPoint], DB[waterType])</f>
        <v>PW</v>
      </c>
      <c r="I901" s="60">
        <f t="shared" si="1"/>
        <v>46017</v>
      </c>
      <c r="J901" s="26">
        <v>46020.0</v>
      </c>
      <c r="K901" s="32">
        <v>0.0</v>
      </c>
      <c r="L901" s="32">
        <v>0.0</v>
      </c>
      <c r="M901" s="32">
        <f t="shared" si="3"/>
        <v>0</v>
      </c>
      <c r="N901" s="32" t="s">
        <v>376</v>
      </c>
      <c r="O901" s="32">
        <v>100.0</v>
      </c>
      <c r="P901" s="50" t="str">
        <f t="shared" si="6"/>
        <v>PASSED</v>
      </c>
      <c r="Q901" s="50" t="str">
        <f t="shared" si="5"/>
        <v>16</v>
      </c>
    </row>
    <row r="902" ht="22.5" customHeight="1">
      <c r="A902" s="26">
        <v>46016.0</v>
      </c>
      <c r="B902" s="57" t="s">
        <v>566</v>
      </c>
      <c r="C902" s="215" t="str">
        <f t="array" ref="C902">_xlfn.XLOOKUP(B902, DB[samplingPoint], DB[samplingTag])</f>
        <v>DV126.08</v>
      </c>
      <c r="D902" s="33" t="s">
        <v>3</v>
      </c>
      <c r="E902" s="39" t="str">
        <f t="array" ref="E902">_xlfn.XLOOKUP($B902, DB[samplingPoint], DB[noLocation])</f>
        <v>16-3-077</v>
      </c>
      <c r="F902" s="40" t="str">
        <f t="array" ref="F902">_xlfn.XLOOKUP($B902, DB[samplingPoint], DB[building])</f>
        <v>Building 16</v>
      </c>
      <c r="G902" s="40" t="str">
        <f t="array" ref="G902">_xlfn.XLOOKUP($B902, DB[samplingPoint], DB[location])</f>
        <v>MFG 6</v>
      </c>
      <c r="H902" s="40" t="str">
        <f t="array" ref="H902">_xlfn.XLOOKUP($B902, DB[samplingPoint], DB[waterType])</f>
        <v>PW</v>
      </c>
      <c r="I902" s="60">
        <f t="shared" si="1"/>
        <v>46017</v>
      </c>
      <c r="J902" s="26">
        <v>46020.0</v>
      </c>
      <c r="K902" s="32">
        <v>0.0</v>
      </c>
      <c r="L902" s="32">
        <v>0.0</v>
      </c>
      <c r="M902" s="32">
        <f t="shared" si="3"/>
        <v>0</v>
      </c>
      <c r="N902" s="32" t="s">
        <v>376</v>
      </c>
      <c r="O902" s="32">
        <v>100.0</v>
      </c>
      <c r="P902" s="50" t="str">
        <f t="shared" si="6"/>
        <v>PASSED</v>
      </c>
      <c r="Q902" s="50" t="str">
        <f t="shared" si="5"/>
        <v>16</v>
      </c>
    </row>
    <row r="903" ht="22.5" customHeight="1">
      <c r="A903" s="26">
        <v>46016.0</v>
      </c>
      <c r="B903" s="57" t="s">
        <v>563</v>
      </c>
      <c r="C903" s="215" t="str">
        <f t="array" ref="C903">_xlfn.XLOOKUP(B903, DB[samplingPoint], DB[samplingTag])</f>
        <v>DV126.07</v>
      </c>
      <c r="D903" s="33" t="s">
        <v>3</v>
      </c>
      <c r="E903" s="39" t="str">
        <f t="array" ref="E903">_xlfn.XLOOKUP($B903, DB[samplingPoint], DB[noLocation])</f>
        <v>16-3-077</v>
      </c>
      <c r="F903" s="40" t="str">
        <f t="array" ref="F903">_xlfn.XLOOKUP($B903, DB[samplingPoint], DB[building])</f>
        <v>Building 16</v>
      </c>
      <c r="G903" s="40" t="str">
        <f t="array" ref="G903">_xlfn.XLOOKUP($B903, DB[samplingPoint], DB[location])</f>
        <v>MFG 6</v>
      </c>
      <c r="H903" s="40" t="str">
        <f t="array" ref="H903">_xlfn.XLOOKUP($B903, DB[samplingPoint], DB[waterType])</f>
        <v>PW</v>
      </c>
      <c r="I903" s="60">
        <f t="shared" si="1"/>
        <v>46017</v>
      </c>
      <c r="J903" s="26">
        <v>46020.0</v>
      </c>
      <c r="K903" s="32">
        <v>0.0</v>
      </c>
      <c r="L903" s="32">
        <v>0.0</v>
      </c>
      <c r="M903" s="32">
        <f t="shared" si="3"/>
        <v>0</v>
      </c>
      <c r="N903" s="32" t="s">
        <v>376</v>
      </c>
      <c r="O903" s="32">
        <v>100.0</v>
      </c>
      <c r="P903" s="50" t="str">
        <f t="shared" si="6"/>
        <v>PASSED</v>
      </c>
      <c r="Q903" s="50" t="str">
        <f t="shared" si="5"/>
        <v>16</v>
      </c>
    </row>
    <row r="904" ht="22.5" customHeight="1">
      <c r="A904" s="26">
        <v>46016.0</v>
      </c>
      <c r="B904" s="61" t="s">
        <v>413</v>
      </c>
      <c r="C904" s="215" t="str">
        <f t="array" ref="C904">_xlfn.XLOOKUP(B904, DB[samplingPoint], DB[samplingTag])</f>
        <v>DV136.14</v>
      </c>
      <c r="D904" s="33" t="s">
        <v>56</v>
      </c>
      <c r="E904" s="39" t="str">
        <f t="array" ref="E904">_xlfn.XLOOKUP($B904, DB[samplingPoint], DB[noLocation])</f>
        <v>12-3-074</v>
      </c>
      <c r="F904" s="40" t="str">
        <f t="array" ref="F904">_xlfn.XLOOKUP($B904, DB[samplingPoint], DB[building])</f>
        <v>Building 12</v>
      </c>
      <c r="G904" s="40" t="str">
        <f t="array" ref="G904">_xlfn.XLOOKUP($B904, DB[samplingPoint], DB[location])</f>
        <v>DECONTAMINATION</v>
      </c>
      <c r="H904" s="40" t="str">
        <f t="array" ref="H904">_xlfn.XLOOKUP($B904, DB[samplingPoint], DB[waterType])</f>
        <v>PW</v>
      </c>
      <c r="I904" s="60">
        <f t="shared" si="1"/>
        <v>46017</v>
      </c>
      <c r="J904" s="26">
        <v>46020.0</v>
      </c>
      <c r="K904" s="32">
        <v>0.0</v>
      </c>
      <c r="L904" s="32">
        <v>0.0</v>
      </c>
      <c r="M904" s="32">
        <f t="shared" si="3"/>
        <v>0</v>
      </c>
      <c r="N904" s="32" t="s">
        <v>376</v>
      </c>
      <c r="O904" s="32">
        <v>100.0</v>
      </c>
      <c r="P904" s="50" t="str">
        <f t="shared" si="6"/>
        <v>PASSED</v>
      </c>
      <c r="Q904" s="50" t="str">
        <f t="shared" si="5"/>
        <v>12</v>
      </c>
    </row>
    <row r="905" ht="22.5" customHeight="1">
      <c r="A905" s="26">
        <v>46016.0</v>
      </c>
      <c r="B905" s="57" t="s">
        <v>419</v>
      </c>
      <c r="C905" s="215" t="str">
        <f t="array" ref="C905">_xlfn.XLOOKUP(B905, DB[samplingPoint], DB[samplingTag])</f>
        <v>DV136.15</v>
      </c>
      <c r="D905" s="33" t="s">
        <v>56</v>
      </c>
      <c r="E905" s="39" t="str">
        <f t="array" ref="E905">_xlfn.XLOOKUP($B905, DB[samplingPoint], DB[noLocation])</f>
        <v>12-3-078</v>
      </c>
      <c r="F905" s="40" t="str">
        <f t="array" ref="F905">_xlfn.XLOOKUP($B905, DB[samplingPoint], DB[building])</f>
        <v>Building 12</v>
      </c>
      <c r="G905" s="40" t="str">
        <f t="array" ref="G905">_xlfn.XLOOKUP($B905, DB[samplingPoint], DB[location])</f>
        <v>GLASSWARE WASHING 2</v>
      </c>
      <c r="H905" s="40" t="str">
        <f t="array" ref="H905">_xlfn.XLOOKUP($B905, DB[samplingPoint], DB[waterType])</f>
        <v>PW</v>
      </c>
      <c r="I905" s="60">
        <f t="shared" si="1"/>
        <v>46017</v>
      </c>
      <c r="J905" s="26">
        <v>46020.0</v>
      </c>
      <c r="K905" s="32">
        <v>0.0</v>
      </c>
      <c r="L905" s="32">
        <v>0.0</v>
      </c>
      <c r="M905" s="32">
        <f t="shared" si="3"/>
        <v>0</v>
      </c>
      <c r="N905" s="32" t="s">
        <v>376</v>
      </c>
      <c r="O905" s="32">
        <v>100.0</v>
      </c>
      <c r="P905" s="50" t="str">
        <f t="shared" si="6"/>
        <v>PASSED</v>
      </c>
      <c r="Q905" s="50" t="str">
        <f t="shared" si="5"/>
        <v>12</v>
      </c>
    </row>
    <row r="906" ht="22.5" customHeight="1">
      <c r="A906" s="26">
        <v>46016.0</v>
      </c>
      <c r="B906" s="57" t="s">
        <v>409</v>
      </c>
      <c r="C906" s="215" t="str">
        <f t="array" ref="C906">_xlfn.XLOOKUP(B906, DB[samplingPoint], DB[samplingTag])</f>
        <v>DV136.13</v>
      </c>
      <c r="D906" s="33" t="s">
        <v>56</v>
      </c>
      <c r="E906" s="39" t="str">
        <f t="array" ref="E906">_xlfn.XLOOKUP($B906, DB[samplingPoint], DB[noLocation])</f>
        <v>12-3-057</v>
      </c>
      <c r="F906" s="40" t="str">
        <f t="array" ref="F906">_xlfn.XLOOKUP($B906, DB[samplingPoint], DB[building])</f>
        <v>Building 12</v>
      </c>
      <c r="G906" s="40" t="str">
        <f t="array" ref="G906">_xlfn.XLOOKUP($B906, DB[samplingPoint], DB[location])</f>
        <v>STERILIZATION</v>
      </c>
      <c r="H906" s="40" t="str">
        <f t="array" ref="H906">_xlfn.XLOOKUP($B906, DB[samplingPoint], DB[waterType])</f>
        <v>PW</v>
      </c>
      <c r="I906" s="60">
        <f t="shared" si="1"/>
        <v>46017</v>
      </c>
      <c r="J906" s="26">
        <v>46020.0</v>
      </c>
      <c r="K906" s="32">
        <v>0.0</v>
      </c>
      <c r="L906" s="32">
        <v>0.0</v>
      </c>
      <c r="M906" s="32">
        <f t="shared" si="3"/>
        <v>0</v>
      </c>
      <c r="N906" s="32" t="s">
        <v>376</v>
      </c>
      <c r="O906" s="32">
        <v>100.0</v>
      </c>
      <c r="P906" s="50" t="str">
        <f t="shared" si="6"/>
        <v>PASSED</v>
      </c>
      <c r="Q906" s="50" t="str">
        <f t="shared" si="5"/>
        <v>12</v>
      </c>
    </row>
    <row r="907" ht="22.5" customHeight="1">
      <c r="A907" s="26">
        <v>46016.0</v>
      </c>
      <c r="B907" s="57" t="s">
        <v>427</v>
      </c>
      <c r="C907" s="215" t="str">
        <f t="array" ref="C907">_xlfn.XLOOKUP(B907, DB[samplingPoint], DB[samplingTag])</f>
        <v>SV136.18</v>
      </c>
      <c r="D907" s="33" t="s">
        <v>56</v>
      </c>
      <c r="E907" s="39" t="str">
        <f t="array" ref="E907">_xlfn.XLOOKUP($B907, DB[samplingPoint], DB[noLocation])</f>
        <v>12-3-059</v>
      </c>
      <c r="F907" s="40" t="str">
        <f t="array" ref="F907">_xlfn.XLOOKUP($B907, DB[samplingPoint], DB[building])</f>
        <v>Building 12</v>
      </c>
      <c r="G907" s="40" t="str">
        <f t="array" ref="G907">_xlfn.XLOOKUP($B907, DB[samplingPoint], DB[location])</f>
        <v>AUTOCLAVE</v>
      </c>
      <c r="H907" s="40" t="str">
        <f t="array" ref="H907">_xlfn.XLOOKUP($B907, DB[samplingPoint], DB[waterType])</f>
        <v>PW</v>
      </c>
      <c r="I907" s="60">
        <f t="shared" si="1"/>
        <v>46017</v>
      </c>
      <c r="J907" s="26">
        <v>46020.0</v>
      </c>
      <c r="K907" s="32">
        <v>0.0</v>
      </c>
      <c r="L907" s="32">
        <v>0.0</v>
      </c>
      <c r="M907" s="32">
        <f t="shared" si="3"/>
        <v>0</v>
      </c>
      <c r="N907" s="32" t="s">
        <v>376</v>
      </c>
      <c r="O907" s="32">
        <v>100.0</v>
      </c>
      <c r="P907" s="50" t="str">
        <f t="shared" si="6"/>
        <v>PASSED</v>
      </c>
      <c r="Q907" s="50" t="str">
        <f t="shared" si="5"/>
        <v>12</v>
      </c>
    </row>
    <row r="908" ht="22.5" customHeight="1">
      <c r="A908" s="26">
        <v>46016.0</v>
      </c>
      <c r="B908" s="57" t="s">
        <v>399</v>
      </c>
      <c r="C908" s="215" t="str">
        <f t="array" ref="C908">_xlfn.XLOOKUP(B908, DB[samplingPoint], DB[samplingTag])</f>
        <v>DV136.11</v>
      </c>
      <c r="D908" s="33" t="s">
        <v>56</v>
      </c>
      <c r="E908" s="39" t="str">
        <f t="array" ref="E908">_xlfn.XLOOKUP($B908, DB[samplingPoint], DB[noLocation])</f>
        <v>12-3-059</v>
      </c>
      <c r="F908" s="40" t="str">
        <f t="array" ref="F908">_xlfn.XLOOKUP($B908, DB[samplingPoint], DB[building])</f>
        <v>Building 12</v>
      </c>
      <c r="G908" s="40" t="str">
        <f t="array" ref="G908">_xlfn.XLOOKUP($B908, DB[samplingPoint], DB[location])</f>
        <v>AUTOCLAVE</v>
      </c>
      <c r="H908" s="40" t="str">
        <f t="array" ref="H908">_xlfn.XLOOKUP($B908, DB[samplingPoint], DB[waterType])</f>
        <v>PW</v>
      </c>
      <c r="I908" s="60">
        <f t="shared" si="1"/>
        <v>46017</v>
      </c>
      <c r="J908" s="26">
        <v>46020.0</v>
      </c>
      <c r="K908" s="32">
        <v>0.0</v>
      </c>
      <c r="L908" s="32">
        <v>0.0</v>
      </c>
      <c r="M908" s="32">
        <f t="shared" si="3"/>
        <v>0</v>
      </c>
      <c r="N908" s="32" t="s">
        <v>376</v>
      </c>
      <c r="O908" s="32">
        <v>100.0</v>
      </c>
      <c r="P908" s="50" t="str">
        <f t="shared" si="6"/>
        <v>PASSED</v>
      </c>
      <c r="Q908" s="50" t="str">
        <f t="shared" si="5"/>
        <v>12</v>
      </c>
    </row>
    <row r="909" ht="22.5" customHeight="1">
      <c r="A909" s="26">
        <v>46016.0</v>
      </c>
      <c r="B909" s="57" t="s">
        <v>405</v>
      </c>
      <c r="C909" s="215" t="str">
        <f t="array" ref="C909">_xlfn.XLOOKUP(B909, DB[samplingPoint], DB[samplingTag])</f>
        <v>DV136.12</v>
      </c>
      <c r="D909" s="33" t="s">
        <v>56</v>
      </c>
      <c r="E909" s="39" t="str">
        <f t="array" ref="E909">_xlfn.XLOOKUP($B909, DB[samplingPoint], DB[noLocation])</f>
        <v>12-3-056</v>
      </c>
      <c r="F909" s="40" t="str">
        <f t="array" ref="F909">_xlfn.XLOOKUP($B909, DB[samplingPoint], DB[building])</f>
        <v>Building 12</v>
      </c>
      <c r="G909" s="40" t="str">
        <f t="array" ref="G909">_xlfn.XLOOKUP($B909, DB[samplingPoint], DB[location])</f>
        <v>MEDIA PREPARATION</v>
      </c>
      <c r="H909" s="40" t="str">
        <f t="array" ref="H909">_xlfn.XLOOKUP($B909, DB[samplingPoint], DB[waterType])</f>
        <v>PW</v>
      </c>
      <c r="I909" s="60">
        <f t="shared" si="1"/>
        <v>46017</v>
      </c>
      <c r="J909" s="26">
        <v>46020.0</v>
      </c>
      <c r="K909" s="32">
        <v>0.0</v>
      </c>
      <c r="L909" s="32">
        <v>0.0</v>
      </c>
      <c r="M909" s="32">
        <f t="shared" si="3"/>
        <v>0</v>
      </c>
      <c r="N909" s="32" t="s">
        <v>376</v>
      </c>
      <c r="O909" s="32">
        <v>100.0</v>
      </c>
      <c r="P909" s="50" t="str">
        <f t="shared" si="6"/>
        <v>PASSED</v>
      </c>
      <c r="Q909" s="50" t="str">
        <f t="shared" si="5"/>
        <v>12</v>
      </c>
    </row>
    <row r="910" ht="22.5" customHeight="1">
      <c r="A910" s="26">
        <v>46016.0</v>
      </c>
      <c r="B910" s="57" t="s">
        <v>393</v>
      </c>
      <c r="C910" s="215" t="str">
        <f t="array" ref="C910">_xlfn.XLOOKUP(B910, DB[samplingPoint], DB[samplingTag])</f>
        <v>DV136.10</v>
      </c>
      <c r="D910" s="33" t="s">
        <v>56</v>
      </c>
      <c r="E910" s="39" t="str">
        <f t="array" ref="E910">_xlfn.XLOOKUP($B910, DB[samplingPoint], DB[noLocation])</f>
        <v>12-3-056</v>
      </c>
      <c r="F910" s="40" t="str">
        <f t="array" ref="F910">_xlfn.XLOOKUP($B910, DB[samplingPoint], DB[building])</f>
        <v>Building 12</v>
      </c>
      <c r="G910" s="40" t="str">
        <f t="array" ref="G910">_xlfn.XLOOKUP($B910, DB[samplingPoint], DB[location])</f>
        <v>MEDIA PREPARATION</v>
      </c>
      <c r="H910" s="40" t="str">
        <f t="array" ref="H910">_xlfn.XLOOKUP($B910, DB[samplingPoint], DB[waterType])</f>
        <v>PW</v>
      </c>
      <c r="I910" s="60">
        <f t="shared" si="1"/>
        <v>46017</v>
      </c>
      <c r="J910" s="26">
        <v>46020.0</v>
      </c>
      <c r="K910" s="32">
        <v>0.0</v>
      </c>
      <c r="L910" s="32">
        <v>0.0</v>
      </c>
      <c r="M910" s="32">
        <f t="shared" si="3"/>
        <v>0</v>
      </c>
      <c r="N910" s="32" t="s">
        <v>376</v>
      </c>
      <c r="O910" s="32">
        <v>100.0</v>
      </c>
      <c r="P910" s="50" t="str">
        <f t="shared" si="6"/>
        <v>PASSED</v>
      </c>
      <c r="Q910" s="50" t="str">
        <f t="shared" si="5"/>
        <v>12</v>
      </c>
    </row>
    <row r="911" ht="22.5" customHeight="1">
      <c r="A911" s="26">
        <v>46017.0</v>
      </c>
      <c r="B911" s="39" t="s">
        <v>471</v>
      </c>
      <c r="C911" s="214" t="str">
        <f t="array" ref="C911">_xlfn.XLOOKUP(B911, DB[samplingPoint], DB[samplingTag])</f>
        <v>VB-05 (16)</v>
      </c>
      <c r="D911" s="33" t="s">
        <v>3</v>
      </c>
      <c r="E911" s="39" t="str">
        <f t="array" ref="E911">_xlfn.XLOOKUP($B911, DB[samplingPoint], DB[noLocation])</f>
        <v>WATER SYSTEM (B16)</v>
      </c>
      <c r="F911" s="40" t="str">
        <f t="array" ref="F911">_xlfn.XLOOKUP($B911, DB[samplingPoint], DB[building])</f>
        <v>Building 16</v>
      </c>
      <c r="G911" s="40" t="str">
        <f t="array" ref="G911">_xlfn.XLOOKUP($B911, DB[samplingPoint], DB[location])</f>
        <v>After Chlorine circulation tank (B16)</v>
      </c>
      <c r="H911" s="40" t="str">
        <f t="array" ref="H911">_xlfn.XLOOKUP($B911, DB[samplingPoint], DB[waterType])</f>
        <v>PRW</v>
      </c>
      <c r="I911" s="60">
        <f t="shared" si="1"/>
        <v>46018</v>
      </c>
      <c r="J911" s="26">
        <v>46021.0</v>
      </c>
      <c r="K911" s="32">
        <v>0.0</v>
      </c>
      <c r="L911" s="32">
        <v>0.0</v>
      </c>
      <c r="M911" s="32">
        <f t="shared" si="3"/>
        <v>0</v>
      </c>
      <c r="N911" s="32" t="s">
        <v>376</v>
      </c>
      <c r="O911" s="32">
        <v>500.0</v>
      </c>
      <c r="P911" s="50" t="str">
        <f t="shared" si="6"/>
        <v>PASSED</v>
      </c>
      <c r="Q911" s="50" t="str">
        <f t="shared" si="5"/>
        <v>WA</v>
      </c>
    </row>
    <row r="912" ht="22.5" customHeight="1">
      <c r="A912" s="26">
        <v>46017.0</v>
      </c>
      <c r="B912" s="39" t="s">
        <v>470</v>
      </c>
      <c r="C912" s="214" t="str">
        <f t="array" ref="C912">_xlfn.XLOOKUP(B912, DB[samplingPoint], DB[samplingTag])</f>
        <v>V50-61 (16)</v>
      </c>
      <c r="D912" s="33" t="s">
        <v>3</v>
      </c>
      <c r="E912" s="39" t="str">
        <f t="array" ref="E912">_xlfn.XLOOKUP($B912, DB[samplingPoint], DB[noLocation])</f>
        <v>WATER SYSTEM (B16)</v>
      </c>
      <c r="F912" s="40" t="str">
        <f t="array" ref="F912">_xlfn.XLOOKUP($B912, DB[samplingPoint], DB[building])</f>
        <v>Building 16</v>
      </c>
      <c r="G912" s="40" t="str">
        <f t="array" ref="G912">_xlfn.XLOOKUP($B912, DB[samplingPoint], DB[location])</f>
        <v>After Cartridge filter 5 µm (B16)</v>
      </c>
      <c r="H912" s="40" t="str">
        <f t="array" ref="H912">_xlfn.XLOOKUP($B912, DB[samplingPoint], DB[waterType])</f>
        <v>PRW</v>
      </c>
      <c r="I912" s="60">
        <f t="shared" si="1"/>
        <v>46018</v>
      </c>
      <c r="J912" s="26">
        <v>46021.0</v>
      </c>
      <c r="K912" s="32">
        <v>0.0</v>
      </c>
      <c r="L912" s="32">
        <v>0.0</v>
      </c>
      <c r="M912" s="32">
        <f t="shared" si="3"/>
        <v>0</v>
      </c>
      <c r="N912" s="32" t="s">
        <v>376</v>
      </c>
      <c r="O912" s="32">
        <v>500.0</v>
      </c>
      <c r="P912" s="50" t="str">
        <f t="shared" si="6"/>
        <v>PASSED</v>
      </c>
      <c r="Q912" s="50" t="str">
        <f t="shared" si="5"/>
        <v>WA</v>
      </c>
    </row>
    <row r="913" ht="22.5" customHeight="1">
      <c r="A913" s="26">
        <v>46017.0</v>
      </c>
      <c r="B913" s="39" t="s">
        <v>466</v>
      </c>
      <c r="C913" s="214" t="str">
        <f t="array" ref="C913">_xlfn.XLOOKUP(B913, DB[samplingPoint], DB[samplingTag])</f>
        <v>V50-11C (16)</v>
      </c>
      <c r="D913" s="33" t="s">
        <v>3</v>
      </c>
      <c r="E913" s="39" t="str">
        <f t="array" ref="E913">_xlfn.XLOOKUP($B913, DB[samplingPoint], DB[noLocation])</f>
        <v>WATER SYSTEM (B16)</v>
      </c>
      <c r="F913" s="40" t="str">
        <f t="array" ref="F913">_xlfn.XLOOKUP($B913, DB[samplingPoint], DB[building])</f>
        <v>Building 16</v>
      </c>
      <c r="G913" s="40" t="str">
        <f t="array" ref="G913">_xlfn.XLOOKUP($B913, DB[samplingPoint], DB[location])</f>
        <v>After RO (Before EDI) (B16)</v>
      </c>
      <c r="H913" s="40" t="str">
        <f t="array" ref="H913">_xlfn.XLOOKUP($B913, DB[samplingPoint], DB[waterType])</f>
        <v>RO water</v>
      </c>
      <c r="I913" s="60">
        <f t="shared" si="1"/>
        <v>46018</v>
      </c>
      <c r="J913" s="26">
        <v>46021.0</v>
      </c>
      <c r="K913" s="32">
        <v>0.0</v>
      </c>
      <c r="L913" s="32">
        <v>0.0</v>
      </c>
      <c r="M913" s="32">
        <f t="shared" si="3"/>
        <v>0</v>
      </c>
      <c r="N913" s="32" t="s">
        <v>376</v>
      </c>
      <c r="O913" s="32">
        <v>100.0</v>
      </c>
      <c r="P913" s="50" t="str">
        <f t="shared" si="6"/>
        <v>PASSED</v>
      </c>
      <c r="Q913" s="50" t="str">
        <f t="shared" si="5"/>
        <v>WA</v>
      </c>
    </row>
    <row r="914" ht="22.5" customHeight="1">
      <c r="A914" s="26">
        <v>46017.0</v>
      </c>
      <c r="B914" s="39" t="s">
        <v>468</v>
      </c>
      <c r="C914" s="214" t="str">
        <f t="array" ref="C914">_xlfn.XLOOKUP(B914, DB[samplingPoint], DB[samplingTag])</f>
        <v>V50-39 (16)</v>
      </c>
      <c r="D914" s="33" t="s">
        <v>3</v>
      </c>
      <c r="E914" s="39" t="str">
        <f t="array" ref="E914">_xlfn.XLOOKUP($B914, DB[samplingPoint], DB[noLocation])</f>
        <v>WATER SYSTEM (B16)</v>
      </c>
      <c r="F914" s="40" t="str">
        <f t="array" ref="F914">_xlfn.XLOOKUP($B914, DB[samplingPoint], DB[building])</f>
        <v>Building 16</v>
      </c>
      <c r="G914" s="40" t="str">
        <f t="array" ref="G914">_xlfn.XLOOKUP($B914, DB[samplingPoint], DB[location])</f>
        <v>After EDI (B16)</v>
      </c>
      <c r="H914" s="40" t="str">
        <f t="array" ref="H914">_xlfn.XLOOKUP($B914, DB[samplingPoint], DB[waterType])</f>
        <v>PW</v>
      </c>
      <c r="I914" s="60">
        <f t="shared" si="1"/>
        <v>46018</v>
      </c>
      <c r="J914" s="26">
        <v>46021.0</v>
      </c>
      <c r="K914" s="32">
        <v>0.0</v>
      </c>
      <c r="L914" s="32">
        <v>0.0</v>
      </c>
      <c r="M914" s="32">
        <f t="shared" si="3"/>
        <v>0</v>
      </c>
      <c r="N914" s="32" t="s">
        <v>376</v>
      </c>
      <c r="O914" s="32">
        <v>100.0</v>
      </c>
      <c r="P914" s="50" t="str">
        <f t="shared" si="6"/>
        <v>PASSED</v>
      </c>
      <c r="Q914" s="50" t="str">
        <f t="shared" si="5"/>
        <v>WA</v>
      </c>
    </row>
    <row r="915" ht="22.5" customHeight="1">
      <c r="A915" s="26">
        <v>46017.0</v>
      </c>
      <c r="B915" s="39" t="s">
        <v>467</v>
      </c>
      <c r="C915" s="214" t="str">
        <f t="array" ref="C915">_xlfn.XLOOKUP(B915, DB[samplingPoint], DB[samplingTag])</f>
        <v>SV123.01</v>
      </c>
      <c r="D915" s="33" t="s">
        <v>3</v>
      </c>
      <c r="E915" s="39" t="str">
        <f t="array" ref="E915">_xlfn.XLOOKUP($B915, DB[samplingPoint], DB[noLocation])</f>
        <v>WATER SYSTEM (B16)</v>
      </c>
      <c r="F915" s="40" t="str">
        <f t="array" ref="F915">_xlfn.XLOOKUP($B915, DB[samplingPoint], DB[building])</f>
        <v>Building 16</v>
      </c>
      <c r="G915" s="40" t="str">
        <f t="array" ref="G915">_xlfn.XLOOKUP($B915, DB[samplingPoint], DB[location])</f>
        <v>After Storage tank (B16)</v>
      </c>
      <c r="H915" s="40" t="str">
        <f t="array" ref="H915">_xlfn.XLOOKUP($B915, DB[samplingPoint], DB[waterType])</f>
        <v>PW</v>
      </c>
      <c r="I915" s="60">
        <f t="shared" si="1"/>
        <v>46018</v>
      </c>
      <c r="J915" s="26">
        <v>46021.0</v>
      </c>
      <c r="K915" s="32">
        <v>0.0</v>
      </c>
      <c r="L915" s="32">
        <v>0.0</v>
      </c>
      <c r="M915" s="32">
        <f t="shared" si="3"/>
        <v>0</v>
      </c>
      <c r="N915" s="32" t="s">
        <v>376</v>
      </c>
      <c r="O915" s="32">
        <v>100.0</v>
      </c>
      <c r="P915" s="50" t="str">
        <f t="shared" si="6"/>
        <v>PASSED</v>
      </c>
      <c r="Q915" s="50" t="str">
        <f t="shared" si="5"/>
        <v>WA</v>
      </c>
    </row>
    <row r="916" ht="22.5" customHeight="1">
      <c r="A916" s="26">
        <v>46017.0</v>
      </c>
      <c r="B916" s="39" t="s">
        <v>469</v>
      </c>
      <c r="C916" s="214" t="str">
        <f t="array" ref="C916">_xlfn.XLOOKUP(B916, DB[samplingPoint], DB[samplingTag])</f>
        <v>SV125.02</v>
      </c>
      <c r="D916" s="33" t="s">
        <v>3</v>
      </c>
      <c r="E916" s="39" t="str">
        <f t="array" ref="E916">_xlfn.XLOOKUP($B916, DB[samplingPoint], DB[noLocation])</f>
        <v>WATER SYSTEM (B16)</v>
      </c>
      <c r="F916" s="40" t="str">
        <f t="array" ref="F916">_xlfn.XLOOKUP($B916, DB[samplingPoint], DB[building])</f>
        <v>Building 16</v>
      </c>
      <c r="G916" s="40" t="str">
        <f t="array" ref="G916">_xlfn.XLOOKUP($B916, DB[samplingPoint], DB[location])</f>
        <v>After UV (B16)</v>
      </c>
      <c r="H916" s="40" t="str">
        <f t="array" ref="H916">_xlfn.XLOOKUP($B916, DB[samplingPoint], DB[waterType])</f>
        <v>PW</v>
      </c>
      <c r="I916" s="60">
        <f t="shared" si="1"/>
        <v>46018</v>
      </c>
      <c r="J916" s="26">
        <v>46021.0</v>
      </c>
      <c r="K916" s="32">
        <v>0.0</v>
      </c>
      <c r="L916" s="32">
        <v>0.0</v>
      </c>
      <c r="M916" s="32">
        <f t="shared" si="3"/>
        <v>0</v>
      </c>
      <c r="N916" s="32" t="s">
        <v>376</v>
      </c>
      <c r="O916" s="32">
        <v>100.0</v>
      </c>
      <c r="P916" s="50" t="str">
        <f t="shared" si="6"/>
        <v>PASSED</v>
      </c>
      <c r="Q916" s="50" t="str">
        <f t="shared" si="5"/>
        <v>WA</v>
      </c>
    </row>
    <row r="917" ht="22.5" customHeight="1">
      <c r="A917" s="26">
        <v>46017.0</v>
      </c>
      <c r="B917" s="39" t="s">
        <v>464</v>
      </c>
      <c r="C917" s="214" t="str">
        <f t="array" ref="C917">_xlfn.XLOOKUP(B917, DB[samplingPoint], DB[samplingTag])</f>
        <v>SV127.01</v>
      </c>
      <c r="D917" s="33" t="s">
        <v>3</v>
      </c>
      <c r="E917" s="39" t="str">
        <f t="array" ref="E917">_xlfn.XLOOKUP($B917, DB[samplingPoint], DB[noLocation])</f>
        <v>WATER SYSTEM (B16)</v>
      </c>
      <c r="F917" s="40" t="str">
        <f t="array" ref="F917">_xlfn.XLOOKUP($B917, DB[samplingPoint], DB[building])</f>
        <v>Building 16</v>
      </c>
      <c r="G917" s="40" t="str">
        <f t="array" ref="G917">_xlfn.XLOOKUP($B917, DB[samplingPoint], DB[location])</f>
        <v>Return loop (B16)</v>
      </c>
      <c r="H917" s="40" t="str">
        <f t="array" ref="H917">_xlfn.XLOOKUP($B917, DB[samplingPoint], DB[waterType])</f>
        <v>PW</v>
      </c>
      <c r="I917" s="60">
        <f t="shared" si="1"/>
        <v>46018</v>
      </c>
      <c r="J917" s="26">
        <v>46021.0</v>
      </c>
      <c r="K917" s="32">
        <v>0.0</v>
      </c>
      <c r="L917" s="32">
        <v>0.0</v>
      </c>
      <c r="M917" s="32">
        <f t="shared" si="3"/>
        <v>0</v>
      </c>
      <c r="N917" s="32" t="s">
        <v>376</v>
      </c>
      <c r="O917" s="32">
        <v>100.0</v>
      </c>
      <c r="P917" s="50" t="str">
        <f t="shared" si="6"/>
        <v>PASSED</v>
      </c>
      <c r="Q917" s="50" t="str">
        <f t="shared" si="5"/>
        <v>WA</v>
      </c>
    </row>
    <row r="918" ht="22.5" customHeight="1">
      <c r="A918" s="26">
        <v>46017.0</v>
      </c>
      <c r="B918" s="61" t="s">
        <v>461</v>
      </c>
      <c r="C918" s="214" t="str">
        <f t="array" ref="C918">_xlfn.XLOOKUP(B918, DB[samplingPoint], DB[samplingTag])</f>
        <v>SV126.03</v>
      </c>
      <c r="D918" s="33" t="s">
        <v>3</v>
      </c>
      <c r="E918" s="39" t="str">
        <f t="array" ref="E918">_xlfn.XLOOKUP($B918, DB[samplingPoint], DB[noLocation])</f>
        <v>16-2-010</v>
      </c>
      <c r="F918" s="40" t="str">
        <f t="array" ref="F918">_xlfn.XLOOKUP($B918, DB[samplingPoint], DB[building])</f>
        <v>Building 16</v>
      </c>
      <c r="G918" s="40" t="str">
        <f t="array" ref="G918">_xlfn.XLOOKUP($B918, DB[samplingPoint], DB[location])</f>
        <v>WATER SYSTEM (WFI)</v>
      </c>
      <c r="H918" s="40" t="str">
        <f t="array" ref="H918">_xlfn.XLOOKUP($B918, DB[samplingPoint], DB[waterType])</f>
        <v>PW</v>
      </c>
      <c r="I918" s="60">
        <f t="shared" si="1"/>
        <v>46018</v>
      </c>
      <c r="J918" s="26">
        <v>46021.0</v>
      </c>
      <c r="K918" s="32">
        <v>0.0</v>
      </c>
      <c r="L918" s="32">
        <v>0.0</v>
      </c>
      <c r="M918" s="32">
        <f t="shared" si="3"/>
        <v>0</v>
      </c>
      <c r="N918" s="32" t="s">
        <v>376</v>
      </c>
      <c r="O918" s="32">
        <v>100.0</v>
      </c>
      <c r="P918" s="50" t="str">
        <f t="shared" si="6"/>
        <v>PASSED</v>
      </c>
      <c r="Q918" s="50" t="str">
        <f t="shared" si="5"/>
        <v>16</v>
      </c>
    </row>
    <row r="919" ht="22.5" customHeight="1">
      <c r="A919" s="26">
        <v>46017.0</v>
      </c>
      <c r="B919" s="39" t="s">
        <v>486</v>
      </c>
      <c r="C919" s="214" t="str">
        <f t="array" ref="C919">_xlfn.XLOOKUP(B919, DB[samplingPoint], DB[samplingTag])</f>
        <v>SV126.04</v>
      </c>
      <c r="D919" s="33" t="s">
        <v>3</v>
      </c>
      <c r="E919" s="39" t="str">
        <f t="array" ref="E919">_xlfn.XLOOKUP($B919, DB[samplingPoint], DB[noLocation])</f>
        <v>16-2-010</v>
      </c>
      <c r="F919" s="40" t="str">
        <f t="array" ref="F919">_xlfn.XLOOKUP($B919, DB[samplingPoint], DB[building])</f>
        <v>Building 16</v>
      </c>
      <c r="G919" s="40" t="str">
        <f t="array" ref="G919">_xlfn.XLOOKUP($B919, DB[samplingPoint], DB[location])</f>
        <v>WATER SYSTEM (PSG)</v>
      </c>
      <c r="H919" s="40" t="str">
        <f t="array" ref="H919">_xlfn.XLOOKUP($B919, DB[samplingPoint], DB[waterType])</f>
        <v>PW</v>
      </c>
      <c r="I919" s="60">
        <f t="shared" si="1"/>
        <v>46018</v>
      </c>
      <c r="J919" s="26">
        <v>46021.0</v>
      </c>
      <c r="K919" s="32">
        <v>0.0</v>
      </c>
      <c r="L919" s="32">
        <v>0.0</v>
      </c>
      <c r="M919" s="32">
        <f t="shared" si="3"/>
        <v>0</v>
      </c>
      <c r="N919" s="32" t="s">
        <v>376</v>
      </c>
      <c r="O919" s="32">
        <v>100.0</v>
      </c>
      <c r="P919" s="50" t="str">
        <f t="shared" si="6"/>
        <v>PASSED</v>
      </c>
      <c r="Q919" s="50" t="str">
        <f t="shared" si="5"/>
        <v>16</v>
      </c>
    </row>
    <row r="920" ht="22.5" customHeight="1">
      <c r="A920" s="26">
        <v>46017.0</v>
      </c>
      <c r="B920" s="39" t="s">
        <v>558</v>
      </c>
      <c r="C920" s="214" t="str">
        <f t="array" ref="C920">_xlfn.XLOOKUP(B920, DB[samplingPoint], DB[samplingTag])</f>
        <v>DV126.04</v>
      </c>
      <c r="D920" s="33" t="s">
        <v>3</v>
      </c>
      <c r="E920" s="39" t="str">
        <f t="array" ref="E920">_xlfn.XLOOKUP($B920, DB[samplingPoint], DB[noLocation])</f>
        <v>16-2-010</v>
      </c>
      <c r="F920" s="40" t="str">
        <f t="array" ref="F920">_xlfn.XLOOKUP($B920, DB[samplingPoint], DB[building])</f>
        <v>Building 16</v>
      </c>
      <c r="G920" s="40" t="str">
        <f t="array" ref="G920">_xlfn.XLOOKUP($B920, DB[samplingPoint], DB[location])</f>
        <v>WATER SYSTEM (PW)</v>
      </c>
      <c r="H920" s="40" t="str">
        <f t="array" ref="H920">_xlfn.XLOOKUP($B920, DB[samplingPoint], DB[waterType])</f>
        <v>PW</v>
      </c>
      <c r="I920" s="60">
        <f t="shared" si="1"/>
        <v>46018</v>
      </c>
      <c r="J920" s="26">
        <v>46021.0</v>
      </c>
      <c r="K920" s="32">
        <v>0.0</v>
      </c>
      <c r="L920" s="32">
        <v>0.0</v>
      </c>
      <c r="M920" s="32">
        <f t="shared" si="3"/>
        <v>0</v>
      </c>
      <c r="N920" s="32" t="s">
        <v>376</v>
      </c>
      <c r="O920" s="32">
        <v>100.0</v>
      </c>
      <c r="P920" s="50" t="str">
        <f t="shared" si="6"/>
        <v>PASSED</v>
      </c>
      <c r="Q920" s="50" t="str">
        <f t="shared" si="5"/>
        <v>16</v>
      </c>
    </row>
    <row r="921" ht="22.5" customHeight="1">
      <c r="A921" s="26">
        <v>46017.0</v>
      </c>
      <c r="B921" s="39" t="s">
        <v>444</v>
      </c>
      <c r="C921" s="214" t="str">
        <f t="array" ref="C921">_xlfn.XLOOKUP(B921, DB[samplingPoint], DB[samplingTag])</f>
        <v>VB-05 (12)</v>
      </c>
      <c r="D921" s="33" t="s">
        <v>56</v>
      </c>
      <c r="E921" s="39" t="str">
        <f t="array" ref="E921">_xlfn.XLOOKUP($B921, DB[samplingPoint], DB[noLocation])</f>
        <v>WATER SYSTEM (B12)</v>
      </c>
      <c r="F921" s="40" t="str">
        <f t="array" ref="F921">_xlfn.XLOOKUP($B921, DB[samplingPoint], DB[building])</f>
        <v>Building 12</v>
      </c>
      <c r="G921" s="40" t="str">
        <f t="array" ref="G921">_xlfn.XLOOKUP($B921, DB[samplingPoint], DB[location])</f>
        <v>After Chlorine circulation tank</v>
      </c>
      <c r="H921" s="40" t="str">
        <f t="array" ref="H921">_xlfn.XLOOKUP($B921, DB[samplingPoint], DB[waterType])</f>
        <v>PRW</v>
      </c>
      <c r="I921" s="60">
        <f t="shared" si="1"/>
        <v>46018</v>
      </c>
      <c r="J921" s="26">
        <v>46021.0</v>
      </c>
      <c r="K921" s="32">
        <v>0.0</v>
      </c>
      <c r="L921" s="32">
        <v>0.0</v>
      </c>
      <c r="M921" s="32">
        <f t="shared" si="3"/>
        <v>0</v>
      </c>
      <c r="N921" s="32" t="s">
        <v>376</v>
      </c>
      <c r="O921" s="32">
        <v>500.0</v>
      </c>
      <c r="P921" s="50" t="str">
        <f t="shared" si="6"/>
        <v>PASSED</v>
      </c>
      <c r="Q921" s="50" t="str">
        <f t="shared" si="5"/>
        <v>WA</v>
      </c>
    </row>
    <row r="922" ht="22.5" customHeight="1">
      <c r="A922" s="26">
        <v>46017.0</v>
      </c>
      <c r="B922" s="39" t="s">
        <v>442</v>
      </c>
      <c r="C922" s="214" t="str">
        <f t="array" ref="C922">_xlfn.XLOOKUP(B922, DB[samplingPoint], DB[samplingTag])</f>
        <v>V50-61 (12)</v>
      </c>
      <c r="D922" s="33" t="s">
        <v>56</v>
      </c>
      <c r="E922" s="39" t="str">
        <f t="array" ref="E922">_xlfn.XLOOKUP($B922, DB[samplingPoint], DB[noLocation])</f>
        <v>WATER SYSTEM (B12)</v>
      </c>
      <c r="F922" s="40" t="str">
        <f t="array" ref="F922">_xlfn.XLOOKUP($B922, DB[samplingPoint], DB[building])</f>
        <v>Building 12</v>
      </c>
      <c r="G922" s="40" t="str">
        <f t="array" ref="G922">_xlfn.XLOOKUP($B922, DB[samplingPoint], DB[location])</f>
        <v>After Cartridge filter 5 µm (B12)</v>
      </c>
      <c r="H922" s="40" t="str">
        <f t="array" ref="H922">_xlfn.XLOOKUP($B922, DB[samplingPoint], DB[waterType])</f>
        <v>PRW</v>
      </c>
      <c r="I922" s="60">
        <f t="shared" si="1"/>
        <v>46018</v>
      </c>
      <c r="J922" s="26">
        <v>46021.0</v>
      </c>
      <c r="K922" s="32">
        <v>0.0</v>
      </c>
      <c r="L922" s="32">
        <v>0.0</v>
      </c>
      <c r="M922" s="32">
        <f t="shared" si="3"/>
        <v>0</v>
      </c>
      <c r="N922" s="32" t="s">
        <v>376</v>
      </c>
      <c r="O922" s="32">
        <v>500.0</v>
      </c>
      <c r="P922" s="50" t="str">
        <f t="shared" si="6"/>
        <v>PASSED</v>
      </c>
      <c r="Q922" s="50" t="str">
        <f t="shared" si="5"/>
        <v>WA</v>
      </c>
    </row>
    <row r="923" ht="22.5" customHeight="1">
      <c r="A923" s="26">
        <v>46017.0</v>
      </c>
      <c r="B923" s="39" t="s">
        <v>434</v>
      </c>
      <c r="C923" s="214" t="str">
        <f t="array" ref="C923">_xlfn.XLOOKUP(B923, DB[samplingPoint], DB[samplingTag])</f>
        <v>V50-11C (12)</v>
      </c>
      <c r="D923" s="33" t="s">
        <v>56</v>
      </c>
      <c r="E923" s="39" t="str">
        <f t="array" ref="E923">_xlfn.XLOOKUP($B923, DB[samplingPoint], DB[noLocation])</f>
        <v>WATER SYSTEM (B12)</v>
      </c>
      <c r="F923" s="40" t="str">
        <f t="array" ref="F923">_xlfn.XLOOKUP($B923, DB[samplingPoint], DB[building])</f>
        <v>Building 12</v>
      </c>
      <c r="G923" s="40" t="str">
        <f t="array" ref="G923">_xlfn.XLOOKUP($B923, DB[samplingPoint], DB[location])</f>
        <v>After RO (Before EDI) (B12)</v>
      </c>
      <c r="H923" s="40" t="str">
        <f t="array" ref="H923">_xlfn.XLOOKUP($B923, DB[samplingPoint], DB[waterType])</f>
        <v>RO water</v>
      </c>
      <c r="I923" s="60">
        <f t="shared" si="1"/>
        <v>46018</v>
      </c>
      <c r="J923" s="26">
        <v>46021.0</v>
      </c>
      <c r="K923" s="32">
        <v>0.0</v>
      </c>
      <c r="L923" s="32">
        <v>0.0</v>
      </c>
      <c r="M923" s="32">
        <f t="shared" si="3"/>
        <v>0</v>
      </c>
      <c r="N923" s="32" t="s">
        <v>376</v>
      </c>
      <c r="O923" s="32">
        <v>100.0</v>
      </c>
      <c r="P923" s="50" t="str">
        <f t="shared" si="6"/>
        <v>PASSED</v>
      </c>
      <c r="Q923" s="50" t="str">
        <f t="shared" si="5"/>
        <v>WA</v>
      </c>
    </row>
    <row r="924" ht="22.5" customHeight="1">
      <c r="A924" s="26">
        <v>46017.0</v>
      </c>
      <c r="B924" s="39" t="s">
        <v>440</v>
      </c>
      <c r="C924" s="214" t="str">
        <f t="array" ref="C924">_xlfn.XLOOKUP(B924, DB[samplingPoint], DB[samplingTag])</f>
        <v>V50-39 (12)</v>
      </c>
      <c r="D924" s="33" t="s">
        <v>56</v>
      </c>
      <c r="E924" s="39" t="str">
        <f t="array" ref="E924">_xlfn.XLOOKUP($B924, DB[samplingPoint], DB[noLocation])</f>
        <v>WATER SYSTEM (B12)</v>
      </c>
      <c r="F924" s="40" t="str">
        <f t="array" ref="F924">_xlfn.XLOOKUP($B924, DB[samplingPoint], DB[building])</f>
        <v>Building 12</v>
      </c>
      <c r="G924" s="40" t="str">
        <f t="array" ref="G924">_xlfn.XLOOKUP($B924, DB[samplingPoint], DB[location])</f>
        <v>After EDI (B12)</v>
      </c>
      <c r="H924" s="40" t="str">
        <f t="array" ref="H924">_xlfn.XLOOKUP($B924, DB[samplingPoint], DB[waterType])</f>
        <v>PW</v>
      </c>
      <c r="I924" s="60">
        <f t="shared" si="1"/>
        <v>46018</v>
      </c>
      <c r="J924" s="26">
        <v>46021.0</v>
      </c>
      <c r="K924" s="32">
        <v>0.0</v>
      </c>
      <c r="L924" s="32">
        <v>0.0</v>
      </c>
      <c r="M924" s="32">
        <f t="shared" si="3"/>
        <v>0</v>
      </c>
      <c r="N924" s="32" t="s">
        <v>376</v>
      </c>
      <c r="O924" s="32">
        <v>100.0</v>
      </c>
      <c r="P924" s="50" t="str">
        <f t="shared" si="6"/>
        <v>PASSED</v>
      </c>
      <c r="Q924" s="50" t="str">
        <f t="shared" si="5"/>
        <v>WA</v>
      </c>
    </row>
    <row r="925" ht="22.5" customHeight="1">
      <c r="A925" s="26">
        <v>46017.0</v>
      </c>
      <c r="B925" s="39" t="s">
        <v>435</v>
      </c>
      <c r="C925" s="214" t="str">
        <f t="array" ref="C925">_xlfn.XLOOKUP(B925, DB[samplingPoint], DB[samplingTag])</f>
        <v>SV133.01</v>
      </c>
      <c r="D925" s="33" t="s">
        <v>56</v>
      </c>
      <c r="E925" s="39" t="str">
        <f t="array" ref="E925">_xlfn.XLOOKUP($B925, DB[samplingPoint], DB[noLocation])</f>
        <v>WATER SYSTEM (B12)</v>
      </c>
      <c r="F925" s="40" t="str">
        <f t="array" ref="F925">_xlfn.XLOOKUP($B925, DB[samplingPoint], DB[building])</f>
        <v>Building 12</v>
      </c>
      <c r="G925" s="40" t="str">
        <f t="array" ref="G925">_xlfn.XLOOKUP($B925, DB[samplingPoint], DB[location])</f>
        <v>After Storage tank (B12)</v>
      </c>
      <c r="H925" s="40" t="str">
        <f t="array" ref="H925">_xlfn.XLOOKUP($B925, DB[samplingPoint], DB[waterType])</f>
        <v>PW</v>
      </c>
      <c r="I925" s="60">
        <f t="shared" si="1"/>
        <v>46018</v>
      </c>
      <c r="J925" s="26">
        <v>46021.0</v>
      </c>
      <c r="K925" s="32">
        <v>0.0</v>
      </c>
      <c r="L925" s="32">
        <v>0.0</v>
      </c>
      <c r="M925" s="32">
        <f t="shared" si="3"/>
        <v>0</v>
      </c>
      <c r="N925" s="32" t="s">
        <v>376</v>
      </c>
      <c r="O925" s="32">
        <v>100.0</v>
      </c>
      <c r="P925" s="50" t="str">
        <f t="shared" si="6"/>
        <v>PASSED</v>
      </c>
      <c r="Q925" s="50" t="str">
        <f t="shared" si="5"/>
        <v>WA</v>
      </c>
    </row>
    <row r="926" ht="22.5" customHeight="1">
      <c r="A926" s="26">
        <v>46017.0</v>
      </c>
      <c r="B926" s="39" t="s">
        <v>438</v>
      </c>
      <c r="C926" s="214" t="str">
        <f t="array" ref="C926">_xlfn.XLOOKUP(B926, DB[samplingPoint], DB[samplingTag])</f>
        <v>SV135.02</v>
      </c>
      <c r="D926" s="33" t="s">
        <v>56</v>
      </c>
      <c r="E926" s="39" t="str">
        <f t="array" ref="E926">_xlfn.XLOOKUP($B926, DB[samplingPoint], DB[noLocation])</f>
        <v>WATER SYSTEM (B12)</v>
      </c>
      <c r="F926" s="40" t="str">
        <f t="array" ref="F926">_xlfn.XLOOKUP($B926, DB[samplingPoint], DB[building])</f>
        <v>Building 12</v>
      </c>
      <c r="G926" s="40" t="str">
        <f t="array" ref="G926">_xlfn.XLOOKUP($B926, DB[samplingPoint], DB[location])</f>
        <v>After UV (B12)</v>
      </c>
      <c r="H926" s="40" t="str">
        <f t="array" ref="H926">_xlfn.XLOOKUP($B926, DB[samplingPoint], DB[waterType])</f>
        <v>PW</v>
      </c>
      <c r="I926" s="60">
        <f t="shared" si="1"/>
        <v>46018</v>
      </c>
      <c r="J926" s="26">
        <v>46021.0</v>
      </c>
      <c r="K926" s="32">
        <v>0.0</v>
      </c>
      <c r="L926" s="32">
        <v>0.0</v>
      </c>
      <c r="M926" s="32">
        <f t="shared" si="3"/>
        <v>0</v>
      </c>
      <c r="N926" s="32" t="s">
        <v>376</v>
      </c>
      <c r="O926" s="32">
        <v>100.0</v>
      </c>
      <c r="P926" s="50" t="str">
        <f t="shared" si="6"/>
        <v>PASSED</v>
      </c>
      <c r="Q926" s="50" t="str">
        <f t="shared" si="5"/>
        <v>WA</v>
      </c>
    </row>
    <row r="927" ht="22.5" customHeight="1">
      <c r="A927" s="26">
        <v>46017.0</v>
      </c>
      <c r="B927" s="39" t="s">
        <v>430</v>
      </c>
      <c r="C927" s="214" t="str">
        <f t="array" ref="C927">_xlfn.XLOOKUP(B927, DB[samplingPoint], DB[samplingTag])</f>
        <v>SV137.01</v>
      </c>
      <c r="D927" s="33" t="s">
        <v>56</v>
      </c>
      <c r="E927" s="39" t="str">
        <f t="array" ref="E927">_xlfn.XLOOKUP($B927, DB[samplingPoint], DB[noLocation])</f>
        <v>WATER SYSTEM (B12)</v>
      </c>
      <c r="F927" s="40" t="str">
        <f t="array" ref="F927">_xlfn.XLOOKUP($B927, DB[samplingPoint], DB[building])</f>
        <v>Building 12</v>
      </c>
      <c r="G927" s="40" t="str">
        <f t="array" ref="G927">_xlfn.XLOOKUP($B927, DB[samplingPoint], DB[location])</f>
        <v>Return loop (B12)</v>
      </c>
      <c r="H927" s="40" t="str">
        <f t="array" ref="H927">_xlfn.XLOOKUP($B927, DB[samplingPoint], DB[waterType])</f>
        <v>PW</v>
      </c>
      <c r="I927" s="60">
        <f t="shared" si="1"/>
        <v>46018</v>
      </c>
      <c r="J927" s="26">
        <v>46021.0</v>
      </c>
      <c r="K927" s="32">
        <v>0.0</v>
      </c>
      <c r="L927" s="32">
        <v>0.0</v>
      </c>
      <c r="M927" s="32">
        <f t="shared" si="3"/>
        <v>0</v>
      </c>
      <c r="N927" s="32" t="s">
        <v>376</v>
      </c>
      <c r="O927" s="32">
        <v>100.0</v>
      </c>
      <c r="P927" s="50" t="str">
        <f t="shared" si="6"/>
        <v>PASSED</v>
      </c>
      <c r="Q927" s="50" t="str">
        <f t="shared" si="5"/>
        <v>WA</v>
      </c>
    </row>
    <row r="928" ht="22.5" customHeight="1">
      <c r="A928" s="26">
        <v>46017.0</v>
      </c>
      <c r="B928" s="39" t="s">
        <v>422</v>
      </c>
      <c r="C928" s="214" t="str">
        <f t="array" ref="C928">_xlfn.XLOOKUP(B928, DB[samplingPoint], DB[samplingTag])</f>
        <v>DV136.18</v>
      </c>
      <c r="D928" s="33" t="s">
        <v>56</v>
      </c>
      <c r="E928" s="39" t="str">
        <f t="array" ref="E928">_xlfn.XLOOKUP($B928, DB[samplingPoint], DB[noLocation])</f>
        <v>12-3-037</v>
      </c>
      <c r="F928" s="40" t="str">
        <f t="array" ref="F928">_xlfn.XLOOKUP($B928, DB[samplingPoint], DB[building])</f>
        <v>Building 12</v>
      </c>
      <c r="G928" s="40" t="str">
        <f t="array" ref="G928">_xlfn.XLOOKUP($B928, DB[samplingPoint], DB[location])</f>
        <v>GLASSWARE WASHING 1</v>
      </c>
      <c r="H928" s="40" t="str">
        <f t="array" ref="H928">_xlfn.XLOOKUP($B928, DB[samplingPoint], DB[waterType])</f>
        <v>PW</v>
      </c>
      <c r="I928" s="60">
        <f t="shared" si="1"/>
        <v>46018</v>
      </c>
      <c r="J928" s="26">
        <v>46021.0</v>
      </c>
      <c r="K928" s="32">
        <v>0.0</v>
      </c>
      <c r="L928" s="32">
        <v>0.0</v>
      </c>
      <c r="M928" s="32">
        <f t="shared" si="3"/>
        <v>0</v>
      </c>
      <c r="N928" s="32" t="s">
        <v>376</v>
      </c>
      <c r="O928" s="32">
        <v>100.0</v>
      </c>
      <c r="P928" s="50" t="str">
        <f t="shared" si="6"/>
        <v>PASSED</v>
      </c>
      <c r="Q928" s="50" t="str">
        <f t="shared" si="5"/>
        <v>12</v>
      </c>
    </row>
    <row r="929" ht="22.5" customHeight="1">
      <c r="A929" s="26">
        <v>46017.0</v>
      </c>
      <c r="B929" s="39" t="s">
        <v>373</v>
      </c>
      <c r="C929" s="214" t="str">
        <f t="array" ref="C929">_xlfn.XLOOKUP(B929, DB[samplingPoint], DB[samplingTag])</f>
        <v>DV136.05</v>
      </c>
      <c r="D929" s="33" t="s">
        <v>56</v>
      </c>
      <c r="E929" s="39" t="str">
        <f t="array" ref="E929">_xlfn.XLOOKUP($B929, DB[samplingPoint], DB[noLocation])</f>
        <v>12-3-037</v>
      </c>
      <c r="F929" s="40" t="str">
        <f t="array" ref="F929">_xlfn.XLOOKUP($B929, DB[samplingPoint], DB[building])</f>
        <v>Building 12</v>
      </c>
      <c r="G929" s="40" t="str">
        <f t="array" ref="G929">_xlfn.XLOOKUP($B929, DB[samplingPoint], DB[location])</f>
        <v>GLASSWARE WASHING 1</v>
      </c>
      <c r="H929" s="40" t="str">
        <f t="array" ref="H929">_xlfn.XLOOKUP($B929, DB[samplingPoint], DB[waterType])</f>
        <v>PW</v>
      </c>
      <c r="I929" s="60">
        <f t="shared" si="1"/>
        <v>46018</v>
      </c>
      <c r="J929" s="26">
        <v>46021.0</v>
      </c>
      <c r="K929" s="32">
        <v>0.0</v>
      </c>
      <c r="L929" s="32">
        <v>0.0</v>
      </c>
      <c r="M929" s="32">
        <f t="shared" si="3"/>
        <v>0</v>
      </c>
      <c r="N929" s="32" t="s">
        <v>376</v>
      </c>
      <c r="O929" s="32">
        <v>100.0</v>
      </c>
      <c r="P929" s="50" t="str">
        <f t="shared" si="6"/>
        <v>PASSED</v>
      </c>
      <c r="Q929" s="50" t="str">
        <f t="shared" si="5"/>
        <v>12</v>
      </c>
    </row>
    <row r="930" ht="22.5" customHeight="1">
      <c r="A930" s="26">
        <v>46017.0</v>
      </c>
      <c r="B930" s="39" t="s">
        <v>389</v>
      </c>
      <c r="C930" s="214" t="str">
        <f t="array" ref="C930">_xlfn.XLOOKUP(B930, DB[samplingPoint], DB[samplingTag])</f>
        <v>DV136.06</v>
      </c>
      <c r="D930" s="33" t="s">
        <v>56</v>
      </c>
      <c r="E930" s="39" t="str">
        <f t="array" ref="E930">_xlfn.XLOOKUP($B930, DB[samplingPoint], DB[noLocation])</f>
        <v>12-3-037</v>
      </c>
      <c r="F930" s="40" t="str">
        <f t="array" ref="F930">_xlfn.XLOOKUP($B930, DB[samplingPoint], DB[building])</f>
        <v>Building 12</v>
      </c>
      <c r="G930" s="40" t="str">
        <f t="array" ref="G930">_xlfn.XLOOKUP($B930, DB[samplingPoint], DB[location])</f>
        <v>GLASSWARE WASHING 1</v>
      </c>
      <c r="H930" s="40" t="str">
        <f t="array" ref="H930">_xlfn.XLOOKUP($B930, DB[samplingPoint], DB[waterType])</f>
        <v>PW</v>
      </c>
      <c r="I930" s="60">
        <f t="shared" si="1"/>
        <v>46018</v>
      </c>
      <c r="J930" s="26">
        <v>46021.0</v>
      </c>
      <c r="K930" s="32">
        <v>0.0</v>
      </c>
      <c r="L930" s="32">
        <v>0.0</v>
      </c>
      <c r="M930" s="32">
        <f t="shared" si="3"/>
        <v>0</v>
      </c>
      <c r="N930" s="32" t="s">
        <v>376</v>
      </c>
      <c r="O930" s="32">
        <v>100.0</v>
      </c>
      <c r="P930" s="50" t="str">
        <f t="shared" si="6"/>
        <v>PASSED</v>
      </c>
      <c r="Q930" s="50" t="str">
        <f t="shared" si="5"/>
        <v>12</v>
      </c>
    </row>
    <row r="931" ht="22.5" customHeight="1">
      <c r="A931" s="26">
        <v>46017.0</v>
      </c>
      <c r="B931" s="39" t="s">
        <v>508</v>
      </c>
      <c r="C931" s="214" t="str">
        <f t="array" ref="C931">_xlfn.XLOOKUP(B931, DB[samplingPoint], DB[samplingTag])</f>
        <v>DV136.07</v>
      </c>
      <c r="D931" s="33" t="s">
        <v>56</v>
      </c>
      <c r="E931" s="39" t="str">
        <f t="array" ref="E931">_xlfn.XLOOKUP($B931, DB[samplingPoint], DB[noLocation])</f>
        <v>12-3-039</v>
      </c>
      <c r="F931" s="40" t="str">
        <f t="array" ref="F931">_xlfn.XLOOKUP($B931, DB[samplingPoint], DB[building])</f>
        <v>Building 12</v>
      </c>
      <c r="G931" s="40" t="str">
        <f t="array" ref="G931">_xlfn.XLOOKUP($B931, DB[samplingPoint], DB[location])</f>
        <v>INSTRUMENT 7</v>
      </c>
      <c r="H931" s="40" t="str">
        <f t="array" ref="H931">_xlfn.XLOOKUP($B931, DB[samplingPoint], DB[waterType])</f>
        <v>PW</v>
      </c>
      <c r="I931" s="60">
        <f t="shared" si="1"/>
        <v>46018</v>
      </c>
      <c r="J931" s="26">
        <v>46021.0</v>
      </c>
      <c r="K931" s="32">
        <v>0.0</v>
      </c>
      <c r="L931" s="32">
        <v>0.0</v>
      </c>
      <c r="M931" s="32">
        <f t="shared" si="3"/>
        <v>0</v>
      </c>
      <c r="N931" s="32" t="s">
        <v>376</v>
      </c>
      <c r="O931" s="32">
        <v>100.0</v>
      </c>
      <c r="P931" s="50" t="str">
        <f t="shared" si="6"/>
        <v>PASSED</v>
      </c>
      <c r="Q931" s="50" t="str">
        <f t="shared" si="5"/>
        <v>12</v>
      </c>
    </row>
    <row r="932" ht="22.5" customHeight="1">
      <c r="A932" s="26">
        <v>46017.0</v>
      </c>
      <c r="B932" s="39" t="s">
        <v>463</v>
      </c>
      <c r="C932" s="214" t="str">
        <f t="array" ref="C932">_xlfn.XLOOKUP(B932, DB[samplingPoint], DB[samplingTag])</f>
        <v>DV136.08</v>
      </c>
      <c r="D932" s="33" t="s">
        <v>56</v>
      </c>
      <c r="E932" s="39" t="str">
        <f t="array" ref="E932">_xlfn.XLOOKUP($B932, DB[samplingPoint], DB[noLocation])</f>
        <v>12-3-042</v>
      </c>
      <c r="F932" s="40" t="str">
        <f t="array" ref="F932">_xlfn.XLOOKUP($B932, DB[samplingPoint], DB[building])</f>
        <v>Building 12</v>
      </c>
      <c r="G932" s="40" t="str">
        <f t="array" ref="G932">_xlfn.XLOOKUP($B932, DB[samplingPoint], DB[location])</f>
        <v>SAMPLE PREPARATION</v>
      </c>
      <c r="H932" s="40" t="str">
        <f t="array" ref="H932">_xlfn.XLOOKUP($B932, DB[samplingPoint], DB[waterType])</f>
        <v>PW</v>
      </c>
      <c r="I932" s="60">
        <f t="shared" si="1"/>
        <v>46018</v>
      </c>
      <c r="J932" s="26">
        <v>46021.0</v>
      </c>
      <c r="K932" s="32">
        <v>0.0</v>
      </c>
      <c r="L932" s="32">
        <v>0.0</v>
      </c>
      <c r="M932" s="32">
        <f t="shared" si="3"/>
        <v>0</v>
      </c>
      <c r="N932" s="32" t="s">
        <v>376</v>
      </c>
      <c r="O932" s="32">
        <v>100.0</v>
      </c>
      <c r="P932" s="50" t="str">
        <f t="shared" si="6"/>
        <v>PASSED</v>
      </c>
      <c r="Q932" s="50" t="str">
        <f t="shared" si="5"/>
        <v>12</v>
      </c>
    </row>
    <row r="933" ht="22.5" customHeight="1">
      <c r="A933" s="26">
        <v>46017.0</v>
      </c>
      <c r="B933" s="39" t="s">
        <v>465</v>
      </c>
      <c r="C933" s="214" t="str">
        <f t="array" ref="C933">_xlfn.XLOOKUP(B933, DB[samplingPoint], DB[samplingTag])</f>
        <v>DV136.09</v>
      </c>
      <c r="D933" s="33" t="s">
        <v>56</v>
      </c>
      <c r="E933" s="39" t="str">
        <f t="array" ref="E933">_xlfn.XLOOKUP($B933, DB[samplingPoint], DB[noLocation])</f>
        <v>12-3-042</v>
      </c>
      <c r="F933" s="40" t="str">
        <f t="array" ref="F933">_xlfn.XLOOKUP($B933, DB[samplingPoint], DB[building])</f>
        <v>Building 12</v>
      </c>
      <c r="G933" s="40" t="str">
        <f t="array" ref="G933">_xlfn.XLOOKUP($B933, DB[samplingPoint], DB[location])</f>
        <v>SAMPLE PREPARATION</v>
      </c>
      <c r="H933" s="40" t="str">
        <f t="array" ref="H933">_xlfn.XLOOKUP($B933, DB[samplingPoint], DB[waterType])</f>
        <v>PW</v>
      </c>
      <c r="I933" s="60">
        <f t="shared" si="1"/>
        <v>46018</v>
      </c>
      <c r="J933" s="26">
        <v>46021.0</v>
      </c>
      <c r="K933" s="32">
        <v>0.0</v>
      </c>
      <c r="L933" s="32">
        <v>0.0</v>
      </c>
      <c r="M933" s="32">
        <f t="shared" si="3"/>
        <v>0</v>
      </c>
      <c r="N933" s="32" t="s">
        <v>376</v>
      </c>
      <c r="O933" s="32">
        <v>100.0</v>
      </c>
      <c r="P933" s="50" t="str">
        <f t="shared" si="6"/>
        <v>PASSED</v>
      </c>
      <c r="Q933" s="50" t="str">
        <f t="shared" si="5"/>
        <v>12</v>
      </c>
    </row>
    <row r="934" ht="22.5" customHeight="1">
      <c r="A934" s="26">
        <v>46017.0</v>
      </c>
      <c r="B934" s="39" t="s">
        <v>546</v>
      </c>
      <c r="C934" s="214" t="str">
        <f t="array" ref="C934">_xlfn.XLOOKUP(B934, DB[samplingPoint], DB[samplingTag])</f>
        <v>DV136.04</v>
      </c>
      <c r="D934" s="33" t="s">
        <v>56</v>
      </c>
      <c r="E934" s="39" t="str">
        <f t="array" ref="E934">_xlfn.XLOOKUP($B934, DB[samplingPoint], DB[noLocation])</f>
        <v>12-2-077</v>
      </c>
      <c r="F934" s="40" t="str">
        <f t="array" ref="F934">_xlfn.XLOOKUP($B934, DB[samplingPoint], DB[building])</f>
        <v>Building 12</v>
      </c>
      <c r="G934" s="40" t="str">
        <f t="array" ref="G934">_xlfn.XLOOKUP($B934, DB[samplingPoint], DB[location])</f>
        <v>WATER SYSTEM ROOM</v>
      </c>
      <c r="H934" s="40" t="str">
        <f t="array" ref="H934">_xlfn.XLOOKUP($B934, DB[samplingPoint], DB[waterType])</f>
        <v>PW</v>
      </c>
      <c r="I934" s="60">
        <f t="shared" si="1"/>
        <v>46018</v>
      </c>
      <c r="J934" s="26">
        <v>46021.0</v>
      </c>
      <c r="K934" s="32">
        <v>0.0</v>
      </c>
      <c r="L934" s="32">
        <v>0.0</v>
      </c>
      <c r="M934" s="32">
        <f t="shared" si="3"/>
        <v>0</v>
      </c>
      <c r="N934" s="32" t="s">
        <v>376</v>
      </c>
      <c r="O934" s="32">
        <v>100.0</v>
      </c>
      <c r="P934" s="50" t="str">
        <f t="shared" si="6"/>
        <v>PASSED</v>
      </c>
      <c r="Q934" s="50" t="str">
        <f t="shared" si="5"/>
        <v>12</v>
      </c>
    </row>
    <row r="935" ht="22.5" customHeight="1">
      <c r="A935" s="26">
        <v>46027.0</v>
      </c>
      <c r="B935" s="39" t="str">
        <f t="array" ref="B935">_xlfn.XLOOKUP($C935, DB[samplingTag], DB[samplingPoint])</f>
        <v>GWFI01</v>
      </c>
      <c r="C935" s="32" t="s">
        <v>370</v>
      </c>
      <c r="D935" s="33" t="s">
        <v>371</v>
      </c>
      <c r="E935" s="39" t="str">
        <f t="array" ref="E935">_xlfn.XLOOKUP($B935, DB[samplingPoint], DB[noLocation])</f>
        <v>16-2-010</v>
      </c>
      <c r="F935" s="40" t="str">
        <f t="array" ref="F935">_xlfn.XLOOKUP($B935, DB[samplingPoint], DB[building])</f>
        <v>Building 16</v>
      </c>
      <c r="G935" s="40" t="str">
        <f t="array" ref="G935">_xlfn.XLOOKUP($B935, DB[samplingPoint], DB[location])</f>
        <v>AFTER WFI GENERATOR</v>
      </c>
      <c r="H935" s="40" t="str">
        <f t="array" ref="H935">_xlfn.XLOOKUP($B935, DB[samplingPoint], DB[waterType])</f>
        <v>WFI</v>
      </c>
      <c r="I935" s="60">
        <f t="shared" si="1"/>
        <v>46028</v>
      </c>
      <c r="J935" s="26">
        <v>46031.0</v>
      </c>
      <c r="K935" s="32">
        <v>0.0</v>
      </c>
      <c r="L935" s="32"/>
      <c r="M935" s="32">
        <f t="shared" si="3"/>
        <v>0</v>
      </c>
      <c r="N935" s="32" t="s">
        <v>376</v>
      </c>
      <c r="O935" s="32">
        <v>10.0</v>
      </c>
      <c r="P935" s="50" t="str">
        <f t="shared" si="6"/>
        <v>PASSED</v>
      </c>
      <c r="Q935" s="50" t="str">
        <f t="shared" si="5"/>
        <v>16</v>
      </c>
    </row>
    <row r="936" ht="22.5" customHeight="1">
      <c r="A936" s="26">
        <v>46027.0</v>
      </c>
      <c r="B936" s="39" t="str">
        <f t="array" ref="B936">_xlfn.XLOOKUP($C936, DB[samplingTag], DB[samplingPoint])</f>
        <v>GWFI02</v>
      </c>
      <c r="C936" s="32" t="s">
        <v>382</v>
      </c>
      <c r="D936" s="33" t="s">
        <v>371</v>
      </c>
      <c r="E936" s="39" t="str">
        <f t="array" ref="E936">_xlfn.XLOOKUP($B936, DB[samplingPoint], DB[noLocation])</f>
        <v>16-2-010</v>
      </c>
      <c r="F936" s="40" t="str">
        <f t="array" ref="F936">_xlfn.XLOOKUP($B936, DB[samplingPoint], DB[building])</f>
        <v>Building 16</v>
      </c>
      <c r="G936" s="40" t="str">
        <f t="array" ref="G936">_xlfn.XLOOKUP($B936, DB[samplingPoint], DB[location])</f>
        <v>AFTER STORAGE TANK</v>
      </c>
      <c r="H936" s="40" t="str">
        <f t="array" ref="H936">_xlfn.XLOOKUP($B936, DB[samplingPoint], DB[waterType])</f>
        <v>WFI</v>
      </c>
      <c r="I936" s="60">
        <f t="shared" si="1"/>
        <v>46028</v>
      </c>
      <c r="J936" s="26">
        <v>46031.0</v>
      </c>
      <c r="K936" s="32">
        <v>0.0</v>
      </c>
      <c r="L936" s="32"/>
      <c r="M936" s="32">
        <f t="shared" si="3"/>
        <v>0</v>
      </c>
      <c r="N936" s="32" t="s">
        <v>376</v>
      </c>
      <c r="O936" s="32">
        <v>10.0</v>
      </c>
      <c r="P936" s="50" t="str">
        <f t="shared" si="6"/>
        <v>PASSED</v>
      </c>
      <c r="Q936" s="50" t="str">
        <f t="shared" si="5"/>
        <v>16</v>
      </c>
    </row>
    <row r="937" ht="22.5" customHeight="1">
      <c r="A937" s="26">
        <v>46027.0</v>
      </c>
      <c r="B937" s="39" t="str">
        <f t="array" ref="B937">_xlfn.XLOOKUP($C937, DB[samplingTag], DB[samplingPoint])</f>
        <v>GWFI03</v>
      </c>
      <c r="C937" s="32" t="s">
        <v>387</v>
      </c>
      <c r="D937" s="33" t="s">
        <v>371</v>
      </c>
      <c r="E937" s="39" t="str">
        <f t="array" ref="E937">_xlfn.XLOOKUP($B937, DB[samplingPoint], DB[noLocation])</f>
        <v>16-2-010</v>
      </c>
      <c r="F937" s="40" t="str">
        <f t="array" ref="F937">_xlfn.XLOOKUP($B937, DB[samplingPoint], DB[building])</f>
        <v>Building 16</v>
      </c>
      <c r="G937" s="40" t="str">
        <f t="array" ref="G937">_xlfn.XLOOKUP($B937, DB[samplingPoint], DB[location])</f>
        <v>RETURN LOOP</v>
      </c>
      <c r="H937" s="40" t="str">
        <f t="array" ref="H937">_xlfn.XLOOKUP($B937, DB[samplingPoint], DB[waterType])</f>
        <v>WFI</v>
      </c>
      <c r="I937" s="60">
        <f t="shared" si="1"/>
        <v>46028</v>
      </c>
      <c r="J937" s="26">
        <v>46031.0</v>
      </c>
      <c r="K937" s="32">
        <v>0.0</v>
      </c>
      <c r="L937" s="32"/>
      <c r="M937" s="32">
        <f t="shared" si="3"/>
        <v>0</v>
      </c>
      <c r="N937" s="32" t="s">
        <v>376</v>
      </c>
      <c r="O937" s="32">
        <v>10.0</v>
      </c>
      <c r="P937" s="50" t="str">
        <f t="shared" si="6"/>
        <v>PASSED</v>
      </c>
      <c r="Q937" s="50" t="str">
        <f t="shared" si="5"/>
        <v>16</v>
      </c>
    </row>
    <row r="938" ht="22.5" customHeight="1">
      <c r="A938" s="26">
        <v>46027.0</v>
      </c>
      <c r="B938" s="39" t="str">
        <f t="array" ref="B938">_xlfn.XLOOKUP($C938, DB[samplingTag], DB[samplingPoint])</f>
        <v>WFI07</v>
      </c>
      <c r="C938" s="32" t="s">
        <v>392</v>
      </c>
      <c r="D938" s="33" t="s">
        <v>371</v>
      </c>
      <c r="E938" s="39" t="str">
        <f t="array" ref="E938">_xlfn.XLOOKUP($B938, DB[samplingPoint], DB[noLocation])</f>
        <v>16-1-098</v>
      </c>
      <c r="F938" s="40" t="str">
        <f t="array" ref="F938">_xlfn.XLOOKUP($B938, DB[samplingPoint], DB[building])</f>
        <v>Building 16</v>
      </c>
      <c r="G938" s="40" t="str">
        <f t="array" ref="G938">_xlfn.XLOOKUP($B938, DB[samplingPoint], DB[location])</f>
        <v>CIP/SIP</v>
      </c>
      <c r="H938" s="40" t="str">
        <f t="array" ref="H938">_xlfn.XLOOKUP($B938, DB[samplingPoint], DB[waterType])</f>
        <v>WFI</v>
      </c>
      <c r="I938" s="60">
        <f t="shared" si="1"/>
        <v>46028</v>
      </c>
      <c r="J938" s="26">
        <v>46031.0</v>
      </c>
      <c r="K938" s="32">
        <v>0.0</v>
      </c>
      <c r="L938" s="32"/>
      <c r="M938" s="32">
        <f t="shared" si="3"/>
        <v>0</v>
      </c>
      <c r="N938" s="32" t="s">
        <v>376</v>
      </c>
      <c r="O938" s="32">
        <v>10.0</v>
      </c>
      <c r="P938" s="50" t="str">
        <f t="shared" si="6"/>
        <v>PASSED</v>
      </c>
      <c r="Q938" s="50" t="str">
        <f t="shared" si="5"/>
        <v>16</v>
      </c>
    </row>
    <row r="939" ht="22.5" customHeight="1">
      <c r="A939" s="26">
        <v>46027.0</v>
      </c>
      <c r="B939" s="39" t="str">
        <f t="array" ref="B939">_xlfn.XLOOKUP($C939, DB[samplingTag], DB[samplingPoint])</f>
        <v>WFI08</v>
      </c>
      <c r="C939" s="32" t="s">
        <v>396</v>
      </c>
      <c r="D939" s="33" t="s">
        <v>371</v>
      </c>
      <c r="E939" s="39" t="str">
        <f t="array" ref="E939">_xlfn.XLOOKUP($B939, DB[samplingPoint], DB[noLocation])</f>
        <v>16-1-098</v>
      </c>
      <c r="F939" s="40" t="str">
        <f t="array" ref="F939">_xlfn.XLOOKUP($B939, DB[samplingPoint], DB[building])</f>
        <v>Building 16</v>
      </c>
      <c r="G939" s="40" t="str">
        <f t="array" ref="G939">_xlfn.XLOOKUP($B939, DB[samplingPoint], DB[location])</f>
        <v>CIP/SIP</v>
      </c>
      <c r="H939" s="40" t="str">
        <f t="array" ref="H939">_xlfn.XLOOKUP($B939, DB[samplingPoint], DB[waterType])</f>
        <v>WFI</v>
      </c>
      <c r="I939" s="60">
        <f t="shared" si="1"/>
        <v>46028</v>
      </c>
      <c r="J939" s="26">
        <v>46031.0</v>
      </c>
      <c r="K939" s="32">
        <v>0.0</v>
      </c>
      <c r="L939" s="32"/>
      <c r="M939" s="32">
        <f t="shared" si="3"/>
        <v>0</v>
      </c>
      <c r="N939" s="32" t="s">
        <v>376</v>
      </c>
      <c r="O939" s="32">
        <v>10.0</v>
      </c>
      <c r="P939" s="50" t="str">
        <f t="shared" si="6"/>
        <v>PASSED</v>
      </c>
      <c r="Q939" s="50" t="str">
        <f t="shared" si="5"/>
        <v>16</v>
      </c>
    </row>
    <row r="940" ht="22.5" customHeight="1">
      <c r="A940" s="26">
        <v>46028.0</v>
      </c>
      <c r="B940" s="39" t="s">
        <v>444</v>
      </c>
      <c r="C940" s="32" t="str">
        <f t="array" ref="C940">_xlfn.XLOOKUP(B940, DB[samplingPoint], DB[samplingTag])</f>
        <v>VB-05 (12)</v>
      </c>
      <c r="D940" s="33" t="s">
        <v>59</v>
      </c>
      <c r="E940" s="39" t="str">
        <f t="array" ref="E940">_xlfn.XLOOKUP($B940, DB[samplingPoint], DB[noLocation])</f>
        <v>WATER SYSTEM (B12)</v>
      </c>
      <c r="F940" s="40" t="str">
        <f t="array" ref="F940">_xlfn.XLOOKUP($B940, DB[samplingPoint], DB[building])</f>
        <v>Building 12</v>
      </c>
      <c r="G940" s="40" t="str">
        <f t="array" ref="G940">_xlfn.XLOOKUP($B940, DB[samplingPoint], DB[location])</f>
        <v>After Chlorine circulation tank</v>
      </c>
      <c r="H940" s="40" t="str">
        <f t="array" ref="H940">_xlfn.XLOOKUP($B940, DB[samplingPoint], DB[waterType])</f>
        <v>PRW</v>
      </c>
      <c r="I940" s="60">
        <f t="shared" si="1"/>
        <v>46029</v>
      </c>
      <c r="J940" s="26">
        <v>46032.0</v>
      </c>
      <c r="K940" s="32">
        <v>0.0</v>
      </c>
      <c r="L940" s="32">
        <v>0.0</v>
      </c>
      <c r="M940" s="32">
        <f t="shared" si="3"/>
        <v>0</v>
      </c>
      <c r="N940" s="32" t="s">
        <v>376</v>
      </c>
      <c r="O940" s="32">
        <v>500.0</v>
      </c>
      <c r="P940" s="50" t="str">
        <f t="shared" si="6"/>
        <v>PASSED</v>
      </c>
      <c r="Q940" s="50" t="str">
        <f t="shared" si="5"/>
        <v>WA</v>
      </c>
    </row>
    <row r="941" ht="22.5" customHeight="1">
      <c r="A941" s="26">
        <v>46028.0</v>
      </c>
      <c r="B941" s="39" t="s">
        <v>442</v>
      </c>
      <c r="C941" s="32" t="str">
        <f t="array" ref="C941">_xlfn.XLOOKUP(B941, DB[samplingPoint], DB[samplingTag])</f>
        <v>V50-61 (12)</v>
      </c>
      <c r="D941" s="33" t="s">
        <v>59</v>
      </c>
      <c r="E941" s="39" t="str">
        <f t="array" ref="E941">_xlfn.XLOOKUP($B941, DB[samplingPoint], DB[noLocation])</f>
        <v>WATER SYSTEM (B12)</v>
      </c>
      <c r="F941" s="40" t="str">
        <f t="array" ref="F941">_xlfn.XLOOKUP($B941, DB[samplingPoint], DB[building])</f>
        <v>Building 12</v>
      </c>
      <c r="G941" s="40" t="str">
        <f t="array" ref="G941">_xlfn.XLOOKUP($B941, DB[samplingPoint], DB[location])</f>
        <v>After Cartridge filter 5 µm (B12)</v>
      </c>
      <c r="H941" s="40" t="str">
        <f t="array" ref="H941">_xlfn.XLOOKUP($B941, DB[samplingPoint], DB[waterType])</f>
        <v>PRW</v>
      </c>
      <c r="I941" s="60">
        <f t="shared" si="1"/>
        <v>46029</v>
      </c>
      <c r="J941" s="26">
        <v>46032.0</v>
      </c>
      <c r="K941" s="32">
        <v>2.0</v>
      </c>
      <c r="L941" s="32">
        <v>2.0</v>
      </c>
      <c r="M941" s="32">
        <f t="shared" si="3"/>
        <v>2</v>
      </c>
      <c r="N941" s="32" t="s">
        <v>376</v>
      </c>
      <c r="O941" s="32">
        <v>500.0</v>
      </c>
      <c r="P941" s="50" t="str">
        <f t="shared" si="6"/>
        <v>PASSED</v>
      </c>
      <c r="Q941" s="50" t="str">
        <f t="shared" si="5"/>
        <v>WA</v>
      </c>
    </row>
    <row r="942" ht="22.5" customHeight="1">
      <c r="A942" s="26">
        <v>46028.0</v>
      </c>
      <c r="B942" s="39" t="s">
        <v>434</v>
      </c>
      <c r="C942" s="32" t="str">
        <f t="array" ref="C942">_xlfn.XLOOKUP(B942, DB[samplingPoint], DB[samplingTag])</f>
        <v>V50-11C (12)</v>
      </c>
      <c r="D942" s="33" t="s">
        <v>59</v>
      </c>
      <c r="E942" s="39" t="str">
        <f t="array" ref="E942">_xlfn.XLOOKUP($B942, DB[samplingPoint], DB[noLocation])</f>
        <v>WATER SYSTEM (B12)</v>
      </c>
      <c r="F942" s="40" t="str">
        <f t="array" ref="F942">_xlfn.XLOOKUP($B942, DB[samplingPoint], DB[building])</f>
        <v>Building 12</v>
      </c>
      <c r="G942" s="40" t="str">
        <f t="array" ref="G942">_xlfn.XLOOKUP($B942, DB[samplingPoint], DB[location])</f>
        <v>After RO (Before EDI) (B12)</v>
      </c>
      <c r="H942" s="40" t="str">
        <f t="array" ref="H942">_xlfn.XLOOKUP($B942, DB[samplingPoint], DB[waterType])</f>
        <v>RO water</v>
      </c>
      <c r="I942" s="60">
        <f t="shared" si="1"/>
        <v>46029</v>
      </c>
      <c r="J942" s="26">
        <v>46032.0</v>
      </c>
      <c r="K942" s="32">
        <v>0.0</v>
      </c>
      <c r="L942" s="32">
        <v>0.0</v>
      </c>
      <c r="M942" s="32">
        <f t="shared" si="3"/>
        <v>0</v>
      </c>
      <c r="N942" s="32" t="s">
        <v>376</v>
      </c>
      <c r="O942" s="32">
        <v>100.0</v>
      </c>
      <c r="P942" s="50" t="str">
        <f t="shared" si="6"/>
        <v>PASSED</v>
      </c>
      <c r="Q942" s="50" t="str">
        <f t="shared" si="5"/>
        <v>WA</v>
      </c>
    </row>
    <row r="943" ht="22.5" customHeight="1">
      <c r="A943" s="26">
        <v>46028.0</v>
      </c>
      <c r="B943" s="39" t="s">
        <v>440</v>
      </c>
      <c r="C943" s="32" t="str">
        <f t="array" ref="C943">_xlfn.XLOOKUP(B943, DB[samplingPoint], DB[samplingTag])</f>
        <v>V50-39 (12)</v>
      </c>
      <c r="D943" s="33" t="s">
        <v>59</v>
      </c>
      <c r="E943" s="39" t="str">
        <f t="array" ref="E943">_xlfn.XLOOKUP($B943, DB[samplingPoint], DB[noLocation])</f>
        <v>WATER SYSTEM (B12)</v>
      </c>
      <c r="F943" s="40" t="str">
        <f t="array" ref="F943">_xlfn.XLOOKUP($B943, DB[samplingPoint], DB[building])</f>
        <v>Building 12</v>
      </c>
      <c r="G943" s="40" t="str">
        <f t="array" ref="G943">_xlfn.XLOOKUP($B943, DB[samplingPoint], DB[location])</f>
        <v>After EDI (B12)</v>
      </c>
      <c r="H943" s="40" t="str">
        <f t="array" ref="H943">_xlfn.XLOOKUP($B943, DB[samplingPoint], DB[waterType])</f>
        <v>PW</v>
      </c>
      <c r="I943" s="60">
        <f t="shared" si="1"/>
        <v>46029</v>
      </c>
      <c r="J943" s="26">
        <v>46032.0</v>
      </c>
      <c r="K943" s="32">
        <v>0.0</v>
      </c>
      <c r="L943" s="32">
        <v>0.0</v>
      </c>
      <c r="M943" s="32">
        <f t="shared" si="3"/>
        <v>0</v>
      </c>
      <c r="N943" s="32" t="s">
        <v>376</v>
      </c>
      <c r="O943" s="32">
        <v>100.0</v>
      </c>
      <c r="P943" s="50" t="str">
        <f t="shared" si="6"/>
        <v>PASSED</v>
      </c>
      <c r="Q943" s="50" t="str">
        <f t="shared" si="5"/>
        <v>WA</v>
      </c>
    </row>
    <row r="944" ht="22.5" customHeight="1">
      <c r="A944" s="26">
        <v>46028.0</v>
      </c>
      <c r="B944" s="39" t="s">
        <v>430</v>
      </c>
      <c r="C944" s="32" t="str">
        <f t="array" ref="C944">_xlfn.XLOOKUP(B944, DB[samplingPoint], DB[samplingTag])</f>
        <v>SV137.01</v>
      </c>
      <c r="D944" s="33" t="s">
        <v>59</v>
      </c>
      <c r="E944" s="39" t="str">
        <f t="array" ref="E944">_xlfn.XLOOKUP($B944, DB[samplingPoint], DB[noLocation])</f>
        <v>WATER SYSTEM (B12)</v>
      </c>
      <c r="F944" s="40" t="str">
        <f t="array" ref="F944">_xlfn.XLOOKUP($B944, DB[samplingPoint], DB[building])</f>
        <v>Building 12</v>
      </c>
      <c r="G944" s="40" t="str">
        <f t="array" ref="G944">_xlfn.XLOOKUP($B944, DB[samplingPoint], DB[location])</f>
        <v>Return loop (B12)</v>
      </c>
      <c r="H944" s="40" t="str">
        <f t="array" ref="H944">_xlfn.XLOOKUP($B944, DB[samplingPoint], DB[waterType])</f>
        <v>PW</v>
      </c>
      <c r="I944" s="60">
        <f t="shared" si="1"/>
        <v>46029</v>
      </c>
      <c r="J944" s="26">
        <v>46032.0</v>
      </c>
      <c r="K944" s="32">
        <v>0.0</v>
      </c>
      <c r="L944" s="32">
        <v>0.0</v>
      </c>
      <c r="M944" s="32">
        <f t="shared" si="3"/>
        <v>0</v>
      </c>
      <c r="N944" s="32" t="s">
        <v>376</v>
      </c>
      <c r="O944" s="32">
        <v>100.0</v>
      </c>
      <c r="P944" s="50" t="str">
        <f t="shared" si="6"/>
        <v>PASSED</v>
      </c>
      <c r="Q944" s="50" t="str">
        <f t="shared" si="5"/>
        <v>WA</v>
      </c>
    </row>
    <row r="945" ht="22.5" customHeight="1">
      <c r="A945" s="26">
        <v>46028.0</v>
      </c>
      <c r="B945" s="39" t="s">
        <v>419</v>
      </c>
      <c r="C945" s="32" t="str">
        <f t="array" ref="C945">_xlfn.XLOOKUP(B945, DB[samplingPoint], DB[samplingTag])</f>
        <v>DV136.15</v>
      </c>
      <c r="D945" s="33" t="s">
        <v>59</v>
      </c>
      <c r="E945" s="39" t="str">
        <f t="array" ref="E945">_xlfn.XLOOKUP($B945, DB[samplingPoint], DB[noLocation])</f>
        <v>12-3-078</v>
      </c>
      <c r="F945" s="40" t="str">
        <f t="array" ref="F945">_xlfn.XLOOKUP($B945, DB[samplingPoint], DB[building])</f>
        <v>Building 12</v>
      </c>
      <c r="G945" s="40" t="str">
        <f t="array" ref="G945">_xlfn.XLOOKUP($B945, DB[samplingPoint], DB[location])</f>
        <v>GLASSWARE WASHING 2</v>
      </c>
      <c r="H945" s="40" t="str">
        <f t="array" ref="H945">_xlfn.XLOOKUP($B945, DB[samplingPoint], DB[waterType])</f>
        <v>PW</v>
      </c>
      <c r="I945" s="60">
        <f t="shared" si="1"/>
        <v>46029</v>
      </c>
      <c r="J945" s="26">
        <v>46032.0</v>
      </c>
      <c r="K945" s="32">
        <v>0.0</v>
      </c>
      <c r="L945" s="32">
        <v>0.0</v>
      </c>
      <c r="M945" s="32">
        <f t="shared" si="3"/>
        <v>0</v>
      </c>
      <c r="N945" s="32" t="s">
        <v>376</v>
      </c>
      <c r="O945" s="32">
        <v>100.0</v>
      </c>
      <c r="P945" s="50" t="str">
        <f t="shared" si="6"/>
        <v>PASSED</v>
      </c>
      <c r="Q945" s="50" t="str">
        <f t="shared" si="5"/>
        <v>12</v>
      </c>
    </row>
    <row r="946" ht="22.5" customHeight="1">
      <c r="A946" s="26">
        <v>46028.0</v>
      </c>
      <c r="B946" s="39" t="s">
        <v>409</v>
      </c>
      <c r="C946" s="32" t="str">
        <f t="array" ref="C946">_xlfn.XLOOKUP(B946, DB[samplingPoint], DB[samplingTag])</f>
        <v>DV136.13</v>
      </c>
      <c r="D946" s="33" t="s">
        <v>59</v>
      </c>
      <c r="E946" s="39" t="str">
        <f t="array" ref="E946">_xlfn.XLOOKUP($B946, DB[samplingPoint], DB[noLocation])</f>
        <v>12-3-057</v>
      </c>
      <c r="F946" s="40" t="str">
        <f t="array" ref="F946">_xlfn.XLOOKUP($B946, DB[samplingPoint], DB[building])</f>
        <v>Building 12</v>
      </c>
      <c r="G946" s="40" t="str">
        <f t="array" ref="G946">_xlfn.XLOOKUP($B946, DB[samplingPoint], DB[location])</f>
        <v>STERILIZATION</v>
      </c>
      <c r="H946" s="40" t="str">
        <f t="array" ref="H946">_xlfn.XLOOKUP($B946, DB[samplingPoint], DB[waterType])</f>
        <v>PW</v>
      </c>
      <c r="I946" s="60">
        <f t="shared" si="1"/>
        <v>46029</v>
      </c>
      <c r="J946" s="26">
        <v>46032.0</v>
      </c>
      <c r="K946" s="32">
        <v>0.0</v>
      </c>
      <c r="L946" s="32">
        <v>0.0</v>
      </c>
      <c r="M946" s="32">
        <f t="shared" si="3"/>
        <v>0</v>
      </c>
      <c r="N946" s="32" t="s">
        <v>376</v>
      </c>
      <c r="O946" s="32">
        <v>100.0</v>
      </c>
      <c r="P946" s="50" t="str">
        <f t="shared" si="6"/>
        <v>PASSED</v>
      </c>
      <c r="Q946" s="50" t="str">
        <f t="shared" si="5"/>
        <v>12</v>
      </c>
    </row>
    <row r="947" ht="22.5" customHeight="1">
      <c r="A947" s="26">
        <v>46028.0</v>
      </c>
      <c r="B947" s="39" t="s">
        <v>427</v>
      </c>
      <c r="C947" s="32" t="str">
        <f t="array" ref="C947">_xlfn.XLOOKUP(B947, DB[samplingPoint], DB[samplingTag])</f>
        <v>SV136.18</v>
      </c>
      <c r="D947" s="33" t="s">
        <v>59</v>
      </c>
      <c r="E947" s="39" t="str">
        <f t="array" ref="E947">_xlfn.XLOOKUP($B947, DB[samplingPoint], DB[noLocation])</f>
        <v>12-3-059</v>
      </c>
      <c r="F947" s="40" t="str">
        <f t="array" ref="F947">_xlfn.XLOOKUP($B947, DB[samplingPoint], DB[building])</f>
        <v>Building 12</v>
      </c>
      <c r="G947" s="40" t="str">
        <f t="array" ref="G947">_xlfn.XLOOKUP($B947, DB[samplingPoint], DB[location])</f>
        <v>AUTOCLAVE</v>
      </c>
      <c r="H947" s="40" t="str">
        <f t="array" ref="H947">_xlfn.XLOOKUP($B947, DB[samplingPoint], DB[waterType])</f>
        <v>PW</v>
      </c>
      <c r="I947" s="60">
        <f t="shared" si="1"/>
        <v>46029</v>
      </c>
      <c r="J947" s="26">
        <v>46032.0</v>
      </c>
      <c r="K947" s="32">
        <v>0.0</v>
      </c>
      <c r="L947" s="32">
        <v>0.0</v>
      </c>
      <c r="M947" s="32">
        <f t="shared" si="3"/>
        <v>0</v>
      </c>
      <c r="N947" s="32" t="s">
        <v>376</v>
      </c>
      <c r="O947" s="32">
        <v>100.0</v>
      </c>
      <c r="P947" s="50" t="str">
        <f t="shared" si="6"/>
        <v>PASSED</v>
      </c>
      <c r="Q947" s="50" t="str">
        <f t="shared" si="5"/>
        <v>12</v>
      </c>
    </row>
    <row r="948" ht="22.5" customHeight="1">
      <c r="A948" s="26">
        <v>46028.0</v>
      </c>
      <c r="B948" s="39" t="s">
        <v>399</v>
      </c>
      <c r="C948" s="32" t="str">
        <f t="array" ref="C948">_xlfn.XLOOKUP(B948, DB[samplingPoint], DB[samplingTag])</f>
        <v>DV136.11</v>
      </c>
      <c r="D948" s="33" t="s">
        <v>59</v>
      </c>
      <c r="E948" s="39" t="str">
        <f t="array" ref="E948">_xlfn.XLOOKUP($B948, DB[samplingPoint], DB[noLocation])</f>
        <v>12-3-059</v>
      </c>
      <c r="F948" s="40" t="str">
        <f t="array" ref="F948">_xlfn.XLOOKUP($B948, DB[samplingPoint], DB[building])</f>
        <v>Building 12</v>
      </c>
      <c r="G948" s="40" t="str">
        <f t="array" ref="G948">_xlfn.XLOOKUP($B948, DB[samplingPoint], DB[location])</f>
        <v>AUTOCLAVE</v>
      </c>
      <c r="H948" s="40" t="str">
        <f t="array" ref="H948">_xlfn.XLOOKUP($B948, DB[samplingPoint], DB[waterType])</f>
        <v>PW</v>
      </c>
      <c r="I948" s="60">
        <f t="shared" si="1"/>
        <v>46029</v>
      </c>
      <c r="J948" s="26">
        <v>46032.0</v>
      </c>
      <c r="K948" s="32">
        <v>0.0</v>
      </c>
      <c r="L948" s="32">
        <v>0.0</v>
      </c>
      <c r="M948" s="32">
        <f t="shared" si="3"/>
        <v>0</v>
      </c>
      <c r="N948" s="32" t="s">
        <v>376</v>
      </c>
      <c r="O948" s="32">
        <v>100.0</v>
      </c>
      <c r="P948" s="50" t="str">
        <f t="shared" si="6"/>
        <v>PASSED</v>
      </c>
      <c r="Q948" s="50" t="str">
        <f t="shared" si="5"/>
        <v>12</v>
      </c>
    </row>
    <row r="949" ht="22.5" customHeight="1">
      <c r="A949" s="26">
        <v>46028.0</v>
      </c>
      <c r="B949" s="39" t="s">
        <v>405</v>
      </c>
      <c r="C949" s="32" t="str">
        <f t="array" ref="C949">_xlfn.XLOOKUP(B949, DB[samplingPoint], DB[samplingTag])</f>
        <v>DV136.12</v>
      </c>
      <c r="D949" s="33" t="s">
        <v>59</v>
      </c>
      <c r="E949" s="39" t="str">
        <f t="array" ref="E949">_xlfn.XLOOKUP($B949, DB[samplingPoint], DB[noLocation])</f>
        <v>12-3-056</v>
      </c>
      <c r="F949" s="40" t="str">
        <f t="array" ref="F949">_xlfn.XLOOKUP($B949, DB[samplingPoint], DB[building])</f>
        <v>Building 12</v>
      </c>
      <c r="G949" s="40" t="str">
        <f t="array" ref="G949">_xlfn.XLOOKUP($B949, DB[samplingPoint], DB[location])</f>
        <v>MEDIA PREPARATION</v>
      </c>
      <c r="H949" s="40" t="str">
        <f t="array" ref="H949">_xlfn.XLOOKUP($B949, DB[samplingPoint], DB[waterType])</f>
        <v>PW</v>
      </c>
      <c r="I949" s="60">
        <f t="shared" si="1"/>
        <v>46029</v>
      </c>
      <c r="J949" s="26">
        <v>46032.0</v>
      </c>
      <c r="K949" s="32">
        <v>0.0</v>
      </c>
      <c r="L949" s="32">
        <v>0.0</v>
      </c>
      <c r="M949" s="32">
        <f t="shared" si="3"/>
        <v>0</v>
      </c>
      <c r="N949" s="32" t="s">
        <v>376</v>
      </c>
      <c r="O949" s="32">
        <v>100.0</v>
      </c>
      <c r="P949" s="50" t="str">
        <f t="shared" si="6"/>
        <v>PASSED</v>
      </c>
      <c r="Q949" s="50" t="str">
        <f t="shared" si="5"/>
        <v>12</v>
      </c>
    </row>
    <row r="950" ht="22.5" customHeight="1">
      <c r="A950" s="26">
        <v>46028.0</v>
      </c>
      <c r="B950" s="39" t="s">
        <v>393</v>
      </c>
      <c r="C950" s="32" t="str">
        <f t="array" ref="C950">_xlfn.XLOOKUP(B950, DB[samplingPoint], DB[samplingTag])</f>
        <v>DV136.10</v>
      </c>
      <c r="D950" s="33" t="s">
        <v>59</v>
      </c>
      <c r="E950" s="39" t="str">
        <f t="array" ref="E950">_xlfn.XLOOKUP($B950, DB[samplingPoint], DB[noLocation])</f>
        <v>12-3-056</v>
      </c>
      <c r="F950" s="40" t="str">
        <f t="array" ref="F950">_xlfn.XLOOKUP($B950, DB[samplingPoint], DB[building])</f>
        <v>Building 12</v>
      </c>
      <c r="G950" s="40" t="str">
        <f t="array" ref="G950">_xlfn.XLOOKUP($B950, DB[samplingPoint], DB[location])</f>
        <v>MEDIA PREPARATION</v>
      </c>
      <c r="H950" s="40" t="str">
        <f t="array" ref="H950">_xlfn.XLOOKUP($B950, DB[samplingPoint], DB[waterType])</f>
        <v>PW</v>
      </c>
      <c r="I950" s="60">
        <f t="shared" si="1"/>
        <v>46029</v>
      </c>
      <c r="J950" s="26">
        <v>46032.0</v>
      </c>
      <c r="K950" s="32">
        <v>0.0</v>
      </c>
      <c r="L950" s="32">
        <v>0.0</v>
      </c>
      <c r="M950" s="32">
        <f t="shared" si="3"/>
        <v>0</v>
      </c>
      <c r="N950" s="32" t="s">
        <v>376</v>
      </c>
      <c r="O950" s="32">
        <v>100.0</v>
      </c>
      <c r="P950" s="50" t="str">
        <f t="shared" si="6"/>
        <v>PASSED</v>
      </c>
      <c r="Q950" s="50" t="str">
        <f t="shared" si="5"/>
        <v>12</v>
      </c>
    </row>
    <row r="951" ht="22.5" customHeight="1">
      <c r="A951" s="26">
        <v>46028.0</v>
      </c>
      <c r="B951" s="39" t="s">
        <v>413</v>
      </c>
      <c r="C951" s="32" t="str">
        <f t="array" ref="C951">_xlfn.XLOOKUP(B951, DB[samplingPoint], DB[samplingTag])</f>
        <v>DV136.14</v>
      </c>
      <c r="D951" s="33" t="s">
        <v>59</v>
      </c>
      <c r="E951" s="39" t="str">
        <f t="array" ref="E951">_xlfn.XLOOKUP($B951, DB[samplingPoint], DB[noLocation])</f>
        <v>12-3-074</v>
      </c>
      <c r="F951" s="40" t="str">
        <f t="array" ref="F951">_xlfn.XLOOKUP($B951, DB[samplingPoint], DB[building])</f>
        <v>Building 12</v>
      </c>
      <c r="G951" s="40" t="str">
        <f t="array" ref="G951">_xlfn.XLOOKUP($B951, DB[samplingPoint], DB[location])</f>
        <v>DECONTAMINATION</v>
      </c>
      <c r="H951" s="40" t="str">
        <f t="array" ref="H951">_xlfn.XLOOKUP($B951, DB[samplingPoint], DB[waterType])</f>
        <v>PW</v>
      </c>
      <c r="I951" s="60">
        <f t="shared" si="1"/>
        <v>46029</v>
      </c>
      <c r="J951" s="26">
        <v>46032.0</v>
      </c>
      <c r="K951" s="32">
        <v>0.0</v>
      </c>
      <c r="L951" s="32">
        <v>0.0</v>
      </c>
      <c r="M951" s="32">
        <f t="shared" si="3"/>
        <v>0</v>
      </c>
      <c r="N951" s="32" t="s">
        <v>376</v>
      </c>
      <c r="O951" s="32">
        <v>100.0</v>
      </c>
      <c r="P951" s="50" t="str">
        <f t="shared" si="6"/>
        <v>PASSED</v>
      </c>
      <c r="Q951" s="50" t="str">
        <f t="shared" si="5"/>
        <v>12</v>
      </c>
    </row>
    <row r="952" ht="22.5" customHeight="1">
      <c r="A952" s="26">
        <v>46028.0</v>
      </c>
      <c r="B952" s="39" t="s">
        <v>422</v>
      </c>
      <c r="C952" s="32" t="str">
        <f t="array" ref="C952">_xlfn.XLOOKUP(B952, DB[samplingPoint], DB[samplingTag])</f>
        <v>DV136.18</v>
      </c>
      <c r="D952" s="33" t="s">
        <v>59</v>
      </c>
      <c r="E952" s="39" t="str">
        <f t="array" ref="E952">_xlfn.XLOOKUP($B952, DB[samplingPoint], DB[noLocation])</f>
        <v>12-3-037</v>
      </c>
      <c r="F952" s="40" t="str">
        <f t="array" ref="F952">_xlfn.XLOOKUP($B952, DB[samplingPoint], DB[building])</f>
        <v>Building 12</v>
      </c>
      <c r="G952" s="40" t="str">
        <f t="array" ref="G952">_xlfn.XLOOKUP($B952, DB[samplingPoint], DB[location])</f>
        <v>GLASSWARE WASHING 1</v>
      </c>
      <c r="H952" s="40" t="str">
        <f t="array" ref="H952">_xlfn.XLOOKUP($B952, DB[samplingPoint], DB[waterType])</f>
        <v>PW</v>
      </c>
      <c r="I952" s="60">
        <f t="shared" si="1"/>
        <v>46029</v>
      </c>
      <c r="J952" s="26">
        <v>46032.0</v>
      </c>
      <c r="K952" s="32">
        <v>0.0</v>
      </c>
      <c r="L952" s="32">
        <v>0.0</v>
      </c>
      <c r="M952" s="32">
        <f t="shared" si="3"/>
        <v>0</v>
      </c>
      <c r="N952" s="32" t="s">
        <v>376</v>
      </c>
      <c r="O952" s="32">
        <v>100.0</v>
      </c>
      <c r="P952" s="50" t="str">
        <f t="shared" si="6"/>
        <v>PASSED</v>
      </c>
      <c r="Q952" s="50" t="str">
        <f t="shared" si="5"/>
        <v>12</v>
      </c>
    </row>
    <row r="953" ht="22.5" customHeight="1">
      <c r="A953" s="26">
        <v>46028.0</v>
      </c>
      <c r="B953" s="39" t="s">
        <v>373</v>
      </c>
      <c r="C953" s="32" t="str">
        <f t="array" ref="C953">_xlfn.XLOOKUP(B953, DB[samplingPoint], DB[samplingTag])</f>
        <v>DV136.05</v>
      </c>
      <c r="D953" s="33" t="s">
        <v>59</v>
      </c>
      <c r="E953" s="39" t="str">
        <f t="array" ref="E953">_xlfn.XLOOKUP($B953, DB[samplingPoint], DB[noLocation])</f>
        <v>12-3-037</v>
      </c>
      <c r="F953" s="40" t="str">
        <f t="array" ref="F953">_xlfn.XLOOKUP($B953, DB[samplingPoint], DB[building])</f>
        <v>Building 12</v>
      </c>
      <c r="G953" s="40" t="str">
        <f t="array" ref="G953">_xlfn.XLOOKUP($B953, DB[samplingPoint], DB[location])</f>
        <v>GLASSWARE WASHING 1</v>
      </c>
      <c r="H953" s="40" t="str">
        <f t="array" ref="H953">_xlfn.XLOOKUP($B953, DB[samplingPoint], DB[waterType])</f>
        <v>PW</v>
      </c>
      <c r="I953" s="60">
        <f t="shared" si="1"/>
        <v>46029</v>
      </c>
      <c r="J953" s="26">
        <v>46032.0</v>
      </c>
      <c r="K953" s="32">
        <v>0.0</v>
      </c>
      <c r="L953" s="32">
        <v>0.0</v>
      </c>
      <c r="M953" s="32">
        <f t="shared" si="3"/>
        <v>0</v>
      </c>
      <c r="N953" s="32" t="s">
        <v>376</v>
      </c>
      <c r="O953" s="32">
        <v>100.0</v>
      </c>
      <c r="P953" s="50" t="str">
        <f t="shared" si="6"/>
        <v>PASSED</v>
      </c>
      <c r="Q953" s="50" t="str">
        <f t="shared" si="5"/>
        <v>12</v>
      </c>
    </row>
    <row r="954" ht="22.5" customHeight="1">
      <c r="A954" s="26">
        <v>46028.0</v>
      </c>
      <c r="B954" s="39" t="s">
        <v>389</v>
      </c>
      <c r="C954" s="32" t="str">
        <f t="array" ref="C954">_xlfn.XLOOKUP(B954, DB[samplingPoint], DB[samplingTag])</f>
        <v>DV136.06</v>
      </c>
      <c r="D954" s="33" t="s">
        <v>59</v>
      </c>
      <c r="E954" s="39" t="str">
        <f t="array" ref="E954">_xlfn.XLOOKUP($B954, DB[samplingPoint], DB[noLocation])</f>
        <v>12-3-037</v>
      </c>
      <c r="F954" s="40" t="str">
        <f t="array" ref="F954">_xlfn.XLOOKUP($B954, DB[samplingPoint], DB[building])</f>
        <v>Building 12</v>
      </c>
      <c r="G954" s="40" t="str">
        <f t="array" ref="G954">_xlfn.XLOOKUP($B954, DB[samplingPoint], DB[location])</f>
        <v>GLASSWARE WASHING 1</v>
      </c>
      <c r="H954" s="40" t="str">
        <f t="array" ref="H954">_xlfn.XLOOKUP($B954, DB[samplingPoint], DB[waterType])</f>
        <v>PW</v>
      </c>
      <c r="I954" s="60">
        <f t="shared" si="1"/>
        <v>46029</v>
      </c>
      <c r="J954" s="26">
        <v>46032.0</v>
      </c>
      <c r="K954" s="32">
        <v>0.0</v>
      </c>
      <c r="L954" s="32">
        <v>0.0</v>
      </c>
      <c r="M954" s="32">
        <f t="shared" si="3"/>
        <v>0</v>
      </c>
      <c r="N954" s="32" t="s">
        <v>376</v>
      </c>
      <c r="O954" s="32">
        <v>100.0</v>
      </c>
      <c r="P954" s="50" t="str">
        <f t="shared" si="6"/>
        <v>PASSED</v>
      </c>
      <c r="Q954" s="50" t="str">
        <f t="shared" si="5"/>
        <v>12</v>
      </c>
    </row>
    <row r="955" ht="22.5" customHeight="1">
      <c r="A955" s="26">
        <v>46028.0</v>
      </c>
      <c r="B955" s="39" t="s">
        <v>471</v>
      </c>
      <c r="C955" s="32" t="str">
        <f t="array" ref="C955">_xlfn.XLOOKUP(B955, DB[samplingPoint], DB[samplingTag])</f>
        <v>VB-05 (16)</v>
      </c>
      <c r="D955" s="33" t="s">
        <v>59</v>
      </c>
      <c r="E955" s="39" t="str">
        <f t="array" ref="E955">_xlfn.XLOOKUP($B955, DB[samplingPoint], DB[noLocation])</f>
        <v>WATER SYSTEM (B16)</v>
      </c>
      <c r="F955" s="40" t="str">
        <f t="array" ref="F955">_xlfn.XLOOKUP($B955, DB[samplingPoint], DB[building])</f>
        <v>Building 16</v>
      </c>
      <c r="G955" s="40" t="str">
        <f t="array" ref="G955">_xlfn.XLOOKUP($B955, DB[samplingPoint], DB[location])</f>
        <v>After Chlorine circulation tank (B16)</v>
      </c>
      <c r="H955" s="40" t="str">
        <f t="array" ref="H955">_xlfn.XLOOKUP($B955, DB[samplingPoint], DB[waterType])</f>
        <v>PRW</v>
      </c>
      <c r="I955" s="60">
        <f t="shared" si="1"/>
        <v>46029</v>
      </c>
      <c r="J955" s="26">
        <v>46032.0</v>
      </c>
      <c r="K955" s="32">
        <v>0.0</v>
      </c>
      <c r="L955" s="32">
        <v>0.0</v>
      </c>
      <c r="M955" s="32">
        <f t="shared" si="3"/>
        <v>0</v>
      </c>
      <c r="N955" s="32" t="s">
        <v>376</v>
      </c>
      <c r="O955" s="32">
        <v>100.0</v>
      </c>
      <c r="P955" s="50" t="str">
        <f t="shared" si="6"/>
        <v>PASSED</v>
      </c>
      <c r="Q955" s="50" t="str">
        <f t="shared" si="5"/>
        <v>WA</v>
      </c>
    </row>
    <row r="956" ht="22.5" customHeight="1">
      <c r="A956" s="26">
        <v>46028.0</v>
      </c>
      <c r="B956" s="39" t="s">
        <v>470</v>
      </c>
      <c r="C956" s="32" t="str">
        <f t="array" ref="C956">_xlfn.XLOOKUP(B956, DB[samplingPoint], DB[samplingTag])</f>
        <v>V50-61 (16)</v>
      </c>
      <c r="D956" s="33" t="s">
        <v>59</v>
      </c>
      <c r="E956" s="39" t="str">
        <f t="array" ref="E956">_xlfn.XLOOKUP($B956, DB[samplingPoint], DB[noLocation])</f>
        <v>WATER SYSTEM (B16)</v>
      </c>
      <c r="F956" s="40" t="str">
        <f t="array" ref="F956">_xlfn.XLOOKUP($B956, DB[samplingPoint], DB[building])</f>
        <v>Building 16</v>
      </c>
      <c r="G956" s="40" t="str">
        <f t="array" ref="G956">_xlfn.XLOOKUP($B956, DB[samplingPoint], DB[location])</f>
        <v>After Cartridge filter 5 µm (B16)</v>
      </c>
      <c r="H956" s="40" t="str">
        <f t="array" ref="H956">_xlfn.XLOOKUP($B956, DB[samplingPoint], DB[waterType])</f>
        <v>PRW</v>
      </c>
      <c r="I956" s="60">
        <f t="shared" si="1"/>
        <v>46029</v>
      </c>
      <c r="J956" s="26">
        <v>46032.0</v>
      </c>
      <c r="K956" s="32">
        <v>111.0</v>
      </c>
      <c r="L956" s="32">
        <v>5.0</v>
      </c>
      <c r="M956" s="32">
        <f t="shared" si="3"/>
        <v>58</v>
      </c>
      <c r="N956" s="32" t="s">
        <v>376</v>
      </c>
      <c r="O956" s="32">
        <v>100.0</v>
      </c>
      <c r="P956" s="50" t="str">
        <f t="shared" si="6"/>
        <v>PASSED</v>
      </c>
      <c r="Q956" s="50" t="str">
        <f t="shared" si="5"/>
        <v>WA</v>
      </c>
    </row>
    <row r="957" ht="22.5" customHeight="1">
      <c r="A957" s="26">
        <v>46028.0</v>
      </c>
      <c r="B957" s="39" t="s">
        <v>466</v>
      </c>
      <c r="C957" s="32" t="str">
        <f t="array" ref="C957">_xlfn.XLOOKUP(B957, DB[samplingPoint], DB[samplingTag])</f>
        <v>V50-11C (16)</v>
      </c>
      <c r="D957" s="33" t="s">
        <v>59</v>
      </c>
      <c r="E957" s="39" t="str">
        <f t="array" ref="E957">_xlfn.XLOOKUP($B957, DB[samplingPoint], DB[noLocation])</f>
        <v>WATER SYSTEM (B16)</v>
      </c>
      <c r="F957" s="40" t="str">
        <f t="array" ref="F957">_xlfn.XLOOKUP($B957, DB[samplingPoint], DB[building])</f>
        <v>Building 16</v>
      </c>
      <c r="G957" s="40" t="str">
        <f t="array" ref="G957">_xlfn.XLOOKUP($B957, DB[samplingPoint], DB[location])</f>
        <v>After RO (Before EDI) (B16)</v>
      </c>
      <c r="H957" s="40" t="str">
        <f t="array" ref="H957">_xlfn.XLOOKUP($B957, DB[samplingPoint], DB[waterType])</f>
        <v>RO water</v>
      </c>
      <c r="I957" s="60">
        <f t="shared" si="1"/>
        <v>46029</v>
      </c>
      <c r="J957" s="26">
        <v>46032.0</v>
      </c>
      <c r="K957" s="32">
        <v>0.0</v>
      </c>
      <c r="L957" s="32">
        <v>0.0</v>
      </c>
      <c r="M957" s="32">
        <f t="shared" si="3"/>
        <v>0</v>
      </c>
      <c r="N957" s="32" t="s">
        <v>376</v>
      </c>
      <c r="O957" s="32">
        <v>100.0</v>
      </c>
      <c r="P957" s="50" t="str">
        <f t="shared" si="6"/>
        <v>PASSED</v>
      </c>
      <c r="Q957" s="50" t="str">
        <f t="shared" si="5"/>
        <v>WA</v>
      </c>
    </row>
    <row r="958" ht="22.5" customHeight="1">
      <c r="A958" s="26">
        <v>46028.0</v>
      </c>
      <c r="B958" s="39" t="s">
        <v>468</v>
      </c>
      <c r="C958" s="32" t="str">
        <f t="array" ref="C958">_xlfn.XLOOKUP(B958, DB[samplingPoint], DB[samplingTag])</f>
        <v>V50-39 (16)</v>
      </c>
      <c r="D958" s="33" t="s">
        <v>59</v>
      </c>
      <c r="E958" s="39" t="str">
        <f t="array" ref="E958">_xlfn.XLOOKUP($B958, DB[samplingPoint], DB[noLocation])</f>
        <v>WATER SYSTEM (B16)</v>
      </c>
      <c r="F958" s="40" t="str">
        <f t="array" ref="F958">_xlfn.XLOOKUP($B958, DB[samplingPoint], DB[building])</f>
        <v>Building 16</v>
      </c>
      <c r="G958" s="40" t="str">
        <f t="array" ref="G958">_xlfn.XLOOKUP($B958, DB[samplingPoint], DB[location])</f>
        <v>After EDI (B16)</v>
      </c>
      <c r="H958" s="40" t="str">
        <f t="array" ref="H958">_xlfn.XLOOKUP($B958, DB[samplingPoint], DB[waterType])</f>
        <v>PW</v>
      </c>
      <c r="I958" s="60">
        <f t="shared" si="1"/>
        <v>46029</v>
      </c>
      <c r="J958" s="26">
        <v>46032.0</v>
      </c>
      <c r="K958" s="32">
        <v>0.0</v>
      </c>
      <c r="L958" s="32">
        <v>0.0</v>
      </c>
      <c r="M958" s="32">
        <f t="shared" si="3"/>
        <v>0</v>
      </c>
      <c r="N958" s="32" t="s">
        <v>376</v>
      </c>
      <c r="O958" s="32">
        <v>100.0</v>
      </c>
      <c r="P958" s="50" t="str">
        <f t="shared" si="6"/>
        <v>PASSED</v>
      </c>
      <c r="Q958" s="50" t="str">
        <f t="shared" si="5"/>
        <v>WA</v>
      </c>
    </row>
    <row r="959" ht="22.5" customHeight="1">
      <c r="A959" s="26">
        <v>46028.0</v>
      </c>
      <c r="B959" s="39" t="s">
        <v>464</v>
      </c>
      <c r="C959" s="32" t="str">
        <f t="array" ref="C959">_xlfn.XLOOKUP(B959, DB[samplingPoint], DB[samplingTag])</f>
        <v>SV127.01</v>
      </c>
      <c r="D959" s="33" t="s">
        <v>59</v>
      </c>
      <c r="E959" s="39" t="str">
        <f t="array" ref="E959">_xlfn.XLOOKUP($B959, DB[samplingPoint], DB[noLocation])</f>
        <v>WATER SYSTEM (B16)</v>
      </c>
      <c r="F959" s="40" t="str">
        <f t="array" ref="F959">_xlfn.XLOOKUP($B959, DB[samplingPoint], DB[building])</f>
        <v>Building 16</v>
      </c>
      <c r="G959" s="40" t="str">
        <f t="array" ref="G959">_xlfn.XLOOKUP($B959, DB[samplingPoint], DB[location])</f>
        <v>Return loop (B16)</v>
      </c>
      <c r="H959" s="40" t="str">
        <f t="array" ref="H959">_xlfn.XLOOKUP($B959, DB[samplingPoint], DB[waterType])</f>
        <v>PW</v>
      </c>
      <c r="I959" s="60">
        <f t="shared" si="1"/>
        <v>46029</v>
      </c>
      <c r="J959" s="26">
        <v>46032.0</v>
      </c>
      <c r="K959" s="32">
        <v>0.0</v>
      </c>
      <c r="L959" s="32">
        <v>0.0</v>
      </c>
      <c r="M959" s="32">
        <f t="shared" si="3"/>
        <v>0</v>
      </c>
      <c r="N959" s="32" t="s">
        <v>376</v>
      </c>
      <c r="O959" s="32">
        <v>100.0</v>
      </c>
      <c r="P959" s="50" t="str">
        <f t="shared" si="6"/>
        <v>PASSED</v>
      </c>
      <c r="Q959" s="50" t="str">
        <f t="shared" si="5"/>
        <v>WA</v>
      </c>
    </row>
    <row r="960" ht="22.5" customHeight="1">
      <c r="A960" s="26">
        <v>46028.0</v>
      </c>
      <c r="B960" s="39" t="s">
        <v>451</v>
      </c>
      <c r="C960" s="32" t="str">
        <f t="array" ref="C960">_xlfn.XLOOKUP(B960, DB[samplingPoint], DB[samplingTag])</f>
        <v>DV126.02</v>
      </c>
      <c r="D960" s="33" t="s">
        <v>59</v>
      </c>
      <c r="E960" s="39" t="str">
        <f t="array" ref="E960">_xlfn.XLOOKUP($B960, DB[samplingPoint], DB[noLocation])</f>
        <v>16-1-082</v>
      </c>
      <c r="F960" s="40" t="str">
        <f t="array" ref="F960">_xlfn.XLOOKUP($B960, DB[samplingPoint], DB[building])</f>
        <v>Building 16</v>
      </c>
      <c r="G960" s="40" t="str">
        <f t="array" ref="G960">_xlfn.XLOOKUP($B960, DB[samplingPoint], DB[location])</f>
        <v>WASHING</v>
      </c>
      <c r="H960" s="40" t="str">
        <f t="array" ref="H960">_xlfn.XLOOKUP($B960, DB[samplingPoint], DB[waterType])</f>
        <v>PW</v>
      </c>
      <c r="I960" s="60">
        <f t="shared" si="1"/>
        <v>46029</v>
      </c>
      <c r="J960" s="26">
        <v>46032.0</v>
      </c>
      <c r="K960" s="32">
        <v>0.0</v>
      </c>
      <c r="L960" s="32">
        <v>0.0</v>
      </c>
      <c r="M960" s="32">
        <f t="shared" si="3"/>
        <v>0</v>
      </c>
      <c r="N960" s="32" t="s">
        <v>376</v>
      </c>
      <c r="O960" s="32">
        <v>100.0</v>
      </c>
      <c r="P960" s="50" t="str">
        <f t="shared" si="6"/>
        <v>PASSED</v>
      </c>
      <c r="Q960" s="50" t="str">
        <f t="shared" si="5"/>
        <v>16</v>
      </c>
    </row>
    <row r="961" ht="22.5" customHeight="1">
      <c r="A961" s="26">
        <v>46028.0</v>
      </c>
      <c r="B961" s="39" t="s">
        <v>447</v>
      </c>
      <c r="C961" s="32" t="str">
        <f t="array" ref="C961">_xlfn.XLOOKUP(B961, DB[samplingPoint], DB[samplingTag])</f>
        <v>DV126.01</v>
      </c>
      <c r="D961" s="33" t="s">
        <v>59</v>
      </c>
      <c r="E961" s="39" t="str">
        <f t="array" ref="E961">_xlfn.XLOOKUP($B961, DB[samplingPoint], DB[noLocation])</f>
        <v>16-1-082</v>
      </c>
      <c r="F961" s="40" t="str">
        <f t="array" ref="F961">_xlfn.XLOOKUP($B961, DB[samplingPoint], DB[building])</f>
        <v>Building 16</v>
      </c>
      <c r="G961" s="40" t="str">
        <f t="array" ref="G961">_xlfn.XLOOKUP($B961, DB[samplingPoint], DB[location])</f>
        <v>WASHING</v>
      </c>
      <c r="H961" s="40" t="str">
        <f t="array" ref="H961">_xlfn.XLOOKUP($B961, DB[samplingPoint], DB[waterType])</f>
        <v>PW</v>
      </c>
      <c r="I961" s="60">
        <f t="shared" si="1"/>
        <v>46029</v>
      </c>
      <c r="J961" s="26">
        <v>46032.0</v>
      </c>
      <c r="K961" s="32">
        <v>0.0</v>
      </c>
      <c r="L961" s="32">
        <v>0.0</v>
      </c>
      <c r="M961" s="32">
        <f t="shared" si="3"/>
        <v>0</v>
      </c>
      <c r="N961" s="32" t="s">
        <v>376</v>
      </c>
      <c r="O961" s="32">
        <v>100.0</v>
      </c>
      <c r="P961" s="50" t="str">
        <f t="shared" si="6"/>
        <v>PASSED</v>
      </c>
      <c r="Q961" s="50" t="str">
        <f t="shared" si="5"/>
        <v>16</v>
      </c>
    </row>
    <row r="962" ht="22.5" customHeight="1">
      <c r="A962" s="26">
        <v>46028.0</v>
      </c>
      <c r="B962" s="39" t="s">
        <v>459</v>
      </c>
      <c r="C962" s="32" t="str">
        <f t="array" ref="C962">_xlfn.XLOOKUP(B962, DB[samplingPoint], DB[samplingTag])</f>
        <v>SV126.02</v>
      </c>
      <c r="D962" s="33" t="s">
        <v>59</v>
      </c>
      <c r="E962" s="39" t="str">
        <f t="array" ref="E962">_xlfn.XLOOKUP($B962, DB[samplingPoint], DB[noLocation])</f>
        <v>16-1-098</v>
      </c>
      <c r="F962" s="40" t="str">
        <f t="array" ref="F962">_xlfn.XLOOKUP($B962, DB[samplingPoint], DB[building])</f>
        <v>Building 16</v>
      </c>
      <c r="G962" s="40" t="str">
        <f t="array" ref="G962">_xlfn.XLOOKUP($B962, DB[samplingPoint], DB[location])</f>
        <v>CIP/SIP (EQUIPMENT REQUIREMENT – 200L)</v>
      </c>
      <c r="H962" s="40" t="str">
        <f t="array" ref="H962">_xlfn.XLOOKUP($B962, DB[samplingPoint], DB[waterType])</f>
        <v>PW</v>
      </c>
      <c r="I962" s="60">
        <f t="shared" si="1"/>
        <v>46029</v>
      </c>
      <c r="J962" s="26">
        <v>46032.0</v>
      </c>
      <c r="K962" s="32">
        <v>0.0</v>
      </c>
      <c r="L962" s="32">
        <v>0.0</v>
      </c>
      <c r="M962" s="32">
        <f t="shared" si="3"/>
        <v>0</v>
      </c>
      <c r="N962" s="32" t="s">
        <v>376</v>
      </c>
      <c r="O962" s="32">
        <v>100.0</v>
      </c>
      <c r="P962" s="50" t="str">
        <f t="shared" si="6"/>
        <v>PASSED</v>
      </c>
      <c r="Q962" s="50" t="str">
        <f t="shared" si="5"/>
        <v>16</v>
      </c>
    </row>
    <row r="963" ht="22.5" customHeight="1">
      <c r="A963" s="26">
        <v>46028.0</v>
      </c>
      <c r="B963" s="39" t="s">
        <v>454</v>
      </c>
      <c r="C963" s="32" t="str">
        <f t="array" ref="C963">_xlfn.XLOOKUP(B963, DB[samplingPoint], DB[samplingTag])</f>
        <v>DV126.03</v>
      </c>
      <c r="D963" s="33" t="s">
        <v>59</v>
      </c>
      <c r="E963" s="39" t="str">
        <f t="array" ref="E963">_xlfn.XLOOKUP($B963, DB[samplingPoint], DB[noLocation])</f>
        <v>16-1-098</v>
      </c>
      <c r="F963" s="40" t="str">
        <f t="array" ref="F963">_xlfn.XLOOKUP($B963, DB[samplingPoint], DB[building])</f>
        <v>Building 16</v>
      </c>
      <c r="G963" s="40" t="str">
        <f t="array" ref="G963">_xlfn.XLOOKUP($B963, DB[samplingPoint], DB[location])</f>
        <v>CIP/SIP (SINK WASHING)</v>
      </c>
      <c r="H963" s="40" t="str">
        <f t="array" ref="H963">_xlfn.XLOOKUP($B963, DB[samplingPoint], DB[waterType])</f>
        <v>PW</v>
      </c>
      <c r="I963" s="60">
        <f t="shared" si="1"/>
        <v>46029</v>
      </c>
      <c r="J963" s="26">
        <v>46032.0</v>
      </c>
      <c r="K963" s="32">
        <v>0.0</v>
      </c>
      <c r="L963" s="32">
        <v>0.0</v>
      </c>
      <c r="M963" s="32">
        <f t="shared" si="3"/>
        <v>0</v>
      </c>
      <c r="N963" s="32" t="s">
        <v>376</v>
      </c>
      <c r="O963" s="32">
        <v>100.0</v>
      </c>
      <c r="P963" s="50" t="str">
        <f t="shared" si="6"/>
        <v>PASSED</v>
      </c>
      <c r="Q963" s="50" t="str">
        <f t="shared" si="5"/>
        <v>16</v>
      </c>
    </row>
    <row r="964" ht="22.5" customHeight="1">
      <c r="A964" s="26">
        <v>46028.0</v>
      </c>
      <c r="B964" s="39" t="s">
        <v>457</v>
      </c>
      <c r="C964" s="32" t="str">
        <f t="array" ref="C964">_xlfn.XLOOKUP(B964, DB[samplingPoint], DB[samplingTag])</f>
        <v>SV126.01</v>
      </c>
      <c r="D964" s="33" t="s">
        <v>59</v>
      </c>
      <c r="E964" s="39" t="str">
        <f t="array" ref="E964">_xlfn.XLOOKUP($B964, DB[samplingPoint], DB[noLocation])</f>
        <v>16-1-092</v>
      </c>
      <c r="F964" s="40" t="str">
        <f t="array" ref="F964">_xlfn.XLOOKUP($B964, DB[samplingPoint], DB[building])</f>
        <v>Building 16</v>
      </c>
      <c r="G964" s="40" t="str">
        <f t="array" ref="G964">_xlfn.XLOOKUP($B964, DB[samplingPoint], DB[location])</f>
        <v>LINEN WASHING</v>
      </c>
      <c r="H964" s="40" t="str">
        <f t="array" ref="H964">_xlfn.XLOOKUP($B964, DB[samplingPoint], DB[waterType])</f>
        <v>PW</v>
      </c>
      <c r="I964" s="60">
        <f t="shared" si="1"/>
        <v>46029</v>
      </c>
      <c r="J964" s="26">
        <v>46032.0</v>
      </c>
      <c r="K964" s="32">
        <v>0.0</v>
      </c>
      <c r="L964" s="32">
        <v>0.0</v>
      </c>
      <c r="M964" s="32">
        <f t="shared" si="3"/>
        <v>0</v>
      </c>
      <c r="N964" s="32" t="s">
        <v>376</v>
      </c>
      <c r="O964" s="32">
        <v>100.0</v>
      </c>
      <c r="P964" s="50" t="str">
        <f t="shared" si="6"/>
        <v>PASSED</v>
      </c>
      <c r="Q964" s="50" t="str">
        <f t="shared" si="5"/>
        <v>16</v>
      </c>
    </row>
    <row r="965" ht="22.5" customHeight="1">
      <c r="A965" s="26">
        <v>46028.0</v>
      </c>
      <c r="B965" s="39" t="s">
        <v>461</v>
      </c>
      <c r="C965" s="32" t="str">
        <f t="array" ref="C965">_xlfn.XLOOKUP(B965, DB[samplingPoint], DB[samplingTag])</f>
        <v>SV126.03</v>
      </c>
      <c r="D965" s="33" t="s">
        <v>59</v>
      </c>
      <c r="E965" s="39" t="str">
        <f t="array" ref="E965">_xlfn.XLOOKUP($B965, DB[samplingPoint], DB[noLocation])</f>
        <v>16-2-010</v>
      </c>
      <c r="F965" s="40" t="str">
        <f t="array" ref="F965">_xlfn.XLOOKUP($B965, DB[samplingPoint], DB[building])</f>
        <v>Building 16</v>
      </c>
      <c r="G965" s="40" t="str">
        <f t="array" ref="G965">_xlfn.XLOOKUP($B965, DB[samplingPoint], DB[location])</f>
        <v>WATER SYSTEM (WFI)</v>
      </c>
      <c r="H965" s="40" t="str">
        <f t="array" ref="H965">_xlfn.XLOOKUP($B965, DB[samplingPoint], DB[waterType])</f>
        <v>PW</v>
      </c>
      <c r="I965" s="60">
        <f t="shared" si="1"/>
        <v>46029</v>
      </c>
      <c r="J965" s="26">
        <v>46032.0</v>
      </c>
      <c r="K965" s="32">
        <v>0.0</v>
      </c>
      <c r="L965" s="32">
        <v>0.0</v>
      </c>
      <c r="M965" s="32">
        <f t="shared" si="3"/>
        <v>0</v>
      </c>
      <c r="N965" s="32" t="s">
        <v>376</v>
      </c>
      <c r="O965" s="32">
        <v>100.0</v>
      </c>
      <c r="P965" s="50" t="str">
        <f t="shared" si="6"/>
        <v>PASSED</v>
      </c>
      <c r="Q965" s="50" t="str">
        <f t="shared" si="5"/>
        <v>16</v>
      </c>
    </row>
    <row r="966" ht="22.5" customHeight="1">
      <c r="A966" s="26">
        <v>46028.0</v>
      </c>
      <c r="B966" s="39" t="str">
        <f t="array" ref="B966">_xlfn.XLOOKUP($C966, DB[samplingTag], DB[samplingPoint])</f>
        <v>GWFI01</v>
      </c>
      <c r="C966" s="32" t="s">
        <v>370</v>
      </c>
      <c r="D966" s="33" t="s">
        <v>371</v>
      </c>
      <c r="E966" s="39" t="str">
        <f t="array" ref="E966">_xlfn.XLOOKUP($B966, DB[samplingPoint], DB[noLocation])</f>
        <v>16-2-010</v>
      </c>
      <c r="F966" s="40" t="str">
        <f t="array" ref="F966">_xlfn.XLOOKUP($B966, DB[samplingPoint], DB[building])</f>
        <v>Building 16</v>
      </c>
      <c r="G966" s="40" t="str">
        <f t="array" ref="G966">_xlfn.XLOOKUP($B966, DB[samplingPoint], DB[location])</f>
        <v>AFTER WFI GENERATOR</v>
      </c>
      <c r="H966" s="39" t="s">
        <v>400</v>
      </c>
      <c r="I966" s="43">
        <v>46030.0</v>
      </c>
      <c r="J966" s="26">
        <v>46034.0</v>
      </c>
      <c r="K966" s="32">
        <v>0.0</v>
      </c>
      <c r="L966" s="32"/>
      <c r="M966" s="32">
        <f t="shared" si="3"/>
        <v>0</v>
      </c>
      <c r="N966" s="32" t="s">
        <v>376</v>
      </c>
      <c r="O966" s="32">
        <v>10.0</v>
      </c>
      <c r="P966" s="50" t="str">
        <f t="shared" si="6"/>
        <v>PASSED</v>
      </c>
      <c r="Q966" s="50" t="str">
        <f t="shared" si="5"/>
        <v>16</v>
      </c>
    </row>
    <row r="967" ht="22.5" customHeight="1">
      <c r="A967" s="26">
        <v>46028.0</v>
      </c>
      <c r="B967" s="39" t="str">
        <f t="array" ref="B967">_xlfn.XLOOKUP($C967, DB[samplingTag], DB[samplingPoint])</f>
        <v>GWFI03</v>
      </c>
      <c r="C967" s="32" t="s">
        <v>387</v>
      </c>
      <c r="D967" s="33" t="s">
        <v>371</v>
      </c>
      <c r="E967" s="39" t="str">
        <f t="array" ref="E967">_xlfn.XLOOKUP($B967, DB[samplingPoint], DB[noLocation])</f>
        <v>16-2-010</v>
      </c>
      <c r="F967" s="40" t="str">
        <f t="array" ref="F967">_xlfn.XLOOKUP($B967, DB[samplingPoint], DB[building])</f>
        <v>Building 16</v>
      </c>
      <c r="G967" s="40" t="str">
        <f t="array" ref="G967">_xlfn.XLOOKUP($B967, DB[samplingPoint], DB[location])</f>
        <v>RETURN LOOP</v>
      </c>
      <c r="H967" s="39" t="s">
        <v>400</v>
      </c>
      <c r="I967" s="43">
        <v>46030.0</v>
      </c>
      <c r="J967" s="26">
        <v>46034.0</v>
      </c>
      <c r="K967" s="32">
        <v>0.0</v>
      </c>
      <c r="L967" s="32"/>
      <c r="M967" s="32">
        <f t="shared" si="3"/>
        <v>0</v>
      </c>
      <c r="N967" s="32" t="s">
        <v>376</v>
      </c>
      <c r="O967" s="32">
        <v>10.0</v>
      </c>
      <c r="P967" s="50" t="str">
        <f t="shared" si="6"/>
        <v>PASSED</v>
      </c>
      <c r="Q967" s="50" t="str">
        <f t="shared" si="5"/>
        <v>16</v>
      </c>
    </row>
    <row r="968" ht="22.5" customHeight="1">
      <c r="A968" s="26">
        <v>46028.0</v>
      </c>
      <c r="B968" s="39" t="str">
        <f t="array" ref="B968">_xlfn.XLOOKUP($C968, DB[samplingTag], DB[samplingPoint])</f>
        <v>WFI03</v>
      </c>
      <c r="C968" s="32" t="s">
        <v>408</v>
      </c>
      <c r="D968" s="33" t="s">
        <v>371</v>
      </c>
      <c r="E968" s="39" t="str">
        <f t="array" ref="E968">_xlfn.XLOOKUP($B968, DB[samplingPoint], DB[noLocation])</f>
        <v>16-1-096</v>
      </c>
      <c r="F968" s="40" t="str">
        <f t="array" ref="F968">_xlfn.XLOOKUP($B968, DB[samplingPoint], DB[building])</f>
        <v>Building 16</v>
      </c>
      <c r="G968" s="40" t="str">
        <f t="array" ref="G968">_xlfn.XLOOKUP($B968, DB[samplingPoint], DB[location])</f>
        <v>WASHING/TUNNEL-02</v>
      </c>
      <c r="H968" s="39" t="s">
        <v>400</v>
      </c>
      <c r="I968" s="43">
        <v>46030.0</v>
      </c>
      <c r="J968" s="26">
        <v>46034.0</v>
      </c>
      <c r="K968" s="32">
        <v>0.0</v>
      </c>
      <c r="L968" s="32"/>
      <c r="M968" s="32">
        <f t="shared" si="3"/>
        <v>0</v>
      </c>
      <c r="N968" s="32" t="s">
        <v>376</v>
      </c>
      <c r="O968" s="32">
        <v>10.0</v>
      </c>
      <c r="P968" s="50" t="str">
        <f t="shared" si="6"/>
        <v>PASSED</v>
      </c>
      <c r="Q968" s="50" t="str">
        <f t="shared" si="5"/>
        <v>16</v>
      </c>
    </row>
    <row r="969" ht="22.5" customHeight="1">
      <c r="A969" s="26">
        <v>46028.0</v>
      </c>
      <c r="B969" s="39" t="str">
        <f t="array" ref="B969">_xlfn.XLOOKUP($C969, DB[samplingTag], DB[samplingPoint])</f>
        <v>WFI04</v>
      </c>
      <c r="C969" s="32" t="s">
        <v>411</v>
      </c>
      <c r="D969" s="33" t="s">
        <v>371</v>
      </c>
      <c r="E969" s="39" t="str">
        <f t="array" ref="E969">_xlfn.XLOOKUP($B969, DB[samplingPoint], DB[noLocation])</f>
        <v>16-1-082</v>
      </c>
      <c r="F969" s="40" t="str">
        <f t="array" ref="F969">_xlfn.XLOOKUP($B969, DB[samplingPoint], DB[building])</f>
        <v>Building 16</v>
      </c>
      <c r="G969" s="40" t="str">
        <f t="array" ref="G969">_xlfn.XLOOKUP($B969, DB[samplingPoint], DB[location])</f>
        <v>WASHING</v>
      </c>
      <c r="H969" s="39" t="s">
        <v>400</v>
      </c>
      <c r="I969" s="43">
        <v>46030.0</v>
      </c>
      <c r="J969" s="26">
        <v>46034.0</v>
      </c>
      <c r="K969" s="32">
        <v>0.0</v>
      </c>
      <c r="L969" s="32"/>
      <c r="M969" s="32">
        <f t="shared" si="3"/>
        <v>0</v>
      </c>
      <c r="N969" s="32" t="s">
        <v>376</v>
      </c>
      <c r="O969" s="32">
        <v>10.0</v>
      </c>
      <c r="P969" s="50" t="str">
        <f t="shared" si="6"/>
        <v>PASSED</v>
      </c>
      <c r="Q969" s="50" t="str">
        <f t="shared" si="5"/>
        <v>16</v>
      </c>
    </row>
    <row r="970" ht="22.5" customHeight="1">
      <c r="A970" s="26">
        <v>46028.0</v>
      </c>
      <c r="B970" s="39" t="str">
        <f t="array" ref="B970">_xlfn.XLOOKUP($C970, DB[samplingTag], DB[samplingPoint])</f>
        <v>WFI05</v>
      </c>
      <c r="C970" s="32" t="s">
        <v>415</v>
      </c>
      <c r="D970" s="33" t="s">
        <v>371</v>
      </c>
      <c r="E970" s="39" t="str">
        <f t="array" ref="E970">_xlfn.XLOOKUP($B970, DB[samplingPoint], DB[noLocation])</f>
        <v>16-1-082</v>
      </c>
      <c r="F970" s="40" t="str">
        <f t="array" ref="F970">_xlfn.XLOOKUP($B970, DB[samplingPoint], DB[building])</f>
        <v>Building 16</v>
      </c>
      <c r="G970" s="40" t="str">
        <f t="array" ref="G970">_xlfn.XLOOKUP($B970, DB[samplingPoint], DB[location])</f>
        <v>WASHING</v>
      </c>
      <c r="H970" s="39" t="s">
        <v>400</v>
      </c>
      <c r="I970" s="43">
        <v>46030.0</v>
      </c>
      <c r="J970" s="26">
        <v>46034.0</v>
      </c>
      <c r="K970" s="32">
        <v>0.0</v>
      </c>
      <c r="L970" s="32"/>
      <c r="M970" s="32">
        <f t="shared" si="3"/>
        <v>0</v>
      </c>
      <c r="N970" s="32" t="s">
        <v>376</v>
      </c>
      <c r="O970" s="32">
        <v>10.0</v>
      </c>
      <c r="P970" s="50" t="str">
        <f t="shared" si="6"/>
        <v>PASSED</v>
      </c>
      <c r="Q970" s="50" t="str">
        <f t="shared" si="5"/>
        <v>16</v>
      </c>
    </row>
    <row r="971" ht="22.5" customHeight="1">
      <c r="A971" s="26">
        <v>46029.0</v>
      </c>
      <c r="B971" s="39" t="str">
        <f t="array" ref="B971">_xlfn.XLOOKUP($C971, DB[samplingTag], DB[samplingPoint])</f>
        <v>GWFI01</v>
      </c>
      <c r="C971" s="32" t="s">
        <v>370</v>
      </c>
      <c r="D971" s="33" t="s">
        <v>371</v>
      </c>
      <c r="E971" s="39" t="str">
        <f t="array" ref="E971">_xlfn.XLOOKUP($B971, DB[samplingPoint], DB[noLocation])</f>
        <v>16-2-010</v>
      </c>
      <c r="F971" s="40" t="str">
        <f t="array" ref="F971">_xlfn.XLOOKUP($B971, DB[samplingPoint], DB[building])</f>
        <v>Building 16</v>
      </c>
      <c r="G971" s="40" t="str">
        <f t="array" ref="G971">_xlfn.XLOOKUP($B971, DB[samplingPoint], DB[location])</f>
        <v>AFTER WFI GENERATOR</v>
      </c>
      <c r="H971" s="39" t="s">
        <v>400</v>
      </c>
      <c r="I971" s="43">
        <v>46030.0</v>
      </c>
      <c r="J971" s="26">
        <v>46034.0</v>
      </c>
      <c r="K971" s="32">
        <v>0.0</v>
      </c>
      <c r="L971" s="32"/>
      <c r="M971" s="32">
        <f t="shared" si="3"/>
        <v>0</v>
      </c>
      <c r="N971" s="32" t="s">
        <v>376</v>
      </c>
      <c r="O971" s="32">
        <v>10.0</v>
      </c>
      <c r="P971" s="50" t="str">
        <f t="shared" si="6"/>
        <v>PASSED</v>
      </c>
      <c r="Q971" s="50" t="str">
        <f t="shared" si="5"/>
        <v>16</v>
      </c>
    </row>
    <row r="972" ht="22.5" customHeight="1">
      <c r="A972" s="26">
        <v>46029.0</v>
      </c>
      <c r="B972" s="39" t="str">
        <f t="array" ref="B972">_xlfn.XLOOKUP($C972, DB[samplingTag], DB[samplingPoint])</f>
        <v>GWFI03</v>
      </c>
      <c r="C972" s="32" t="s">
        <v>387</v>
      </c>
      <c r="D972" s="33" t="s">
        <v>371</v>
      </c>
      <c r="E972" s="39" t="str">
        <f t="array" ref="E972">_xlfn.XLOOKUP($B972, DB[samplingPoint], DB[noLocation])</f>
        <v>16-2-010</v>
      </c>
      <c r="F972" s="40" t="str">
        <f t="array" ref="F972">_xlfn.XLOOKUP($B972, DB[samplingPoint], DB[building])</f>
        <v>Building 16</v>
      </c>
      <c r="G972" s="40" t="str">
        <f t="array" ref="G972">_xlfn.XLOOKUP($B972, DB[samplingPoint], DB[location])</f>
        <v>RETURN LOOP</v>
      </c>
      <c r="H972" s="39" t="s">
        <v>400</v>
      </c>
      <c r="I972" s="43">
        <v>46030.0</v>
      </c>
      <c r="J972" s="26">
        <v>46034.0</v>
      </c>
      <c r="K972" s="32">
        <v>0.0</v>
      </c>
      <c r="L972" s="32"/>
      <c r="M972" s="32">
        <f t="shared" si="3"/>
        <v>0</v>
      </c>
      <c r="N972" s="32" t="s">
        <v>376</v>
      </c>
      <c r="O972" s="32">
        <v>10.0</v>
      </c>
      <c r="P972" s="50" t="str">
        <f t="shared" si="6"/>
        <v>PASSED</v>
      </c>
      <c r="Q972" s="50" t="str">
        <f t="shared" si="5"/>
        <v>16</v>
      </c>
    </row>
    <row r="973" ht="22.5" customHeight="1">
      <c r="A973" s="26">
        <v>46029.0</v>
      </c>
      <c r="B973" s="39" t="str">
        <f t="array" ref="B973">_xlfn.XLOOKUP($C973, DB[samplingTag], DB[samplingPoint])</f>
        <v>WFI06</v>
      </c>
      <c r="C973" s="32" t="s">
        <v>424</v>
      </c>
      <c r="D973" s="33" t="s">
        <v>371</v>
      </c>
      <c r="E973" s="39" t="str">
        <f t="array" ref="E973">_xlfn.XLOOKUP($B973, DB[samplingPoint], DB[noLocation])</f>
        <v>16-1-110</v>
      </c>
      <c r="F973" s="40" t="str">
        <f t="array" ref="F973">_xlfn.XLOOKUP($B973, DB[samplingPoint], DB[building])</f>
        <v>Building 16</v>
      </c>
      <c r="G973" s="40" t="str">
        <f t="array" ref="G973">_xlfn.XLOOKUP($B973, DB[samplingPoint], DB[location])</f>
        <v>DISINFECTANT PREPARATION</v>
      </c>
      <c r="H973" s="39" t="s">
        <v>400</v>
      </c>
      <c r="I973" s="43">
        <v>46030.0</v>
      </c>
      <c r="J973" s="26">
        <v>46034.0</v>
      </c>
      <c r="K973" s="32">
        <v>0.0</v>
      </c>
      <c r="L973" s="32"/>
      <c r="M973" s="32">
        <f t="shared" si="3"/>
        <v>0</v>
      </c>
      <c r="N973" s="32" t="s">
        <v>376</v>
      </c>
      <c r="O973" s="32">
        <v>10.0</v>
      </c>
      <c r="P973" s="50" t="str">
        <f t="shared" si="6"/>
        <v>PASSED</v>
      </c>
      <c r="Q973" s="50" t="str">
        <f t="shared" si="5"/>
        <v>16</v>
      </c>
    </row>
    <row r="974" ht="22.5" customHeight="1">
      <c r="A974" s="26">
        <v>46029.0</v>
      </c>
      <c r="B974" s="39" t="str">
        <f t="array" ref="B974">_xlfn.XLOOKUP($C974, DB[samplingTag], DB[samplingPoint])</f>
        <v>WFI09</v>
      </c>
      <c r="C974" s="32" t="s">
        <v>426</v>
      </c>
      <c r="D974" s="33" t="s">
        <v>371</v>
      </c>
      <c r="E974" s="39" t="str">
        <f t="array" ref="E974">_xlfn.XLOOKUP($B974, DB[samplingPoint], DB[noLocation])</f>
        <v>16-1-105</v>
      </c>
      <c r="F974" s="40" t="str">
        <f t="array" ref="F974">_xlfn.XLOOKUP($B974, DB[samplingPoint], DB[building])</f>
        <v>Building 16</v>
      </c>
      <c r="G974" s="40" t="str">
        <f t="array" ref="G974">_xlfn.XLOOKUP($B974, DB[samplingPoint], DB[location])</f>
        <v>WASHING/TUNNEL-01</v>
      </c>
      <c r="H974" s="39" t="s">
        <v>400</v>
      </c>
      <c r="I974" s="43">
        <v>46030.0</v>
      </c>
      <c r="J974" s="26">
        <v>46034.0</v>
      </c>
      <c r="K974" s="32">
        <v>0.0</v>
      </c>
      <c r="L974" s="32"/>
      <c r="M974" s="32">
        <f t="shared" si="3"/>
        <v>0</v>
      </c>
      <c r="N974" s="32" t="s">
        <v>376</v>
      </c>
      <c r="O974" s="32">
        <v>10.0</v>
      </c>
      <c r="P974" s="50" t="str">
        <f t="shared" si="6"/>
        <v>PASSED</v>
      </c>
      <c r="Q974" s="50" t="str">
        <f t="shared" si="5"/>
        <v>16</v>
      </c>
    </row>
    <row r="975" ht="22.5" customHeight="1">
      <c r="A975" s="26">
        <v>46030.0</v>
      </c>
      <c r="B975" s="39" t="str">
        <f t="array" ref="B975">_xlfn.XLOOKUP($C975, DB[samplingTag], DB[samplingPoint])</f>
        <v>GWFI01</v>
      </c>
      <c r="C975" s="32" t="s">
        <v>370</v>
      </c>
      <c r="D975" s="33" t="s">
        <v>371</v>
      </c>
      <c r="E975" s="39" t="str">
        <f t="array" ref="E975">_xlfn.XLOOKUP($B975, DB[samplingPoint], DB[noLocation])</f>
        <v>16-2-010</v>
      </c>
      <c r="F975" s="40" t="str">
        <f t="array" ref="F975">_xlfn.XLOOKUP($B975, DB[samplingPoint], DB[building])</f>
        <v>Building 16</v>
      </c>
      <c r="G975" s="40" t="str">
        <f t="array" ref="G975">_xlfn.XLOOKUP($B975, DB[samplingPoint], DB[location])</f>
        <v>AFTER WFI GENERATOR</v>
      </c>
      <c r="H975" s="39" t="s">
        <v>400</v>
      </c>
      <c r="I975" s="43">
        <v>46032.0</v>
      </c>
      <c r="J975" s="26">
        <v>46035.0</v>
      </c>
      <c r="K975" s="32">
        <v>0.0</v>
      </c>
      <c r="L975" s="32"/>
      <c r="M975" s="32">
        <f t="shared" si="3"/>
        <v>0</v>
      </c>
      <c r="N975" s="32" t="s">
        <v>376</v>
      </c>
      <c r="O975" s="32">
        <v>10.0</v>
      </c>
      <c r="P975" s="50" t="str">
        <f t="shared" si="6"/>
        <v>PASSED</v>
      </c>
      <c r="Q975" s="50" t="str">
        <f t="shared" si="5"/>
        <v>16</v>
      </c>
    </row>
    <row r="976" ht="22.5" customHeight="1">
      <c r="A976" s="26">
        <v>46030.0</v>
      </c>
      <c r="B976" s="39" t="str">
        <f t="array" ref="B976">_xlfn.XLOOKUP($C976, DB[samplingTag], DB[samplingPoint])</f>
        <v>GWFI03</v>
      </c>
      <c r="C976" s="32" t="s">
        <v>387</v>
      </c>
      <c r="D976" s="33" t="s">
        <v>371</v>
      </c>
      <c r="E976" s="39" t="str">
        <f t="array" ref="E976">_xlfn.XLOOKUP($B976, DB[samplingPoint], DB[noLocation])</f>
        <v>16-2-010</v>
      </c>
      <c r="F976" s="40" t="str">
        <f t="array" ref="F976">_xlfn.XLOOKUP($B976, DB[samplingPoint], DB[building])</f>
        <v>Building 16</v>
      </c>
      <c r="G976" s="40" t="str">
        <f t="array" ref="G976">_xlfn.XLOOKUP($B976, DB[samplingPoint], DB[location])</f>
        <v>RETURN LOOP</v>
      </c>
      <c r="H976" s="39" t="s">
        <v>400</v>
      </c>
      <c r="I976" s="43">
        <v>46032.0</v>
      </c>
      <c r="J976" s="26">
        <v>46035.0</v>
      </c>
      <c r="K976" s="32">
        <v>0.0</v>
      </c>
      <c r="L976" s="32"/>
      <c r="M976" s="32">
        <f t="shared" si="3"/>
        <v>0</v>
      </c>
      <c r="N976" s="32" t="s">
        <v>376</v>
      </c>
      <c r="O976" s="32">
        <v>10.0</v>
      </c>
      <c r="P976" s="50" t="str">
        <f t="shared" si="6"/>
        <v>PASSED</v>
      </c>
      <c r="Q976" s="50" t="str">
        <f t="shared" si="5"/>
        <v>16</v>
      </c>
    </row>
    <row r="977" ht="22.5" customHeight="1">
      <c r="A977" s="26">
        <v>46030.0</v>
      </c>
      <c r="B977" s="39" t="str">
        <f t="array" ref="B977">_xlfn.XLOOKUP($C977, DB[samplingTag], DB[samplingPoint])</f>
        <v>WFI01</v>
      </c>
      <c r="C977" s="32" t="s">
        <v>433</v>
      </c>
      <c r="D977" s="33" t="s">
        <v>371</v>
      </c>
      <c r="E977" s="39" t="str">
        <f t="array" ref="E977">_xlfn.XLOOKUP($B977, DB[samplingPoint], DB[noLocation])</f>
        <v>16-1-107</v>
      </c>
      <c r="F977" s="40" t="str">
        <f t="array" ref="F977">_xlfn.XLOOKUP($B977, DB[samplingPoint], DB[building])</f>
        <v>Building 16</v>
      </c>
      <c r="G977" s="40" t="str">
        <f t="array" ref="G977">_xlfn.XLOOKUP($B977, DB[samplingPoint], DB[location])</f>
        <v>COMPOUNDING-01</v>
      </c>
      <c r="H977" s="39" t="s">
        <v>400</v>
      </c>
      <c r="I977" s="43">
        <v>46032.0</v>
      </c>
      <c r="J977" s="26">
        <v>46035.0</v>
      </c>
      <c r="K977" s="32">
        <v>0.0</v>
      </c>
      <c r="L977" s="32"/>
      <c r="M977" s="32">
        <f t="shared" si="3"/>
        <v>0</v>
      </c>
      <c r="N977" s="32" t="s">
        <v>376</v>
      </c>
      <c r="O977" s="32">
        <v>10.0</v>
      </c>
      <c r="P977" s="50" t="str">
        <f t="shared" si="6"/>
        <v>PASSED</v>
      </c>
      <c r="Q977" s="50" t="str">
        <f t="shared" si="5"/>
        <v>16</v>
      </c>
    </row>
    <row r="978" ht="22.5" customHeight="1">
      <c r="A978" s="26">
        <v>46030.0</v>
      </c>
      <c r="B978" s="39" t="str">
        <f t="array" ref="B978">_xlfn.XLOOKUP($C978, DB[samplingTag], DB[samplingPoint])</f>
        <v>WFI01</v>
      </c>
      <c r="C978" s="32" t="s">
        <v>433</v>
      </c>
      <c r="D978" s="33" t="s">
        <v>371</v>
      </c>
      <c r="E978" s="39" t="str">
        <f t="array" ref="E978">_xlfn.XLOOKUP($B978, DB[samplingPoint], DB[noLocation])</f>
        <v>16-1-107</v>
      </c>
      <c r="F978" s="40" t="str">
        <f t="array" ref="F978">_xlfn.XLOOKUP($B978, DB[samplingPoint], DB[building])</f>
        <v>Building 16</v>
      </c>
      <c r="G978" s="40" t="str">
        <f t="array" ref="G978">_xlfn.XLOOKUP($B978, DB[samplingPoint], DB[location])</f>
        <v>COMPOUNDING-01</v>
      </c>
      <c r="H978" s="39" t="s">
        <v>400</v>
      </c>
      <c r="I978" s="43">
        <v>46032.0</v>
      </c>
      <c r="J978" s="26">
        <v>46035.0</v>
      </c>
      <c r="K978" s="32">
        <v>0.0</v>
      </c>
      <c r="L978" s="32"/>
      <c r="M978" s="32">
        <f t="shared" si="3"/>
        <v>0</v>
      </c>
      <c r="N978" s="32" t="s">
        <v>439</v>
      </c>
      <c r="O978" s="32">
        <v>10.0</v>
      </c>
      <c r="P978" s="50" t="str">
        <f t="shared" si="6"/>
        <v>PASSED</v>
      </c>
      <c r="Q978" s="50" t="str">
        <f t="shared" si="5"/>
        <v>16</v>
      </c>
    </row>
    <row r="979" ht="22.5" customHeight="1">
      <c r="A979" s="26">
        <v>46030.0</v>
      </c>
      <c r="B979" s="39" t="str">
        <f t="array" ref="B979">_xlfn.XLOOKUP($C979, DB[samplingTag], DB[samplingPoint])</f>
        <v>WFI02</v>
      </c>
      <c r="C979" s="32" t="s">
        <v>441</v>
      </c>
      <c r="D979" s="33" t="s">
        <v>371</v>
      </c>
      <c r="E979" s="39" t="str">
        <f t="array" ref="E979">_xlfn.XLOOKUP($B979, DB[samplingPoint], DB[noLocation])</f>
        <v>16-1-107</v>
      </c>
      <c r="F979" s="40" t="str">
        <f t="array" ref="F979">_xlfn.XLOOKUP($B979, DB[samplingPoint], DB[building])</f>
        <v>Building 16</v>
      </c>
      <c r="G979" s="40" t="str">
        <f t="array" ref="G979">_xlfn.XLOOKUP($B979, DB[samplingPoint], DB[location])</f>
        <v>COMPOUNDING-01</v>
      </c>
      <c r="H979" s="39" t="s">
        <v>400</v>
      </c>
      <c r="I979" s="43">
        <v>46032.0</v>
      </c>
      <c r="J979" s="26">
        <v>46035.0</v>
      </c>
      <c r="K979" s="32">
        <v>1.0</v>
      </c>
      <c r="L979" s="32"/>
      <c r="M979" s="32">
        <f t="shared" si="3"/>
        <v>1</v>
      </c>
      <c r="N979" s="32" t="s">
        <v>376</v>
      </c>
      <c r="O979" s="32">
        <v>10.0</v>
      </c>
      <c r="P979" s="50" t="str">
        <f t="shared" si="6"/>
        <v>PASSED</v>
      </c>
      <c r="Q979" s="50" t="str">
        <f t="shared" si="5"/>
        <v>16</v>
      </c>
    </row>
    <row r="980" ht="22.5" customHeight="1">
      <c r="A980" s="26">
        <v>46030.0</v>
      </c>
      <c r="B980" s="39" t="str">
        <f t="array" ref="B980">_xlfn.XLOOKUP($C980, DB[samplingTag], DB[samplingPoint])</f>
        <v>WFI02</v>
      </c>
      <c r="C980" s="32" t="s">
        <v>441</v>
      </c>
      <c r="D980" s="33" t="s">
        <v>371</v>
      </c>
      <c r="E980" s="39" t="str">
        <f t="array" ref="E980">_xlfn.XLOOKUP($B980, DB[samplingPoint], DB[noLocation])</f>
        <v>16-1-107</v>
      </c>
      <c r="F980" s="40" t="str">
        <f t="array" ref="F980">_xlfn.XLOOKUP($B980, DB[samplingPoint], DB[building])</f>
        <v>Building 16</v>
      </c>
      <c r="G980" s="40" t="str">
        <f t="array" ref="G980">_xlfn.XLOOKUP($B980, DB[samplingPoint], DB[location])</f>
        <v>COMPOUNDING-01</v>
      </c>
      <c r="H980" s="39" t="s">
        <v>400</v>
      </c>
      <c r="I980" s="43">
        <v>46032.0</v>
      </c>
      <c r="J980" s="26">
        <v>46035.0</v>
      </c>
      <c r="K980" s="32">
        <v>11.0</v>
      </c>
      <c r="L980" s="32"/>
      <c r="M980" s="32">
        <f t="shared" si="3"/>
        <v>11</v>
      </c>
      <c r="N980" s="32" t="s">
        <v>439</v>
      </c>
      <c r="O980" s="32">
        <v>10.0</v>
      </c>
      <c r="P980" s="50" t="str">
        <f t="shared" si="6"/>
        <v>NOT-PASSED</v>
      </c>
      <c r="Q980" s="50" t="str">
        <f t="shared" si="5"/>
        <v>16</v>
      </c>
    </row>
    <row r="981" ht="22.5" customHeight="1">
      <c r="A981" s="26">
        <v>46031.0</v>
      </c>
      <c r="B981" s="39" t="str">
        <f t="array" ref="B981">_xlfn.XLOOKUP($C981, DB[samplingTag], DB[samplingPoint])</f>
        <v>GWFI01</v>
      </c>
      <c r="C981" s="32" t="s">
        <v>370</v>
      </c>
      <c r="D981" s="33" t="s">
        <v>371</v>
      </c>
      <c r="E981" s="39" t="str">
        <f t="array" ref="E981">_xlfn.XLOOKUP($B981, DB[samplingPoint], DB[noLocation])</f>
        <v>16-2-010</v>
      </c>
      <c r="F981" s="40" t="str">
        <f t="array" ref="F981">_xlfn.XLOOKUP($B981, DB[samplingPoint], DB[building])</f>
        <v>Building 16</v>
      </c>
      <c r="G981" s="40" t="str">
        <f t="array" ref="G981">_xlfn.XLOOKUP($B981, DB[samplingPoint], DB[location])</f>
        <v>AFTER WFI GENERATOR</v>
      </c>
      <c r="H981" s="39" t="s">
        <v>400</v>
      </c>
      <c r="I981" s="43">
        <v>46032.0</v>
      </c>
      <c r="J981" s="26">
        <v>46035.0</v>
      </c>
      <c r="K981" s="32">
        <v>0.0</v>
      </c>
      <c r="L981" s="32"/>
      <c r="M981" s="32">
        <f t="shared" si="3"/>
        <v>0</v>
      </c>
      <c r="N981" s="32" t="s">
        <v>376</v>
      </c>
      <c r="O981" s="32">
        <v>10.0</v>
      </c>
      <c r="P981" s="50" t="str">
        <f t="shared" si="6"/>
        <v>PASSED</v>
      </c>
      <c r="Q981" s="50" t="str">
        <f t="shared" si="5"/>
        <v>16</v>
      </c>
    </row>
    <row r="982" ht="22.5" customHeight="1">
      <c r="A982" s="26">
        <v>46031.0</v>
      </c>
      <c r="B982" s="39" t="str">
        <f t="array" ref="B982">_xlfn.XLOOKUP($C982, DB[samplingTag], DB[samplingPoint])</f>
        <v>GWFI03</v>
      </c>
      <c r="C982" s="32" t="s">
        <v>387</v>
      </c>
      <c r="D982" s="33" t="s">
        <v>371</v>
      </c>
      <c r="E982" s="39" t="str">
        <f t="array" ref="E982">_xlfn.XLOOKUP($B982, DB[samplingPoint], DB[noLocation])</f>
        <v>16-2-010</v>
      </c>
      <c r="F982" s="40" t="str">
        <f t="array" ref="F982">_xlfn.XLOOKUP($B982, DB[samplingPoint], DB[building])</f>
        <v>Building 16</v>
      </c>
      <c r="G982" s="40" t="str">
        <f t="array" ref="G982">_xlfn.XLOOKUP($B982, DB[samplingPoint], DB[location])</f>
        <v>RETURN LOOP</v>
      </c>
      <c r="H982" s="39" t="s">
        <v>400</v>
      </c>
      <c r="I982" s="43">
        <v>46032.0</v>
      </c>
      <c r="J982" s="26">
        <v>46035.0</v>
      </c>
      <c r="K982" s="32">
        <v>0.0</v>
      </c>
      <c r="L982" s="32"/>
      <c r="M982" s="32">
        <f t="shared" si="3"/>
        <v>0</v>
      </c>
      <c r="N982" s="32" t="s">
        <v>376</v>
      </c>
      <c r="O982" s="32">
        <v>10.0</v>
      </c>
      <c r="P982" s="50" t="str">
        <f t="shared" si="6"/>
        <v>PASSED</v>
      </c>
      <c r="Q982" s="50" t="str">
        <f t="shared" si="5"/>
        <v>16</v>
      </c>
    </row>
    <row r="983" ht="22.5" customHeight="1">
      <c r="A983" s="26">
        <v>46031.0</v>
      </c>
      <c r="B983" s="39" t="str">
        <f t="array" ref="B983">_xlfn.XLOOKUP($C983, DB[samplingTag], DB[samplingPoint])</f>
        <v>WFI10</v>
      </c>
      <c r="C983" s="32" t="s">
        <v>452</v>
      </c>
      <c r="D983" s="33" t="s">
        <v>371</v>
      </c>
      <c r="E983" s="39" t="str">
        <f t="array" ref="E983">_xlfn.XLOOKUP($B983, DB[samplingPoint], DB[noLocation])</f>
        <v>16-1-114</v>
      </c>
      <c r="F983" s="40" t="str">
        <f t="array" ref="F983">_xlfn.XLOOKUP($B983, DB[samplingPoint], DB[building])</f>
        <v>Building 16</v>
      </c>
      <c r="G983" s="40" t="str">
        <f t="array" ref="G983">_xlfn.XLOOKUP($B983, DB[samplingPoint], DB[location])</f>
        <v>COMPOUNDING-02</v>
      </c>
      <c r="H983" s="39" t="s">
        <v>400</v>
      </c>
      <c r="I983" s="43">
        <v>46032.0</v>
      </c>
      <c r="J983" s="26">
        <v>46035.0</v>
      </c>
      <c r="K983" s="32">
        <v>0.0</v>
      </c>
      <c r="L983" s="32"/>
      <c r="M983" s="32">
        <f t="shared" si="3"/>
        <v>0</v>
      </c>
      <c r="N983" s="32" t="s">
        <v>376</v>
      </c>
      <c r="O983" s="32">
        <v>10.0</v>
      </c>
      <c r="P983" s="50" t="str">
        <f t="shared" si="6"/>
        <v>PASSED</v>
      </c>
      <c r="Q983" s="50" t="str">
        <f t="shared" si="5"/>
        <v>16</v>
      </c>
    </row>
    <row r="984" ht="22.5" customHeight="1">
      <c r="A984" s="26">
        <v>46031.0</v>
      </c>
      <c r="B984" s="39" t="str">
        <f t="array" ref="B984">_xlfn.XLOOKUP($C984, DB[samplingTag], DB[samplingPoint])</f>
        <v>WFI10</v>
      </c>
      <c r="C984" s="32" t="s">
        <v>452</v>
      </c>
      <c r="D984" s="33" t="s">
        <v>371</v>
      </c>
      <c r="E984" s="39" t="str">
        <f t="array" ref="E984">_xlfn.XLOOKUP($B984, DB[samplingPoint], DB[noLocation])</f>
        <v>16-1-114</v>
      </c>
      <c r="F984" s="40" t="str">
        <f t="array" ref="F984">_xlfn.XLOOKUP($B984, DB[samplingPoint], DB[building])</f>
        <v>Building 16</v>
      </c>
      <c r="G984" s="40" t="str">
        <f t="array" ref="G984">_xlfn.XLOOKUP($B984, DB[samplingPoint], DB[location])</f>
        <v>COMPOUNDING-02</v>
      </c>
      <c r="H984" s="39" t="s">
        <v>400</v>
      </c>
      <c r="I984" s="43">
        <v>46032.0</v>
      </c>
      <c r="J984" s="26">
        <v>46035.0</v>
      </c>
      <c r="K984" s="32">
        <v>999.0</v>
      </c>
      <c r="L984" s="32"/>
      <c r="M984" s="32">
        <f t="shared" si="3"/>
        <v>999</v>
      </c>
      <c r="N984" s="32" t="s">
        <v>439</v>
      </c>
      <c r="O984" s="32">
        <v>10.0</v>
      </c>
      <c r="P984" s="50" t="str">
        <f t="shared" si="6"/>
        <v>NOT-PASSED</v>
      </c>
      <c r="Q984" s="50" t="str">
        <f t="shared" si="5"/>
        <v>16</v>
      </c>
    </row>
    <row r="985" ht="22.5" customHeight="1">
      <c r="A985" s="26">
        <v>46031.0</v>
      </c>
      <c r="B985" s="39" t="str">
        <f t="array" ref="B985">_xlfn.XLOOKUP($C985, DB[samplingTag], DB[samplingPoint])</f>
        <v>WFI11</v>
      </c>
      <c r="C985" s="32" t="s">
        <v>456</v>
      </c>
      <c r="D985" s="33" t="s">
        <v>371</v>
      </c>
      <c r="E985" s="39" t="str">
        <f t="array" ref="E985">_xlfn.XLOOKUP($B985, DB[samplingPoint], DB[noLocation])</f>
        <v>16-1-114</v>
      </c>
      <c r="F985" s="40" t="str">
        <f t="array" ref="F985">_xlfn.XLOOKUP($B985, DB[samplingPoint], DB[building])</f>
        <v>Building 16</v>
      </c>
      <c r="G985" s="40" t="str">
        <f t="array" ref="G985">_xlfn.XLOOKUP($B985, DB[samplingPoint], DB[location])</f>
        <v>COMPOUNDING-02</v>
      </c>
      <c r="H985" s="39" t="s">
        <v>400</v>
      </c>
      <c r="I985" s="43">
        <v>46032.0</v>
      </c>
      <c r="J985" s="26">
        <v>46035.0</v>
      </c>
      <c r="K985" s="32">
        <v>63.0</v>
      </c>
      <c r="L985" s="32"/>
      <c r="M985" s="32">
        <f t="shared" si="3"/>
        <v>63</v>
      </c>
      <c r="N985" s="32" t="s">
        <v>376</v>
      </c>
      <c r="O985" s="32">
        <v>10.0</v>
      </c>
      <c r="P985" s="50" t="str">
        <f t="shared" si="6"/>
        <v>NOT-PASSED</v>
      </c>
      <c r="Q985" s="50" t="str">
        <f t="shared" si="5"/>
        <v>16</v>
      </c>
    </row>
    <row r="986" ht="22.5" customHeight="1">
      <c r="A986" s="26">
        <v>46031.0</v>
      </c>
      <c r="B986" s="39" t="str">
        <f t="array" ref="B986">_xlfn.XLOOKUP($C986, DB[samplingTag], DB[samplingPoint])</f>
        <v>WFI11</v>
      </c>
      <c r="C986" s="32" t="s">
        <v>456</v>
      </c>
      <c r="D986" s="33" t="s">
        <v>371</v>
      </c>
      <c r="E986" s="39" t="str">
        <f t="array" ref="E986">_xlfn.XLOOKUP($B986, DB[samplingPoint], DB[noLocation])</f>
        <v>16-1-114</v>
      </c>
      <c r="F986" s="40" t="str">
        <f t="array" ref="F986">_xlfn.XLOOKUP($B986, DB[samplingPoint], DB[building])</f>
        <v>Building 16</v>
      </c>
      <c r="G986" s="40" t="str">
        <f t="array" ref="G986">_xlfn.XLOOKUP($B986, DB[samplingPoint], DB[location])</f>
        <v>COMPOUNDING-02</v>
      </c>
      <c r="H986" s="39" t="s">
        <v>400</v>
      </c>
      <c r="I986" s="43">
        <v>46032.0</v>
      </c>
      <c r="J986" s="26">
        <v>46035.0</v>
      </c>
      <c r="K986" s="32">
        <v>2.0</v>
      </c>
      <c r="L986" s="32"/>
      <c r="M986" s="32">
        <f t="shared" si="3"/>
        <v>2</v>
      </c>
      <c r="N986" s="32" t="s">
        <v>439</v>
      </c>
      <c r="O986" s="32">
        <v>10.0</v>
      </c>
      <c r="P986" s="50" t="str">
        <f t="shared" si="6"/>
        <v>PASSED</v>
      </c>
      <c r="Q986" s="50" t="str">
        <f t="shared" si="5"/>
        <v>16</v>
      </c>
    </row>
    <row r="987" ht="22.5" customHeight="1">
      <c r="A987" s="26">
        <v>46031.0</v>
      </c>
      <c r="B987" s="39" t="s">
        <v>431</v>
      </c>
      <c r="C987" s="32" t="str">
        <f t="array" ref="C987">_xlfn.XLOOKUP(B987, DB[samplingPoint], DB[samplingTag])</f>
        <v>SV-14</v>
      </c>
      <c r="D987" s="33" t="s">
        <v>59</v>
      </c>
      <c r="E987" s="39" t="str">
        <f t="array" ref="E987">_xlfn.XLOOKUP($B987, DB[samplingPoint], DB[noLocation])</f>
        <v>PROCESS WATER (B19)</v>
      </c>
      <c r="F987" s="40" t="str">
        <f t="array" ref="F987">_xlfn.XLOOKUP($B987, DB[samplingPoint], DB[building])</f>
        <v>Building 19</v>
      </c>
      <c r="G987" s="40" t="str">
        <f t="array" ref="G987">_xlfn.XLOOKUP($B987, DB[samplingPoint], DB[location])</f>
        <v>AFTER RO SYSTEM NO.12 SV14</v>
      </c>
      <c r="H987" s="39" t="str">
        <f t="array" ref="H987">_xlfn.XLOOKUP($B987, DB[samplingPoint], DB[waterType])</f>
        <v>PRW</v>
      </c>
      <c r="I987" s="43">
        <f t="shared" ref="I987:I1068" si="7">$A987+1</f>
        <v>46032</v>
      </c>
      <c r="J987" s="26">
        <v>46035.0</v>
      </c>
      <c r="K987" s="32">
        <v>0.0</v>
      </c>
      <c r="L987" s="32">
        <v>0.0</v>
      </c>
      <c r="M987" s="32">
        <f t="shared" si="3"/>
        <v>0</v>
      </c>
      <c r="N987" s="32" t="s">
        <v>376</v>
      </c>
      <c r="O987" s="32">
        <v>500.0</v>
      </c>
      <c r="P987" s="50" t="str">
        <f t="shared" si="6"/>
        <v>PASSED</v>
      </c>
      <c r="Q987" s="50" t="str">
        <f t="shared" si="5"/>
        <v>PR</v>
      </c>
    </row>
    <row r="988" ht="22.5" customHeight="1">
      <c r="A988" s="26">
        <v>46031.0</v>
      </c>
      <c r="B988" s="39" t="s">
        <v>349</v>
      </c>
      <c r="C988" s="32" t="str">
        <f t="array" ref="C988">_xlfn.XLOOKUP(B988, DB[samplingPoint], DB[samplingTag])</f>
        <v>VB-05(10)</v>
      </c>
      <c r="D988" s="33" t="s">
        <v>59</v>
      </c>
      <c r="E988" s="39" t="str">
        <f t="array" ref="E988">_xlfn.XLOOKUP($B988, DB[samplingPoint], DB[noLocation])</f>
        <v>WATER SYSTEM (B10)</v>
      </c>
      <c r="F988" s="40" t="str">
        <f t="array" ref="F988">_xlfn.XLOOKUP($B988, DB[samplingPoint], DB[building])</f>
        <v>Building 10</v>
      </c>
      <c r="G988" s="40" t="str">
        <f t="array" ref="G988">_xlfn.XLOOKUP($B988, DB[samplingPoint], DB[location])</f>
        <v>After Chlorine circulation tank (B10)</v>
      </c>
      <c r="H988" s="39" t="str">
        <f t="array" ref="H988">_xlfn.XLOOKUP($B988, DB[samplingPoint], DB[waterType])</f>
        <v>PRW</v>
      </c>
      <c r="I988" s="43">
        <f t="shared" si="7"/>
        <v>46032</v>
      </c>
      <c r="J988" s="26">
        <v>46035.0</v>
      </c>
      <c r="K988" s="32">
        <v>0.0</v>
      </c>
      <c r="L988" s="32">
        <v>0.0</v>
      </c>
      <c r="M988" s="32">
        <f t="shared" si="3"/>
        <v>0</v>
      </c>
      <c r="N988" s="32" t="s">
        <v>376</v>
      </c>
      <c r="O988" s="32">
        <v>500.0</v>
      </c>
      <c r="P988" s="50" t="str">
        <f t="shared" si="6"/>
        <v>PASSED</v>
      </c>
      <c r="Q988" s="50" t="str">
        <f t="shared" si="5"/>
        <v>WA</v>
      </c>
    </row>
    <row r="989" ht="22.5" customHeight="1">
      <c r="A989" s="26">
        <v>46031.0</v>
      </c>
      <c r="B989" s="39" t="s">
        <v>366</v>
      </c>
      <c r="C989" s="32" t="str">
        <f t="array" ref="C989">_xlfn.XLOOKUP(B989, DB[samplingPoint], DB[samplingTag])</f>
        <v>V50-61(10)</v>
      </c>
      <c r="D989" s="33" t="s">
        <v>59</v>
      </c>
      <c r="E989" s="39" t="str">
        <f t="array" ref="E989">_xlfn.XLOOKUP($B989, DB[samplingPoint], DB[noLocation])</f>
        <v>WATER SYSTEM (B10)</v>
      </c>
      <c r="F989" s="40" t="str">
        <f t="array" ref="F989">_xlfn.XLOOKUP($B989, DB[samplingPoint], DB[building])</f>
        <v>Building 10</v>
      </c>
      <c r="G989" s="40" t="str">
        <f t="array" ref="G989">_xlfn.XLOOKUP($B989, DB[samplingPoint], DB[location])</f>
        <v>After Cartridge filter 5 µm (B10)</v>
      </c>
      <c r="H989" s="39" t="str">
        <f t="array" ref="H989">_xlfn.XLOOKUP($B989, DB[samplingPoint], DB[waterType])</f>
        <v>PRW</v>
      </c>
      <c r="I989" s="43">
        <f t="shared" si="7"/>
        <v>46032</v>
      </c>
      <c r="J989" s="26">
        <v>46035.0</v>
      </c>
      <c r="K989" s="32">
        <v>0.0</v>
      </c>
      <c r="L989" s="32">
        <v>0.0</v>
      </c>
      <c r="M989" s="32">
        <f t="shared" si="3"/>
        <v>0</v>
      </c>
      <c r="N989" s="32" t="s">
        <v>376</v>
      </c>
      <c r="O989" s="32">
        <v>500.0</v>
      </c>
      <c r="P989" s="50" t="str">
        <f t="shared" si="6"/>
        <v>PASSED</v>
      </c>
      <c r="Q989" s="50" t="str">
        <f t="shared" si="5"/>
        <v>WA</v>
      </c>
    </row>
    <row r="990" ht="22.5" customHeight="1">
      <c r="A990" s="26">
        <v>46031.0</v>
      </c>
      <c r="B990" s="39" t="s">
        <v>368</v>
      </c>
      <c r="C990" s="32" t="str">
        <f t="array" ref="C990">_xlfn.XLOOKUP(B990, DB[samplingPoint], DB[samplingTag])</f>
        <v>V50-11C(10)</v>
      </c>
      <c r="D990" s="33" t="s">
        <v>59</v>
      </c>
      <c r="E990" s="39" t="str">
        <f t="array" ref="E990">_xlfn.XLOOKUP($B990, DB[samplingPoint], DB[noLocation])</f>
        <v>WATER SYSTEM (B10)</v>
      </c>
      <c r="F990" s="40" t="str">
        <f t="array" ref="F990">_xlfn.XLOOKUP($B990, DB[samplingPoint], DB[building])</f>
        <v>Building 10</v>
      </c>
      <c r="G990" s="40" t="str">
        <f t="array" ref="G990">_xlfn.XLOOKUP($B990, DB[samplingPoint], DB[location])</f>
        <v>After RO (Before EDI) (B10)</v>
      </c>
      <c r="H990" s="39" t="str">
        <f t="array" ref="H990">_xlfn.XLOOKUP($B990, DB[samplingPoint], DB[waterType])</f>
        <v>RO water</v>
      </c>
      <c r="I990" s="43">
        <f t="shared" si="7"/>
        <v>46032</v>
      </c>
      <c r="J990" s="26">
        <v>46035.0</v>
      </c>
      <c r="K990" s="32">
        <v>0.0</v>
      </c>
      <c r="L990" s="32">
        <v>0.0</v>
      </c>
      <c r="M990" s="32">
        <f t="shared" si="3"/>
        <v>0</v>
      </c>
      <c r="N990" s="32" t="s">
        <v>376</v>
      </c>
      <c r="O990" s="32">
        <v>100.0</v>
      </c>
      <c r="P990" s="50" t="str">
        <f t="shared" si="6"/>
        <v>PASSED</v>
      </c>
      <c r="Q990" s="50" t="str">
        <f t="shared" si="5"/>
        <v>WA</v>
      </c>
    </row>
    <row r="991" ht="22.5" customHeight="1">
      <c r="A991" s="26">
        <v>46031.0</v>
      </c>
      <c r="B991" s="39" t="s">
        <v>374</v>
      </c>
      <c r="C991" s="32" t="str">
        <f t="array" ref="C991">_xlfn.XLOOKUP(B991, DB[samplingPoint], DB[samplingTag])</f>
        <v>V50-39(10)</v>
      </c>
      <c r="D991" s="33" t="s">
        <v>59</v>
      </c>
      <c r="E991" s="39" t="str">
        <f t="array" ref="E991">_xlfn.XLOOKUP($B991, DB[samplingPoint], DB[noLocation])</f>
        <v>WATER SYSTEM (B10)</v>
      </c>
      <c r="F991" s="40" t="str">
        <f t="array" ref="F991">_xlfn.XLOOKUP($B991, DB[samplingPoint], DB[building])</f>
        <v>Building 10</v>
      </c>
      <c r="G991" s="40" t="str">
        <f t="array" ref="G991">_xlfn.XLOOKUP($B991, DB[samplingPoint], DB[location])</f>
        <v>After EDI (B10)</v>
      </c>
      <c r="H991" s="39" t="str">
        <f t="array" ref="H991">_xlfn.XLOOKUP($B991, DB[samplingPoint], DB[waterType])</f>
        <v>PW</v>
      </c>
      <c r="I991" s="43">
        <f t="shared" si="7"/>
        <v>46032</v>
      </c>
      <c r="J991" s="26">
        <v>46035.0</v>
      </c>
      <c r="K991" s="32">
        <v>0.0</v>
      </c>
      <c r="L991" s="32">
        <v>0.0</v>
      </c>
      <c r="M991" s="32">
        <f t="shared" si="3"/>
        <v>0</v>
      </c>
      <c r="N991" s="32" t="s">
        <v>376</v>
      </c>
      <c r="O991" s="32">
        <v>100.0</v>
      </c>
      <c r="P991" s="50" t="str">
        <f t="shared" si="6"/>
        <v>PASSED</v>
      </c>
      <c r="Q991" s="50" t="str">
        <f t="shared" si="5"/>
        <v>WA</v>
      </c>
    </row>
    <row r="992" ht="22.5" customHeight="1">
      <c r="A992" s="26">
        <v>46031.0</v>
      </c>
      <c r="B992" s="39" t="s">
        <v>390</v>
      </c>
      <c r="C992" s="32" t="str">
        <f t="array" ref="C992">_xlfn.XLOOKUP(B992, DB[samplingPoint], DB[samplingTag])</f>
        <v>SV117.01</v>
      </c>
      <c r="D992" s="33" t="s">
        <v>59</v>
      </c>
      <c r="E992" s="39" t="str">
        <f t="array" ref="E992">_xlfn.XLOOKUP($B992, DB[samplingPoint], DB[noLocation])</f>
        <v>WATER SYSTEM (B10)</v>
      </c>
      <c r="F992" s="40" t="str">
        <f t="array" ref="F992">_xlfn.XLOOKUP($B992, DB[samplingPoint], DB[building])</f>
        <v>Building 10</v>
      </c>
      <c r="G992" s="40" t="str">
        <f t="array" ref="G992">_xlfn.XLOOKUP($B992, DB[samplingPoint], DB[location])</f>
        <v>Return loop (B10)</v>
      </c>
      <c r="H992" s="39" t="str">
        <f t="array" ref="H992">_xlfn.XLOOKUP($B992, DB[samplingPoint], DB[waterType])</f>
        <v>PW</v>
      </c>
      <c r="I992" s="43">
        <f t="shared" si="7"/>
        <v>46032</v>
      </c>
      <c r="J992" s="26">
        <v>46035.0</v>
      </c>
      <c r="K992" s="32">
        <v>0.0</v>
      </c>
      <c r="L992" s="32">
        <v>0.0</v>
      </c>
      <c r="M992" s="32">
        <f t="shared" si="3"/>
        <v>0</v>
      </c>
      <c r="N992" s="32" t="s">
        <v>376</v>
      </c>
      <c r="O992" s="32">
        <v>100.0</v>
      </c>
      <c r="P992" s="50" t="str">
        <f t="shared" si="6"/>
        <v>PASSED</v>
      </c>
      <c r="Q992" s="50" t="str">
        <f t="shared" si="5"/>
        <v>WA</v>
      </c>
    </row>
    <row r="993" ht="22.5" customHeight="1">
      <c r="A993" s="26">
        <v>46031.0</v>
      </c>
      <c r="B993" s="39" t="s">
        <v>489</v>
      </c>
      <c r="C993" s="32" t="str">
        <f t="array" ref="C993">_xlfn.XLOOKUP(B993, DB[samplingPoint], DB[samplingTag])</f>
        <v>DV116.18</v>
      </c>
      <c r="D993" s="33" t="s">
        <v>59</v>
      </c>
      <c r="E993" s="39" t="str">
        <f t="array" ref="E993">_xlfn.XLOOKUP($B993, DB[samplingPoint], DB[noLocation])</f>
        <v>10-3-111</v>
      </c>
      <c r="F993" s="40" t="str">
        <f t="array" ref="F993">_xlfn.XLOOKUP($B993, DB[samplingPoint], DB[building])</f>
        <v>Building 10</v>
      </c>
      <c r="G993" s="40" t="str">
        <f t="array" ref="G993">_xlfn.XLOOKUP($B993, DB[samplingPoint], DB[location])</f>
        <v>WET GRANULATION-5</v>
      </c>
      <c r="H993" s="39" t="str">
        <f t="array" ref="H993">_xlfn.XLOOKUP($B993, DB[samplingPoint], DB[waterType])</f>
        <v>PW</v>
      </c>
      <c r="I993" s="43">
        <f t="shared" si="7"/>
        <v>46032</v>
      </c>
      <c r="J993" s="26">
        <v>46035.0</v>
      </c>
      <c r="K993" s="32">
        <v>0.0</v>
      </c>
      <c r="L993" s="32">
        <v>0.0</v>
      </c>
      <c r="M993" s="32">
        <f t="shared" si="3"/>
        <v>0</v>
      </c>
      <c r="N993" s="32" t="s">
        <v>376</v>
      </c>
      <c r="O993" s="32">
        <v>100.0</v>
      </c>
      <c r="P993" s="50" t="str">
        <f t="shared" si="6"/>
        <v>PASSED</v>
      </c>
      <c r="Q993" s="50" t="str">
        <f t="shared" si="5"/>
        <v>10</v>
      </c>
    </row>
    <row r="994" ht="22.5" customHeight="1">
      <c r="A994" s="26">
        <v>46031.0</v>
      </c>
      <c r="B994" s="39" t="s">
        <v>485</v>
      </c>
      <c r="C994" s="32" t="str">
        <f t="array" ref="C994">_xlfn.XLOOKUP(B994, DB[samplingPoint], DB[samplingTag])</f>
        <v>DV116.16</v>
      </c>
      <c r="D994" s="33" t="s">
        <v>59</v>
      </c>
      <c r="E994" s="39" t="str">
        <f t="array" ref="E994">_xlfn.XLOOKUP($B994, DB[samplingPoint], DB[noLocation])</f>
        <v>10-3-107</v>
      </c>
      <c r="F994" s="40" t="str">
        <f t="array" ref="F994">_xlfn.XLOOKUP($B994, DB[samplingPoint], DB[building])</f>
        <v>Building 10</v>
      </c>
      <c r="G994" s="40" t="str">
        <f t="array" ref="G994">_xlfn.XLOOKUP($B994, DB[samplingPoint], DB[location])</f>
        <v>WET GRANULATION-2</v>
      </c>
      <c r="H994" s="39" t="str">
        <f t="array" ref="H994">_xlfn.XLOOKUP($B994, DB[samplingPoint], DB[waterType])</f>
        <v>PW</v>
      </c>
      <c r="I994" s="43">
        <f t="shared" si="7"/>
        <v>46032</v>
      </c>
      <c r="J994" s="26">
        <v>46035.0</v>
      </c>
      <c r="K994" s="32">
        <v>0.0</v>
      </c>
      <c r="L994" s="32">
        <v>0.0</v>
      </c>
      <c r="M994" s="32">
        <f t="shared" si="3"/>
        <v>0</v>
      </c>
      <c r="N994" s="32" t="s">
        <v>376</v>
      </c>
      <c r="O994" s="32">
        <v>100.0</v>
      </c>
      <c r="P994" s="50" t="str">
        <f t="shared" si="6"/>
        <v>PASSED</v>
      </c>
      <c r="Q994" s="50" t="str">
        <f t="shared" si="5"/>
        <v>10</v>
      </c>
    </row>
    <row r="995" ht="22.5" customHeight="1">
      <c r="A995" s="26">
        <v>46031.0</v>
      </c>
      <c r="B995" s="39" t="s">
        <v>492</v>
      </c>
      <c r="C995" s="32" t="str">
        <f t="array" ref="C995">_xlfn.XLOOKUP(B995, DB[samplingPoint], DB[samplingTag])</f>
        <v>SV116.11</v>
      </c>
      <c r="D995" s="33" t="s">
        <v>59</v>
      </c>
      <c r="E995" s="39" t="str">
        <f t="array" ref="E995">_xlfn.XLOOKUP($B995, DB[samplingPoint], DB[noLocation])</f>
        <v>10-3-107</v>
      </c>
      <c r="F995" s="40" t="str">
        <f t="array" ref="F995">_xlfn.XLOOKUP($B995, DB[samplingPoint], DB[building])</f>
        <v>Building 10</v>
      </c>
      <c r="G995" s="40" t="str">
        <f t="array" ref="G995">_xlfn.XLOOKUP($B995, DB[samplingPoint], DB[location])</f>
        <v>WET GRANULATION-2</v>
      </c>
      <c r="H995" s="39" t="str">
        <f t="array" ref="H995">_xlfn.XLOOKUP($B995, DB[samplingPoint], DB[waterType])</f>
        <v>PW</v>
      </c>
      <c r="I995" s="43">
        <f t="shared" si="7"/>
        <v>46032</v>
      </c>
      <c r="J995" s="26">
        <v>46035.0</v>
      </c>
      <c r="K995" s="32">
        <v>0.0</v>
      </c>
      <c r="L995" s="32">
        <v>0.0</v>
      </c>
      <c r="M995" s="32">
        <f t="shared" si="3"/>
        <v>0</v>
      </c>
      <c r="N995" s="32" t="s">
        <v>376</v>
      </c>
      <c r="O995" s="32">
        <v>100.0</v>
      </c>
      <c r="P995" s="50" t="str">
        <f t="shared" si="6"/>
        <v>PASSED</v>
      </c>
      <c r="Q995" s="50" t="str">
        <f t="shared" si="5"/>
        <v>10</v>
      </c>
    </row>
    <row r="996" ht="22.5" customHeight="1">
      <c r="A996" s="26">
        <v>46031.0</v>
      </c>
      <c r="B996" s="39" t="s">
        <v>482</v>
      </c>
      <c r="C996" s="32" t="str">
        <f t="array" ref="C996">_xlfn.XLOOKUP(B996, DB[samplingPoint], DB[samplingTag])</f>
        <v>DV116.14</v>
      </c>
      <c r="D996" s="33" t="s">
        <v>59</v>
      </c>
      <c r="E996" s="39" t="str">
        <f t="array" ref="E996">_xlfn.XLOOKUP($B996, DB[samplingPoint], DB[noLocation])</f>
        <v>10-3-086</v>
      </c>
      <c r="F996" s="40" t="str">
        <f t="array" ref="F996">_xlfn.XLOOKUP($B996, DB[samplingPoint], DB[building])</f>
        <v>Building 10</v>
      </c>
      <c r="G996" s="40" t="str">
        <f t="array" ref="G996">_xlfn.XLOOKUP($B996, DB[samplingPoint], DB[location])</f>
        <v>TOOL WASHING</v>
      </c>
      <c r="H996" s="39" t="str">
        <f t="array" ref="H996">_xlfn.XLOOKUP($B996, DB[samplingPoint], DB[waterType])</f>
        <v>PW</v>
      </c>
      <c r="I996" s="43">
        <f t="shared" si="7"/>
        <v>46032</v>
      </c>
      <c r="J996" s="26">
        <v>46035.0</v>
      </c>
      <c r="K996" s="32">
        <v>0.0</v>
      </c>
      <c r="L996" s="32">
        <v>0.0</v>
      </c>
      <c r="M996" s="32">
        <f t="shared" si="3"/>
        <v>0</v>
      </c>
      <c r="N996" s="32" t="s">
        <v>376</v>
      </c>
      <c r="O996" s="32">
        <v>100.0</v>
      </c>
      <c r="P996" s="50" t="str">
        <f t="shared" si="6"/>
        <v>PASSED</v>
      </c>
      <c r="Q996" s="50" t="str">
        <f t="shared" si="5"/>
        <v>10</v>
      </c>
    </row>
    <row r="997" ht="22.5" customHeight="1">
      <c r="A997" s="26">
        <v>46031.0</v>
      </c>
      <c r="B997" s="39" t="s">
        <v>490</v>
      </c>
      <c r="C997" s="32" t="str">
        <f t="array" ref="C997">_xlfn.XLOOKUP(B997, DB[samplingPoint], DB[samplingTag])</f>
        <v>SV116.09</v>
      </c>
      <c r="D997" s="33" t="s">
        <v>59</v>
      </c>
      <c r="E997" s="39" t="str">
        <f t="array" ref="E997">_xlfn.XLOOKUP($B997, DB[samplingPoint], DB[noLocation])</f>
        <v>10-3-078</v>
      </c>
      <c r="F997" s="40" t="str">
        <f t="array" ref="F997">_xlfn.XLOOKUP($B997, DB[samplingPoint], DB[building])</f>
        <v>Building 10</v>
      </c>
      <c r="G997" s="40" t="str">
        <f t="array" ref="G997">_xlfn.XLOOKUP($B997, DB[samplingPoint], DB[location])</f>
        <v>WASHING</v>
      </c>
      <c r="H997" s="39" t="str">
        <f t="array" ref="H997">_xlfn.XLOOKUP($B997, DB[samplingPoint], DB[waterType])</f>
        <v>PW</v>
      </c>
      <c r="I997" s="43">
        <f t="shared" si="7"/>
        <v>46032</v>
      </c>
      <c r="J997" s="26">
        <v>46035.0</v>
      </c>
      <c r="K997" s="32">
        <v>0.0</v>
      </c>
      <c r="L997" s="32">
        <v>0.0</v>
      </c>
      <c r="M997" s="32">
        <f t="shared" si="3"/>
        <v>0</v>
      </c>
      <c r="N997" s="32" t="s">
        <v>376</v>
      </c>
      <c r="O997" s="32">
        <v>100.0</v>
      </c>
      <c r="P997" s="50" t="str">
        <f t="shared" si="6"/>
        <v>PASSED</v>
      </c>
      <c r="Q997" s="50" t="str">
        <f t="shared" si="5"/>
        <v>10</v>
      </c>
    </row>
    <row r="998" ht="22.5" customHeight="1">
      <c r="A998" s="26">
        <v>46031.0</v>
      </c>
      <c r="B998" s="39" t="s">
        <v>479</v>
      </c>
      <c r="C998" s="32" t="str">
        <f t="array" ref="C998">_xlfn.XLOOKUP(B998, DB[samplingPoint], DB[samplingTag])</f>
        <v>DV116.13</v>
      </c>
      <c r="D998" s="33" t="s">
        <v>59</v>
      </c>
      <c r="E998" s="39" t="str">
        <f t="array" ref="E998">_xlfn.XLOOKUP($B998, DB[samplingPoint], DB[noLocation])</f>
        <v>10-3-078</v>
      </c>
      <c r="F998" s="40" t="str">
        <f t="array" ref="F998">_xlfn.XLOOKUP($B998, DB[samplingPoint], DB[building])</f>
        <v>Building 10</v>
      </c>
      <c r="G998" s="40" t="str">
        <f t="array" ref="G998">_xlfn.XLOOKUP($B998, DB[samplingPoint], DB[location])</f>
        <v>WASHING</v>
      </c>
      <c r="H998" s="39" t="str">
        <f t="array" ref="H998">_xlfn.XLOOKUP($B998, DB[samplingPoint], DB[waterType])</f>
        <v>PW</v>
      </c>
      <c r="I998" s="43">
        <f t="shared" si="7"/>
        <v>46032</v>
      </c>
      <c r="J998" s="26">
        <v>46035.0</v>
      </c>
      <c r="K998" s="32">
        <v>0.0</v>
      </c>
      <c r="L998" s="32">
        <v>0.0</v>
      </c>
      <c r="M998" s="32">
        <f t="shared" si="3"/>
        <v>0</v>
      </c>
      <c r="N998" s="32" t="s">
        <v>376</v>
      </c>
      <c r="O998" s="32">
        <v>100.0</v>
      </c>
      <c r="P998" s="50" t="str">
        <f t="shared" si="6"/>
        <v>PASSED</v>
      </c>
      <c r="Q998" s="50" t="str">
        <f t="shared" si="5"/>
        <v>10</v>
      </c>
    </row>
    <row r="999" ht="22.5" customHeight="1">
      <c r="A999" s="26">
        <v>46031.0</v>
      </c>
      <c r="B999" s="39" t="s">
        <v>476</v>
      </c>
      <c r="C999" s="32" t="str">
        <f t="array" ref="C999">_xlfn.XLOOKUP(B999, DB[samplingPoint], DB[samplingTag])</f>
        <v>DV116.12</v>
      </c>
      <c r="D999" s="33" t="s">
        <v>59</v>
      </c>
      <c r="E999" s="39" t="str">
        <f t="array" ref="E999">_xlfn.XLOOKUP($B999, DB[samplingPoint], DB[noLocation])</f>
        <v>10-3-078</v>
      </c>
      <c r="F999" s="40" t="str">
        <f t="array" ref="F999">_xlfn.XLOOKUP($B999, DB[samplingPoint], DB[building])</f>
        <v>Building 10</v>
      </c>
      <c r="G999" s="40" t="str">
        <f t="array" ref="G999">_xlfn.XLOOKUP($B999, DB[samplingPoint], DB[location])</f>
        <v>WASHING</v>
      </c>
      <c r="H999" s="39" t="str">
        <f t="array" ref="H999">_xlfn.XLOOKUP($B999, DB[samplingPoint], DB[waterType])</f>
        <v>PW</v>
      </c>
      <c r="I999" s="43">
        <f t="shared" si="7"/>
        <v>46032</v>
      </c>
      <c r="J999" s="26">
        <v>46035.0</v>
      </c>
      <c r="K999" s="32">
        <v>0.0</v>
      </c>
      <c r="L999" s="32">
        <v>0.0</v>
      </c>
      <c r="M999" s="32">
        <f t="shared" si="3"/>
        <v>0</v>
      </c>
      <c r="N999" s="32" t="s">
        <v>376</v>
      </c>
      <c r="O999" s="32">
        <v>100.0</v>
      </c>
      <c r="P999" s="50" t="str">
        <f t="shared" si="6"/>
        <v>PASSED</v>
      </c>
      <c r="Q999" s="50" t="str">
        <f t="shared" si="5"/>
        <v>10</v>
      </c>
    </row>
    <row r="1000" ht="22.5" customHeight="1">
      <c r="A1000" s="26">
        <v>46031.0</v>
      </c>
      <c r="B1000" s="39" t="s">
        <v>488</v>
      </c>
      <c r="C1000" s="32" t="str">
        <f t="array" ref="C1000">_xlfn.XLOOKUP(B1000, DB[samplingPoint], DB[samplingTag])</f>
        <v>DV116.17</v>
      </c>
      <c r="D1000" s="33" t="s">
        <v>59</v>
      </c>
      <c r="E1000" s="39" t="str">
        <f t="array" ref="E1000">_xlfn.XLOOKUP($B1000, DB[samplingPoint], DB[noLocation])</f>
        <v>10-3-117</v>
      </c>
      <c r="F1000" s="40" t="str">
        <f t="array" ref="F1000">_xlfn.XLOOKUP($B1000, DB[samplingPoint], DB[building])</f>
        <v>Building 10</v>
      </c>
      <c r="G1000" s="40" t="str">
        <f t="array" ref="G1000">_xlfn.XLOOKUP($B1000, DB[samplingPoint], DB[location])</f>
        <v>IPQC-2</v>
      </c>
      <c r="H1000" s="39" t="str">
        <f t="array" ref="H1000">_xlfn.XLOOKUP($B1000, DB[samplingPoint], DB[waterType])</f>
        <v>PW</v>
      </c>
      <c r="I1000" s="43">
        <f t="shared" si="7"/>
        <v>46032</v>
      </c>
      <c r="J1000" s="26">
        <v>46035.0</v>
      </c>
      <c r="K1000" s="32">
        <v>0.0</v>
      </c>
      <c r="L1000" s="32">
        <v>0.0</v>
      </c>
      <c r="M1000" s="32">
        <f t="shared" si="3"/>
        <v>0</v>
      </c>
      <c r="N1000" s="32" t="s">
        <v>376</v>
      </c>
      <c r="O1000" s="32">
        <v>100.0</v>
      </c>
      <c r="P1000" s="50" t="str">
        <f t="shared" si="6"/>
        <v>PASSED</v>
      </c>
      <c r="Q1000" s="50" t="str">
        <f t="shared" si="5"/>
        <v>10</v>
      </c>
    </row>
    <row r="1001" ht="22.5" customHeight="1">
      <c r="A1001" s="26">
        <v>46031.0</v>
      </c>
      <c r="B1001" s="39" t="s">
        <v>119</v>
      </c>
      <c r="C1001" s="32" t="str">
        <f t="array" ref="C1001">_xlfn.XLOOKUP(B1001, DB[samplingPoint], DB[samplingTag])</f>
        <v>DV116.15</v>
      </c>
      <c r="D1001" s="33" t="s">
        <v>59</v>
      </c>
      <c r="E1001" s="39" t="str">
        <f t="array" ref="E1001">_xlfn.XLOOKUP($B1001, DB[samplingPoint], DB[noLocation])</f>
        <v>10-3-104</v>
      </c>
      <c r="F1001" s="40" t="str">
        <f t="array" ref="F1001">_xlfn.XLOOKUP($B1001, DB[samplingPoint], DB[building])</f>
        <v>Building 10</v>
      </c>
      <c r="G1001" s="40" t="str">
        <f t="array" ref="G1001">_xlfn.XLOOKUP($B1001, DB[samplingPoint], DB[location])</f>
        <v>BINDER PREPARATION</v>
      </c>
      <c r="H1001" s="39" t="str">
        <f t="array" ref="H1001">_xlfn.XLOOKUP($B1001, DB[samplingPoint], DB[waterType])</f>
        <v>PW</v>
      </c>
      <c r="I1001" s="43">
        <f t="shared" si="7"/>
        <v>46032</v>
      </c>
      <c r="J1001" s="26">
        <v>46035.0</v>
      </c>
      <c r="K1001" s="32">
        <v>0.0</v>
      </c>
      <c r="L1001" s="32">
        <v>0.0</v>
      </c>
      <c r="M1001" s="32">
        <f t="shared" si="3"/>
        <v>0</v>
      </c>
      <c r="N1001" s="32" t="s">
        <v>376</v>
      </c>
      <c r="O1001" s="32">
        <v>100.0</v>
      </c>
      <c r="P1001" s="50" t="str">
        <f t="shared" si="6"/>
        <v>PASSED</v>
      </c>
      <c r="Q1001" s="50" t="str">
        <f t="shared" si="5"/>
        <v>10</v>
      </c>
    </row>
    <row r="1002" ht="22.5" customHeight="1">
      <c r="A1002" s="26">
        <v>46035.0</v>
      </c>
      <c r="B1002" s="39" t="s">
        <v>467</v>
      </c>
      <c r="C1002" s="32" t="str">
        <f t="array" ref="C1002">_xlfn.XLOOKUP(B1002, DB[samplingPoint], DB[samplingTag])</f>
        <v>SV123.01</v>
      </c>
      <c r="D1002" s="33" t="s">
        <v>59</v>
      </c>
      <c r="E1002" s="39" t="str">
        <f t="array" ref="E1002">_xlfn.XLOOKUP($B1002, DB[samplingPoint], DB[noLocation])</f>
        <v>WATER SYSTEM (B16)</v>
      </c>
      <c r="F1002" s="40" t="str">
        <f t="array" ref="F1002">_xlfn.XLOOKUP($B1002, DB[samplingPoint], DB[building])</f>
        <v>Building 16</v>
      </c>
      <c r="G1002" s="40" t="str">
        <f t="array" ref="G1002">_xlfn.XLOOKUP($B1002, DB[samplingPoint], DB[location])</f>
        <v>After Storage tank (B16)</v>
      </c>
      <c r="H1002" s="39" t="str">
        <f t="array" ref="H1002">_xlfn.XLOOKUP($B1002, DB[samplingPoint], DB[waterType])</f>
        <v>PW</v>
      </c>
      <c r="I1002" s="43">
        <f t="shared" si="7"/>
        <v>46036</v>
      </c>
      <c r="J1002" s="26">
        <v>46039.0</v>
      </c>
      <c r="K1002" s="32">
        <v>0.0</v>
      </c>
      <c r="L1002" s="32">
        <v>0.0</v>
      </c>
      <c r="M1002" s="32">
        <f t="shared" si="3"/>
        <v>0</v>
      </c>
      <c r="N1002" s="32" t="s">
        <v>376</v>
      </c>
      <c r="O1002" s="32">
        <v>100.0</v>
      </c>
      <c r="P1002" s="50" t="str">
        <f t="shared" si="6"/>
        <v>PASSED</v>
      </c>
      <c r="Q1002" s="50" t="str">
        <f t="shared" si="5"/>
        <v>WA</v>
      </c>
    </row>
    <row r="1003" ht="22.5" customHeight="1">
      <c r="A1003" s="26">
        <v>46035.0</v>
      </c>
      <c r="B1003" s="39" t="s">
        <v>469</v>
      </c>
      <c r="C1003" s="32" t="str">
        <f t="array" ref="C1003">_xlfn.XLOOKUP(B1003, DB[samplingPoint], DB[samplingTag])</f>
        <v>SV125.02</v>
      </c>
      <c r="D1003" s="33" t="s">
        <v>59</v>
      </c>
      <c r="E1003" s="39" t="str">
        <f t="array" ref="E1003">_xlfn.XLOOKUP($B1003, DB[samplingPoint], DB[noLocation])</f>
        <v>WATER SYSTEM (B16)</v>
      </c>
      <c r="F1003" s="40" t="str">
        <f t="array" ref="F1003">_xlfn.XLOOKUP($B1003, DB[samplingPoint], DB[building])</f>
        <v>Building 16</v>
      </c>
      <c r="G1003" s="40" t="str">
        <f t="array" ref="G1003">_xlfn.XLOOKUP($B1003, DB[samplingPoint], DB[location])</f>
        <v>After UV (B16)</v>
      </c>
      <c r="H1003" s="39" t="str">
        <f t="array" ref="H1003">_xlfn.XLOOKUP($B1003, DB[samplingPoint], DB[waterType])</f>
        <v>PW</v>
      </c>
      <c r="I1003" s="43">
        <f t="shared" si="7"/>
        <v>46036</v>
      </c>
      <c r="J1003" s="26">
        <v>46039.0</v>
      </c>
      <c r="K1003" s="32">
        <v>0.0</v>
      </c>
      <c r="L1003" s="32">
        <v>0.0</v>
      </c>
      <c r="M1003" s="32">
        <f t="shared" si="3"/>
        <v>0</v>
      </c>
      <c r="N1003" s="32" t="s">
        <v>376</v>
      </c>
      <c r="O1003" s="32">
        <v>100.0</v>
      </c>
      <c r="P1003" s="50" t="str">
        <f t="shared" si="6"/>
        <v>PASSED</v>
      </c>
      <c r="Q1003" s="50" t="str">
        <f t="shared" si="5"/>
        <v>WA</v>
      </c>
    </row>
    <row r="1004" ht="22.5" customHeight="1">
      <c r="A1004" s="26">
        <v>46035.0</v>
      </c>
      <c r="B1004" s="39" t="s">
        <v>464</v>
      </c>
      <c r="C1004" s="32" t="str">
        <f t="array" ref="C1004">_xlfn.XLOOKUP(B1004, DB[samplingPoint], DB[samplingTag])</f>
        <v>SV127.01</v>
      </c>
      <c r="D1004" s="33" t="s">
        <v>59</v>
      </c>
      <c r="E1004" s="39" t="str">
        <f t="array" ref="E1004">_xlfn.XLOOKUP($B1004, DB[samplingPoint], DB[noLocation])</f>
        <v>WATER SYSTEM (B16)</v>
      </c>
      <c r="F1004" s="40" t="str">
        <f t="array" ref="F1004">_xlfn.XLOOKUP($B1004, DB[samplingPoint], DB[building])</f>
        <v>Building 16</v>
      </c>
      <c r="G1004" s="40" t="str">
        <f t="array" ref="G1004">_xlfn.XLOOKUP($B1004, DB[samplingPoint], DB[location])</f>
        <v>Return loop (B16)</v>
      </c>
      <c r="H1004" s="39" t="str">
        <f t="array" ref="H1004">_xlfn.XLOOKUP($B1004, DB[samplingPoint], DB[waterType])</f>
        <v>PW</v>
      </c>
      <c r="I1004" s="43">
        <f t="shared" si="7"/>
        <v>46036</v>
      </c>
      <c r="J1004" s="26">
        <v>46039.0</v>
      </c>
      <c r="K1004" s="32">
        <v>0.0</v>
      </c>
      <c r="L1004" s="32">
        <v>0.0</v>
      </c>
      <c r="M1004" s="32">
        <f t="shared" si="3"/>
        <v>0</v>
      </c>
      <c r="N1004" s="32" t="s">
        <v>376</v>
      </c>
      <c r="O1004" s="32">
        <v>100.0</v>
      </c>
      <c r="P1004" s="50" t="str">
        <f t="shared" si="6"/>
        <v>PASSED</v>
      </c>
      <c r="Q1004" s="50" t="str">
        <f t="shared" si="5"/>
        <v>WA</v>
      </c>
    </row>
    <row r="1005" ht="22.5" customHeight="1">
      <c r="A1005" s="26">
        <v>46035.0</v>
      </c>
      <c r="B1005" s="39" t="s">
        <v>472</v>
      </c>
      <c r="C1005" s="32" t="str">
        <f t="array" ref="C1005">_xlfn.XLOOKUP(B1005, DB[samplingPoint], DB[samplingTag])</f>
        <v>SV126.19</v>
      </c>
      <c r="D1005" s="33" t="s">
        <v>59</v>
      </c>
      <c r="E1005" s="39" t="str">
        <f t="array" ref="E1005">_xlfn.XLOOKUP($B1005, DB[samplingPoint], DB[noLocation])</f>
        <v>16-3-087</v>
      </c>
      <c r="F1005" s="40" t="str">
        <f t="array" ref="F1005">_xlfn.XLOOKUP($B1005, DB[samplingPoint], DB[building])</f>
        <v>Building 16</v>
      </c>
      <c r="G1005" s="40" t="str">
        <f t="array" ref="G1005">_xlfn.XLOOKUP($B1005, DB[samplingPoint], DB[location])</f>
        <v>CIP 2 (EQUIPMENT REQUIREMENT)</v>
      </c>
      <c r="H1005" s="39" t="str">
        <f t="array" ref="H1005">_xlfn.XLOOKUP($B1005, DB[samplingPoint], DB[waterType])</f>
        <v>PW</v>
      </c>
      <c r="I1005" s="43">
        <f t="shared" si="7"/>
        <v>46036</v>
      </c>
      <c r="J1005" s="26">
        <v>46039.0</v>
      </c>
      <c r="K1005" s="32">
        <v>0.0</v>
      </c>
      <c r="L1005" s="32">
        <v>0.0</v>
      </c>
      <c r="M1005" s="32">
        <f t="shared" si="3"/>
        <v>0</v>
      </c>
      <c r="N1005" s="32" t="s">
        <v>376</v>
      </c>
      <c r="O1005" s="32">
        <v>100.0</v>
      </c>
      <c r="P1005" s="50" t="str">
        <f t="shared" si="6"/>
        <v>PASSED</v>
      </c>
      <c r="Q1005" s="50" t="str">
        <f t="shared" si="5"/>
        <v>16</v>
      </c>
    </row>
    <row r="1006" ht="22.5" customHeight="1">
      <c r="A1006" s="26">
        <v>46035.0</v>
      </c>
      <c r="B1006" s="39" t="s">
        <v>474</v>
      </c>
      <c r="C1006" s="32" t="str">
        <f t="array" ref="C1006">_xlfn.XLOOKUP(B1006, DB[samplingPoint], DB[samplingTag])</f>
        <v>DV126.11</v>
      </c>
      <c r="D1006" s="33" t="s">
        <v>59</v>
      </c>
      <c r="E1006" s="39" t="str">
        <f t="array" ref="E1006">_xlfn.XLOOKUP($B1006, DB[samplingPoint], DB[noLocation])</f>
        <v>16-3-073</v>
      </c>
      <c r="F1006" s="40" t="str">
        <f t="array" ref="F1006">_xlfn.XLOOKUP($B1006, DB[samplingPoint], DB[building])</f>
        <v>Building 16</v>
      </c>
      <c r="G1006" s="40" t="str">
        <f t="array" ref="G1006">_xlfn.XLOOKUP($B1006, DB[samplingPoint], DB[location])</f>
        <v>MFG 4 (5000L)</v>
      </c>
      <c r="H1006" s="39" t="str">
        <f t="array" ref="H1006">_xlfn.XLOOKUP($B1006, DB[samplingPoint], DB[waterType])</f>
        <v>PW</v>
      </c>
      <c r="I1006" s="43">
        <f t="shared" si="7"/>
        <v>46036</v>
      </c>
      <c r="J1006" s="26">
        <v>46039.0</v>
      </c>
      <c r="K1006" s="32">
        <v>0.0</v>
      </c>
      <c r="L1006" s="32">
        <v>0.0</v>
      </c>
      <c r="M1006" s="32">
        <f t="shared" si="3"/>
        <v>0</v>
      </c>
      <c r="N1006" s="32" t="s">
        <v>376</v>
      </c>
      <c r="O1006" s="32">
        <v>100.0</v>
      </c>
      <c r="P1006" s="50" t="str">
        <f t="shared" si="6"/>
        <v>PASSED</v>
      </c>
      <c r="Q1006" s="50" t="str">
        <f t="shared" si="5"/>
        <v>16</v>
      </c>
    </row>
    <row r="1007" ht="22.5" customHeight="1">
      <c r="A1007" s="26">
        <v>46035.0</v>
      </c>
      <c r="B1007" s="39" t="s">
        <v>478</v>
      </c>
      <c r="C1007" s="32" t="str">
        <f t="array" ref="C1007">_xlfn.XLOOKUP(B1007, DB[samplingPoint], DB[samplingTag])</f>
        <v>SV126.14</v>
      </c>
      <c r="D1007" s="33" t="s">
        <v>59</v>
      </c>
      <c r="E1007" s="39" t="str">
        <f t="array" ref="E1007">_xlfn.XLOOKUP($B1007, DB[samplingPoint], DB[noLocation])</f>
        <v>16-3-073</v>
      </c>
      <c r="F1007" s="40" t="str">
        <f t="array" ref="F1007">_xlfn.XLOOKUP($B1007, DB[samplingPoint], DB[building])</f>
        <v>Building 16</v>
      </c>
      <c r="G1007" s="40" t="str">
        <f t="array" ref="G1007">_xlfn.XLOOKUP($B1007, DB[samplingPoint], DB[location])</f>
        <v>MFG 4 (400L)</v>
      </c>
      <c r="H1007" s="39" t="str">
        <f t="array" ref="H1007">_xlfn.XLOOKUP($B1007, DB[samplingPoint], DB[waterType])</f>
        <v>PW</v>
      </c>
      <c r="I1007" s="43">
        <f t="shared" si="7"/>
        <v>46036</v>
      </c>
      <c r="J1007" s="26">
        <v>46039.0</v>
      </c>
      <c r="K1007" s="32">
        <v>0.0</v>
      </c>
      <c r="L1007" s="32">
        <v>0.0</v>
      </c>
      <c r="M1007" s="32">
        <f t="shared" si="3"/>
        <v>0</v>
      </c>
      <c r="N1007" s="32" t="s">
        <v>376</v>
      </c>
      <c r="O1007" s="32">
        <v>100.0</v>
      </c>
      <c r="P1007" s="50" t="str">
        <f t="shared" si="6"/>
        <v>PASSED</v>
      </c>
      <c r="Q1007" s="50" t="str">
        <f t="shared" si="5"/>
        <v>16</v>
      </c>
    </row>
    <row r="1008" ht="22.5" customHeight="1">
      <c r="A1008" s="26">
        <v>46035.0</v>
      </c>
      <c r="B1008" s="39" t="s">
        <v>481</v>
      </c>
      <c r="C1008" s="32" t="str">
        <f t="array" ref="C1008">_xlfn.XLOOKUP(B1008, DB[samplingPoint], DB[samplingTag])</f>
        <v>SV126.15</v>
      </c>
      <c r="D1008" s="33" t="s">
        <v>59</v>
      </c>
      <c r="E1008" s="39" t="str">
        <f t="array" ref="E1008">_xlfn.XLOOKUP($B1008, DB[samplingPoint], DB[noLocation])</f>
        <v>16-3-075</v>
      </c>
      <c r="F1008" s="40" t="str">
        <f t="array" ref="F1008">_xlfn.XLOOKUP($B1008, DB[samplingPoint], DB[building])</f>
        <v>Building 16</v>
      </c>
      <c r="G1008" s="40" t="str">
        <f t="array" ref="G1008">_xlfn.XLOOKUP($B1008, DB[samplingPoint], DB[location])</f>
        <v>MFG 5 PROCESS (2000L)</v>
      </c>
      <c r="H1008" s="39" t="str">
        <f t="array" ref="H1008">_xlfn.XLOOKUP($B1008, DB[samplingPoint], DB[waterType])</f>
        <v>PW</v>
      </c>
      <c r="I1008" s="43">
        <f t="shared" si="7"/>
        <v>46036</v>
      </c>
      <c r="J1008" s="26">
        <v>46039.0</v>
      </c>
      <c r="K1008" s="32">
        <v>0.0</v>
      </c>
      <c r="L1008" s="32">
        <v>0.0</v>
      </c>
      <c r="M1008" s="32">
        <f t="shared" si="3"/>
        <v>0</v>
      </c>
      <c r="N1008" s="32" t="s">
        <v>376</v>
      </c>
      <c r="O1008" s="32">
        <v>100.0</v>
      </c>
      <c r="P1008" s="50" t="str">
        <f t="shared" si="6"/>
        <v>PASSED</v>
      </c>
      <c r="Q1008" s="50" t="str">
        <f t="shared" si="5"/>
        <v>16</v>
      </c>
    </row>
    <row r="1009" ht="22.5" customHeight="1">
      <c r="A1009" s="26">
        <v>46035.0</v>
      </c>
      <c r="B1009" s="39" t="s">
        <v>483</v>
      </c>
      <c r="C1009" s="32" t="str">
        <f t="array" ref="C1009">_xlfn.XLOOKUP(B1009, DB[samplingPoint], DB[samplingTag])</f>
        <v>DV126.05</v>
      </c>
      <c r="D1009" s="33" t="s">
        <v>59</v>
      </c>
      <c r="E1009" s="39" t="str">
        <f t="array" ref="E1009">_xlfn.XLOOKUP($B1009, DB[samplingPoint], DB[noLocation])</f>
        <v>16-3-054</v>
      </c>
      <c r="F1009" s="40" t="str">
        <f t="array" ref="F1009">_xlfn.XLOOKUP($B1009, DB[samplingPoint], DB[building])</f>
        <v>Building 16</v>
      </c>
      <c r="G1009" s="40" t="str">
        <f t="array" ref="G1009">_xlfn.XLOOKUP($B1009, DB[samplingPoint], DB[location])</f>
        <v>WASHING</v>
      </c>
      <c r="H1009" s="39" t="str">
        <f t="array" ref="H1009">_xlfn.XLOOKUP($B1009, DB[samplingPoint], DB[waterType])</f>
        <v>PW</v>
      </c>
      <c r="I1009" s="43">
        <f t="shared" si="7"/>
        <v>46036</v>
      </c>
      <c r="J1009" s="26">
        <v>46039.0</v>
      </c>
      <c r="K1009" s="32">
        <v>0.0</v>
      </c>
      <c r="L1009" s="32">
        <v>0.0</v>
      </c>
      <c r="M1009" s="32">
        <f t="shared" si="3"/>
        <v>0</v>
      </c>
      <c r="N1009" s="32" t="s">
        <v>376</v>
      </c>
      <c r="O1009" s="32">
        <v>100.0</v>
      </c>
      <c r="P1009" s="50" t="str">
        <f t="shared" si="6"/>
        <v>PASSED</v>
      </c>
      <c r="Q1009" s="50" t="str">
        <f t="shared" si="5"/>
        <v>16</v>
      </c>
    </row>
    <row r="1010" ht="22.5" customHeight="1">
      <c r="A1010" s="26">
        <v>46035.0</v>
      </c>
      <c r="B1010" s="39" t="s">
        <v>486</v>
      </c>
      <c r="C1010" s="32" t="str">
        <f t="array" ref="C1010">_xlfn.XLOOKUP(B1010, DB[samplingPoint], DB[samplingTag])</f>
        <v>SV126.04</v>
      </c>
      <c r="D1010" s="33" t="s">
        <v>59</v>
      </c>
      <c r="E1010" s="39" t="str">
        <f t="array" ref="E1010">_xlfn.XLOOKUP($B1010, DB[samplingPoint], DB[noLocation])</f>
        <v>16-2-010</v>
      </c>
      <c r="F1010" s="40" t="str">
        <f t="array" ref="F1010">_xlfn.XLOOKUP($B1010, DB[samplingPoint], DB[building])</f>
        <v>Building 16</v>
      </c>
      <c r="G1010" s="40" t="str">
        <f t="array" ref="G1010">_xlfn.XLOOKUP($B1010, DB[samplingPoint], DB[location])</f>
        <v>WATER SYSTEM (PSG)</v>
      </c>
      <c r="H1010" s="39" t="str">
        <f t="array" ref="H1010">_xlfn.XLOOKUP($B1010, DB[samplingPoint], DB[waterType])</f>
        <v>PW</v>
      </c>
      <c r="I1010" s="43">
        <f t="shared" si="7"/>
        <v>46036</v>
      </c>
      <c r="J1010" s="26">
        <v>46039.0</v>
      </c>
      <c r="K1010" s="32">
        <v>0.0</v>
      </c>
      <c r="L1010" s="32">
        <v>0.0</v>
      </c>
      <c r="M1010" s="32">
        <f t="shared" si="3"/>
        <v>0</v>
      </c>
      <c r="N1010" s="32" t="s">
        <v>376</v>
      </c>
      <c r="O1010" s="32">
        <v>100.0</v>
      </c>
      <c r="P1010" s="50" t="str">
        <f t="shared" si="6"/>
        <v>PASSED</v>
      </c>
      <c r="Q1010" s="50" t="str">
        <f t="shared" si="5"/>
        <v>16</v>
      </c>
    </row>
    <row r="1011" ht="22.5" customHeight="1">
      <c r="A1011" s="26">
        <v>46035.0</v>
      </c>
      <c r="B1011" s="39" t="s">
        <v>435</v>
      </c>
      <c r="C1011" s="32" t="str">
        <f t="array" ref="C1011">_xlfn.XLOOKUP(B1011, DB[samplingPoint], DB[samplingTag])</f>
        <v>SV133.01</v>
      </c>
      <c r="D1011" s="33" t="s">
        <v>59</v>
      </c>
      <c r="E1011" s="39" t="str">
        <f t="array" ref="E1011">_xlfn.XLOOKUP($B1011, DB[samplingPoint], DB[noLocation])</f>
        <v>WATER SYSTEM (B12)</v>
      </c>
      <c r="F1011" s="40" t="str">
        <f t="array" ref="F1011">_xlfn.XLOOKUP($B1011, DB[samplingPoint], DB[building])</f>
        <v>Building 12</v>
      </c>
      <c r="G1011" s="40" t="str">
        <f t="array" ref="G1011">_xlfn.XLOOKUP($B1011, DB[samplingPoint], DB[location])</f>
        <v>After Storage tank (B12)</v>
      </c>
      <c r="H1011" s="39" t="str">
        <f t="array" ref="H1011">_xlfn.XLOOKUP($B1011, DB[samplingPoint], DB[waterType])</f>
        <v>PW</v>
      </c>
      <c r="I1011" s="43">
        <f t="shared" si="7"/>
        <v>46036</v>
      </c>
      <c r="J1011" s="26">
        <v>46039.0</v>
      </c>
      <c r="K1011" s="32">
        <v>0.0</v>
      </c>
      <c r="L1011" s="32">
        <v>0.0</v>
      </c>
      <c r="M1011" s="32">
        <f t="shared" si="3"/>
        <v>0</v>
      </c>
      <c r="N1011" s="32" t="s">
        <v>376</v>
      </c>
      <c r="O1011" s="32">
        <v>100.0</v>
      </c>
      <c r="P1011" s="50" t="str">
        <f t="shared" si="6"/>
        <v>PASSED</v>
      </c>
      <c r="Q1011" s="50" t="str">
        <f t="shared" si="5"/>
        <v>WA</v>
      </c>
    </row>
    <row r="1012" ht="22.5" customHeight="1">
      <c r="A1012" s="26">
        <v>46035.0</v>
      </c>
      <c r="B1012" s="39" t="s">
        <v>438</v>
      </c>
      <c r="C1012" s="32" t="str">
        <f t="array" ref="C1012">_xlfn.XLOOKUP(B1012, DB[samplingPoint], DB[samplingTag])</f>
        <v>SV135.02</v>
      </c>
      <c r="D1012" s="33" t="s">
        <v>59</v>
      </c>
      <c r="E1012" s="39" t="str">
        <f t="array" ref="E1012">_xlfn.XLOOKUP($B1012, DB[samplingPoint], DB[noLocation])</f>
        <v>WATER SYSTEM (B12)</v>
      </c>
      <c r="F1012" s="40" t="str">
        <f t="array" ref="F1012">_xlfn.XLOOKUP($B1012, DB[samplingPoint], DB[building])</f>
        <v>Building 12</v>
      </c>
      <c r="G1012" s="40" t="str">
        <f t="array" ref="G1012">_xlfn.XLOOKUP($B1012, DB[samplingPoint], DB[location])</f>
        <v>After UV (B12)</v>
      </c>
      <c r="H1012" s="39" t="str">
        <f t="array" ref="H1012">_xlfn.XLOOKUP($B1012, DB[samplingPoint], DB[waterType])</f>
        <v>PW</v>
      </c>
      <c r="I1012" s="43">
        <f t="shared" si="7"/>
        <v>46036</v>
      </c>
      <c r="J1012" s="26">
        <v>46039.0</v>
      </c>
      <c r="K1012" s="32">
        <v>0.0</v>
      </c>
      <c r="L1012" s="32">
        <v>0.0</v>
      </c>
      <c r="M1012" s="32">
        <f t="shared" si="3"/>
        <v>0</v>
      </c>
      <c r="N1012" s="32" t="s">
        <v>376</v>
      </c>
      <c r="O1012" s="32">
        <v>100.0</v>
      </c>
      <c r="P1012" s="50" t="str">
        <f t="shared" si="6"/>
        <v>PASSED</v>
      </c>
      <c r="Q1012" s="50" t="str">
        <f t="shared" si="5"/>
        <v>WA</v>
      </c>
    </row>
    <row r="1013" ht="22.5" customHeight="1">
      <c r="A1013" s="26">
        <v>46035.0</v>
      </c>
      <c r="B1013" s="39" t="s">
        <v>430</v>
      </c>
      <c r="C1013" s="32" t="str">
        <f t="array" ref="C1013">_xlfn.XLOOKUP(B1013, DB[samplingPoint], DB[samplingTag])</f>
        <v>SV137.01</v>
      </c>
      <c r="D1013" s="33" t="s">
        <v>59</v>
      </c>
      <c r="E1013" s="39" t="str">
        <f t="array" ref="E1013">_xlfn.XLOOKUP($B1013, DB[samplingPoint], DB[noLocation])</f>
        <v>WATER SYSTEM (B12)</v>
      </c>
      <c r="F1013" s="40" t="str">
        <f t="array" ref="F1013">_xlfn.XLOOKUP($B1013, DB[samplingPoint], DB[building])</f>
        <v>Building 12</v>
      </c>
      <c r="G1013" s="40" t="str">
        <f t="array" ref="G1013">_xlfn.XLOOKUP($B1013, DB[samplingPoint], DB[location])</f>
        <v>Return loop (B12)</v>
      </c>
      <c r="H1013" s="39" t="str">
        <f t="array" ref="H1013">_xlfn.XLOOKUP($B1013, DB[samplingPoint], DB[waterType])</f>
        <v>PW</v>
      </c>
      <c r="I1013" s="43">
        <f t="shared" si="7"/>
        <v>46036</v>
      </c>
      <c r="J1013" s="26">
        <v>46039.0</v>
      </c>
      <c r="K1013" s="32">
        <v>0.0</v>
      </c>
      <c r="L1013" s="32">
        <v>0.0</v>
      </c>
      <c r="M1013" s="32">
        <f t="shared" si="3"/>
        <v>0</v>
      </c>
      <c r="N1013" s="32" t="s">
        <v>376</v>
      </c>
      <c r="O1013" s="32">
        <v>100.0</v>
      </c>
      <c r="P1013" s="50" t="str">
        <f t="shared" si="6"/>
        <v>PASSED</v>
      </c>
      <c r="Q1013" s="50" t="str">
        <f t="shared" si="5"/>
        <v>WA</v>
      </c>
    </row>
    <row r="1014" ht="22.5" customHeight="1">
      <c r="A1014" s="26">
        <v>46035.0</v>
      </c>
      <c r="B1014" s="39" t="s">
        <v>518</v>
      </c>
      <c r="C1014" s="32" t="str">
        <f t="array" ref="C1014">_xlfn.XLOOKUP(B1014, DB[samplingPoint], DB[samplingTag])</f>
        <v>SV136.12</v>
      </c>
      <c r="D1014" s="33" t="s">
        <v>59</v>
      </c>
      <c r="E1014" s="39" t="str">
        <f t="array" ref="E1014">_xlfn.XLOOKUP($B1014, DB[samplingPoint], DB[noLocation])</f>
        <v>12-2-036</v>
      </c>
      <c r="F1014" s="40" t="str">
        <f t="array" ref="F1014">_xlfn.XLOOKUP($B1014, DB[samplingPoint], DB[building])</f>
        <v>Building 12</v>
      </c>
      <c r="G1014" s="40" t="str">
        <f t="array" ref="G1014">_xlfn.XLOOKUP($B1014, DB[samplingPoint], DB[location])</f>
        <v>CIP 1</v>
      </c>
      <c r="H1014" s="39" t="str">
        <f t="array" ref="H1014">_xlfn.XLOOKUP($B1014, DB[samplingPoint], DB[waterType])</f>
        <v>PW</v>
      </c>
      <c r="I1014" s="43">
        <f t="shared" si="7"/>
        <v>46036</v>
      </c>
      <c r="J1014" s="26">
        <v>46039.0</v>
      </c>
      <c r="K1014" s="32">
        <v>0.0</v>
      </c>
      <c r="L1014" s="32">
        <v>0.0</v>
      </c>
      <c r="M1014" s="32">
        <f t="shared" si="3"/>
        <v>0</v>
      </c>
      <c r="N1014" s="32" t="s">
        <v>376</v>
      </c>
      <c r="O1014" s="32">
        <v>100.0</v>
      </c>
      <c r="P1014" s="50" t="str">
        <f t="shared" si="6"/>
        <v>PASSED</v>
      </c>
      <c r="Q1014" s="50" t="str">
        <f t="shared" si="5"/>
        <v>12</v>
      </c>
    </row>
    <row r="1015" ht="22.5" customHeight="1">
      <c r="A1015" s="26">
        <v>46035.0</v>
      </c>
      <c r="B1015" s="39" t="s">
        <v>517</v>
      </c>
      <c r="C1015" s="32" t="str">
        <f t="array" ref="C1015">_xlfn.XLOOKUP(B1015, DB[samplingPoint], DB[samplingTag])</f>
        <v>SV136.07</v>
      </c>
      <c r="D1015" s="33" t="s">
        <v>59</v>
      </c>
      <c r="E1015" s="39" t="str">
        <f t="array" ref="E1015">_xlfn.XLOOKUP($B1015, DB[samplingPoint], DB[noLocation])</f>
        <v>12-2-034</v>
      </c>
      <c r="F1015" s="40" t="str">
        <f t="array" ref="F1015">_xlfn.XLOOKUP($B1015, DB[samplingPoint], DB[building])</f>
        <v>Building 12</v>
      </c>
      <c r="G1015" s="40" t="str">
        <f t="array" ref="G1015">_xlfn.XLOOKUP($B1015, DB[samplingPoint], DB[location])</f>
        <v>SYRUP PREPARATION</v>
      </c>
      <c r="H1015" s="39" t="str">
        <f t="array" ref="H1015">_xlfn.XLOOKUP($B1015, DB[samplingPoint], DB[waterType])</f>
        <v>PW</v>
      </c>
      <c r="I1015" s="43">
        <f t="shared" si="7"/>
        <v>46036</v>
      </c>
      <c r="J1015" s="26">
        <v>46039.0</v>
      </c>
      <c r="K1015" s="32">
        <v>0.0</v>
      </c>
      <c r="L1015" s="32">
        <v>0.0</v>
      </c>
      <c r="M1015" s="32">
        <f t="shared" si="3"/>
        <v>0</v>
      </c>
      <c r="N1015" s="32" t="s">
        <v>376</v>
      </c>
      <c r="O1015" s="32">
        <v>100.0</v>
      </c>
      <c r="P1015" s="50" t="str">
        <f t="shared" si="6"/>
        <v>PASSED</v>
      </c>
      <c r="Q1015" s="50" t="str">
        <f t="shared" si="5"/>
        <v>12</v>
      </c>
    </row>
    <row r="1016" ht="22.5" customHeight="1">
      <c r="A1016" s="26">
        <v>46035.0</v>
      </c>
      <c r="B1016" s="39" t="s">
        <v>516</v>
      </c>
      <c r="C1016" s="32" t="str">
        <f t="array" ref="C1016">_xlfn.XLOOKUP(B1016, DB[samplingPoint], DB[samplingTag])</f>
        <v>SV136.06</v>
      </c>
      <c r="D1016" s="33" t="s">
        <v>59</v>
      </c>
      <c r="E1016" s="39" t="str">
        <f t="array" ref="E1016">_xlfn.XLOOKUP($B1016, DB[samplingPoint], DB[noLocation])</f>
        <v>12-2-034</v>
      </c>
      <c r="F1016" s="40" t="str">
        <f t="array" ref="F1016">_xlfn.XLOOKUP($B1016, DB[samplingPoint], DB[building])</f>
        <v>Building 12</v>
      </c>
      <c r="G1016" s="40" t="str">
        <f t="array" ref="G1016">_xlfn.XLOOKUP($B1016, DB[samplingPoint], DB[location])</f>
        <v>SYRUP PREPARATION</v>
      </c>
      <c r="H1016" s="39" t="str">
        <f t="array" ref="H1016">_xlfn.XLOOKUP($B1016, DB[samplingPoint], DB[waterType])</f>
        <v>PW</v>
      </c>
      <c r="I1016" s="43">
        <f t="shared" si="7"/>
        <v>46036</v>
      </c>
      <c r="J1016" s="26">
        <v>46039.0</v>
      </c>
      <c r="K1016" s="32">
        <v>0.0</v>
      </c>
      <c r="L1016" s="32">
        <v>0.0</v>
      </c>
      <c r="M1016" s="32">
        <f t="shared" si="3"/>
        <v>0</v>
      </c>
      <c r="N1016" s="32" t="s">
        <v>376</v>
      </c>
      <c r="O1016" s="32">
        <v>100.0</v>
      </c>
      <c r="P1016" s="50" t="str">
        <f t="shared" si="6"/>
        <v>PASSED</v>
      </c>
      <c r="Q1016" s="50" t="str">
        <f t="shared" si="5"/>
        <v>12</v>
      </c>
    </row>
    <row r="1017" ht="22.5" customHeight="1">
      <c r="A1017" s="26">
        <v>46035.0</v>
      </c>
      <c r="B1017" s="39" t="s">
        <v>510</v>
      </c>
      <c r="C1017" s="32" t="str">
        <f t="array" ref="C1017">_xlfn.XLOOKUP(B1017, DB[samplingPoint], DB[samplingTag])</f>
        <v>SV136.03</v>
      </c>
      <c r="D1017" s="33" t="s">
        <v>59</v>
      </c>
      <c r="E1017" s="39" t="str">
        <f t="array" ref="E1017">_xlfn.XLOOKUP($B1017, DB[samplingPoint], DB[noLocation])</f>
        <v>12-2-032</v>
      </c>
      <c r="F1017" s="40" t="str">
        <f t="array" ref="F1017">_xlfn.XLOOKUP($B1017, DB[samplingPoint], DB[building])</f>
        <v>Building 12</v>
      </c>
      <c r="G1017" s="40" t="str">
        <f t="array" ref="G1017">_xlfn.XLOOKUP($B1017, DB[samplingPoint], DB[location])</f>
        <v>CAMPHORATED OPIUM TINCTURE</v>
      </c>
      <c r="H1017" s="39" t="str">
        <f t="array" ref="H1017">_xlfn.XLOOKUP($B1017, DB[samplingPoint], DB[waterType])</f>
        <v>PW</v>
      </c>
      <c r="I1017" s="43">
        <f t="shared" si="7"/>
        <v>46036</v>
      </c>
      <c r="J1017" s="26">
        <v>46039.0</v>
      </c>
      <c r="K1017" s="32">
        <v>0.0</v>
      </c>
      <c r="L1017" s="32">
        <v>0.0</v>
      </c>
      <c r="M1017" s="32">
        <f t="shared" si="3"/>
        <v>0</v>
      </c>
      <c r="N1017" s="32" t="s">
        <v>376</v>
      </c>
      <c r="O1017" s="32">
        <v>100.0</v>
      </c>
      <c r="P1017" s="50" t="str">
        <f t="shared" si="6"/>
        <v>PASSED</v>
      </c>
      <c r="Q1017" s="50" t="str">
        <f t="shared" si="5"/>
        <v>12</v>
      </c>
    </row>
    <row r="1018" ht="22.5" customHeight="1">
      <c r="A1018" s="26">
        <v>46035.0</v>
      </c>
      <c r="B1018" s="39" t="s">
        <v>514</v>
      </c>
      <c r="C1018" s="32" t="str">
        <f t="array" ref="C1018">_xlfn.XLOOKUP(B1018, DB[samplingPoint], DB[samplingTag])</f>
        <v>SV136.05</v>
      </c>
      <c r="D1018" s="33" t="s">
        <v>59</v>
      </c>
      <c r="E1018" s="39" t="str">
        <f t="array" ref="E1018">_xlfn.XLOOKUP($B1018, DB[samplingPoint], DB[noLocation])</f>
        <v>12-2-032</v>
      </c>
      <c r="F1018" s="40" t="str">
        <f t="array" ref="F1018">_xlfn.XLOOKUP($B1018, DB[samplingPoint], DB[building])</f>
        <v>Building 12</v>
      </c>
      <c r="G1018" s="40" t="str">
        <f t="array" ref="G1018">_xlfn.XLOOKUP($B1018, DB[samplingPoint], DB[location])</f>
        <v>CAMPHORATED OPIUM TINCTURE</v>
      </c>
      <c r="H1018" s="39" t="str">
        <f t="array" ref="H1018">_xlfn.XLOOKUP($B1018, DB[samplingPoint], DB[waterType])</f>
        <v>PW</v>
      </c>
      <c r="I1018" s="43">
        <f t="shared" si="7"/>
        <v>46036</v>
      </c>
      <c r="J1018" s="26">
        <v>46039.0</v>
      </c>
      <c r="K1018" s="32">
        <v>0.0</v>
      </c>
      <c r="L1018" s="32">
        <v>0.0</v>
      </c>
      <c r="M1018" s="32">
        <f t="shared" si="3"/>
        <v>0</v>
      </c>
      <c r="N1018" s="32" t="s">
        <v>376</v>
      </c>
      <c r="O1018" s="32">
        <v>100.0</v>
      </c>
      <c r="P1018" s="50" t="str">
        <f t="shared" si="6"/>
        <v>PASSED</v>
      </c>
      <c r="Q1018" s="50" t="str">
        <f t="shared" si="5"/>
        <v>12</v>
      </c>
    </row>
    <row r="1019" ht="22.5" customHeight="1">
      <c r="A1019" s="26">
        <v>46035.0</v>
      </c>
      <c r="B1019" s="39" t="s">
        <v>513</v>
      </c>
      <c r="C1019" s="32" t="str">
        <f t="array" ref="C1019">_xlfn.XLOOKUP(B1019, DB[samplingPoint], DB[samplingTag])</f>
        <v>SV136.04</v>
      </c>
      <c r="D1019" s="33" t="s">
        <v>59</v>
      </c>
      <c r="E1019" s="39" t="str">
        <f t="array" ref="E1019">_xlfn.XLOOKUP($B1019, DB[samplingPoint], DB[noLocation])</f>
        <v>12-2-030</v>
      </c>
      <c r="F1019" s="40" t="str">
        <f t="array" ref="F1019">_xlfn.XLOOKUP($B1019, DB[samplingPoint], DB[building])</f>
        <v>Building 12</v>
      </c>
      <c r="G1019" s="40" t="str">
        <f t="array" ref="G1019">_xlfn.XLOOKUP($B1019, DB[samplingPoint], DB[location])</f>
        <v>OPIUM TINCTURE</v>
      </c>
      <c r="H1019" s="39" t="str">
        <f t="array" ref="H1019">_xlfn.XLOOKUP($B1019, DB[samplingPoint], DB[waterType])</f>
        <v>PW</v>
      </c>
      <c r="I1019" s="43">
        <f t="shared" si="7"/>
        <v>46036</v>
      </c>
      <c r="J1019" s="26">
        <v>46039.0</v>
      </c>
      <c r="K1019" s="32">
        <v>0.0</v>
      </c>
      <c r="L1019" s="32">
        <v>0.0</v>
      </c>
      <c r="M1019" s="32">
        <f t="shared" si="3"/>
        <v>0</v>
      </c>
      <c r="N1019" s="32" t="s">
        <v>376</v>
      </c>
      <c r="O1019" s="32">
        <v>100.0</v>
      </c>
      <c r="P1019" s="50" t="str">
        <f t="shared" si="6"/>
        <v>PASSED</v>
      </c>
      <c r="Q1019" s="50" t="str">
        <f t="shared" si="5"/>
        <v>12</v>
      </c>
    </row>
    <row r="1020" ht="22.5" customHeight="1">
      <c r="A1020" s="26">
        <v>46035.0</v>
      </c>
      <c r="B1020" s="39" t="s">
        <v>506</v>
      </c>
      <c r="C1020" s="32" t="str">
        <f t="array" ref="C1020">_xlfn.XLOOKUP(B1020, DB[samplingPoint], DB[samplingTag])</f>
        <v>DV136.02</v>
      </c>
      <c r="D1020" s="33" t="s">
        <v>59</v>
      </c>
      <c r="E1020" s="39" t="str">
        <f t="array" ref="E1020">_xlfn.XLOOKUP($B1020, DB[samplingPoint], DB[noLocation])</f>
        <v>12-2-028</v>
      </c>
      <c r="F1020" s="40" t="str">
        <f t="array" ref="F1020">_xlfn.XLOOKUP($B1020, DB[samplingPoint], DB[building])</f>
        <v>Building 12</v>
      </c>
      <c r="G1020" s="40" t="str">
        <f t="array" ref="G1020">_xlfn.XLOOKUP($B1020, DB[samplingPoint], DB[location])</f>
        <v>ALCOHOL STORAGE</v>
      </c>
      <c r="H1020" s="39" t="str">
        <f t="array" ref="H1020">_xlfn.XLOOKUP($B1020, DB[samplingPoint], DB[waterType])</f>
        <v>PW</v>
      </c>
      <c r="I1020" s="43">
        <f t="shared" si="7"/>
        <v>46036</v>
      </c>
      <c r="J1020" s="26">
        <v>46039.0</v>
      </c>
      <c r="K1020" s="32">
        <v>0.0</v>
      </c>
      <c r="L1020" s="32">
        <v>0.0</v>
      </c>
      <c r="M1020" s="32">
        <f t="shared" si="3"/>
        <v>0</v>
      </c>
      <c r="N1020" s="32" t="s">
        <v>376</v>
      </c>
      <c r="O1020" s="32">
        <v>100.0</v>
      </c>
      <c r="P1020" s="50" t="str">
        <f t="shared" si="6"/>
        <v>PASSED</v>
      </c>
      <c r="Q1020" s="50" t="str">
        <f t="shared" si="5"/>
        <v>12</v>
      </c>
    </row>
    <row r="1021" ht="22.5" customHeight="1">
      <c r="A1021" s="26">
        <v>46035.0</v>
      </c>
      <c r="B1021" s="39" t="s">
        <v>508</v>
      </c>
      <c r="C1021" s="32" t="str">
        <f t="array" ref="C1021">_xlfn.XLOOKUP(B1021, DB[samplingPoint], DB[samplingTag])</f>
        <v>DV136.07</v>
      </c>
      <c r="D1021" s="33" t="s">
        <v>59</v>
      </c>
      <c r="E1021" s="39" t="str">
        <f t="array" ref="E1021">_xlfn.XLOOKUP($B1021, DB[samplingPoint], DB[noLocation])</f>
        <v>12-3-039</v>
      </c>
      <c r="F1021" s="40" t="str">
        <f t="array" ref="F1021">_xlfn.XLOOKUP($B1021, DB[samplingPoint], DB[building])</f>
        <v>Building 12</v>
      </c>
      <c r="G1021" s="40" t="str">
        <f t="array" ref="G1021">_xlfn.XLOOKUP($B1021, DB[samplingPoint], DB[location])</f>
        <v>INSTRUMENT 7</v>
      </c>
      <c r="H1021" s="39" t="str">
        <f t="array" ref="H1021">_xlfn.XLOOKUP($B1021, DB[samplingPoint], DB[waterType])</f>
        <v>PW</v>
      </c>
      <c r="I1021" s="43">
        <f t="shared" si="7"/>
        <v>46036</v>
      </c>
      <c r="J1021" s="26">
        <v>46039.0</v>
      </c>
      <c r="K1021" s="32">
        <v>0.0</v>
      </c>
      <c r="L1021" s="32">
        <v>0.0</v>
      </c>
      <c r="M1021" s="32">
        <f t="shared" si="3"/>
        <v>0</v>
      </c>
      <c r="N1021" s="32" t="s">
        <v>376</v>
      </c>
      <c r="O1021" s="32">
        <v>100.0</v>
      </c>
      <c r="P1021" s="50" t="str">
        <f t="shared" si="6"/>
        <v>PASSED</v>
      </c>
      <c r="Q1021" s="50" t="str">
        <f t="shared" si="5"/>
        <v>12</v>
      </c>
    </row>
    <row r="1022" ht="22.5" customHeight="1">
      <c r="A1022" s="26">
        <v>46038.0</v>
      </c>
      <c r="B1022" s="39" t="s">
        <v>380</v>
      </c>
      <c r="C1022" s="32" t="str">
        <f t="array" ref="C1022">_xlfn.XLOOKUP(B1022, DB[samplingPoint], DB[samplingTag])</f>
        <v>SV113.01</v>
      </c>
      <c r="D1022" s="33" t="s">
        <v>59</v>
      </c>
      <c r="E1022" s="39" t="str">
        <f t="array" ref="E1022">_xlfn.XLOOKUP($B1022, DB[samplingPoint], DB[noLocation])</f>
        <v>WATER SYSTEM (B10)</v>
      </c>
      <c r="F1022" s="40" t="str">
        <f t="array" ref="F1022">_xlfn.XLOOKUP($B1022, DB[samplingPoint], DB[building])</f>
        <v>Building 10</v>
      </c>
      <c r="G1022" s="40" t="str">
        <f t="array" ref="G1022">_xlfn.XLOOKUP($B1022, DB[samplingPoint], DB[location])</f>
        <v>After Storage tank (B10)</v>
      </c>
      <c r="H1022" s="39" t="str">
        <f t="array" ref="H1022">_xlfn.XLOOKUP($B1022, DB[samplingPoint], DB[waterType])</f>
        <v>PW</v>
      </c>
      <c r="I1022" s="43">
        <f t="shared" si="7"/>
        <v>46039</v>
      </c>
      <c r="J1022" s="26">
        <v>46042.0</v>
      </c>
      <c r="K1022" s="32">
        <v>0.0</v>
      </c>
      <c r="L1022" s="32">
        <v>0.0</v>
      </c>
      <c r="M1022" s="32">
        <f t="shared" si="3"/>
        <v>0</v>
      </c>
      <c r="N1022" s="32" t="s">
        <v>376</v>
      </c>
      <c r="O1022" s="32">
        <v>100.0</v>
      </c>
      <c r="P1022" s="50" t="str">
        <f t="shared" si="6"/>
        <v>PASSED</v>
      </c>
      <c r="Q1022" s="50" t="str">
        <f t="shared" si="5"/>
        <v>WA</v>
      </c>
    </row>
    <row r="1023" ht="22.5" customHeight="1">
      <c r="A1023" s="26">
        <v>46038.0</v>
      </c>
      <c r="B1023" s="39" t="s">
        <v>385</v>
      </c>
      <c r="C1023" s="32" t="str">
        <f t="array" ref="C1023">_xlfn.XLOOKUP(B1023, DB[samplingPoint], DB[samplingTag])</f>
        <v>SV115.02</v>
      </c>
      <c r="D1023" s="33" t="s">
        <v>59</v>
      </c>
      <c r="E1023" s="39" t="str">
        <f t="array" ref="E1023">_xlfn.XLOOKUP($B1023, DB[samplingPoint], DB[noLocation])</f>
        <v>WATER SYSTEM (B10)</v>
      </c>
      <c r="F1023" s="40" t="str">
        <f t="array" ref="F1023">_xlfn.XLOOKUP($B1023, DB[samplingPoint], DB[building])</f>
        <v>Building 10</v>
      </c>
      <c r="G1023" s="40" t="str">
        <f t="array" ref="G1023">_xlfn.XLOOKUP($B1023, DB[samplingPoint], DB[location])</f>
        <v>After UV (B10)</v>
      </c>
      <c r="H1023" s="39" t="str">
        <f t="array" ref="H1023">_xlfn.XLOOKUP($B1023, DB[samplingPoint], DB[waterType])</f>
        <v>PW</v>
      </c>
      <c r="I1023" s="43">
        <f t="shared" si="7"/>
        <v>46039</v>
      </c>
      <c r="J1023" s="26">
        <v>46042.0</v>
      </c>
      <c r="K1023" s="32">
        <v>0.0</v>
      </c>
      <c r="L1023" s="32">
        <v>0.0</v>
      </c>
      <c r="M1023" s="32">
        <f t="shared" si="3"/>
        <v>0</v>
      </c>
      <c r="N1023" s="32" t="s">
        <v>376</v>
      </c>
      <c r="O1023" s="32">
        <v>100.0</v>
      </c>
      <c r="P1023" s="50" t="str">
        <f t="shared" si="6"/>
        <v>PASSED</v>
      </c>
      <c r="Q1023" s="50" t="str">
        <f t="shared" si="5"/>
        <v>WA</v>
      </c>
    </row>
    <row r="1024" ht="22.5" customHeight="1">
      <c r="A1024" s="26">
        <v>46038.0</v>
      </c>
      <c r="B1024" s="39" t="s">
        <v>390</v>
      </c>
      <c r="C1024" s="32" t="str">
        <f t="array" ref="C1024">_xlfn.XLOOKUP(B1024, DB[samplingPoint], DB[samplingTag])</f>
        <v>SV117.01</v>
      </c>
      <c r="D1024" s="33" t="s">
        <v>59</v>
      </c>
      <c r="E1024" s="39" t="str">
        <f t="array" ref="E1024">_xlfn.XLOOKUP($B1024, DB[samplingPoint], DB[noLocation])</f>
        <v>WATER SYSTEM (B10)</v>
      </c>
      <c r="F1024" s="40" t="str">
        <f t="array" ref="F1024">_xlfn.XLOOKUP($B1024, DB[samplingPoint], DB[building])</f>
        <v>Building 10</v>
      </c>
      <c r="G1024" s="40" t="str">
        <f t="array" ref="G1024">_xlfn.XLOOKUP($B1024, DB[samplingPoint], DB[location])</f>
        <v>Return loop (B10)</v>
      </c>
      <c r="H1024" s="39" t="str">
        <f t="array" ref="H1024">_xlfn.XLOOKUP($B1024, DB[samplingPoint], DB[waterType])</f>
        <v>PW</v>
      </c>
      <c r="I1024" s="43">
        <f t="shared" si="7"/>
        <v>46039</v>
      </c>
      <c r="J1024" s="26">
        <v>46042.0</v>
      </c>
      <c r="K1024" s="32">
        <v>0.0</v>
      </c>
      <c r="L1024" s="32">
        <v>0.0</v>
      </c>
      <c r="M1024" s="32">
        <f t="shared" si="3"/>
        <v>0</v>
      </c>
      <c r="N1024" s="32" t="s">
        <v>376</v>
      </c>
      <c r="O1024" s="32">
        <v>100.0</v>
      </c>
      <c r="P1024" s="50" t="str">
        <f t="shared" si="6"/>
        <v>PASSED</v>
      </c>
      <c r="Q1024" s="50" t="str">
        <f t="shared" si="5"/>
        <v>WA</v>
      </c>
    </row>
    <row r="1025" ht="22.5" customHeight="1">
      <c r="A1025" s="26">
        <v>46038.0</v>
      </c>
      <c r="B1025" s="39" t="s">
        <v>536</v>
      </c>
      <c r="C1025" s="32" t="str">
        <f t="array" ref="C1025">_xlfn.XLOOKUP(B1025, DB[samplingPoint], DB[samplingTag])</f>
        <v>SV116.05</v>
      </c>
      <c r="D1025" s="33" t="s">
        <v>59</v>
      </c>
      <c r="E1025" s="39" t="str">
        <f t="array" ref="E1025">_xlfn.XLOOKUP($B1025, DB[samplingPoint], DB[noLocation])</f>
        <v>10-3-062</v>
      </c>
      <c r="F1025" s="40" t="str">
        <f t="array" ref="F1025">_xlfn.XLOOKUP($B1025, DB[samplingPoint], DB[building])</f>
        <v>Building 10</v>
      </c>
      <c r="G1025" s="40" t="str">
        <f t="array" ref="G1025">_xlfn.XLOOKUP($B1025, DB[samplingPoint], DB[location])</f>
        <v>COATING ROOM-3</v>
      </c>
      <c r="H1025" s="39" t="str">
        <f t="array" ref="H1025">_xlfn.XLOOKUP($B1025, DB[samplingPoint], DB[waterType])</f>
        <v>PW</v>
      </c>
      <c r="I1025" s="43">
        <f t="shared" si="7"/>
        <v>46039</v>
      </c>
      <c r="J1025" s="26">
        <v>46042.0</v>
      </c>
      <c r="K1025" s="32">
        <v>0.0</v>
      </c>
      <c r="L1025" s="32">
        <v>0.0</v>
      </c>
      <c r="M1025" s="32">
        <f t="shared" si="3"/>
        <v>0</v>
      </c>
      <c r="N1025" s="32" t="s">
        <v>376</v>
      </c>
      <c r="O1025" s="32">
        <v>100.0</v>
      </c>
      <c r="P1025" s="50" t="str">
        <f t="shared" si="6"/>
        <v>PASSED</v>
      </c>
      <c r="Q1025" s="50" t="str">
        <f t="shared" si="5"/>
        <v>10</v>
      </c>
    </row>
    <row r="1026" ht="22.5" customHeight="1">
      <c r="A1026" s="26">
        <v>46038.0</v>
      </c>
      <c r="B1026" s="39" t="s">
        <v>535</v>
      </c>
      <c r="C1026" s="32" t="str">
        <f t="array" ref="C1026">_xlfn.XLOOKUP(B1026, DB[samplingPoint], DB[samplingTag])</f>
        <v>SV116.04</v>
      </c>
      <c r="D1026" s="33" t="s">
        <v>59</v>
      </c>
      <c r="E1026" s="39" t="str">
        <f t="array" ref="E1026">_xlfn.XLOOKUP($B1026, DB[samplingPoint], DB[noLocation])</f>
        <v>10-3-061</v>
      </c>
      <c r="F1026" s="40" t="str">
        <f t="array" ref="F1026">_xlfn.XLOOKUP($B1026, DB[samplingPoint], DB[building])</f>
        <v>Building 10</v>
      </c>
      <c r="G1026" s="40" t="str">
        <f t="array" ref="G1026">_xlfn.XLOOKUP($B1026, DB[samplingPoint], DB[location])</f>
        <v>COATING ROOM-2</v>
      </c>
      <c r="H1026" s="39" t="str">
        <f t="array" ref="H1026">_xlfn.XLOOKUP($B1026, DB[samplingPoint], DB[waterType])</f>
        <v>PW</v>
      </c>
      <c r="I1026" s="43">
        <f t="shared" si="7"/>
        <v>46039</v>
      </c>
      <c r="J1026" s="26">
        <v>46042.0</v>
      </c>
      <c r="K1026" s="32">
        <v>0.0</v>
      </c>
      <c r="L1026" s="32">
        <v>0.0</v>
      </c>
      <c r="M1026" s="32">
        <f t="shared" si="3"/>
        <v>0</v>
      </c>
      <c r="N1026" s="32" t="s">
        <v>376</v>
      </c>
      <c r="O1026" s="32">
        <v>100.0</v>
      </c>
      <c r="P1026" s="50" t="str">
        <f t="shared" si="6"/>
        <v>PASSED</v>
      </c>
      <c r="Q1026" s="50" t="str">
        <f t="shared" si="5"/>
        <v>10</v>
      </c>
    </row>
    <row r="1027" ht="22.5" customHeight="1">
      <c r="A1027" s="26">
        <v>46038.0</v>
      </c>
      <c r="B1027" s="39" t="s">
        <v>529</v>
      </c>
      <c r="C1027" s="32" t="str">
        <f t="array" ref="C1027">_xlfn.XLOOKUP(B1027, DB[samplingPoint], DB[samplingTag])</f>
        <v>DV116.09</v>
      </c>
      <c r="D1027" s="33" t="s">
        <v>59</v>
      </c>
      <c r="E1027" s="39" t="str">
        <f t="array" ref="E1027">_xlfn.XLOOKUP($B1027, DB[samplingPoint], DB[noLocation])</f>
        <v>10-3-060</v>
      </c>
      <c r="F1027" s="40" t="str">
        <f t="array" ref="F1027">_xlfn.XLOOKUP($B1027, DB[samplingPoint], DB[building])</f>
        <v>Building 10</v>
      </c>
      <c r="G1027" s="40" t="str">
        <f t="array" ref="G1027">_xlfn.XLOOKUP($B1027, DB[samplingPoint], DB[location])</f>
        <v>COATING SOLUTION PREP.-2</v>
      </c>
      <c r="H1027" s="39" t="str">
        <f t="array" ref="H1027">_xlfn.XLOOKUP($B1027, DB[samplingPoint], DB[waterType])</f>
        <v>PW</v>
      </c>
      <c r="I1027" s="43">
        <f t="shared" si="7"/>
        <v>46039</v>
      </c>
      <c r="J1027" s="26">
        <v>46042.0</v>
      </c>
      <c r="K1027" s="32">
        <v>0.0</v>
      </c>
      <c r="L1027" s="32">
        <v>0.0</v>
      </c>
      <c r="M1027" s="32">
        <f t="shared" si="3"/>
        <v>0</v>
      </c>
      <c r="N1027" s="32" t="s">
        <v>376</v>
      </c>
      <c r="O1027" s="32">
        <v>100.0</v>
      </c>
      <c r="P1027" s="50" t="str">
        <f t="shared" si="6"/>
        <v>PASSED</v>
      </c>
      <c r="Q1027" s="50" t="str">
        <f t="shared" si="5"/>
        <v>10</v>
      </c>
    </row>
    <row r="1028" ht="22.5" customHeight="1">
      <c r="A1028" s="26">
        <v>46038.0</v>
      </c>
      <c r="B1028" s="39" t="s">
        <v>528</v>
      </c>
      <c r="C1028" s="32" t="str">
        <f t="array" ref="C1028">_xlfn.XLOOKUP(B1028, DB[samplingPoint], DB[samplingTag])</f>
        <v>DV116.08</v>
      </c>
      <c r="D1028" s="33" t="s">
        <v>59</v>
      </c>
      <c r="E1028" s="39" t="str">
        <f t="array" ref="E1028">_xlfn.XLOOKUP($B1028, DB[samplingPoint], DB[noLocation])</f>
        <v>10-3-059</v>
      </c>
      <c r="F1028" s="40" t="str">
        <f t="array" ref="F1028">_xlfn.XLOOKUP($B1028, DB[samplingPoint], DB[building])</f>
        <v>Building 10</v>
      </c>
      <c r="G1028" s="40" t="str">
        <f t="array" ref="G1028">_xlfn.XLOOKUP($B1028, DB[samplingPoint], DB[location])</f>
        <v>COATING SOLUTION PREP.-1</v>
      </c>
      <c r="H1028" s="39" t="str">
        <f t="array" ref="H1028">_xlfn.XLOOKUP($B1028, DB[samplingPoint], DB[waterType])</f>
        <v>PW</v>
      </c>
      <c r="I1028" s="43">
        <f t="shared" si="7"/>
        <v>46039</v>
      </c>
      <c r="J1028" s="26">
        <v>46042.0</v>
      </c>
      <c r="K1028" s="32">
        <v>0.0</v>
      </c>
      <c r="L1028" s="32">
        <v>0.0</v>
      </c>
      <c r="M1028" s="32">
        <f t="shared" si="3"/>
        <v>0</v>
      </c>
      <c r="N1028" s="32" t="s">
        <v>376</v>
      </c>
      <c r="O1028" s="32">
        <v>100.0</v>
      </c>
      <c r="P1028" s="50" t="str">
        <f t="shared" si="6"/>
        <v>PASSED</v>
      </c>
      <c r="Q1028" s="50" t="str">
        <f t="shared" si="5"/>
        <v>10</v>
      </c>
    </row>
    <row r="1029" ht="22.5" customHeight="1">
      <c r="A1029" s="26">
        <v>46038.0</v>
      </c>
      <c r="B1029" s="39" t="s">
        <v>534</v>
      </c>
      <c r="C1029" s="32" t="str">
        <f t="array" ref="C1029">_xlfn.XLOOKUP(B1029, DB[samplingPoint], DB[samplingTag])</f>
        <v>SV116.03</v>
      </c>
      <c r="D1029" s="33" t="s">
        <v>59</v>
      </c>
      <c r="E1029" s="39" t="str">
        <f t="array" ref="E1029">_xlfn.XLOOKUP($B1029, DB[samplingPoint], DB[noLocation])</f>
        <v>10-3-058</v>
      </c>
      <c r="F1029" s="40" t="str">
        <f t="array" ref="F1029">_xlfn.XLOOKUP($B1029, DB[samplingPoint], DB[building])</f>
        <v>Building 10</v>
      </c>
      <c r="G1029" s="40" t="str">
        <f t="array" ref="G1029">_xlfn.XLOOKUP($B1029, DB[samplingPoint], DB[location])</f>
        <v>COATING ROOM-1</v>
      </c>
      <c r="H1029" s="39" t="str">
        <f t="array" ref="H1029">_xlfn.XLOOKUP($B1029, DB[samplingPoint], DB[waterType])</f>
        <v>PW</v>
      </c>
      <c r="I1029" s="43">
        <f t="shared" si="7"/>
        <v>46039</v>
      </c>
      <c r="J1029" s="26">
        <v>46042.0</v>
      </c>
      <c r="K1029" s="32">
        <v>0.0</v>
      </c>
      <c r="L1029" s="32">
        <v>0.0</v>
      </c>
      <c r="M1029" s="32">
        <f t="shared" si="3"/>
        <v>0</v>
      </c>
      <c r="N1029" s="32" t="s">
        <v>376</v>
      </c>
      <c r="O1029" s="32">
        <v>100.0</v>
      </c>
      <c r="P1029" s="50" t="str">
        <f t="shared" si="6"/>
        <v>PASSED</v>
      </c>
      <c r="Q1029" s="50" t="str">
        <f t="shared" si="5"/>
        <v>10</v>
      </c>
    </row>
    <row r="1030" ht="22.5" customHeight="1">
      <c r="A1030" s="26">
        <v>46038.0</v>
      </c>
      <c r="B1030" s="39" t="s">
        <v>541</v>
      </c>
      <c r="C1030" s="32" t="str">
        <f t="array" ref="C1030">_xlfn.XLOOKUP(B1030, DB[samplingPoint], DB[samplingTag])</f>
        <v>SV116.08</v>
      </c>
      <c r="D1030" s="33" t="s">
        <v>59</v>
      </c>
      <c r="E1030" s="39" t="str">
        <f t="array" ref="E1030">_xlfn.XLOOKUP($B1030, DB[samplingPoint], DB[noLocation])</f>
        <v>10-3-067</v>
      </c>
      <c r="F1030" s="40" t="str">
        <f t="array" ref="F1030">_xlfn.XLOOKUP($B1030, DB[samplingPoint], DB[building])</f>
        <v>Building 10</v>
      </c>
      <c r="G1030" s="40" t="str">
        <f t="array" ref="G1030">_xlfn.XLOOKUP($B1030, DB[samplingPoint], DB[location])</f>
        <v>COATING ROOM-6</v>
      </c>
      <c r="H1030" s="39" t="str">
        <f t="array" ref="H1030">_xlfn.XLOOKUP($B1030, DB[samplingPoint], DB[waterType])</f>
        <v>PW</v>
      </c>
      <c r="I1030" s="43">
        <f t="shared" si="7"/>
        <v>46039</v>
      </c>
      <c r="J1030" s="26">
        <v>46042.0</v>
      </c>
      <c r="K1030" s="32">
        <v>0.0</v>
      </c>
      <c r="L1030" s="32">
        <v>0.0</v>
      </c>
      <c r="M1030" s="32">
        <f t="shared" si="3"/>
        <v>0</v>
      </c>
      <c r="N1030" s="32" t="s">
        <v>376</v>
      </c>
      <c r="O1030" s="32">
        <v>100.0</v>
      </c>
      <c r="P1030" s="50" t="str">
        <f t="shared" si="6"/>
        <v>PASSED</v>
      </c>
      <c r="Q1030" s="50" t="str">
        <f t="shared" si="5"/>
        <v>10</v>
      </c>
    </row>
    <row r="1031" ht="22.5" customHeight="1">
      <c r="A1031" s="26">
        <v>46038.0</v>
      </c>
      <c r="B1031" s="39" t="s">
        <v>532</v>
      </c>
      <c r="C1031" s="32" t="str">
        <f t="array" ref="C1031">_xlfn.XLOOKUP(B1031, DB[samplingPoint], DB[samplingTag])</f>
        <v>DV116.11</v>
      </c>
      <c r="D1031" s="33" t="s">
        <v>59</v>
      </c>
      <c r="E1031" s="39" t="str">
        <f t="array" ref="E1031">_xlfn.XLOOKUP($B1031, DB[samplingPoint], DB[noLocation])</f>
        <v>10-3-066</v>
      </c>
      <c r="F1031" s="40" t="str">
        <f t="array" ref="F1031">_xlfn.XLOOKUP($B1031, DB[samplingPoint], DB[building])</f>
        <v>Building 10</v>
      </c>
      <c r="G1031" s="40" t="str">
        <f t="array" ref="G1031">_xlfn.XLOOKUP($B1031, DB[samplingPoint], DB[location])</f>
        <v>COATING SOLUTION PREP.-4</v>
      </c>
      <c r="H1031" s="39" t="str">
        <f t="array" ref="H1031">_xlfn.XLOOKUP($B1031, DB[samplingPoint], DB[waterType])</f>
        <v>PW</v>
      </c>
      <c r="I1031" s="43">
        <f t="shared" si="7"/>
        <v>46039</v>
      </c>
      <c r="J1031" s="26">
        <v>46042.0</v>
      </c>
      <c r="K1031" s="32">
        <v>0.0</v>
      </c>
      <c r="L1031" s="32">
        <v>0.0</v>
      </c>
      <c r="M1031" s="32">
        <f t="shared" si="3"/>
        <v>0</v>
      </c>
      <c r="N1031" s="32" t="s">
        <v>376</v>
      </c>
      <c r="O1031" s="32">
        <v>100.0</v>
      </c>
      <c r="P1031" s="50" t="str">
        <f t="shared" si="6"/>
        <v>PASSED</v>
      </c>
      <c r="Q1031" s="50" t="str">
        <f t="shared" si="5"/>
        <v>10</v>
      </c>
    </row>
    <row r="1032" ht="22.5" customHeight="1">
      <c r="A1032" s="26">
        <v>46038.0</v>
      </c>
      <c r="B1032" s="39" t="s">
        <v>531</v>
      </c>
      <c r="C1032" s="32" t="str">
        <f t="array" ref="C1032">_xlfn.XLOOKUP(B1032, DB[samplingPoint], DB[samplingTag])</f>
        <v>DV116.10</v>
      </c>
      <c r="D1032" s="33" t="s">
        <v>59</v>
      </c>
      <c r="E1032" s="39" t="str">
        <f t="array" ref="E1032">_xlfn.XLOOKUP($B1032, DB[samplingPoint], DB[noLocation])</f>
        <v>10-3-065</v>
      </c>
      <c r="F1032" s="40" t="str">
        <f t="array" ref="F1032">_xlfn.XLOOKUP($B1032, DB[samplingPoint], DB[building])</f>
        <v>Building 10</v>
      </c>
      <c r="G1032" s="40" t="str">
        <f t="array" ref="G1032">_xlfn.XLOOKUP($B1032, DB[samplingPoint], DB[location])</f>
        <v>COATING SOLUTION PREP.-3</v>
      </c>
      <c r="H1032" s="39" t="str">
        <f t="array" ref="H1032">_xlfn.XLOOKUP($B1032, DB[samplingPoint], DB[waterType])</f>
        <v>PW</v>
      </c>
      <c r="I1032" s="43">
        <f t="shared" si="7"/>
        <v>46039</v>
      </c>
      <c r="J1032" s="26">
        <v>46042.0</v>
      </c>
      <c r="K1032" s="32">
        <v>0.0</v>
      </c>
      <c r="L1032" s="32">
        <v>0.0</v>
      </c>
      <c r="M1032" s="32">
        <f t="shared" si="3"/>
        <v>0</v>
      </c>
      <c r="N1032" s="32" t="s">
        <v>376</v>
      </c>
      <c r="O1032" s="32">
        <v>100.0</v>
      </c>
      <c r="P1032" s="50" t="str">
        <f t="shared" si="6"/>
        <v>PASSED</v>
      </c>
      <c r="Q1032" s="50" t="str">
        <f t="shared" si="5"/>
        <v>10</v>
      </c>
    </row>
    <row r="1033" ht="22.5" customHeight="1">
      <c r="A1033" s="26">
        <v>46038.0</v>
      </c>
      <c r="B1033" s="39" t="s">
        <v>539</v>
      </c>
      <c r="C1033" s="32" t="str">
        <f t="array" ref="C1033">_xlfn.XLOOKUP(B1033, DB[samplingPoint], DB[samplingTag])</f>
        <v>SV116.07</v>
      </c>
      <c r="D1033" s="33" t="s">
        <v>59</v>
      </c>
      <c r="E1033" s="39" t="str">
        <f t="array" ref="E1033">_xlfn.XLOOKUP($B1033, DB[samplingPoint], DB[noLocation])</f>
        <v>10-3-064</v>
      </c>
      <c r="F1033" s="40" t="str">
        <f t="array" ref="F1033">_xlfn.XLOOKUP($B1033, DB[samplingPoint], DB[building])</f>
        <v>Building 10</v>
      </c>
      <c r="G1033" s="40" t="str">
        <f t="array" ref="G1033">_xlfn.XLOOKUP($B1033, DB[samplingPoint], DB[location])</f>
        <v>COATING ROOM-5</v>
      </c>
      <c r="H1033" s="39" t="str">
        <f t="array" ref="H1033">_xlfn.XLOOKUP($B1033, DB[samplingPoint], DB[waterType])</f>
        <v>PW</v>
      </c>
      <c r="I1033" s="43">
        <f t="shared" si="7"/>
        <v>46039</v>
      </c>
      <c r="J1033" s="26">
        <v>46042.0</v>
      </c>
      <c r="K1033" s="32">
        <v>0.0</v>
      </c>
      <c r="L1033" s="32">
        <v>0.0</v>
      </c>
      <c r="M1033" s="32">
        <f t="shared" si="3"/>
        <v>0</v>
      </c>
      <c r="N1033" s="32" t="s">
        <v>376</v>
      </c>
      <c r="O1033" s="32">
        <v>100.0</v>
      </c>
      <c r="P1033" s="50" t="str">
        <f t="shared" si="6"/>
        <v>PASSED</v>
      </c>
      <c r="Q1033" s="50" t="str">
        <f t="shared" si="5"/>
        <v>10</v>
      </c>
    </row>
    <row r="1034" ht="22.5" customHeight="1">
      <c r="A1034" s="26">
        <v>46038.0</v>
      </c>
      <c r="B1034" s="39" t="s">
        <v>538</v>
      </c>
      <c r="C1034" s="32" t="str">
        <f t="array" ref="C1034">_xlfn.XLOOKUP(B1034, DB[samplingPoint], DB[samplingTag])</f>
        <v>SV116.06</v>
      </c>
      <c r="D1034" s="33" t="s">
        <v>59</v>
      </c>
      <c r="E1034" s="39" t="str">
        <f t="array" ref="E1034">_xlfn.XLOOKUP($B1034, DB[samplingPoint], DB[noLocation])</f>
        <v>10-3-063</v>
      </c>
      <c r="F1034" s="40" t="str">
        <f t="array" ref="F1034">_xlfn.XLOOKUP($B1034, DB[samplingPoint], DB[building])</f>
        <v>Building 10</v>
      </c>
      <c r="G1034" s="40" t="str">
        <f t="array" ref="G1034">_xlfn.XLOOKUP($B1034, DB[samplingPoint], DB[location])</f>
        <v>COATING ROOM-4</v>
      </c>
      <c r="H1034" s="39" t="str">
        <f t="array" ref="H1034">_xlfn.XLOOKUP($B1034, DB[samplingPoint], DB[waterType])</f>
        <v>PW</v>
      </c>
      <c r="I1034" s="43">
        <f t="shared" si="7"/>
        <v>46039</v>
      </c>
      <c r="J1034" s="26">
        <v>46042.0</v>
      </c>
      <c r="K1034" s="32">
        <v>0.0</v>
      </c>
      <c r="L1034" s="32">
        <v>0.0</v>
      </c>
      <c r="M1034" s="32">
        <f t="shared" si="3"/>
        <v>0</v>
      </c>
      <c r="N1034" s="32" t="s">
        <v>376</v>
      </c>
      <c r="O1034" s="32">
        <v>100.0</v>
      </c>
      <c r="P1034" s="50" t="str">
        <f t="shared" si="6"/>
        <v>PASSED</v>
      </c>
      <c r="Q1034" s="50" t="str">
        <f t="shared" si="5"/>
        <v>10</v>
      </c>
    </row>
    <row r="1035" ht="22.5" customHeight="1">
      <c r="A1035" s="26">
        <v>46038.0</v>
      </c>
      <c r="B1035" s="39" t="s">
        <v>520</v>
      </c>
      <c r="C1035" s="32" t="str">
        <f t="array" ref="C1035">_xlfn.XLOOKUP(B1035, DB[samplingPoint], DB[samplingTag])</f>
        <v>DV116.03</v>
      </c>
      <c r="D1035" s="33" t="s">
        <v>59</v>
      </c>
      <c r="E1035" s="39" t="str">
        <f t="array" ref="E1035">_xlfn.XLOOKUP($B1035, DB[samplingPoint], DB[noLocation])</f>
        <v>10-2-034</v>
      </c>
      <c r="F1035" s="40" t="str">
        <f t="array" ref="F1035">_xlfn.XLOOKUP($B1035, DB[samplingPoint], DB[building])</f>
        <v>Building 10</v>
      </c>
      <c r="G1035" s="40" t="str">
        <f t="array" ref="G1035">_xlfn.XLOOKUP($B1035, DB[samplingPoint], DB[location])</f>
        <v>SAMPLE PREPARATION</v>
      </c>
      <c r="H1035" s="39" t="str">
        <f t="array" ref="H1035">_xlfn.XLOOKUP($B1035, DB[samplingPoint], DB[waterType])</f>
        <v>PW</v>
      </c>
      <c r="I1035" s="43">
        <f t="shared" si="7"/>
        <v>46039</v>
      </c>
      <c r="J1035" s="26">
        <v>46042.0</v>
      </c>
      <c r="K1035" s="32">
        <v>0.0</v>
      </c>
      <c r="L1035" s="32">
        <v>0.0</v>
      </c>
      <c r="M1035" s="32">
        <f t="shared" si="3"/>
        <v>0</v>
      </c>
      <c r="N1035" s="32" t="s">
        <v>376</v>
      </c>
      <c r="O1035" s="32">
        <v>100.0</v>
      </c>
      <c r="P1035" s="50" t="str">
        <f t="shared" si="6"/>
        <v>PASSED</v>
      </c>
      <c r="Q1035" s="50" t="str">
        <f t="shared" si="5"/>
        <v>10</v>
      </c>
    </row>
    <row r="1036" ht="22.5" customHeight="1">
      <c r="A1036" s="26">
        <v>46038.0</v>
      </c>
      <c r="B1036" s="39" t="s">
        <v>526</v>
      </c>
      <c r="C1036" s="32" t="str">
        <f t="array" ref="C1036">_xlfn.XLOOKUP(B1036, DB[samplingPoint], DB[samplingTag])</f>
        <v>DV116.06</v>
      </c>
      <c r="D1036" s="33" t="s">
        <v>59</v>
      </c>
      <c r="E1036" s="39" t="str">
        <f t="array" ref="E1036">_xlfn.XLOOKUP($B1036, DB[samplingPoint], DB[noLocation])</f>
        <v>10-2-034</v>
      </c>
      <c r="F1036" s="40" t="str">
        <f t="array" ref="F1036">_xlfn.XLOOKUP($B1036, DB[samplingPoint], DB[building])</f>
        <v>Building 10</v>
      </c>
      <c r="G1036" s="40" t="str">
        <f t="array" ref="G1036">_xlfn.XLOOKUP($B1036, DB[samplingPoint], DB[location])</f>
        <v>SAMPLE PREPARATION</v>
      </c>
      <c r="H1036" s="39" t="str">
        <f t="array" ref="H1036">_xlfn.XLOOKUP($B1036, DB[samplingPoint], DB[waterType])</f>
        <v>PW</v>
      </c>
      <c r="I1036" s="43">
        <f t="shared" si="7"/>
        <v>46039</v>
      </c>
      <c r="J1036" s="26">
        <v>46042.0</v>
      </c>
      <c r="K1036" s="32">
        <v>0.0</v>
      </c>
      <c r="L1036" s="32">
        <v>0.0</v>
      </c>
      <c r="M1036" s="32">
        <f t="shared" si="3"/>
        <v>0</v>
      </c>
      <c r="N1036" s="32" t="s">
        <v>376</v>
      </c>
      <c r="O1036" s="32">
        <v>100.0</v>
      </c>
      <c r="P1036" s="50" t="str">
        <f t="shared" si="6"/>
        <v>PASSED</v>
      </c>
      <c r="Q1036" s="50" t="str">
        <f t="shared" si="5"/>
        <v>10</v>
      </c>
    </row>
    <row r="1037" ht="22.5" customHeight="1">
      <c r="A1037" s="26">
        <v>46038.0</v>
      </c>
      <c r="B1037" s="39" t="s">
        <v>527</v>
      </c>
      <c r="C1037" s="32" t="str">
        <f t="array" ref="C1037">_xlfn.XLOOKUP(B1037, DB[samplingPoint], DB[samplingTag])</f>
        <v>DV116.07</v>
      </c>
      <c r="D1037" s="33" t="s">
        <v>59</v>
      </c>
      <c r="E1037" s="39" t="str">
        <f t="array" ref="E1037">_xlfn.XLOOKUP($B1037, DB[samplingPoint], DB[noLocation])</f>
        <v>10-2-032</v>
      </c>
      <c r="F1037" s="40" t="str">
        <f t="array" ref="F1037">_xlfn.XLOOKUP($B1037, DB[samplingPoint], DB[building])</f>
        <v>Building 10</v>
      </c>
      <c r="G1037" s="40" t="str">
        <f t="array" ref="G1037">_xlfn.XLOOKUP($B1037, DB[samplingPoint], DB[location])</f>
        <v>GLASS-WARE WASHING</v>
      </c>
      <c r="H1037" s="39" t="str">
        <f t="array" ref="H1037">_xlfn.XLOOKUP($B1037, DB[samplingPoint], DB[waterType])</f>
        <v>PW</v>
      </c>
      <c r="I1037" s="43">
        <f t="shared" si="7"/>
        <v>46039</v>
      </c>
      <c r="J1037" s="26">
        <v>46042.0</v>
      </c>
      <c r="K1037" s="32">
        <v>0.0</v>
      </c>
      <c r="L1037" s="32">
        <v>0.0</v>
      </c>
      <c r="M1037" s="32">
        <f t="shared" si="3"/>
        <v>0</v>
      </c>
      <c r="N1037" s="32" t="s">
        <v>376</v>
      </c>
      <c r="O1037" s="32">
        <v>100.0</v>
      </c>
      <c r="P1037" s="50" t="str">
        <f t="shared" si="6"/>
        <v>PASSED</v>
      </c>
      <c r="Q1037" s="50" t="str">
        <f t="shared" si="5"/>
        <v>10</v>
      </c>
    </row>
    <row r="1038" ht="22.5" customHeight="1">
      <c r="A1038" s="26">
        <v>46038.0</v>
      </c>
      <c r="B1038" s="39" t="s">
        <v>524</v>
      </c>
      <c r="C1038" s="32" t="str">
        <f t="array" ref="C1038">_xlfn.XLOOKUP(B1038, DB[samplingPoint], DB[samplingTag])</f>
        <v>DV116.05</v>
      </c>
      <c r="D1038" s="33" t="s">
        <v>59</v>
      </c>
      <c r="E1038" s="39" t="str">
        <f t="array" ref="E1038">_xlfn.XLOOKUP($B1038, DB[samplingPoint], DB[noLocation])</f>
        <v>10-2-032</v>
      </c>
      <c r="F1038" s="40" t="str">
        <f t="array" ref="F1038">_xlfn.XLOOKUP($B1038, DB[samplingPoint], DB[building])</f>
        <v>Building 10</v>
      </c>
      <c r="G1038" s="40" t="str">
        <f t="array" ref="G1038">_xlfn.XLOOKUP($B1038, DB[samplingPoint], DB[location])</f>
        <v>GLASS-WARE WASHING</v>
      </c>
      <c r="H1038" s="39" t="str">
        <f t="array" ref="H1038">_xlfn.XLOOKUP($B1038, DB[samplingPoint], DB[waterType])</f>
        <v>PW</v>
      </c>
      <c r="I1038" s="43">
        <f t="shared" si="7"/>
        <v>46039</v>
      </c>
      <c r="J1038" s="26">
        <v>46042.0</v>
      </c>
      <c r="K1038" s="32">
        <v>0.0</v>
      </c>
      <c r="L1038" s="32">
        <v>0.0</v>
      </c>
      <c r="M1038" s="32">
        <f t="shared" si="3"/>
        <v>0</v>
      </c>
      <c r="N1038" s="32" t="s">
        <v>376</v>
      </c>
      <c r="O1038" s="32">
        <v>100.0</v>
      </c>
      <c r="P1038" s="50" t="str">
        <f t="shared" si="6"/>
        <v>PASSED</v>
      </c>
      <c r="Q1038" s="50" t="str">
        <f t="shared" si="5"/>
        <v>10</v>
      </c>
    </row>
    <row r="1039" ht="22.5" customHeight="1">
      <c r="A1039" s="26">
        <v>46038.0</v>
      </c>
      <c r="B1039" s="39" t="s">
        <v>522</v>
      </c>
      <c r="C1039" s="32" t="str">
        <f t="array" ref="C1039">_xlfn.XLOOKUP(B1039, DB[samplingPoint], DB[samplingTag])</f>
        <v>DV116.04</v>
      </c>
      <c r="D1039" s="33" t="s">
        <v>59</v>
      </c>
      <c r="E1039" s="39" t="str">
        <f t="array" ref="E1039">_xlfn.XLOOKUP($B1039, DB[samplingPoint], DB[noLocation])</f>
        <v>10-2-037</v>
      </c>
      <c r="F1039" s="40" t="str">
        <f t="array" ref="F1039">_xlfn.XLOOKUP($B1039, DB[samplingPoint], DB[building])</f>
        <v>Building 10</v>
      </c>
      <c r="G1039" s="40" t="str">
        <f t="array" ref="G1039">_xlfn.XLOOKUP($B1039, DB[samplingPoint], DB[location])</f>
        <v>SKID FOR BIN WASHING-1</v>
      </c>
      <c r="H1039" s="39" t="str">
        <f t="array" ref="H1039">_xlfn.XLOOKUP($B1039, DB[samplingPoint], DB[waterType])</f>
        <v>PW</v>
      </c>
      <c r="I1039" s="43">
        <f t="shared" si="7"/>
        <v>46039</v>
      </c>
      <c r="J1039" s="26">
        <v>46042.0</v>
      </c>
      <c r="K1039" s="32">
        <v>0.0</v>
      </c>
      <c r="L1039" s="32">
        <v>0.0</v>
      </c>
      <c r="M1039" s="32">
        <f t="shared" si="3"/>
        <v>0</v>
      </c>
      <c r="N1039" s="32" t="s">
        <v>376</v>
      </c>
      <c r="O1039" s="32">
        <v>100.0</v>
      </c>
      <c r="P1039" s="50" t="str">
        <f t="shared" si="6"/>
        <v>PASSED</v>
      </c>
      <c r="Q1039" s="50" t="str">
        <f t="shared" si="5"/>
        <v>10</v>
      </c>
    </row>
    <row r="1040" ht="22.5" customHeight="1">
      <c r="A1040" s="199">
        <v>46038.0</v>
      </c>
      <c r="B1040" s="39" t="s">
        <v>997</v>
      </c>
      <c r="C1040" s="32" t="str">
        <f t="array" ref="C1040">_xlfn.XLOOKUP(B1040, DB[samplingPoint], DB[samplingTag])</f>
        <v>#N/A</v>
      </c>
      <c r="D1040" s="33" t="s">
        <v>59</v>
      </c>
      <c r="E1040" s="39" t="str">
        <f t="array" ref="E1040">_xlfn.XLOOKUP($B1040, DB[samplingPoint], DB[noLocation])</f>
        <v>#N/A</v>
      </c>
      <c r="F1040" s="40" t="str">
        <f t="array" ref="F1040">_xlfn.XLOOKUP($B1040, DB[samplingPoint], DB[building])</f>
        <v>#N/A</v>
      </c>
      <c r="G1040" s="40" t="str">
        <f t="array" ref="G1040">_xlfn.XLOOKUP($B1040, DB[samplingPoint], DB[location])</f>
        <v>#N/A</v>
      </c>
      <c r="H1040" s="39" t="str">
        <f t="array" ref="H1040">_xlfn.XLOOKUP($B1040, DB[samplingPoint], DB[waterType])</f>
        <v>#N/A</v>
      </c>
      <c r="I1040" s="43">
        <f t="shared" si="7"/>
        <v>46039</v>
      </c>
      <c r="J1040" s="26">
        <v>46042.0</v>
      </c>
      <c r="K1040" s="32">
        <v>0.0</v>
      </c>
      <c r="L1040" s="32">
        <v>0.0</v>
      </c>
      <c r="M1040" s="32">
        <f t="shared" si="3"/>
        <v>0</v>
      </c>
      <c r="N1040" s="32" t="s">
        <v>376</v>
      </c>
      <c r="O1040" s="32">
        <v>100.0</v>
      </c>
      <c r="P1040" s="50" t="str">
        <f t="shared" si="6"/>
        <v>PASSED</v>
      </c>
      <c r="Q1040" s="50" t="str">
        <f t="shared" si="5"/>
        <v>#N/A</v>
      </c>
    </row>
    <row r="1041" ht="22.5" customHeight="1">
      <c r="A1041" s="26">
        <v>46041.0</v>
      </c>
      <c r="B1041" s="39" t="s">
        <v>377</v>
      </c>
      <c r="C1041" s="32" t="str">
        <f t="array" ref="C1041">_xlfn.XLOOKUP(B1041, DB[samplingPoint], DB[samplingTag])</f>
        <v>V12-4</v>
      </c>
      <c r="D1041" s="33" t="s">
        <v>371</v>
      </c>
      <c r="E1041" s="39" t="str">
        <f t="array" ref="E1041">_xlfn.XLOOKUP($B1041, DB[samplingPoint], DB[noLocation])</f>
        <v>16-2-010</v>
      </c>
      <c r="F1041" s="40" t="str">
        <f t="array" ref="F1041">_xlfn.XLOOKUP($B1041, DB[samplingPoint], DB[building])</f>
        <v>Building 16</v>
      </c>
      <c r="G1041" s="40" t="str">
        <f t="array" ref="G1041">_xlfn.XLOOKUP($B1041, DB[samplingPoint], DB[location])</f>
        <v>AFTER WFI GENERATOR</v>
      </c>
      <c r="H1041" s="39" t="str">
        <f t="array" ref="H1041">_xlfn.XLOOKUP($B1041, DB[samplingPoint], DB[waterType])</f>
        <v>WFI</v>
      </c>
      <c r="I1041" s="43">
        <f t="shared" si="7"/>
        <v>46042</v>
      </c>
      <c r="J1041" s="26">
        <v>46045.0</v>
      </c>
      <c r="K1041" s="32">
        <v>0.0</v>
      </c>
      <c r="L1041" s="32"/>
      <c r="M1041" s="32">
        <f t="shared" si="3"/>
        <v>0</v>
      </c>
      <c r="N1041" s="32" t="s">
        <v>376</v>
      </c>
      <c r="O1041" s="32">
        <v>10.0</v>
      </c>
      <c r="P1041" s="50" t="str">
        <f t="shared" si="6"/>
        <v>PASSED</v>
      </c>
      <c r="Q1041" s="50" t="str">
        <f t="shared" si="5"/>
        <v>16</v>
      </c>
    </row>
    <row r="1042" ht="22.5" customHeight="1">
      <c r="A1042" s="26">
        <v>46041.0</v>
      </c>
      <c r="B1042" s="39" t="s">
        <v>383</v>
      </c>
      <c r="C1042" s="32" t="str">
        <f t="array" ref="C1042">_xlfn.XLOOKUP(B1042, DB[samplingPoint], DB[samplingTag])</f>
        <v>SV213.01</v>
      </c>
      <c r="D1042" s="33" t="s">
        <v>371</v>
      </c>
      <c r="E1042" s="39" t="str">
        <f t="array" ref="E1042">_xlfn.XLOOKUP($B1042, DB[samplingPoint], DB[noLocation])</f>
        <v>16-2-010</v>
      </c>
      <c r="F1042" s="40" t="str">
        <f t="array" ref="F1042">_xlfn.XLOOKUP($B1042, DB[samplingPoint], DB[building])</f>
        <v>Building 16</v>
      </c>
      <c r="G1042" s="40" t="str">
        <f t="array" ref="G1042">_xlfn.XLOOKUP($B1042, DB[samplingPoint], DB[location])</f>
        <v>AFTER STORAGE TANK</v>
      </c>
      <c r="H1042" s="39" t="str">
        <f t="array" ref="H1042">_xlfn.XLOOKUP($B1042, DB[samplingPoint], DB[waterType])</f>
        <v>WFI</v>
      </c>
      <c r="I1042" s="43">
        <f t="shared" si="7"/>
        <v>46042</v>
      </c>
      <c r="J1042" s="26">
        <v>46045.0</v>
      </c>
      <c r="K1042" s="32">
        <v>0.0</v>
      </c>
      <c r="L1042" s="32"/>
      <c r="M1042" s="32">
        <f t="shared" si="3"/>
        <v>0</v>
      </c>
      <c r="N1042" s="32" t="s">
        <v>376</v>
      </c>
      <c r="O1042" s="32">
        <v>10.0</v>
      </c>
      <c r="P1042" s="50" t="str">
        <f t="shared" si="6"/>
        <v>PASSED</v>
      </c>
      <c r="Q1042" s="50" t="str">
        <f t="shared" si="5"/>
        <v>16</v>
      </c>
    </row>
    <row r="1043" ht="22.5" customHeight="1">
      <c r="A1043" s="26">
        <v>46041.0</v>
      </c>
      <c r="B1043" s="39" t="s">
        <v>388</v>
      </c>
      <c r="C1043" s="32" t="str">
        <f t="array" ref="C1043">_xlfn.XLOOKUP(B1043, DB[samplingPoint], DB[samplingTag])</f>
        <v>SV217.01</v>
      </c>
      <c r="D1043" s="33" t="s">
        <v>371</v>
      </c>
      <c r="E1043" s="39" t="str">
        <f t="array" ref="E1043">_xlfn.XLOOKUP($B1043, DB[samplingPoint], DB[noLocation])</f>
        <v>16-2-010</v>
      </c>
      <c r="F1043" s="40" t="str">
        <f t="array" ref="F1043">_xlfn.XLOOKUP($B1043, DB[samplingPoint], DB[building])</f>
        <v>Building 16</v>
      </c>
      <c r="G1043" s="40" t="str">
        <f t="array" ref="G1043">_xlfn.XLOOKUP($B1043, DB[samplingPoint], DB[location])</f>
        <v>RETURN LOOP</v>
      </c>
      <c r="H1043" s="39" t="str">
        <f t="array" ref="H1043">_xlfn.XLOOKUP($B1043, DB[samplingPoint], DB[waterType])</f>
        <v>WFI</v>
      </c>
      <c r="I1043" s="43">
        <f t="shared" si="7"/>
        <v>46042</v>
      </c>
      <c r="J1043" s="26">
        <v>46045.0</v>
      </c>
      <c r="K1043" s="32">
        <v>0.0</v>
      </c>
      <c r="L1043" s="32"/>
      <c r="M1043" s="32">
        <f t="shared" si="3"/>
        <v>0</v>
      </c>
      <c r="N1043" s="32" t="s">
        <v>376</v>
      </c>
      <c r="O1043" s="32">
        <v>10.0</v>
      </c>
      <c r="P1043" s="50" t="str">
        <f t="shared" si="6"/>
        <v>PASSED</v>
      </c>
      <c r="Q1043" s="50" t="str">
        <f t="shared" si="5"/>
        <v>16</v>
      </c>
    </row>
    <row r="1044" ht="22.5" customHeight="1">
      <c r="A1044" s="26">
        <v>46041.0</v>
      </c>
      <c r="B1044" s="39" t="s">
        <v>416</v>
      </c>
      <c r="C1044" s="32" t="str">
        <f t="array" ref="C1044">_xlfn.XLOOKUP(B1044, DB[samplingPoint], DB[samplingTag])</f>
        <v>SV216.02</v>
      </c>
      <c r="D1044" s="33" t="s">
        <v>371</v>
      </c>
      <c r="E1044" s="39" t="str">
        <f t="array" ref="E1044">_xlfn.XLOOKUP($B1044, DB[samplingPoint], DB[noLocation])</f>
        <v>16-1-098</v>
      </c>
      <c r="F1044" s="40" t="str">
        <f t="array" ref="F1044">_xlfn.XLOOKUP($B1044, DB[samplingPoint], DB[building])</f>
        <v>Building 16</v>
      </c>
      <c r="G1044" s="40" t="str">
        <f t="array" ref="G1044">_xlfn.XLOOKUP($B1044, DB[samplingPoint], DB[location])</f>
        <v>CIP/SIP</v>
      </c>
      <c r="H1044" s="39" t="str">
        <f t="array" ref="H1044">_xlfn.XLOOKUP($B1044, DB[samplingPoint], DB[waterType])</f>
        <v>WFI</v>
      </c>
      <c r="I1044" s="43">
        <f t="shared" si="7"/>
        <v>46042</v>
      </c>
      <c r="J1044" s="26">
        <v>46045.0</v>
      </c>
      <c r="K1044" s="32">
        <v>0.0</v>
      </c>
      <c r="L1044" s="32"/>
      <c r="M1044" s="32">
        <f t="shared" si="3"/>
        <v>0</v>
      </c>
      <c r="N1044" s="32" t="s">
        <v>376</v>
      </c>
      <c r="O1044" s="32">
        <v>10.0</v>
      </c>
      <c r="P1044" s="50" t="str">
        <f t="shared" si="6"/>
        <v>PASSED</v>
      </c>
      <c r="Q1044" s="50" t="str">
        <f t="shared" si="5"/>
        <v>16</v>
      </c>
    </row>
    <row r="1045" ht="22.5" customHeight="1">
      <c r="A1045" s="26">
        <v>46041.0</v>
      </c>
      <c r="B1045" s="39" t="s">
        <v>418</v>
      </c>
      <c r="C1045" s="32" t="str">
        <f t="array" ref="C1045">_xlfn.XLOOKUP(B1045, DB[samplingPoint], DB[samplingTag])</f>
        <v>SV216.04</v>
      </c>
      <c r="D1045" s="33" t="s">
        <v>371</v>
      </c>
      <c r="E1045" s="39" t="str">
        <f t="array" ref="E1045">_xlfn.XLOOKUP($B1045, DB[samplingPoint], DB[noLocation])</f>
        <v>16-1-098</v>
      </c>
      <c r="F1045" s="40" t="str">
        <f t="array" ref="F1045">_xlfn.XLOOKUP($B1045, DB[samplingPoint], DB[building])</f>
        <v>Building 16</v>
      </c>
      <c r="G1045" s="40" t="str">
        <f t="array" ref="G1045">_xlfn.XLOOKUP($B1045, DB[samplingPoint], DB[location])</f>
        <v>CIP/SIP</v>
      </c>
      <c r="H1045" s="39" t="str">
        <f t="array" ref="H1045">_xlfn.XLOOKUP($B1045, DB[samplingPoint], DB[waterType])</f>
        <v>WFI</v>
      </c>
      <c r="I1045" s="43">
        <f t="shared" si="7"/>
        <v>46042</v>
      </c>
      <c r="J1045" s="26">
        <v>46045.0</v>
      </c>
      <c r="K1045" s="32">
        <v>0.0</v>
      </c>
      <c r="L1045" s="32"/>
      <c r="M1045" s="32">
        <f t="shared" si="3"/>
        <v>0</v>
      </c>
      <c r="N1045" s="32" t="s">
        <v>376</v>
      </c>
      <c r="O1045" s="32">
        <v>10.0</v>
      </c>
      <c r="P1045" s="50" t="str">
        <f t="shared" si="6"/>
        <v>PASSED</v>
      </c>
      <c r="Q1045" s="50" t="str">
        <f t="shared" si="5"/>
        <v>16</v>
      </c>
    </row>
    <row r="1046" ht="22.5" customHeight="1">
      <c r="A1046" s="26">
        <v>46042.0</v>
      </c>
      <c r="B1046" s="39" t="s">
        <v>444</v>
      </c>
      <c r="C1046" s="32" t="str">
        <f t="array" ref="C1046">_xlfn.XLOOKUP(B1046, DB[samplingPoint], DB[samplingTag])</f>
        <v>VB-05 (12)</v>
      </c>
      <c r="D1046" s="33" t="s">
        <v>59</v>
      </c>
      <c r="E1046" s="39" t="str">
        <f t="array" ref="E1046">_xlfn.XLOOKUP($B1046, DB[samplingPoint], DB[noLocation])</f>
        <v>WATER SYSTEM (B12)</v>
      </c>
      <c r="F1046" s="40" t="str">
        <f t="array" ref="F1046">_xlfn.XLOOKUP($B1046, DB[samplingPoint], DB[building])</f>
        <v>Building 12</v>
      </c>
      <c r="G1046" s="40" t="str">
        <f t="array" ref="G1046">_xlfn.XLOOKUP($B1046, DB[samplingPoint], DB[location])</f>
        <v>After Chlorine circulation tank</v>
      </c>
      <c r="H1046" s="39" t="str">
        <f t="array" ref="H1046">_xlfn.XLOOKUP($B1046, DB[samplingPoint], DB[waterType])</f>
        <v>PRW</v>
      </c>
      <c r="I1046" s="43">
        <f t="shared" si="7"/>
        <v>46043</v>
      </c>
      <c r="J1046" s="26">
        <v>46045.0</v>
      </c>
      <c r="K1046" s="32">
        <v>0.0</v>
      </c>
      <c r="L1046" s="32">
        <v>0.0</v>
      </c>
      <c r="M1046" s="32">
        <f t="shared" si="3"/>
        <v>0</v>
      </c>
      <c r="N1046" s="32" t="s">
        <v>376</v>
      </c>
      <c r="O1046" s="32">
        <v>500.0</v>
      </c>
      <c r="P1046" s="50" t="str">
        <f t="shared" si="6"/>
        <v>PASSED</v>
      </c>
      <c r="Q1046" s="50" t="str">
        <f t="shared" si="5"/>
        <v>WA</v>
      </c>
    </row>
    <row r="1047" ht="22.5" customHeight="1">
      <c r="A1047" s="26">
        <v>46042.0</v>
      </c>
      <c r="B1047" s="39" t="s">
        <v>442</v>
      </c>
      <c r="C1047" s="32" t="str">
        <f t="array" ref="C1047">_xlfn.XLOOKUP(B1047, DB[samplingPoint], DB[samplingTag])</f>
        <v>V50-61 (12)</v>
      </c>
      <c r="D1047" s="33" t="s">
        <v>59</v>
      </c>
      <c r="E1047" s="39" t="str">
        <f t="array" ref="E1047">_xlfn.XLOOKUP($B1047, DB[samplingPoint], DB[noLocation])</f>
        <v>WATER SYSTEM (B12)</v>
      </c>
      <c r="F1047" s="40" t="str">
        <f t="array" ref="F1047">_xlfn.XLOOKUP($B1047, DB[samplingPoint], DB[building])</f>
        <v>Building 12</v>
      </c>
      <c r="G1047" s="40" t="str">
        <f t="array" ref="G1047">_xlfn.XLOOKUP($B1047, DB[samplingPoint], DB[location])</f>
        <v>After Cartridge filter 5 µm (B12)</v>
      </c>
      <c r="H1047" s="39" t="str">
        <f t="array" ref="H1047">_xlfn.XLOOKUP($B1047, DB[samplingPoint], DB[waterType])</f>
        <v>PRW</v>
      </c>
      <c r="I1047" s="43">
        <f t="shared" si="7"/>
        <v>46043</v>
      </c>
      <c r="J1047" s="26">
        <v>46046.0</v>
      </c>
      <c r="K1047" s="32">
        <v>0.0</v>
      </c>
      <c r="L1047" s="32">
        <v>0.0</v>
      </c>
      <c r="M1047" s="32">
        <f t="shared" si="3"/>
        <v>0</v>
      </c>
      <c r="N1047" s="32" t="s">
        <v>376</v>
      </c>
      <c r="O1047" s="32">
        <v>500.0</v>
      </c>
      <c r="P1047" s="50" t="str">
        <f t="shared" si="6"/>
        <v>PASSED</v>
      </c>
      <c r="Q1047" s="50" t="str">
        <f t="shared" si="5"/>
        <v>WA</v>
      </c>
    </row>
    <row r="1048" ht="22.5" customHeight="1">
      <c r="A1048" s="26">
        <v>46042.0</v>
      </c>
      <c r="B1048" s="39" t="s">
        <v>434</v>
      </c>
      <c r="C1048" s="32" t="str">
        <f t="array" ref="C1048">_xlfn.XLOOKUP(B1048, DB[samplingPoint], DB[samplingTag])</f>
        <v>V50-11C (12)</v>
      </c>
      <c r="D1048" s="33" t="s">
        <v>59</v>
      </c>
      <c r="E1048" s="39" t="str">
        <f t="array" ref="E1048">_xlfn.XLOOKUP($B1048, DB[samplingPoint], DB[noLocation])</f>
        <v>WATER SYSTEM (B12)</v>
      </c>
      <c r="F1048" s="40" t="str">
        <f t="array" ref="F1048">_xlfn.XLOOKUP($B1048, DB[samplingPoint], DB[building])</f>
        <v>Building 12</v>
      </c>
      <c r="G1048" s="40" t="str">
        <f t="array" ref="G1048">_xlfn.XLOOKUP($B1048, DB[samplingPoint], DB[location])</f>
        <v>After RO (Before EDI) (B12)</v>
      </c>
      <c r="H1048" s="39" t="str">
        <f t="array" ref="H1048">_xlfn.XLOOKUP($B1048, DB[samplingPoint], DB[waterType])</f>
        <v>RO water</v>
      </c>
      <c r="I1048" s="43">
        <f t="shared" si="7"/>
        <v>46043</v>
      </c>
      <c r="J1048" s="26">
        <v>46046.0</v>
      </c>
      <c r="K1048" s="32">
        <v>0.0</v>
      </c>
      <c r="L1048" s="32">
        <v>0.0</v>
      </c>
      <c r="M1048" s="32">
        <f t="shared" si="3"/>
        <v>0</v>
      </c>
      <c r="N1048" s="32" t="s">
        <v>376</v>
      </c>
      <c r="O1048" s="32">
        <v>100.0</v>
      </c>
      <c r="P1048" s="50" t="str">
        <f t="shared" si="6"/>
        <v>PASSED</v>
      </c>
      <c r="Q1048" s="50" t="str">
        <f t="shared" si="5"/>
        <v>WA</v>
      </c>
    </row>
    <row r="1049" ht="22.5" customHeight="1">
      <c r="A1049" s="26">
        <v>46042.0</v>
      </c>
      <c r="B1049" s="39" t="s">
        <v>440</v>
      </c>
      <c r="C1049" s="32" t="str">
        <f t="array" ref="C1049">_xlfn.XLOOKUP(B1049, DB[samplingPoint], DB[samplingTag])</f>
        <v>V50-39 (12)</v>
      </c>
      <c r="D1049" s="33" t="s">
        <v>59</v>
      </c>
      <c r="E1049" s="39" t="str">
        <f t="array" ref="E1049">_xlfn.XLOOKUP($B1049, DB[samplingPoint], DB[noLocation])</f>
        <v>WATER SYSTEM (B12)</v>
      </c>
      <c r="F1049" s="40" t="str">
        <f t="array" ref="F1049">_xlfn.XLOOKUP($B1049, DB[samplingPoint], DB[building])</f>
        <v>Building 12</v>
      </c>
      <c r="G1049" s="40" t="str">
        <f t="array" ref="G1049">_xlfn.XLOOKUP($B1049, DB[samplingPoint], DB[location])</f>
        <v>After EDI (B12)</v>
      </c>
      <c r="H1049" s="39" t="str">
        <f t="array" ref="H1049">_xlfn.XLOOKUP($B1049, DB[samplingPoint], DB[waterType])</f>
        <v>PW</v>
      </c>
      <c r="I1049" s="43">
        <f t="shared" si="7"/>
        <v>46043</v>
      </c>
      <c r="J1049" s="26">
        <v>46046.0</v>
      </c>
      <c r="K1049" s="32">
        <v>0.0</v>
      </c>
      <c r="L1049" s="32">
        <v>0.0</v>
      </c>
      <c r="M1049" s="32">
        <f t="shared" si="3"/>
        <v>0</v>
      </c>
      <c r="N1049" s="32" t="s">
        <v>376</v>
      </c>
      <c r="O1049" s="32">
        <v>100.0</v>
      </c>
      <c r="P1049" s="50" t="str">
        <f t="shared" si="6"/>
        <v>PASSED</v>
      </c>
      <c r="Q1049" s="50" t="str">
        <f t="shared" si="5"/>
        <v>WA</v>
      </c>
    </row>
    <row r="1050" ht="22.5" customHeight="1">
      <c r="A1050" s="26">
        <v>46042.0</v>
      </c>
      <c r="B1050" s="39" t="s">
        <v>430</v>
      </c>
      <c r="C1050" s="32" t="str">
        <f t="array" ref="C1050">_xlfn.XLOOKUP(B1050, DB[samplingPoint], DB[samplingTag])</f>
        <v>SV137.01</v>
      </c>
      <c r="D1050" s="33" t="s">
        <v>59</v>
      </c>
      <c r="E1050" s="39" t="str">
        <f t="array" ref="E1050">_xlfn.XLOOKUP($B1050, DB[samplingPoint], DB[noLocation])</f>
        <v>WATER SYSTEM (B12)</v>
      </c>
      <c r="F1050" s="40" t="str">
        <f t="array" ref="F1050">_xlfn.XLOOKUP($B1050, DB[samplingPoint], DB[building])</f>
        <v>Building 12</v>
      </c>
      <c r="G1050" s="40" t="str">
        <f t="array" ref="G1050">_xlfn.XLOOKUP($B1050, DB[samplingPoint], DB[location])</f>
        <v>Return loop (B12)</v>
      </c>
      <c r="H1050" s="39" t="str">
        <f t="array" ref="H1050">_xlfn.XLOOKUP($B1050, DB[samplingPoint], DB[waterType])</f>
        <v>PW</v>
      </c>
      <c r="I1050" s="43">
        <f t="shared" si="7"/>
        <v>46043</v>
      </c>
      <c r="J1050" s="26">
        <v>46046.0</v>
      </c>
      <c r="K1050" s="32">
        <v>0.0</v>
      </c>
      <c r="L1050" s="32">
        <v>0.0</v>
      </c>
      <c r="M1050" s="32">
        <f t="shared" si="3"/>
        <v>0</v>
      </c>
      <c r="N1050" s="32" t="s">
        <v>376</v>
      </c>
      <c r="O1050" s="32">
        <v>100.0</v>
      </c>
      <c r="P1050" s="50" t="str">
        <f t="shared" si="6"/>
        <v>PASSED</v>
      </c>
      <c r="Q1050" s="50" t="str">
        <f t="shared" si="5"/>
        <v>WA</v>
      </c>
    </row>
    <row r="1051" ht="22.5" customHeight="1">
      <c r="A1051" s="26">
        <v>46042.0</v>
      </c>
      <c r="B1051" s="39" t="s">
        <v>548</v>
      </c>
      <c r="C1051" s="32" t="str">
        <f t="array" ref="C1051">_xlfn.XLOOKUP(B1051, DB[samplingPoint], DB[samplingTag])</f>
        <v>DV136.17</v>
      </c>
      <c r="D1051" s="33" t="s">
        <v>59</v>
      </c>
      <c r="E1051" s="39" t="str">
        <f t="array" ref="E1051">_xlfn.XLOOKUP($B1051, DB[samplingPoint], DB[noLocation])</f>
        <v>12-2-065</v>
      </c>
      <c r="F1051" s="40" t="str">
        <f t="array" ref="F1051">_xlfn.XLOOKUP($B1051, DB[samplingPoint], DB[building])</f>
        <v>Building 12</v>
      </c>
      <c r="G1051" s="40" t="str">
        <f t="array" ref="G1051">_xlfn.XLOOKUP($B1051, DB[samplingPoint], DB[location])</f>
        <v>WASHING</v>
      </c>
      <c r="H1051" s="39" t="str">
        <f t="array" ref="H1051">_xlfn.XLOOKUP($B1051, DB[samplingPoint], DB[waterType])</f>
        <v>PW</v>
      </c>
      <c r="I1051" s="43">
        <f t="shared" si="7"/>
        <v>46043</v>
      </c>
      <c r="J1051" s="26">
        <v>46046.0</v>
      </c>
      <c r="K1051" s="32">
        <v>0.0</v>
      </c>
      <c r="L1051" s="32">
        <v>0.0</v>
      </c>
      <c r="M1051" s="32">
        <f t="shared" si="3"/>
        <v>0</v>
      </c>
      <c r="N1051" s="32" t="s">
        <v>376</v>
      </c>
      <c r="O1051" s="32">
        <v>100.0</v>
      </c>
      <c r="P1051" s="50" t="str">
        <f t="shared" si="6"/>
        <v>PASSED</v>
      </c>
      <c r="Q1051" s="50" t="str">
        <f t="shared" si="5"/>
        <v>12</v>
      </c>
    </row>
    <row r="1052" ht="22.5" customHeight="1">
      <c r="A1052" s="26">
        <v>46042.0</v>
      </c>
      <c r="B1052" s="39" t="s">
        <v>551</v>
      </c>
      <c r="C1052" s="32" t="str">
        <f t="array" ref="C1052">_xlfn.XLOOKUP(B1052, DB[samplingPoint], DB[samplingTag])</f>
        <v>SV136.16</v>
      </c>
      <c r="D1052" s="33" t="s">
        <v>59</v>
      </c>
      <c r="E1052" s="39" t="str">
        <f t="array" ref="E1052">_xlfn.XLOOKUP($B1052, DB[samplingPoint], DB[noLocation])</f>
        <v>12-2-057</v>
      </c>
      <c r="F1052" s="40" t="str">
        <f t="array" ref="F1052">_xlfn.XLOOKUP($B1052, DB[samplingPoint], DB[building])</f>
        <v>Building 12</v>
      </c>
      <c r="G1052" s="40" t="str">
        <f t="array" ref="G1052">_xlfn.XLOOKUP($B1052, DB[samplingPoint], DB[location])</f>
        <v>CIP 2</v>
      </c>
      <c r="H1052" s="39" t="str">
        <f t="array" ref="H1052">_xlfn.XLOOKUP($B1052, DB[samplingPoint], DB[waterType])</f>
        <v>PW</v>
      </c>
      <c r="I1052" s="43">
        <f t="shared" si="7"/>
        <v>46043</v>
      </c>
      <c r="J1052" s="26">
        <v>46046.0</v>
      </c>
      <c r="K1052" s="32">
        <v>0.0</v>
      </c>
      <c r="L1052" s="32">
        <v>0.0</v>
      </c>
      <c r="M1052" s="32">
        <f t="shared" si="3"/>
        <v>0</v>
      </c>
      <c r="N1052" s="32" t="s">
        <v>376</v>
      </c>
      <c r="O1052" s="32">
        <v>100.0</v>
      </c>
      <c r="P1052" s="50" t="str">
        <f t="shared" si="6"/>
        <v>PASSED</v>
      </c>
      <c r="Q1052" s="50" t="str">
        <f t="shared" si="5"/>
        <v>12</v>
      </c>
    </row>
    <row r="1053" ht="22.5" customHeight="1">
      <c r="A1053" s="26">
        <v>46042.0</v>
      </c>
      <c r="B1053" s="39" t="s">
        <v>549</v>
      </c>
      <c r="C1053" s="32" t="str">
        <f t="array" ref="C1053">_xlfn.XLOOKUP(B1053, DB[samplingPoint], DB[samplingTag])</f>
        <v>SV136.15</v>
      </c>
      <c r="D1053" s="33" t="s">
        <v>59</v>
      </c>
      <c r="E1053" s="39" t="str">
        <f t="array" ref="E1053">_xlfn.XLOOKUP($B1053, DB[samplingPoint], DB[noLocation])</f>
        <v>12-2-055</v>
      </c>
      <c r="F1053" s="40" t="str">
        <f t="array" ref="F1053">_xlfn.XLOOKUP($B1053, DB[samplingPoint], DB[building])</f>
        <v>Building 12</v>
      </c>
      <c r="G1053" s="40" t="str">
        <f t="array" ref="G1053">_xlfn.XLOOKUP($B1053, DB[samplingPoint], DB[location])</f>
        <v>CIP 3</v>
      </c>
      <c r="H1053" s="39" t="str">
        <f t="array" ref="H1053">_xlfn.XLOOKUP($B1053, DB[samplingPoint], DB[waterType])</f>
        <v>PW</v>
      </c>
      <c r="I1053" s="43">
        <f t="shared" si="7"/>
        <v>46043</v>
      </c>
      <c r="J1053" s="26">
        <v>46046.0</v>
      </c>
      <c r="K1053" s="32">
        <v>0.0</v>
      </c>
      <c r="L1053" s="32">
        <v>0.0</v>
      </c>
      <c r="M1053" s="32">
        <f t="shared" si="3"/>
        <v>0</v>
      </c>
      <c r="N1053" s="32" t="s">
        <v>376</v>
      </c>
      <c r="O1053" s="32">
        <v>100.0</v>
      </c>
      <c r="P1053" s="50" t="str">
        <f t="shared" si="6"/>
        <v>PASSED</v>
      </c>
      <c r="Q1053" s="50" t="str">
        <f t="shared" si="5"/>
        <v>12</v>
      </c>
    </row>
    <row r="1054" ht="22.5" customHeight="1">
      <c r="A1054" s="26">
        <v>46042.0</v>
      </c>
      <c r="B1054" s="39" t="s">
        <v>545</v>
      </c>
      <c r="C1054" s="32" t="str">
        <f t="array" ref="C1054">_xlfn.XLOOKUP(B1054, DB[samplingPoint], DB[samplingTag])</f>
        <v>DV136.03</v>
      </c>
      <c r="D1054" s="33" t="s">
        <v>59</v>
      </c>
      <c r="E1054" s="39" t="str">
        <f t="array" ref="E1054">_xlfn.XLOOKUP($B1054, DB[samplingPoint], DB[noLocation])</f>
        <v>12-2-053</v>
      </c>
      <c r="F1054" s="40" t="str">
        <f t="array" ref="F1054">_xlfn.XLOOKUP($B1054, DB[samplingPoint], DB[building])</f>
        <v>Building 12</v>
      </c>
      <c r="G1054" s="40" t="str">
        <f t="array" ref="G1054">_xlfn.XLOOKUP($B1054, DB[samplingPoint], DB[location])</f>
        <v>IPQC</v>
      </c>
      <c r="H1054" s="39" t="str">
        <f t="array" ref="H1054">_xlfn.XLOOKUP($B1054, DB[samplingPoint], DB[waterType])</f>
        <v>PW</v>
      </c>
      <c r="I1054" s="43">
        <f t="shared" si="7"/>
        <v>46043</v>
      </c>
      <c r="J1054" s="26">
        <v>46046.0</v>
      </c>
      <c r="K1054" s="32">
        <v>0.0</v>
      </c>
      <c r="L1054" s="32">
        <v>0.0</v>
      </c>
      <c r="M1054" s="32">
        <f t="shared" si="3"/>
        <v>0</v>
      </c>
      <c r="N1054" s="32" t="s">
        <v>376</v>
      </c>
      <c r="O1054" s="32">
        <v>100.0</v>
      </c>
      <c r="P1054" s="50" t="str">
        <f t="shared" si="6"/>
        <v>PASSED</v>
      </c>
      <c r="Q1054" s="50" t="str">
        <f t="shared" si="5"/>
        <v>12</v>
      </c>
    </row>
    <row r="1055" ht="22.5" customHeight="1">
      <c r="A1055" s="26">
        <v>46042.0</v>
      </c>
      <c r="B1055" s="39" t="s">
        <v>543</v>
      </c>
      <c r="C1055" s="32" t="str">
        <f t="array" ref="C1055">_xlfn.XLOOKUP(B1055, DB[samplingPoint], DB[samplingTag])</f>
        <v>DV136.01</v>
      </c>
      <c r="D1055" s="33" t="s">
        <v>59</v>
      </c>
      <c r="E1055" s="39" t="str">
        <f t="array" ref="E1055">_xlfn.XLOOKUP($B1055, DB[samplingPoint], DB[noLocation])</f>
        <v>12-1-035</v>
      </c>
      <c r="F1055" s="40" t="str">
        <f t="array" ref="F1055">_xlfn.XLOOKUP($B1055, DB[samplingPoint], DB[building])</f>
        <v>Building 12</v>
      </c>
      <c r="G1055" s="40" t="str">
        <f t="array" ref="G1055">_xlfn.XLOOKUP($B1055, DB[samplingPoint], DB[location])</f>
        <v>SUGAR TRANSFERRING</v>
      </c>
      <c r="H1055" s="39" t="str">
        <f t="array" ref="H1055">_xlfn.XLOOKUP($B1055, DB[samplingPoint], DB[waterType])</f>
        <v>PW</v>
      </c>
      <c r="I1055" s="43">
        <f t="shared" si="7"/>
        <v>46043</v>
      </c>
      <c r="J1055" s="26">
        <v>46046.0</v>
      </c>
      <c r="K1055" s="32">
        <v>0.0</v>
      </c>
      <c r="L1055" s="32">
        <v>0.0</v>
      </c>
      <c r="M1055" s="32">
        <f t="shared" si="3"/>
        <v>0</v>
      </c>
      <c r="N1055" s="32" t="s">
        <v>376</v>
      </c>
      <c r="O1055" s="32">
        <v>100.0</v>
      </c>
      <c r="P1055" s="50" t="str">
        <f t="shared" si="6"/>
        <v>PASSED</v>
      </c>
      <c r="Q1055" s="50" t="str">
        <f t="shared" si="5"/>
        <v>12</v>
      </c>
    </row>
    <row r="1056" ht="22.5" customHeight="1">
      <c r="A1056" s="26">
        <v>46042.0</v>
      </c>
      <c r="B1056" s="39" t="s">
        <v>547</v>
      </c>
      <c r="C1056" s="32" t="str">
        <f t="array" ref="C1056">_xlfn.XLOOKUP(B1056, DB[samplingPoint], DB[samplingTag])</f>
        <v>DV136.16</v>
      </c>
      <c r="D1056" s="33" t="s">
        <v>59</v>
      </c>
      <c r="E1056" s="39" t="str">
        <f t="array" ref="E1056">_xlfn.XLOOKUP($B1056, DB[samplingPoint], DB[noLocation])</f>
        <v>12-1-064</v>
      </c>
      <c r="F1056" s="40" t="str">
        <f t="array" ref="F1056">_xlfn.XLOOKUP($B1056, DB[samplingPoint], DB[building])</f>
        <v>Building 12</v>
      </c>
      <c r="G1056" s="40" t="str">
        <f t="array" ref="G1056">_xlfn.XLOOKUP($B1056, DB[samplingPoint], DB[location])</f>
        <v>WASHING</v>
      </c>
      <c r="H1056" s="39" t="str">
        <f t="array" ref="H1056">_xlfn.XLOOKUP($B1056, DB[samplingPoint], DB[waterType])</f>
        <v>PW</v>
      </c>
      <c r="I1056" s="43">
        <f t="shared" si="7"/>
        <v>46043</v>
      </c>
      <c r="J1056" s="26">
        <v>46046.0</v>
      </c>
      <c r="K1056" s="32">
        <v>0.0</v>
      </c>
      <c r="L1056" s="32">
        <v>0.0</v>
      </c>
      <c r="M1056" s="32">
        <f t="shared" si="3"/>
        <v>0</v>
      </c>
      <c r="N1056" s="32" t="s">
        <v>376</v>
      </c>
      <c r="O1056" s="32">
        <v>100.0</v>
      </c>
      <c r="P1056" s="50" t="str">
        <f t="shared" si="6"/>
        <v>PASSED</v>
      </c>
      <c r="Q1056" s="50" t="str">
        <f t="shared" si="5"/>
        <v>12</v>
      </c>
    </row>
    <row r="1057" ht="22.5" customHeight="1">
      <c r="A1057" s="26">
        <v>46042.0</v>
      </c>
      <c r="B1057" s="39" t="s">
        <v>546</v>
      </c>
      <c r="C1057" s="32" t="str">
        <f t="array" ref="C1057">_xlfn.XLOOKUP(B1057, DB[samplingPoint], DB[samplingTag])</f>
        <v>DV136.04</v>
      </c>
      <c r="D1057" s="33" t="s">
        <v>59</v>
      </c>
      <c r="E1057" s="39" t="str">
        <f t="array" ref="E1057">_xlfn.XLOOKUP($B1057, DB[samplingPoint], DB[noLocation])</f>
        <v>12-2-077</v>
      </c>
      <c r="F1057" s="40" t="str">
        <f t="array" ref="F1057">_xlfn.XLOOKUP($B1057, DB[samplingPoint], DB[building])</f>
        <v>Building 12</v>
      </c>
      <c r="G1057" s="40" t="str">
        <f t="array" ref="G1057">_xlfn.XLOOKUP($B1057, DB[samplingPoint], DB[location])</f>
        <v>WATER SYSTEM ROOM</v>
      </c>
      <c r="H1057" s="39" t="str">
        <f t="array" ref="H1057">_xlfn.XLOOKUP($B1057, DB[samplingPoint], DB[waterType])</f>
        <v>PW</v>
      </c>
      <c r="I1057" s="43">
        <f t="shared" si="7"/>
        <v>46043</v>
      </c>
      <c r="J1057" s="26">
        <v>46046.0</v>
      </c>
      <c r="K1057" s="32">
        <v>0.0</v>
      </c>
      <c r="L1057" s="32">
        <v>0.0</v>
      </c>
      <c r="M1057" s="32">
        <f t="shared" si="3"/>
        <v>0</v>
      </c>
      <c r="N1057" s="32" t="s">
        <v>376</v>
      </c>
      <c r="O1057" s="32">
        <v>100.0</v>
      </c>
      <c r="P1057" s="50" t="str">
        <f t="shared" si="6"/>
        <v>PASSED</v>
      </c>
      <c r="Q1057" s="50" t="str">
        <f t="shared" si="5"/>
        <v>12</v>
      </c>
    </row>
    <row r="1058" ht="22.5" customHeight="1">
      <c r="A1058" s="26">
        <v>46042.0</v>
      </c>
      <c r="B1058" s="39" t="s">
        <v>471</v>
      </c>
      <c r="C1058" s="32" t="str">
        <f t="array" ref="C1058">_xlfn.XLOOKUP(B1058, DB[samplingPoint], DB[samplingTag])</f>
        <v>VB-05 (16)</v>
      </c>
      <c r="D1058" s="33" t="s">
        <v>59</v>
      </c>
      <c r="E1058" s="39" t="str">
        <f t="array" ref="E1058">_xlfn.XLOOKUP($B1058, DB[samplingPoint], DB[noLocation])</f>
        <v>WATER SYSTEM (B16)</v>
      </c>
      <c r="F1058" s="40" t="str">
        <f t="array" ref="F1058">_xlfn.XLOOKUP($B1058, DB[samplingPoint], DB[building])</f>
        <v>Building 16</v>
      </c>
      <c r="G1058" s="40" t="str">
        <f t="array" ref="G1058">_xlfn.XLOOKUP($B1058, DB[samplingPoint], DB[location])</f>
        <v>After Chlorine circulation tank (B16)</v>
      </c>
      <c r="H1058" s="39" t="str">
        <f t="array" ref="H1058">_xlfn.XLOOKUP($B1058, DB[samplingPoint], DB[waterType])</f>
        <v>PRW</v>
      </c>
      <c r="I1058" s="43">
        <f t="shared" si="7"/>
        <v>46043</v>
      </c>
      <c r="J1058" s="26">
        <v>46046.0</v>
      </c>
      <c r="K1058" s="32">
        <v>0.0</v>
      </c>
      <c r="L1058" s="32">
        <v>0.0</v>
      </c>
      <c r="M1058" s="32">
        <f t="shared" si="3"/>
        <v>0</v>
      </c>
      <c r="N1058" s="32" t="s">
        <v>376</v>
      </c>
      <c r="O1058" s="32">
        <v>500.0</v>
      </c>
      <c r="P1058" s="50" t="str">
        <f t="shared" si="6"/>
        <v>PASSED</v>
      </c>
      <c r="Q1058" s="50" t="str">
        <f t="shared" si="5"/>
        <v>WA</v>
      </c>
    </row>
    <row r="1059" ht="22.5" customHeight="1">
      <c r="A1059" s="26">
        <v>46042.0</v>
      </c>
      <c r="B1059" s="39" t="s">
        <v>470</v>
      </c>
      <c r="C1059" s="32" t="str">
        <f t="array" ref="C1059">_xlfn.XLOOKUP(B1059, DB[samplingPoint], DB[samplingTag])</f>
        <v>V50-61 (16)</v>
      </c>
      <c r="D1059" s="33" t="s">
        <v>59</v>
      </c>
      <c r="E1059" s="39" t="str">
        <f t="array" ref="E1059">_xlfn.XLOOKUP($B1059, DB[samplingPoint], DB[noLocation])</f>
        <v>WATER SYSTEM (B16)</v>
      </c>
      <c r="F1059" s="40" t="str">
        <f t="array" ref="F1059">_xlfn.XLOOKUP($B1059, DB[samplingPoint], DB[building])</f>
        <v>Building 16</v>
      </c>
      <c r="G1059" s="40" t="str">
        <f t="array" ref="G1059">_xlfn.XLOOKUP($B1059, DB[samplingPoint], DB[location])</f>
        <v>After Cartridge filter 5 µm (B16)</v>
      </c>
      <c r="H1059" s="39" t="str">
        <f t="array" ref="H1059">_xlfn.XLOOKUP($B1059, DB[samplingPoint], DB[waterType])</f>
        <v>PRW</v>
      </c>
      <c r="I1059" s="43">
        <f t="shared" si="7"/>
        <v>46043</v>
      </c>
      <c r="J1059" s="26">
        <v>46046.0</v>
      </c>
      <c r="K1059" s="32">
        <v>2.0</v>
      </c>
      <c r="L1059" s="32">
        <v>2.0</v>
      </c>
      <c r="M1059" s="32">
        <f t="shared" si="3"/>
        <v>2</v>
      </c>
      <c r="N1059" s="32" t="s">
        <v>376</v>
      </c>
      <c r="O1059" s="32">
        <v>500.0</v>
      </c>
      <c r="P1059" s="50" t="str">
        <f t="shared" si="6"/>
        <v>PASSED</v>
      </c>
      <c r="Q1059" s="50" t="str">
        <f t="shared" si="5"/>
        <v>WA</v>
      </c>
    </row>
    <row r="1060" ht="22.5" customHeight="1">
      <c r="A1060" s="26">
        <v>46042.0</v>
      </c>
      <c r="B1060" s="39" t="s">
        <v>466</v>
      </c>
      <c r="C1060" s="32" t="str">
        <f t="array" ref="C1060">_xlfn.XLOOKUP(B1060, DB[samplingPoint], DB[samplingTag])</f>
        <v>V50-11C (16)</v>
      </c>
      <c r="D1060" s="33" t="s">
        <v>59</v>
      </c>
      <c r="E1060" s="39" t="str">
        <f t="array" ref="E1060">_xlfn.XLOOKUP($B1060, DB[samplingPoint], DB[noLocation])</f>
        <v>WATER SYSTEM (B16)</v>
      </c>
      <c r="F1060" s="40" t="str">
        <f t="array" ref="F1060">_xlfn.XLOOKUP($B1060, DB[samplingPoint], DB[building])</f>
        <v>Building 16</v>
      </c>
      <c r="G1060" s="40" t="str">
        <f t="array" ref="G1060">_xlfn.XLOOKUP($B1060, DB[samplingPoint], DB[location])</f>
        <v>After RO (Before EDI) (B16)</v>
      </c>
      <c r="H1060" s="39" t="str">
        <f t="array" ref="H1060">_xlfn.XLOOKUP($B1060, DB[samplingPoint], DB[waterType])</f>
        <v>RO water</v>
      </c>
      <c r="I1060" s="43">
        <f t="shared" si="7"/>
        <v>46043</v>
      </c>
      <c r="J1060" s="26">
        <v>46046.0</v>
      </c>
      <c r="K1060" s="32">
        <v>0.0</v>
      </c>
      <c r="L1060" s="32">
        <v>0.0</v>
      </c>
      <c r="M1060" s="32">
        <f t="shared" si="3"/>
        <v>0</v>
      </c>
      <c r="N1060" s="32" t="s">
        <v>376</v>
      </c>
      <c r="O1060" s="32">
        <v>100.0</v>
      </c>
      <c r="P1060" s="50" t="str">
        <f t="shared" si="6"/>
        <v>PASSED</v>
      </c>
      <c r="Q1060" s="50" t="str">
        <f t="shared" si="5"/>
        <v>WA</v>
      </c>
    </row>
    <row r="1061" ht="22.5" customHeight="1">
      <c r="A1061" s="26">
        <v>46042.0</v>
      </c>
      <c r="B1061" s="39" t="s">
        <v>468</v>
      </c>
      <c r="C1061" s="32" t="str">
        <f t="array" ref="C1061">_xlfn.XLOOKUP(B1061, DB[samplingPoint], DB[samplingTag])</f>
        <v>V50-39 (16)</v>
      </c>
      <c r="D1061" s="33" t="s">
        <v>59</v>
      </c>
      <c r="E1061" s="39" t="str">
        <f t="array" ref="E1061">_xlfn.XLOOKUP($B1061, DB[samplingPoint], DB[noLocation])</f>
        <v>WATER SYSTEM (B16)</v>
      </c>
      <c r="F1061" s="40" t="str">
        <f t="array" ref="F1061">_xlfn.XLOOKUP($B1061, DB[samplingPoint], DB[building])</f>
        <v>Building 16</v>
      </c>
      <c r="G1061" s="40" t="str">
        <f t="array" ref="G1061">_xlfn.XLOOKUP($B1061, DB[samplingPoint], DB[location])</f>
        <v>After EDI (B16)</v>
      </c>
      <c r="H1061" s="39" t="str">
        <f t="array" ref="H1061">_xlfn.XLOOKUP($B1061, DB[samplingPoint], DB[waterType])</f>
        <v>PW</v>
      </c>
      <c r="I1061" s="43">
        <f t="shared" si="7"/>
        <v>46043</v>
      </c>
      <c r="J1061" s="26">
        <v>46046.0</v>
      </c>
      <c r="K1061" s="32">
        <v>0.0</v>
      </c>
      <c r="L1061" s="32">
        <v>0.0</v>
      </c>
      <c r="M1061" s="32">
        <f t="shared" si="3"/>
        <v>0</v>
      </c>
      <c r="N1061" s="32" t="s">
        <v>376</v>
      </c>
      <c r="O1061" s="32">
        <v>100.0</v>
      </c>
      <c r="P1061" s="50" t="str">
        <f t="shared" si="6"/>
        <v>PASSED</v>
      </c>
      <c r="Q1061" s="50" t="str">
        <f t="shared" si="5"/>
        <v>WA</v>
      </c>
    </row>
    <row r="1062" ht="22.5" customHeight="1">
      <c r="A1062" s="26">
        <v>46042.0</v>
      </c>
      <c r="B1062" s="39" t="s">
        <v>464</v>
      </c>
      <c r="C1062" s="32" t="str">
        <f t="array" ref="C1062">_xlfn.XLOOKUP(B1062, DB[samplingPoint], DB[samplingTag])</f>
        <v>SV127.01</v>
      </c>
      <c r="D1062" s="33" t="s">
        <v>59</v>
      </c>
      <c r="E1062" s="39" t="str">
        <f t="array" ref="E1062">_xlfn.XLOOKUP($B1062, DB[samplingPoint], DB[noLocation])</f>
        <v>WATER SYSTEM (B16)</v>
      </c>
      <c r="F1062" s="40" t="str">
        <f t="array" ref="F1062">_xlfn.XLOOKUP($B1062, DB[samplingPoint], DB[building])</f>
        <v>Building 16</v>
      </c>
      <c r="G1062" s="40" t="str">
        <f t="array" ref="G1062">_xlfn.XLOOKUP($B1062, DB[samplingPoint], DB[location])</f>
        <v>Return loop (B16)</v>
      </c>
      <c r="H1062" s="39" t="str">
        <f t="array" ref="H1062">_xlfn.XLOOKUP($B1062, DB[samplingPoint], DB[waterType])</f>
        <v>PW</v>
      </c>
      <c r="I1062" s="43">
        <f t="shared" si="7"/>
        <v>46043</v>
      </c>
      <c r="J1062" s="26">
        <v>46046.0</v>
      </c>
      <c r="K1062" s="32">
        <v>0.0</v>
      </c>
      <c r="L1062" s="32">
        <v>0.0</v>
      </c>
      <c r="M1062" s="32">
        <f t="shared" si="3"/>
        <v>0</v>
      </c>
      <c r="N1062" s="32" t="s">
        <v>376</v>
      </c>
      <c r="O1062" s="32">
        <v>100.0</v>
      </c>
      <c r="P1062" s="50" t="str">
        <f t="shared" si="6"/>
        <v>PASSED</v>
      </c>
      <c r="Q1062" s="50" t="str">
        <f t="shared" si="5"/>
        <v>WA</v>
      </c>
    </row>
    <row r="1063" ht="22.5" customHeight="1">
      <c r="A1063" s="26">
        <v>46042.0</v>
      </c>
      <c r="B1063" s="39" t="s">
        <v>567</v>
      </c>
      <c r="C1063" s="32" t="str">
        <f t="array" ref="C1063">_xlfn.XLOOKUP(B1063, DB[samplingPoint], DB[samplingTag])</f>
        <v>SV126.06</v>
      </c>
      <c r="D1063" s="33" t="s">
        <v>59</v>
      </c>
      <c r="E1063" s="39" t="str">
        <f t="array" ref="E1063">_xlfn.XLOOKUP($B1063, DB[samplingPoint], DB[noLocation])</f>
        <v>16-3-067</v>
      </c>
      <c r="F1063" s="40" t="str">
        <f t="array" ref="F1063">_xlfn.XLOOKUP($B1063, DB[samplingPoint], DB[building])</f>
        <v>Building 16</v>
      </c>
      <c r="G1063" s="40" t="str">
        <f t="array" ref="G1063">_xlfn.XLOOKUP($B1063, DB[samplingPoint], DB[location])</f>
        <v>MFG 1</v>
      </c>
      <c r="H1063" s="39" t="str">
        <f t="array" ref="H1063">_xlfn.XLOOKUP($B1063, DB[samplingPoint], DB[waterType])</f>
        <v>PW</v>
      </c>
      <c r="I1063" s="43">
        <f t="shared" si="7"/>
        <v>46043</v>
      </c>
      <c r="J1063" s="26">
        <v>46046.0</v>
      </c>
      <c r="K1063" s="32">
        <v>0.0</v>
      </c>
      <c r="L1063" s="32">
        <v>0.0</v>
      </c>
      <c r="M1063" s="32">
        <f t="shared" si="3"/>
        <v>0</v>
      </c>
      <c r="N1063" s="32" t="s">
        <v>376</v>
      </c>
      <c r="O1063" s="32">
        <v>100.0</v>
      </c>
      <c r="P1063" s="50" t="str">
        <f t="shared" si="6"/>
        <v>PASSED</v>
      </c>
      <c r="Q1063" s="50" t="str">
        <f t="shared" si="5"/>
        <v>16</v>
      </c>
    </row>
    <row r="1064" ht="22.5" customHeight="1">
      <c r="A1064" s="26">
        <v>46042.0</v>
      </c>
      <c r="B1064" s="39" t="s">
        <v>569</v>
      </c>
      <c r="C1064" s="32" t="str">
        <f t="array" ref="C1064">_xlfn.XLOOKUP(B1064, DB[samplingPoint], DB[samplingTag])</f>
        <v>SV126.21</v>
      </c>
      <c r="D1064" s="33" t="s">
        <v>59</v>
      </c>
      <c r="E1064" s="39" t="str">
        <f t="array" ref="E1064">_xlfn.XLOOKUP($B1064, DB[samplingPoint], DB[noLocation])</f>
        <v>16-3-090</v>
      </c>
      <c r="F1064" s="40" t="str">
        <f t="array" ref="F1064">_xlfn.XLOOKUP($B1064, DB[samplingPoint], DB[building])</f>
        <v>Building 16</v>
      </c>
      <c r="G1064" s="40" t="str">
        <f t="array" ref="G1064">_xlfn.XLOOKUP($B1064, DB[samplingPoint], DB[location])</f>
        <v>CIP 1 (EQUIPMENT REQUIREMENT)</v>
      </c>
      <c r="H1064" s="39" t="str">
        <f t="array" ref="H1064">_xlfn.XLOOKUP($B1064, DB[samplingPoint], DB[waterType])</f>
        <v>PW</v>
      </c>
      <c r="I1064" s="43">
        <f t="shared" si="7"/>
        <v>46043</v>
      </c>
      <c r="J1064" s="26">
        <v>46046.0</v>
      </c>
      <c r="K1064" s="32">
        <v>0.0</v>
      </c>
      <c r="L1064" s="32">
        <v>0.0</v>
      </c>
      <c r="M1064" s="32">
        <f t="shared" si="3"/>
        <v>0</v>
      </c>
      <c r="N1064" s="32" t="s">
        <v>376</v>
      </c>
      <c r="O1064" s="32">
        <v>100.0</v>
      </c>
      <c r="P1064" s="50" t="str">
        <f t="shared" si="6"/>
        <v>PASSED</v>
      </c>
      <c r="Q1064" s="50" t="str">
        <f t="shared" si="5"/>
        <v>16</v>
      </c>
    </row>
    <row r="1065" ht="22.5" customHeight="1">
      <c r="A1065" s="26">
        <v>46042.0</v>
      </c>
      <c r="B1065" s="39" t="s">
        <v>562</v>
      </c>
      <c r="C1065" s="32" t="str">
        <f t="array" ref="C1065">_xlfn.XLOOKUP(B1065, DB[samplingPoint], DB[samplingTag])</f>
        <v>DV126.09</v>
      </c>
      <c r="D1065" s="33" t="s">
        <v>59</v>
      </c>
      <c r="E1065" s="39" t="str">
        <f t="array" ref="E1065">_xlfn.XLOOKUP($B1065, DB[samplingPoint], DB[noLocation])</f>
        <v>16-3-090</v>
      </c>
      <c r="F1065" s="40" t="str">
        <f t="array" ref="F1065">_xlfn.XLOOKUP($B1065, DB[samplingPoint], DB[building])</f>
        <v>Building 16</v>
      </c>
      <c r="G1065" s="40" t="str">
        <f t="array" ref="G1065">_xlfn.XLOOKUP($B1065, DB[samplingPoint], DB[location])</f>
        <v>CIP 1 (ZINK WASHING)</v>
      </c>
      <c r="H1065" s="39" t="str">
        <f t="array" ref="H1065">_xlfn.XLOOKUP($B1065, DB[samplingPoint], DB[waterType])</f>
        <v>PW</v>
      </c>
      <c r="I1065" s="43">
        <f t="shared" si="7"/>
        <v>46043</v>
      </c>
      <c r="J1065" s="26">
        <v>46046.0</v>
      </c>
      <c r="K1065" s="32">
        <v>0.0</v>
      </c>
      <c r="L1065" s="32">
        <v>0.0</v>
      </c>
      <c r="M1065" s="32">
        <f t="shared" si="3"/>
        <v>0</v>
      </c>
      <c r="N1065" s="32" t="s">
        <v>376</v>
      </c>
      <c r="O1065" s="32">
        <v>100.0</v>
      </c>
      <c r="P1065" s="50" t="str">
        <f t="shared" si="6"/>
        <v>PASSED</v>
      </c>
      <c r="Q1065" s="50" t="str">
        <f t="shared" si="5"/>
        <v>16</v>
      </c>
    </row>
    <row r="1066" ht="22.5" customHeight="1">
      <c r="A1066" s="26">
        <v>46042.0</v>
      </c>
      <c r="B1066" s="39" t="s">
        <v>568</v>
      </c>
      <c r="C1066" s="32" t="str">
        <f t="array" ref="C1066">_xlfn.XLOOKUP(B1066, DB[samplingPoint], DB[samplingTag])</f>
        <v>SV126.18</v>
      </c>
      <c r="D1066" s="33" t="s">
        <v>59</v>
      </c>
      <c r="E1066" s="39" t="str">
        <f t="array" ref="E1066">_xlfn.XLOOKUP($B1066, DB[samplingPoint], DB[noLocation])</f>
        <v>16-3-085</v>
      </c>
      <c r="F1066" s="40" t="str">
        <f t="array" ref="F1066">_xlfn.XLOOKUP($B1066, DB[samplingPoint], DB[building])</f>
        <v>Building 16</v>
      </c>
      <c r="G1066" s="40" t="str">
        <f t="array" ref="G1066">_xlfn.XLOOKUP($B1066, DB[samplingPoint], DB[location])</f>
        <v>CIP 3 (EQUIPMENT REQUIREMENT)</v>
      </c>
      <c r="H1066" s="39" t="str">
        <f t="array" ref="H1066">_xlfn.XLOOKUP($B1066, DB[samplingPoint], DB[waterType])</f>
        <v>PW</v>
      </c>
      <c r="I1066" s="43">
        <f t="shared" si="7"/>
        <v>46043</v>
      </c>
      <c r="J1066" s="26">
        <v>46046.0</v>
      </c>
      <c r="K1066" s="32">
        <v>0.0</v>
      </c>
      <c r="L1066" s="32">
        <v>0.0</v>
      </c>
      <c r="M1066" s="32">
        <f t="shared" si="3"/>
        <v>0</v>
      </c>
      <c r="N1066" s="32" t="s">
        <v>376</v>
      </c>
      <c r="O1066" s="32">
        <v>100.0</v>
      </c>
      <c r="P1066" s="50" t="str">
        <f t="shared" si="6"/>
        <v>PASSED</v>
      </c>
      <c r="Q1066" s="50" t="str">
        <f t="shared" si="5"/>
        <v>16</v>
      </c>
    </row>
    <row r="1067" ht="22.5" customHeight="1">
      <c r="A1067" s="26">
        <v>46042.0</v>
      </c>
      <c r="B1067" s="39" t="s">
        <v>564</v>
      </c>
      <c r="C1067" s="32" t="str">
        <f t="array" ref="C1067">_xlfn.XLOOKUP(B1067, DB[samplingPoint], DB[samplingTag])</f>
        <v>SV126.05</v>
      </c>
      <c r="D1067" s="33" t="s">
        <v>59</v>
      </c>
      <c r="E1067" s="39" t="str">
        <f t="array" ref="E1067">_xlfn.XLOOKUP($B1067, DB[samplingPoint], DB[noLocation])</f>
        <v>16-3-049</v>
      </c>
      <c r="F1067" s="40" t="str">
        <f t="array" ref="F1067">_xlfn.XLOOKUP($B1067, DB[samplingPoint], DB[building])</f>
        <v>Building 16</v>
      </c>
      <c r="G1067" s="40" t="str">
        <f t="array" ref="G1067">_xlfn.XLOOKUP($B1067, DB[samplingPoint], DB[location])</f>
        <v>LINEN WASHING</v>
      </c>
      <c r="H1067" s="39" t="str">
        <f t="array" ref="H1067">_xlfn.XLOOKUP($B1067, DB[samplingPoint], DB[waterType])</f>
        <v>PW</v>
      </c>
      <c r="I1067" s="43">
        <f t="shared" si="7"/>
        <v>46043</v>
      </c>
      <c r="J1067" s="26">
        <v>46046.0</v>
      </c>
      <c r="K1067" s="32">
        <v>0.0</v>
      </c>
      <c r="L1067" s="32">
        <v>0.0</v>
      </c>
      <c r="M1067" s="32">
        <f t="shared" si="3"/>
        <v>0</v>
      </c>
      <c r="N1067" s="32" t="s">
        <v>376</v>
      </c>
      <c r="O1067" s="32">
        <v>100.0</v>
      </c>
      <c r="P1067" s="50" t="str">
        <f t="shared" si="6"/>
        <v>PASSED</v>
      </c>
      <c r="Q1067" s="50" t="str">
        <f t="shared" si="5"/>
        <v>16</v>
      </c>
    </row>
    <row r="1068" ht="22.5" customHeight="1">
      <c r="A1068" s="26">
        <v>46042.0</v>
      </c>
      <c r="B1068" s="39" t="s">
        <v>558</v>
      </c>
      <c r="C1068" s="32" t="str">
        <f t="array" ref="C1068">_xlfn.XLOOKUP(B1068, DB[samplingPoint], DB[samplingTag])</f>
        <v>DV126.04</v>
      </c>
      <c r="D1068" s="33" t="s">
        <v>59</v>
      </c>
      <c r="E1068" s="39" t="str">
        <f t="array" ref="E1068">_xlfn.XLOOKUP($B1068, DB[samplingPoint], DB[noLocation])</f>
        <v>16-2-010</v>
      </c>
      <c r="F1068" s="40" t="str">
        <f t="array" ref="F1068">_xlfn.XLOOKUP($B1068, DB[samplingPoint], DB[building])</f>
        <v>Building 16</v>
      </c>
      <c r="G1068" s="40" t="str">
        <f t="array" ref="G1068">_xlfn.XLOOKUP($B1068, DB[samplingPoint], DB[location])</f>
        <v>WATER SYSTEM (PW)</v>
      </c>
      <c r="H1068" s="39" t="str">
        <f t="array" ref="H1068">_xlfn.XLOOKUP($B1068, DB[samplingPoint], DB[waterType])</f>
        <v>PW</v>
      </c>
      <c r="I1068" s="43">
        <f t="shared" si="7"/>
        <v>46043</v>
      </c>
      <c r="J1068" s="26">
        <v>46046.0</v>
      </c>
      <c r="K1068" s="32">
        <v>0.0</v>
      </c>
      <c r="L1068" s="32">
        <v>0.0</v>
      </c>
      <c r="M1068" s="32">
        <f t="shared" si="3"/>
        <v>0</v>
      </c>
      <c r="N1068" s="32" t="s">
        <v>376</v>
      </c>
      <c r="O1068" s="32">
        <v>100.0</v>
      </c>
      <c r="P1068" s="50" t="str">
        <f t="shared" si="6"/>
        <v>PASSED</v>
      </c>
      <c r="Q1068" s="50" t="str">
        <f t="shared" si="5"/>
        <v>16</v>
      </c>
    </row>
    <row r="1069" ht="22.5" customHeight="1">
      <c r="A1069" s="26">
        <v>46042.0</v>
      </c>
      <c r="B1069" s="39" t="s">
        <v>377</v>
      </c>
      <c r="C1069" s="32" t="str">
        <f t="array" ref="C1069">_xlfn.XLOOKUP(B1069, DB[samplingPoint], DB[samplingTag])</f>
        <v>V12-4</v>
      </c>
      <c r="D1069" s="33" t="s">
        <v>371</v>
      </c>
      <c r="E1069" s="39" t="str">
        <f t="array" ref="E1069">_xlfn.XLOOKUP($B1069, DB[samplingPoint], DB[noLocation])</f>
        <v>16-2-010</v>
      </c>
      <c r="F1069" s="40" t="str">
        <f t="array" ref="F1069">_xlfn.XLOOKUP($B1069, DB[samplingPoint], DB[building])</f>
        <v>Building 16</v>
      </c>
      <c r="G1069" s="40" t="str">
        <f t="array" ref="G1069">_xlfn.XLOOKUP($B1069, DB[samplingPoint], DB[location])</f>
        <v>AFTER WFI GENERATOR</v>
      </c>
      <c r="H1069" s="39" t="str">
        <f t="array" ref="H1069">_xlfn.XLOOKUP($B1069, DB[samplingPoint], DB[waterType])</f>
        <v>WFI</v>
      </c>
      <c r="I1069" s="43">
        <f t="shared" ref="I1069:I1073" si="8">$A1069+2</f>
        <v>46044</v>
      </c>
      <c r="J1069" s="26">
        <v>46047.0</v>
      </c>
      <c r="K1069" s="32">
        <v>0.0</v>
      </c>
      <c r="L1069" s="32"/>
      <c r="M1069" s="32">
        <f t="shared" si="3"/>
        <v>0</v>
      </c>
      <c r="N1069" s="32" t="s">
        <v>376</v>
      </c>
      <c r="O1069" s="32">
        <v>10.0</v>
      </c>
      <c r="P1069" s="50" t="str">
        <f t="shared" si="6"/>
        <v>PASSED</v>
      </c>
      <c r="Q1069" s="50" t="str">
        <f t="shared" si="5"/>
        <v>16</v>
      </c>
    </row>
    <row r="1070" ht="22.5" customHeight="1">
      <c r="A1070" s="26">
        <v>46042.0</v>
      </c>
      <c r="B1070" s="39" t="s">
        <v>388</v>
      </c>
      <c r="C1070" s="32" t="str">
        <f t="array" ref="C1070">_xlfn.XLOOKUP(B1070, DB[samplingPoint], DB[samplingTag])</f>
        <v>SV217.01</v>
      </c>
      <c r="D1070" s="33" t="s">
        <v>371</v>
      </c>
      <c r="E1070" s="39" t="str">
        <f t="array" ref="E1070">_xlfn.XLOOKUP($B1070, DB[samplingPoint], DB[noLocation])</f>
        <v>16-2-010</v>
      </c>
      <c r="F1070" s="40" t="str">
        <f t="array" ref="F1070">_xlfn.XLOOKUP($B1070, DB[samplingPoint], DB[building])</f>
        <v>Building 16</v>
      </c>
      <c r="G1070" s="40" t="str">
        <f t="array" ref="G1070">_xlfn.XLOOKUP($B1070, DB[samplingPoint], DB[location])</f>
        <v>RETURN LOOP</v>
      </c>
      <c r="H1070" s="39" t="str">
        <f t="array" ref="H1070">_xlfn.XLOOKUP($B1070, DB[samplingPoint], DB[waterType])</f>
        <v>WFI</v>
      </c>
      <c r="I1070" s="43">
        <f t="shared" si="8"/>
        <v>46044</v>
      </c>
      <c r="J1070" s="26">
        <v>46047.0</v>
      </c>
      <c r="K1070" s="32">
        <v>0.0</v>
      </c>
      <c r="L1070" s="32"/>
      <c r="M1070" s="32">
        <f t="shared" si="3"/>
        <v>0</v>
      </c>
      <c r="N1070" s="32" t="s">
        <v>376</v>
      </c>
      <c r="O1070" s="32">
        <v>10.0</v>
      </c>
      <c r="P1070" s="50" t="str">
        <f t="shared" si="6"/>
        <v>PASSED</v>
      </c>
      <c r="Q1070" s="50" t="str">
        <f t="shared" si="5"/>
        <v>16</v>
      </c>
    </row>
    <row r="1071" ht="22.5" customHeight="1">
      <c r="A1071" s="26">
        <v>46042.0</v>
      </c>
      <c r="B1071" s="39" t="s">
        <v>391</v>
      </c>
      <c r="C1071" s="32" t="str">
        <f t="array" ref="C1071">_xlfn.XLOOKUP(B1071, DB[samplingPoint], DB[samplingTag])</f>
        <v>SV216.03</v>
      </c>
      <c r="D1071" s="33" t="s">
        <v>371</v>
      </c>
      <c r="E1071" s="39" t="str">
        <f t="array" ref="E1071">_xlfn.XLOOKUP($B1071, DB[samplingPoint], DB[noLocation])</f>
        <v>16-1-096</v>
      </c>
      <c r="F1071" s="40" t="str">
        <f t="array" ref="F1071">_xlfn.XLOOKUP($B1071, DB[samplingPoint], DB[building])</f>
        <v>Building 16</v>
      </c>
      <c r="G1071" s="40" t="str">
        <f t="array" ref="G1071">_xlfn.XLOOKUP($B1071, DB[samplingPoint], DB[location])</f>
        <v>WASHING/TUNNEL-02</v>
      </c>
      <c r="H1071" s="39" t="str">
        <f t="array" ref="H1071">_xlfn.XLOOKUP($B1071, DB[samplingPoint], DB[waterType])</f>
        <v>WFI</v>
      </c>
      <c r="I1071" s="43">
        <f t="shared" si="8"/>
        <v>46044</v>
      </c>
      <c r="J1071" s="26">
        <v>46047.0</v>
      </c>
      <c r="K1071" s="32">
        <v>0.0</v>
      </c>
      <c r="L1071" s="32"/>
      <c r="M1071" s="32">
        <f t="shared" si="3"/>
        <v>0</v>
      </c>
      <c r="N1071" s="32" t="s">
        <v>376</v>
      </c>
      <c r="O1071" s="32">
        <v>10.0</v>
      </c>
      <c r="P1071" s="50" t="str">
        <f t="shared" si="6"/>
        <v>PASSED</v>
      </c>
      <c r="Q1071" s="50" t="str">
        <f t="shared" si="5"/>
        <v>16</v>
      </c>
    </row>
    <row r="1072" ht="22.5" customHeight="1">
      <c r="A1072" s="26">
        <v>46042.0</v>
      </c>
      <c r="B1072" s="39" t="s">
        <v>395</v>
      </c>
      <c r="C1072" s="32" t="str">
        <f t="array" ref="C1072">_xlfn.XLOOKUP(B1072, DB[samplingPoint], DB[samplingTag])</f>
        <v>POU HE216.03</v>
      </c>
      <c r="D1072" s="33" t="s">
        <v>371</v>
      </c>
      <c r="E1072" s="39" t="str">
        <f t="array" ref="E1072">_xlfn.XLOOKUP($B1072, DB[samplingPoint], DB[noLocation])</f>
        <v>16-1-082</v>
      </c>
      <c r="F1072" s="40" t="str">
        <f t="array" ref="F1072">_xlfn.XLOOKUP($B1072, DB[samplingPoint], DB[building])</f>
        <v>Building 16</v>
      </c>
      <c r="G1072" s="40" t="str">
        <f t="array" ref="G1072">_xlfn.XLOOKUP($B1072, DB[samplingPoint], DB[location])</f>
        <v>WASHING</v>
      </c>
      <c r="H1072" s="39" t="str">
        <f t="array" ref="H1072">_xlfn.XLOOKUP($B1072, DB[samplingPoint], DB[waterType])</f>
        <v>WFI</v>
      </c>
      <c r="I1072" s="43">
        <f t="shared" si="8"/>
        <v>46044</v>
      </c>
      <c r="J1072" s="26">
        <v>46047.0</v>
      </c>
      <c r="K1072" s="32">
        <v>0.0</v>
      </c>
      <c r="L1072" s="32"/>
      <c r="M1072" s="32">
        <f t="shared" si="3"/>
        <v>0</v>
      </c>
      <c r="N1072" s="32" t="s">
        <v>376</v>
      </c>
      <c r="O1072" s="32">
        <v>10.0</v>
      </c>
      <c r="P1072" s="50" t="str">
        <f t="shared" si="6"/>
        <v>PASSED</v>
      </c>
      <c r="Q1072" s="50" t="str">
        <f t="shared" si="5"/>
        <v>16</v>
      </c>
    </row>
    <row r="1073" ht="22.5" customHeight="1">
      <c r="A1073" s="26">
        <v>46042.0</v>
      </c>
      <c r="B1073" s="39" t="s">
        <v>397</v>
      </c>
      <c r="C1073" s="32" t="str">
        <f t="array" ref="C1073">_xlfn.XLOOKUP(B1073, DB[samplingPoint], DB[samplingTag])</f>
        <v>SV216.06</v>
      </c>
      <c r="D1073" s="33" t="s">
        <v>371</v>
      </c>
      <c r="E1073" s="39" t="str">
        <f t="array" ref="E1073">_xlfn.XLOOKUP($B1073, DB[samplingPoint], DB[noLocation])</f>
        <v>16-1-082</v>
      </c>
      <c r="F1073" s="40" t="str">
        <f t="array" ref="F1073">_xlfn.XLOOKUP($B1073, DB[samplingPoint], DB[building])</f>
        <v>Building 16</v>
      </c>
      <c r="G1073" s="40" t="str">
        <f t="array" ref="G1073">_xlfn.XLOOKUP($B1073, DB[samplingPoint], DB[location])</f>
        <v>WASHING</v>
      </c>
      <c r="H1073" s="39" t="str">
        <f t="array" ref="H1073">_xlfn.XLOOKUP($B1073, DB[samplingPoint], DB[waterType])</f>
        <v>WFI</v>
      </c>
      <c r="I1073" s="43">
        <f t="shared" si="8"/>
        <v>46044</v>
      </c>
      <c r="J1073" s="26">
        <v>46047.0</v>
      </c>
      <c r="K1073" s="32">
        <v>0.0</v>
      </c>
      <c r="L1073" s="32"/>
      <c r="M1073" s="32">
        <f t="shared" si="3"/>
        <v>0</v>
      </c>
      <c r="N1073" s="32" t="s">
        <v>376</v>
      </c>
      <c r="O1073" s="32">
        <v>10.0</v>
      </c>
      <c r="P1073" s="50" t="str">
        <f t="shared" si="6"/>
        <v>PASSED</v>
      </c>
      <c r="Q1073" s="50" t="str">
        <f t="shared" si="5"/>
        <v>16</v>
      </c>
    </row>
    <row r="1074" ht="22.5" customHeight="1">
      <c r="A1074" s="26">
        <v>46043.0</v>
      </c>
      <c r="B1074" s="39" t="s">
        <v>377</v>
      </c>
      <c r="C1074" s="32" t="str">
        <f t="array" ref="C1074">_xlfn.XLOOKUP(B1074, DB[samplingPoint], DB[samplingTag])</f>
        <v>V12-4</v>
      </c>
      <c r="D1074" s="33" t="s">
        <v>371</v>
      </c>
      <c r="E1074" s="39" t="str">
        <f t="array" ref="E1074">_xlfn.XLOOKUP($B1074, DB[samplingPoint], DB[noLocation])</f>
        <v>16-2-010</v>
      </c>
      <c r="F1074" s="40" t="str">
        <f t="array" ref="F1074">_xlfn.XLOOKUP($B1074, DB[samplingPoint], DB[building])</f>
        <v>Building 16</v>
      </c>
      <c r="G1074" s="40" t="str">
        <f t="array" ref="G1074">_xlfn.XLOOKUP($B1074, DB[samplingPoint], DB[location])</f>
        <v>AFTER WFI GENERATOR</v>
      </c>
      <c r="H1074" s="39" t="str">
        <f t="array" ref="H1074">_xlfn.XLOOKUP($B1074, DB[samplingPoint], DB[waterType])</f>
        <v>WFI</v>
      </c>
      <c r="I1074" s="43">
        <f t="shared" ref="I1074:I1094" si="9">$A1074+1</f>
        <v>46044</v>
      </c>
      <c r="J1074" s="26">
        <v>46047.0</v>
      </c>
      <c r="K1074" s="32">
        <v>0.0</v>
      </c>
      <c r="L1074" s="32"/>
      <c r="M1074" s="32">
        <f t="shared" si="3"/>
        <v>0</v>
      </c>
      <c r="N1074" s="32" t="s">
        <v>376</v>
      </c>
      <c r="O1074" s="32">
        <v>10.0</v>
      </c>
      <c r="P1074" s="50" t="str">
        <f t="shared" si="6"/>
        <v>PASSED</v>
      </c>
      <c r="Q1074" s="50" t="str">
        <f t="shared" si="5"/>
        <v>16</v>
      </c>
    </row>
    <row r="1075" ht="22.5" customHeight="1">
      <c r="A1075" s="26">
        <v>46043.0</v>
      </c>
      <c r="B1075" s="39" t="s">
        <v>388</v>
      </c>
      <c r="C1075" s="32" t="str">
        <f t="array" ref="C1075">_xlfn.XLOOKUP(B1075, DB[samplingPoint], DB[samplingTag])</f>
        <v>SV217.01</v>
      </c>
      <c r="D1075" s="33" t="s">
        <v>371</v>
      </c>
      <c r="E1075" s="39" t="str">
        <f t="array" ref="E1075">_xlfn.XLOOKUP($B1075, DB[samplingPoint], DB[noLocation])</f>
        <v>16-2-010</v>
      </c>
      <c r="F1075" s="40" t="str">
        <f t="array" ref="F1075">_xlfn.XLOOKUP($B1075, DB[samplingPoint], DB[building])</f>
        <v>Building 16</v>
      </c>
      <c r="G1075" s="40" t="str">
        <f t="array" ref="G1075">_xlfn.XLOOKUP($B1075, DB[samplingPoint], DB[location])</f>
        <v>RETURN LOOP</v>
      </c>
      <c r="H1075" s="39" t="str">
        <f t="array" ref="H1075">_xlfn.XLOOKUP($B1075, DB[samplingPoint], DB[waterType])</f>
        <v>WFI</v>
      </c>
      <c r="I1075" s="43">
        <f t="shared" si="9"/>
        <v>46044</v>
      </c>
      <c r="J1075" s="26">
        <v>46047.0</v>
      </c>
      <c r="K1075" s="32">
        <v>0.0</v>
      </c>
      <c r="L1075" s="32"/>
      <c r="M1075" s="32">
        <f t="shared" si="3"/>
        <v>0</v>
      </c>
      <c r="N1075" s="32" t="s">
        <v>376</v>
      </c>
      <c r="O1075" s="32">
        <v>10.0</v>
      </c>
      <c r="P1075" s="50" t="str">
        <f t="shared" si="6"/>
        <v>PASSED</v>
      </c>
      <c r="Q1075" s="50" t="str">
        <f t="shared" si="5"/>
        <v>16</v>
      </c>
    </row>
    <row r="1076" ht="22.5" customHeight="1">
      <c r="A1076" s="26">
        <v>46043.0</v>
      </c>
      <c r="B1076" s="39" t="s">
        <v>225</v>
      </c>
      <c r="C1076" s="32" t="str">
        <f t="array" ref="C1076">_xlfn.XLOOKUP(B1076, DB[samplingPoint], DB[samplingTag])</f>
        <v>SV216.05</v>
      </c>
      <c r="D1076" s="33" t="s">
        <v>371</v>
      </c>
      <c r="E1076" s="39" t="str">
        <f t="array" ref="E1076">_xlfn.XLOOKUP($B1076, DB[samplingPoint], DB[noLocation])</f>
        <v>16-1-110</v>
      </c>
      <c r="F1076" s="40" t="str">
        <f t="array" ref="F1076">_xlfn.XLOOKUP($B1076, DB[samplingPoint], DB[building])</f>
        <v>Building 16</v>
      </c>
      <c r="G1076" s="40" t="str">
        <f t="array" ref="G1076">_xlfn.XLOOKUP($B1076, DB[samplingPoint], DB[location])</f>
        <v>DISINFECTANT PREPARATION</v>
      </c>
      <c r="H1076" s="39" t="str">
        <f t="array" ref="H1076">_xlfn.XLOOKUP($B1076, DB[samplingPoint], DB[waterType])</f>
        <v>WFI</v>
      </c>
      <c r="I1076" s="43">
        <f t="shared" si="9"/>
        <v>46044</v>
      </c>
      <c r="J1076" s="26">
        <v>46047.0</v>
      </c>
      <c r="K1076" s="32">
        <v>0.0</v>
      </c>
      <c r="L1076" s="32"/>
      <c r="M1076" s="32">
        <f t="shared" si="3"/>
        <v>0</v>
      </c>
      <c r="N1076" s="32" t="s">
        <v>376</v>
      </c>
      <c r="O1076" s="32">
        <v>10.0</v>
      </c>
      <c r="P1076" s="50" t="str">
        <f t="shared" si="6"/>
        <v>PASSED</v>
      </c>
      <c r="Q1076" s="50" t="str">
        <f t="shared" si="5"/>
        <v>16</v>
      </c>
    </row>
    <row r="1077" ht="22.5" customHeight="1">
      <c r="A1077" s="26">
        <v>46043.0</v>
      </c>
      <c r="B1077" s="39" t="s">
        <v>365</v>
      </c>
      <c r="C1077" s="32" t="str">
        <f t="array" ref="C1077">_xlfn.XLOOKUP(B1077, DB[samplingPoint], DB[samplingTag])</f>
        <v>SV216.10</v>
      </c>
      <c r="D1077" s="33" t="s">
        <v>371</v>
      </c>
      <c r="E1077" s="39" t="str">
        <f t="array" ref="E1077">_xlfn.XLOOKUP($B1077, DB[samplingPoint], DB[noLocation])</f>
        <v>16-1-105</v>
      </c>
      <c r="F1077" s="40" t="str">
        <f t="array" ref="F1077">_xlfn.XLOOKUP($B1077, DB[samplingPoint], DB[building])</f>
        <v>Building 16</v>
      </c>
      <c r="G1077" s="40" t="str">
        <f t="array" ref="G1077">_xlfn.XLOOKUP($B1077, DB[samplingPoint], DB[location])</f>
        <v>WASHING/TUNNEL-01</v>
      </c>
      <c r="H1077" s="39" t="str">
        <f t="array" ref="H1077">_xlfn.XLOOKUP($B1077, DB[samplingPoint], DB[waterType])</f>
        <v>WFI</v>
      </c>
      <c r="I1077" s="43">
        <f t="shared" si="9"/>
        <v>46044</v>
      </c>
      <c r="J1077" s="26">
        <v>46047.0</v>
      </c>
      <c r="K1077" s="32">
        <v>0.0</v>
      </c>
      <c r="L1077" s="32"/>
      <c r="M1077" s="32">
        <f t="shared" si="3"/>
        <v>0</v>
      </c>
      <c r="N1077" s="32" t="s">
        <v>376</v>
      </c>
      <c r="O1077" s="32">
        <v>10.0</v>
      </c>
      <c r="P1077" s="50" t="str">
        <f t="shared" si="6"/>
        <v>PASSED</v>
      </c>
      <c r="Q1077" s="50" t="str">
        <f t="shared" si="5"/>
        <v>16</v>
      </c>
    </row>
    <row r="1078" ht="22.5" customHeight="1">
      <c r="A1078" s="26">
        <v>46044.0</v>
      </c>
      <c r="B1078" s="39" t="s">
        <v>431</v>
      </c>
      <c r="C1078" s="32" t="str">
        <f t="array" ref="C1078">_xlfn.XLOOKUP(B1078, DB[samplingPoint], DB[samplingTag])</f>
        <v>SV-14</v>
      </c>
      <c r="D1078" s="33" t="s">
        <v>59</v>
      </c>
      <c r="E1078" s="39" t="str">
        <f t="array" ref="E1078">_xlfn.XLOOKUP($B1078, DB[samplingPoint], DB[noLocation])</f>
        <v>PROCESS WATER (B19)</v>
      </c>
      <c r="F1078" s="40" t="str">
        <f t="array" ref="F1078">_xlfn.XLOOKUP($B1078, DB[samplingPoint], DB[building])</f>
        <v>Building 19</v>
      </c>
      <c r="G1078" s="40" t="str">
        <f t="array" ref="G1078">_xlfn.XLOOKUP($B1078, DB[samplingPoint], DB[location])</f>
        <v>AFTER RO SYSTEM NO.12 SV14</v>
      </c>
      <c r="H1078" s="39" t="str">
        <f t="array" ref="H1078">_xlfn.XLOOKUP($B1078, DB[samplingPoint], DB[waterType])</f>
        <v>PRW</v>
      </c>
      <c r="I1078" s="43">
        <f t="shared" si="9"/>
        <v>46045</v>
      </c>
      <c r="J1078" s="26">
        <v>46048.0</v>
      </c>
      <c r="K1078" s="32">
        <v>0.0</v>
      </c>
      <c r="L1078" s="32">
        <v>0.0</v>
      </c>
      <c r="M1078" s="32">
        <f t="shared" si="3"/>
        <v>0</v>
      </c>
      <c r="N1078" s="32" t="s">
        <v>376</v>
      </c>
      <c r="O1078" s="32">
        <v>100.0</v>
      </c>
      <c r="P1078" s="50" t="str">
        <f t="shared" si="6"/>
        <v>PASSED</v>
      </c>
      <c r="Q1078" s="50" t="str">
        <f t="shared" si="5"/>
        <v>PR</v>
      </c>
    </row>
    <row r="1079" ht="22.5" customHeight="1">
      <c r="A1079" s="26">
        <v>46044.0</v>
      </c>
      <c r="B1079" s="39" t="s">
        <v>349</v>
      </c>
      <c r="C1079" s="32" t="str">
        <f t="array" ref="C1079">_xlfn.XLOOKUP(B1079, DB[samplingPoint], DB[samplingTag])</f>
        <v>VB-05(10)</v>
      </c>
      <c r="D1079" s="33" t="s">
        <v>59</v>
      </c>
      <c r="E1079" s="39" t="str">
        <f t="array" ref="E1079">_xlfn.XLOOKUP($B1079, DB[samplingPoint], DB[noLocation])</f>
        <v>WATER SYSTEM (B10)</v>
      </c>
      <c r="F1079" s="40" t="str">
        <f t="array" ref="F1079">_xlfn.XLOOKUP($B1079, DB[samplingPoint], DB[building])</f>
        <v>Building 10</v>
      </c>
      <c r="G1079" s="40" t="str">
        <f t="array" ref="G1079">_xlfn.XLOOKUP($B1079, DB[samplingPoint], DB[location])</f>
        <v>After Chlorine circulation tank (B10)</v>
      </c>
      <c r="H1079" s="39" t="str">
        <f t="array" ref="H1079">_xlfn.XLOOKUP($B1079, DB[samplingPoint], DB[waterType])</f>
        <v>PRW</v>
      </c>
      <c r="I1079" s="43">
        <f t="shared" si="9"/>
        <v>46045</v>
      </c>
      <c r="J1079" s="26">
        <v>46048.0</v>
      </c>
      <c r="K1079" s="32">
        <v>0.0</v>
      </c>
      <c r="L1079" s="32">
        <v>0.0</v>
      </c>
      <c r="M1079" s="32">
        <f t="shared" si="3"/>
        <v>0</v>
      </c>
      <c r="N1079" s="32" t="s">
        <v>376</v>
      </c>
      <c r="O1079" s="32">
        <v>100.0</v>
      </c>
      <c r="P1079" s="50" t="str">
        <f t="shared" si="6"/>
        <v>PASSED</v>
      </c>
      <c r="Q1079" s="50" t="str">
        <f t="shared" si="5"/>
        <v>WA</v>
      </c>
    </row>
    <row r="1080" ht="22.5" customHeight="1">
      <c r="A1080" s="26">
        <v>46044.0</v>
      </c>
      <c r="B1080" s="39" t="s">
        <v>579</v>
      </c>
      <c r="C1080" s="39" t="str">
        <f t="array" ref="C1080">_xlfn.XLOOKUP(B1080, DB[samplingPoint], DB[samplingTag])</f>
        <v>V50-60(10)</v>
      </c>
      <c r="D1080" s="33" t="s">
        <v>59</v>
      </c>
      <c r="E1080" s="39" t="str">
        <f t="array" ref="E1080">_xlfn.XLOOKUP($B1080, DB[samplingPoint], DB[noLocation])</f>
        <v>WATER SYSTEM (B10)</v>
      </c>
      <c r="F1080" s="40" t="str">
        <f t="array" ref="F1080">_xlfn.XLOOKUP($B1080, DB[samplingPoint], DB[building])</f>
        <v>Building 10</v>
      </c>
      <c r="G1080" s="40" t="str">
        <f t="array" ref="G1080">_xlfn.XLOOKUP($B1080, DB[samplingPoint], DB[location])</f>
        <v>Before Cartridge filter 5 µm (B10)</v>
      </c>
      <c r="H1080" s="39" t="str">
        <f t="array" ref="H1080">_xlfn.XLOOKUP($B1080, DB[samplingPoint], DB[waterType])</f>
        <v>PRW</v>
      </c>
      <c r="I1080" s="43">
        <f t="shared" si="9"/>
        <v>46045</v>
      </c>
      <c r="J1080" s="26">
        <v>46048.0</v>
      </c>
      <c r="K1080" s="32">
        <v>0.0</v>
      </c>
      <c r="L1080" s="32">
        <v>0.0</v>
      </c>
      <c r="M1080" s="32">
        <f t="shared" si="3"/>
        <v>0</v>
      </c>
      <c r="N1080" s="32" t="s">
        <v>376</v>
      </c>
      <c r="O1080" s="32">
        <v>100.0</v>
      </c>
      <c r="P1080" s="50" t="str">
        <f t="shared" si="6"/>
        <v>PASSED</v>
      </c>
      <c r="Q1080" s="50" t="str">
        <f t="shared" si="5"/>
        <v>WA</v>
      </c>
    </row>
    <row r="1081" ht="22.5" customHeight="1">
      <c r="A1081" s="26">
        <v>46044.0</v>
      </c>
      <c r="B1081" s="39" t="s">
        <v>366</v>
      </c>
      <c r="C1081" s="32" t="str">
        <f t="array" ref="C1081">_xlfn.XLOOKUP(B1081, DB[samplingPoint], DB[samplingTag])</f>
        <v>V50-61(10)</v>
      </c>
      <c r="D1081" s="33" t="s">
        <v>59</v>
      </c>
      <c r="E1081" s="39" t="str">
        <f t="array" ref="E1081">_xlfn.XLOOKUP($B1081, DB[samplingPoint], DB[noLocation])</f>
        <v>WATER SYSTEM (B10)</v>
      </c>
      <c r="F1081" s="40" t="str">
        <f t="array" ref="F1081">_xlfn.XLOOKUP($B1081, DB[samplingPoint], DB[building])</f>
        <v>Building 10</v>
      </c>
      <c r="G1081" s="40" t="str">
        <f t="array" ref="G1081">_xlfn.XLOOKUP($B1081, DB[samplingPoint], DB[location])</f>
        <v>After Cartridge filter 5 µm (B10)</v>
      </c>
      <c r="H1081" s="39" t="str">
        <f t="array" ref="H1081">_xlfn.XLOOKUP($B1081, DB[samplingPoint], DB[waterType])</f>
        <v>PRW</v>
      </c>
      <c r="I1081" s="43">
        <f t="shared" si="9"/>
        <v>46045</v>
      </c>
      <c r="J1081" s="26">
        <v>46048.0</v>
      </c>
      <c r="K1081" s="32">
        <v>0.0</v>
      </c>
      <c r="L1081" s="32">
        <v>0.0</v>
      </c>
      <c r="M1081" s="32">
        <f t="shared" si="3"/>
        <v>0</v>
      </c>
      <c r="N1081" s="32" t="s">
        <v>376</v>
      </c>
      <c r="O1081" s="32">
        <v>100.0</v>
      </c>
      <c r="P1081" s="50" t="str">
        <f t="shared" si="6"/>
        <v>PASSED</v>
      </c>
      <c r="Q1081" s="50" t="str">
        <f t="shared" si="5"/>
        <v>WA</v>
      </c>
    </row>
    <row r="1082" ht="22.5" customHeight="1">
      <c r="A1082" s="26">
        <v>46044.0</v>
      </c>
      <c r="B1082" s="39" t="s">
        <v>368</v>
      </c>
      <c r="C1082" s="32" t="str">
        <f t="array" ref="C1082">_xlfn.XLOOKUP(B1082, DB[samplingPoint], DB[samplingTag])</f>
        <v>V50-11C(10)</v>
      </c>
      <c r="D1082" s="33" t="s">
        <v>59</v>
      </c>
      <c r="E1082" s="39" t="str">
        <f t="array" ref="E1082">_xlfn.XLOOKUP($B1082, DB[samplingPoint], DB[noLocation])</f>
        <v>WATER SYSTEM (B10)</v>
      </c>
      <c r="F1082" s="40" t="str">
        <f t="array" ref="F1082">_xlfn.XLOOKUP($B1082, DB[samplingPoint], DB[building])</f>
        <v>Building 10</v>
      </c>
      <c r="G1082" s="40" t="str">
        <f t="array" ref="G1082">_xlfn.XLOOKUP($B1082, DB[samplingPoint], DB[location])</f>
        <v>After RO (Before EDI) (B10)</v>
      </c>
      <c r="H1082" s="39" t="str">
        <f t="array" ref="H1082">_xlfn.XLOOKUP($B1082, DB[samplingPoint], DB[waterType])</f>
        <v>RO water</v>
      </c>
      <c r="I1082" s="43">
        <f t="shared" si="9"/>
        <v>46045</v>
      </c>
      <c r="J1082" s="26">
        <v>46048.0</v>
      </c>
      <c r="K1082" s="32">
        <v>0.0</v>
      </c>
      <c r="L1082" s="32">
        <v>0.0</v>
      </c>
      <c r="M1082" s="32">
        <f t="shared" si="3"/>
        <v>0</v>
      </c>
      <c r="N1082" s="32" t="s">
        <v>376</v>
      </c>
      <c r="O1082" s="32">
        <v>100.0</v>
      </c>
      <c r="P1082" s="50" t="str">
        <f t="shared" si="6"/>
        <v>PASSED</v>
      </c>
      <c r="Q1082" s="50" t="str">
        <f t="shared" si="5"/>
        <v>WA</v>
      </c>
    </row>
    <row r="1083" ht="22.5" customHeight="1">
      <c r="A1083" s="26">
        <v>46044.0</v>
      </c>
      <c r="B1083" s="39" t="s">
        <v>390</v>
      </c>
      <c r="C1083" s="32" t="str">
        <f t="array" ref="C1083">_xlfn.XLOOKUP(B1083, DB[samplingPoint], DB[samplingTag])</f>
        <v>SV117.01</v>
      </c>
      <c r="D1083" s="33" t="s">
        <v>59</v>
      </c>
      <c r="E1083" s="39" t="str">
        <f t="array" ref="E1083">_xlfn.XLOOKUP($B1083, DB[samplingPoint], DB[noLocation])</f>
        <v>WATER SYSTEM (B10)</v>
      </c>
      <c r="F1083" s="40" t="str">
        <f t="array" ref="F1083">_xlfn.XLOOKUP($B1083, DB[samplingPoint], DB[building])</f>
        <v>Building 10</v>
      </c>
      <c r="G1083" s="40" t="str">
        <f t="array" ref="G1083">_xlfn.XLOOKUP($B1083, DB[samplingPoint], DB[location])</f>
        <v>Return loop (B10)</v>
      </c>
      <c r="H1083" s="39" t="str">
        <f t="array" ref="H1083">_xlfn.XLOOKUP($B1083, DB[samplingPoint], DB[waterType])</f>
        <v>PW</v>
      </c>
      <c r="I1083" s="43">
        <f t="shared" si="9"/>
        <v>46045</v>
      </c>
      <c r="J1083" s="26">
        <v>46048.0</v>
      </c>
      <c r="K1083" s="32">
        <v>0.0</v>
      </c>
      <c r="L1083" s="32">
        <v>0.0</v>
      </c>
      <c r="M1083" s="32">
        <f t="shared" si="3"/>
        <v>0</v>
      </c>
      <c r="N1083" s="32" t="s">
        <v>376</v>
      </c>
      <c r="O1083" s="32">
        <v>100.0</v>
      </c>
      <c r="P1083" s="50" t="str">
        <f t="shared" si="6"/>
        <v>PASSED</v>
      </c>
      <c r="Q1083" s="50" t="str">
        <f t="shared" si="5"/>
        <v>WA</v>
      </c>
    </row>
    <row r="1084" ht="22.5" customHeight="1">
      <c r="A1084" s="26">
        <v>46044.0</v>
      </c>
      <c r="B1084" s="39" t="s">
        <v>394</v>
      </c>
      <c r="C1084" s="32" t="str">
        <f t="array" ref="C1084">_xlfn.XLOOKUP(B1084, DB[samplingPoint], DB[samplingTag])</f>
        <v>DV116.25</v>
      </c>
      <c r="D1084" s="33" t="s">
        <v>59</v>
      </c>
      <c r="E1084" s="39" t="str">
        <f t="array" ref="E1084">_xlfn.XLOOKUP($B1084, DB[samplingPoint], DB[noLocation])</f>
        <v>10-3-171</v>
      </c>
      <c r="F1084" s="40" t="str">
        <f t="array" ref="F1084">_xlfn.XLOOKUP($B1084, DB[samplingPoint], DB[building])</f>
        <v>Building 10</v>
      </c>
      <c r="G1084" s="40" t="str">
        <f t="array" ref="G1084">_xlfn.XLOOKUP($B1084, DB[samplingPoint], DB[location])</f>
        <v>TOOL WASHING-P</v>
      </c>
      <c r="H1084" s="39" t="str">
        <f t="array" ref="H1084">_xlfn.XLOOKUP($B1084, DB[samplingPoint], DB[waterType])</f>
        <v>PW</v>
      </c>
      <c r="I1084" s="43">
        <f t="shared" si="9"/>
        <v>46045</v>
      </c>
      <c r="J1084" s="26">
        <v>46048.0</v>
      </c>
      <c r="K1084" s="32">
        <v>0.0</v>
      </c>
      <c r="L1084" s="32">
        <v>0.0</v>
      </c>
      <c r="M1084" s="32">
        <f t="shared" si="3"/>
        <v>0</v>
      </c>
      <c r="N1084" s="32" t="s">
        <v>376</v>
      </c>
      <c r="O1084" s="32">
        <v>100.0</v>
      </c>
      <c r="P1084" s="50" t="str">
        <f t="shared" si="6"/>
        <v>PASSED</v>
      </c>
      <c r="Q1084" s="50" t="str">
        <f t="shared" si="5"/>
        <v>10</v>
      </c>
    </row>
    <row r="1085" ht="22.5" customHeight="1">
      <c r="A1085" s="26">
        <v>46044.0</v>
      </c>
      <c r="B1085" s="39" t="s">
        <v>398</v>
      </c>
      <c r="C1085" s="32" t="str">
        <f t="array" ref="C1085">_xlfn.XLOOKUP(B1085, DB[samplingPoint], DB[samplingTag])</f>
        <v>DV116.24</v>
      </c>
      <c r="D1085" s="33" t="s">
        <v>59</v>
      </c>
      <c r="E1085" s="39" t="str">
        <f t="array" ref="E1085">_xlfn.XLOOKUP($B1085, DB[samplingPoint], DB[noLocation])</f>
        <v>10-3-163</v>
      </c>
      <c r="F1085" s="40" t="str">
        <f t="array" ref="F1085">_xlfn.XLOOKUP($B1085, DB[samplingPoint], DB[building])</f>
        <v>Building 10</v>
      </c>
      <c r="G1085" s="40" t="str">
        <f t="array" ref="G1085">_xlfn.XLOOKUP($B1085, DB[samplingPoint], DB[location])</f>
        <v>WET GRANULATION 1-P</v>
      </c>
      <c r="H1085" s="39" t="str">
        <f t="array" ref="H1085">_xlfn.XLOOKUP($B1085, DB[samplingPoint], DB[waterType])</f>
        <v>PW</v>
      </c>
      <c r="I1085" s="43">
        <f t="shared" si="9"/>
        <v>46045</v>
      </c>
      <c r="J1085" s="26">
        <v>46048.0</v>
      </c>
      <c r="K1085" s="32">
        <v>0.0</v>
      </c>
      <c r="L1085" s="32">
        <v>0.0</v>
      </c>
      <c r="M1085" s="32">
        <f t="shared" si="3"/>
        <v>0</v>
      </c>
      <c r="N1085" s="32" t="s">
        <v>376</v>
      </c>
      <c r="O1085" s="32">
        <v>100.0</v>
      </c>
      <c r="P1085" s="50" t="str">
        <f t="shared" si="6"/>
        <v>PASSED</v>
      </c>
      <c r="Q1085" s="50" t="str">
        <f t="shared" si="5"/>
        <v>10</v>
      </c>
    </row>
    <row r="1086" ht="22.5" customHeight="1">
      <c r="A1086" s="26">
        <v>46044.0</v>
      </c>
      <c r="B1086" s="39" t="s">
        <v>401</v>
      </c>
      <c r="C1086" s="32" t="str">
        <f t="array" ref="C1086">_xlfn.XLOOKUP(B1086, DB[samplingPoint], DB[samplingTag])</f>
        <v>DV116.23</v>
      </c>
      <c r="D1086" s="33" t="s">
        <v>59</v>
      </c>
      <c r="E1086" s="39" t="str">
        <f t="array" ref="E1086">_xlfn.XLOOKUP($B1086, DB[samplingPoint], DB[noLocation])</f>
        <v>10-3-159</v>
      </c>
      <c r="F1086" s="40" t="str">
        <f t="array" ref="F1086">_xlfn.XLOOKUP($B1086, DB[samplingPoint], DB[building])</f>
        <v>Building 10</v>
      </c>
      <c r="G1086" s="40" t="str">
        <f t="array" ref="G1086">_xlfn.XLOOKUP($B1086, DB[samplingPoint], DB[location])</f>
        <v>BINDER PREPARATION-P</v>
      </c>
      <c r="H1086" s="39" t="str">
        <f t="array" ref="H1086">_xlfn.XLOOKUP($B1086, DB[samplingPoint], DB[waterType])</f>
        <v>PW</v>
      </c>
      <c r="I1086" s="43">
        <f t="shared" si="9"/>
        <v>46045</v>
      </c>
      <c r="J1086" s="26">
        <v>46048.0</v>
      </c>
      <c r="K1086" s="32">
        <v>0.0</v>
      </c>
      <c r="L1086" s="32">
        <v>0.0</v>
      </c>
      <c r="M1086" s="32">
        <f t="shared" si="3"/>
        <v>0</v>
      </c>
      <c r="N1086" s="32" t="s">
        <v>376</v>
      </c>
      <c r="O1086" s="32">
        <v>100.0</v>
      </c>
      <c r="P1086" s="50" t="str">
        <f t="shared" si="6"/>
        <v>PASSED</v>
      </c>
      <c r="Q1086" s="50" t="str">
        <f t="shared" si="5"/>
        <v>10</v>
      </c>
    </row>
    <row r="1087" ht="22.5" customHeight="1">
      <c r="A1087" s="26">
        <v>46044.0</v>
      </c>
      <c r="B1087" s="39" t="s">
        <v>406</v>
      </c>
      <c r="C1087" s="32" t="str">
        <f t="array" ref="C1087">_xlfn.XLOOKUP(B1087, DB[samplingPoint], DB[samplingTag])</f>
        <v>DV116.21</v>
      </c>
      <c r="D1087" s="33" t="s">
        <v>59</v>
      </c>
      <c r="E1087" s="39" t="str">
        <f t="array" ref="E1087">_xlfn.XLOOKUP($B1087, DB[samplingPoint], DB[noLocation])</f>
        <v>10-3-152</v>
      </c>
      <c r="F1087" s="40" t="str">
        <f t="array" ref="F1087">_xlfn.XLOOKUP($B1087, DB[samplingPoint], DB[building])</f>
        <v>Building 10</v>
      </c>
      <c r="G1087" s="40" t="str">
        <f t="array" ref="G1087">_xlfn.XLOOKUP($B1087, DB[samplingPoint], DB[location])</f>
        <v>WASHING-P</v>
      </c>
      <c r="H1087" s="39" t="str">
        <f t="array" ref="H1087">_xlfn.XLOOKUP($B1087, DB[samplingPoint], DB[waterType])</f>
        <v>PW</v>
      </c>
      <c r="I1087" s="43">
        <f t="shared" si="9"/>
        <v>46045</v>
      </c>
      <c r="J1087" s="26">
        <v>46048.0</v>
      </c>
      <c r="K1087" s="32">
        <v>0.0</v>
      </c>
      <c r="L1087" s="32">
        <v>0.0</v>
      </c>
      <c r="M1087" s="32">
        <f t="shared" si="3"/>
        <v>0</v>
      </c>
      <c r="N1087" s="32" t="s">
        <v>376</v>
      </c>
      <c r="O1087" s="32">
        <v>100.0</v>
      </c>
      <c r="P1087" s="50" t="str">
        <f t="shared" si="6"/>
        <v>PASSED</v>
      </c>
      <c r="Q1087" s="50" t="str">
        <f t="shared" si="5"/>
        <v>10</v>
      </c>
    </row>
    <row r="1088" ht="22.5" customHeight="1">
      <c r="A1088" s="26">
        <v>46044.0</v>
      </c>
      <c r="B1088" s="39" t="s">
        <v>410</v>
      </c>
      <c r="C1088" s="32" t="str">
        <f t="array" ref="C1088">_xlfn.XLOOKUP(B1088, DB[samplingPoint], DB[samplingTag])</f>
        <v>DV116.22</v>
      </c>
      <c r="D1088" s="33" t="s">
        <v>59</v>
      </c>
      <c r="E1088" s="39" t="str">
        <f t="array" ref="E1088">_xlfn.XLOOKUP($B1088, DB[samplingPoint], DB[noLocation])</f>
        <v>10-3-152</v>
      </c>
      <c r="F1088" s="40" t="str">
        <f t="array" ref="F1088">_xlfn.XLOOKUP($B1088, DB[samplingPoint], DB[building])</f>
        <v>Building 10</v>
      </c>
      <c r="G1088" s="40" t="str">
        <f t="array" ref="G1088">_xlfn.XLOOKUP($B1088, DB[samplingPoint], DB[location])</f>
        <v>WASHING-P</v>
      </c>
      <c r="H1088" s="39" t="str">
        <f t="array" ref="H1088">_xlfn.XLOOKUP($B1088, DB[samplingPoint], DB[waterType])</f>
        <v>PW</v>
      </c>
      <c r="I1088" s="43">
        <f t="shared" si="9"/>
        <v>46045</v>
      </c>
      <c r="J1088" s="26">
        <v>46048.0</v>
      </c>
      <c r="K1088" s="32">
        <v>0.0</v>
      </c>
      <c r="L1088" s="32">
        <v>0.0</v>
      </c>
      <c r="M1088" s="32">
        <f t="shared" si="3"/>
        <v>0</v>
      </c>
      <c r="N1088" s="32" t="s">
        <v>376</v>
      </c>
      <c r="O1088" s="32">
        <v>100.0</v>
      </c>
      <c r="P1088" s="50" t="str">
        <f t="shared" si="6"/>
        <v>PASSED</v>
      </c>
      <c r="Q1088" s="50" t="str">
        <f t="shared" si="5"/>
        <v>10</v>
      </c>
    </row>
    <row r="1089" ht="22.5" customHeight="1">
      <c r="A1089" s="26">
        <v>46044.0</v>
      </c>
      <c r="B1089" s="39" t="s">
        <v>414</v>
      </c>
      <c r="C1089" s="32" t="str">
        <f t="array" ref="C1089">_xlfn.XLOOKUP(B1089, DB[samplingPoint], DB[samplingTag])</f>
        <v>SV116.13</v>
      </c>
      <c r="D1089" s="33" t="s">
        <v>59</v>
      </c>
      <c r="E1089" s="39" t="str">
        <f t="array" ref="E1089">_xlfn.XLOOKUP($B1089, DB[samplingPoint], DB[noLocation])</f>
        <v>10-3-152</v>
      </c>
      <c r="F1089" s="40" t="str">
        <f t="array" ref="F1089">_xlfn.XLOOKUP($B1089, DB[samplingPoint], DB[building])</f>
        <v>Building 10</v>
      </c>
      <c r="G1089" s="40" t="str">
        <f t="array" ref="G1089">_xlfn.XLOOKUP($B1089, DB[samplingPoint], DB[location])</f>
        <v>WASHING-P</v>
      </c>
      <c r="H1089" s="39" t="str">
        <f t="array" ref="H1089">_xlfn.XLOOKUP($B1089, DB[samplingPoint], DB[waterType])</f>
        <v>PW</v>
      </c>
      <c r="I1089" s="43">
        <f t="shared" si="9"/>
        <v>46045</v>
      </c>
      <c r="J1089" s="26">
        <v>46048.0</v>
      </c>
      <c r="K1089" s="32">
        <v>0.0</v>
      </c>
      <c r="L1089" s="32">
        <v>0.0</v>
      </c>
      <c r="M1089" s="32">
        <f t="shared" si="3"/>
        <v>0</v>
      </c>
      <c r="N1089" s="32" t="s">
        <v>376</v>
      </c>
      <c r="O1089" s="32">
        <v>100.0</v>
      </c>
      <c r="P1089" s="50" t="str">
        <f t="shared" si="6"/>
        <v>PASSED</v>
      </c>
      <c r="Q1089" s="50" t="str">
        <f t="shared" si="5"/>
        <v>10</v>
      </c>
    </row>
    <row r="1090" ht="22.5" customHeight="1">
      <c r="A1090" s="26">
        <v>46044.0</v>
      </c>
      <c r="B1090" s="39" t="s">
        <v>417</v>
      </c>
      <c r="C1090" s="32" t="str">
        <f t="array" ref="C1090">_xlfn.XLOOKUP(B1090, DB[samplingPoint], DB[samplingTag])</f>
        <v>DV116.20</v>
      </c>
      <c r="D1090" s="33" t="s">
        <v>59</v>
      </c>
      <c r="E1090" s="39" t="str">
        <f t="array" ref="E1090">_xlfn.XLOOKUP($B1090, DB[samplingPoint], DB[noLocation])</f>
        <v>10-3-149</v>
      </c>
      <c r="F1090" s="40" t="str">
        <f t="array" ref="F1090">_xlfn.XLOOKUP($B1090, DB[samplingPoint], DB[building])</f>
        <v>Building 10</v>
      </c>
      <c r="G1090" s="40" t="str">
        <f t="array" ref="G1090">_xlfn.XLOOKUP($B1090, DB[samplingPoint], DB[location])</f>
        <v>IPQC-1-P</v>
      </c>
      <c r="H1090" s="39" t="str">
        <f t="array" ref="H1090">_xlfn.XLOOKUP($B1090, DB[samplingPoint], DB[waterType])</f>
        <v>PW</v>
      </c>
      <c r="I1090" s="43">
        <f t="shared" si="9"/>
        <v>46045</v>
      </c>
      <c r="J1090" s="26">
        <v>46048.0</v>
      </c>
      <c r="K1090" s="32">
        <v>0.0</v>
      </c>
      <c r="L1090" s="32">
        <v>0.0</v>
      </c>
      <c r="M1090" s="32">
        <f t="shared" si="3"/>
        <v>0</v>
      </c>
      <c r="N1090" s="32" t="s">
        <v>376</v>
      </c>
      <c r="O1090" s="32">
        <v>100.0</v>
      </c>
      <c r="P1090" s="50" t="str">
        <f t="shared" si="6"/>
        <v>PASSED</v>
      </c>
      <c r="Q1090" s="50" t="str">
        <f t="shared" si="5"/>
        <v>10</v>
      </c>
    </row>
    <row r="1091" ht="22.5" customHeight="1">
      <c r="A1091" s="26">
        <v>46044.0</v>
      </c>
      <c r="B1091" s="39" t="s">
        <v>421</v>
      </c>
      <c r="C1091" s="32" t="str">
        <f t="array" ref="C1091">_xlfn.XLOOKUP(B1091, DB[samplingPoint], DB[samplingTag])</f>
        <v>DV116.19</v>
      </c>
      <c r="D1091" s="33" t="s">
        <v>59</v>
      </c>
      <c r="E1091" s="39" t="str">
        <f t="array" ref="E1091">_xlfn.XLOOKUP($B1091, DB[samplingPoint], DB[noLocation])</f>
        <v>10-3-143</v>
      </c>
      <c r="F1091" s="40" t="str">
        <f t="array" ref="F1091">_xlfn.XLOOKUP($B1091, DB[samplingPoint], DB[building])</f>
        <v>Building 10</v>
      </c>
      <c r="G1091" s="40" t="str">
        <f t="array" ref="G1091">_xlfn.XLOOKUP($B1091, DB[samplingPoint], DB[location])</f>
        <v>COATING SOLUTION PREP.-P</v>
      </c>
      <c r="H1091" s="39" t="str">
        <f t="array" ref="H1091">_xlfn.XLOOKUP($B1091, DB[samplingPoint], DB[waterType])</f>
        <v>PW</v>
      </c>
      <c r="I1091" s="43">
        <f t="shared" si="9"/>
        <v>46045</v>
      </c>
      <c r="J1091" s="26">
        <v>46048.0</v>
      </c>
      <c r="K1091" s="32">
        <v>0.0</v>
      </c>
      <c r="L1091" s="32">
        <v>0.0</v>
      </c>
      <c r="M1091" s="32">
        <f t="shared" si="3"/>
        <v>0</v>
      </c>
      <c r="N1091" s="32" t="s">
        <v>376</v>
      </c>
      <c r="O1091" s="32">
        <v>100.0</v>
      </c>
      <c r="P1091" s="50" t="str">
        <f t="shared" si="6"/>
        <v>PASSED</v>
      </c>
      <c r="Q1091" s="50" t="str">
        <f t="shared" si="5"/>
        <v>10</v>
      </c>
    </row>
    <row r="1092" ht="22.5" customHeight="1">
      <c r="A1092" s="26">
        <v>46044.0</v>
      </c>
      <c r="B1092" s="39" t="s">
        <v>423</v>
      </c>
      <c r="C1092" s="32" t="str">
        <f t="array" ref="C1092">_xlfn.XLOOKUP(B1092, DB[samplingPoint], DB[samplingTag])</f>
        <v>SV116.12</v>
      </c>
      <c r="D1092" s="33" t="s">
        <v>59</v>
      </c>
      <c r="E1092" s="39" t="str">
        <f t="array" ref="E1092">_xlfn.XLOOKUP($B1092, DB[samplingPoint], DB[noLocation])</f>
        <v>10-3-144</v>
      </c>
      <c r="F1092" s="40" t="str">
        <f t="array" ref="F1092">_xlfn.XLOOKUP($B1092, DB[samplingPoint], DB[building])</f>
        <v>Building 10</v>
      </c>
      <c r="G1092" s="40" t="str">
        <f t="array" ref="G1092">_xlfn.XLOOKUP($B1092, DB[samplingPoint], DB[location])</f>
        <v>COATING-P</v>
      </c>
      <c r="H1092" s="39" t="str">
        <f t="array" ref="H1092">_xlfn.XLOOKUP($B1092, DB[samplingPoint], DB[waterType])</f>
        <v>PW</v>
      </c>
      <c r="I1092" s="43">
        <f t="shared" si="9"/>
        <v>46045</v>
      </c>
      <c r="J1092" s="26">
        <v>46048.0</v>
      </c>
      <c r="K1092" s="32">
        <v>0.0</v>
      </c>
      <c r="L1092" s="32">
        <v>0.0</v>
      </c>
      <c r="M1092" s="32">
        <f t="shared" si="3"/>
        <v>0</v>
      </c>
      <c r="N1092" s="32" t="s">
        <v>376</v>
      </c>
      <c r="O1092" s="32">
        <v>100.0</v>
      </c>
      <c r="P1092" s="50" t="str">
        <f t="shared" si="6"/>
        <v>PASSED</v>
      </c>
      <c r="Q1092" s="50" t="str">
        <f t="shared" si="5"/>
        <v>10</v>
      </c>
    </row>
    <row r="1093" ht="22.5" customHeight="1">
      <c r="A1093" s="26">
        <v>46044.0</v>
      </c>
      <c r="B1093" s="39" t="s">
        <v>425</v>
      </c>
      <c r="C1093" s="32" t="str">
        <f t="array" ref="C1093">_xlfn.XLOOKUP(B1093, DB[samplingPoint], DB[samplingTag])</f>
        <v>DV116.02</v>
      </c>
      <c r="D1093" s="33" t="s">
        <v>59</v>
      </c>
      <c r="E1093" s="39" t="str">
        <f t="array" ref="E1093">_xlfn.XLOOKUP($B1093, DB[samplingPoint], DB[noLocation])</f>
        <v>10-1-115</v>
      </c>
      <c r="F1093" s="40" t="str">
        <f t="array" ref="F1093">_xlfn.XLOOKUP($B1093, DB[samplingPoint], DB[building])</f>
        <v>Building 10</v>
      </c>
      <c r="G1093" s="40" t="str">
        <f t="array" ref="G1093">_xlfn.XLOOKUP($B1093, DB[samplingPoint], DB[location])</f>
        <v>WASHING</v>
      </c>
      <c r="H1093" s="39" t="str">
        <f t="array" ref="H1093">_xlfn.XLOOKUP($B1093, DB[samplingPoint], DB[waterType])</f>
        <v>PW</v>
      </c>
      <c r="I1093" s="43">
        <f t="shared" si="9"/>
        <v>46045</v>
      </c>
      <c r="J1093" s="26">
        <v>46048.0</v>
      </c>
      <c r="K1093" s="32">
        <v>0.0</v>
      </c>
      <c r="L1093" s="32">
        <v>0.0</v>
      </c>
      <c r="M1093" s="32">
        <f t="shared" si="3"/>
        <v>0</v>
      </c>
      <c r="N1093" s="32" t="s">
        <v>376</v>
      </c>
      <c r="O1093" s="32">
        <v>100.0</v>
      </c>
      <c r="P1093" s="50" t="str">
        <f t="shared" si="6"/>
        <v>PASSED</v>
      </c>
      <c r="Q1093" s="50" t="str">
        <f t="shared" si="5"/>
        <v>10</v>
      </c>
    </row>
    <row r="1094" ht="22.5" customHeight="1">
      <c r="A1094" s="26">
        <v>46044.0</v>
      </c>
      <c r="B1094" s="39" t="s">
        <v>428</v>
      </c>
      <c r="C1094" s="32" t="str">
        <f t="array" ref="C1094">_xlfn.XLOOKUP(B1094, DB[samplingPoint], DB[samplingTag])</f>
        <v>DV116.01</v>
      </c>
      <c r="D1094" s="33" t="s">
        <v>59</v>
      </c>
      <c r="E1094" s="39" t="str">
        <f t="array" ref="E1094">_xlfn.XLOOKUP($B1094, DB[samplingPoint], DB[noLocation])</f>
        <v>10-1-057</v>
      </c>
      <c r="F1094" s="40" t="str">
        <f t="array" ref="F1094">_xlfn.XLOOKUP($B1094, DB[samplingPoint], DB[building])</f>
        <v>Building 10</v>
      </c>
      <c r="G1094" s="40" t="str">
        <f t="array" ref="G1094">_xlfn.XLOOKUP($B1094, DB[samplingPoint], DB[location])</f>
        <v>WASHING-P</v>
      </c>
      <c r="H1094" s="39" t="str">
        <f t="array" ref="H1094">_xlfn.XLOOKUP($B1094, DB[samplingPoint], DB[waterType])</f>
        <v>PW</v>
      </c>
      <c r="I1094" s="43">
        <f t="shared" si="9"/>
        <v>46045</v>
      </c>
      <c r="J1094" s="26">
        <v>46048.0</v>
      </c>
      <c r="K1094" s="32">
        <v>0.0</v>
      </c>
      <c r="L1094" s="32">
        <v>0.0</v>
      </c>
      <c r="M1094" s="32">
        <f t="shared" si="3"/>
        <v>0</v>
      </c>
      <c r="N1094" s="32" t="s">
        <v>376</v>
      </c>
      <c r="O1094" s="32">
        <v>100.0</v>
      </c>
      <c r="P1094" s="50" t="str">
        <f t="shared" si="6"/>
        <v>PASSED</v>
      </c>
      <c r="Q1094" s="50" t="str">
        <f t="shared" si="5"/>
        <v>10</v>
      </c>
    </row>
    <row r="1095" ht="22.5" customHeight="1">
      <c r="A1095" s="26">
        <v>46044.0</v>
      </c>
      <c r="B1095" s="39" t="s">
        <v>377</v>
      </c>
      <c r="C1095" s="32" t="str">
        <f t="array" ref="C1095">_xlfn.XLOOKUP(B1095, DB[samplingPoint], DB[samplingTag])</f>
        <v>V12-4</v>
      </c>
      <c r="D1095" s="33" t="s">
        <v>371</v>
      </c>
      <c r="E1095" s="39" t="str">
        <f t="array" ref="E1095">_xlfn.XLOOKUP($B1095, DB[samplingPoint], DB[noLocation])</f>
        <v>16-2-010</v>
      </c>
      <c r="F1095" s="40" t="str">
        <f t="array" ref="F1095">_xlfn.XLOOKUP($B1095, DB[samplingPoint], DB[building])</f>
        <v>Building 16</v>
      </c>
      <c r="G1095" s="40" t="str">
        <f t="array" ref="G1095">_xlfn.XLOOKUP($B1095, DB[samplingPoint], DB[location])</f>
        <v>AFTER WFI GENERATOR</v>
      </c>
      <c r="H1095" s="39" t="str">
        <f t="array" ref="H1095">_xlfn.XLOOKUP($B1095, DB[samplingPoint], DB[waterType])</f>
        <v>WFI</v>
      </c>
      <c r="I1095" s="43">
        <f t="shared" ref="I1095:I1100" si="10">$A1095+2</f>
        <v>46046</v>
      </c>
      <c r="J1095" s="26">
        <v>46049.0</v>
      </c>
      <c r="K1095" s="32">
        <v>0.0</v>
      </c>
      <c r="L1095" s="32"/>
      <c r="M1095" s="32">
        <f t="shared" si="3"/>
        <v>0</v>
      </c>
      <c r="N1095" s="32" t="s">
        <v>376</v>
      </c>
      <c r="O1095" s="32">
        <v>10.0</v>
      </c>
      <c r="P1095" s="50" t="str">
        <f t="shared" si="6"/>
        <v>PASSED</v>
      </c>
      <c r="Q1095" s="50" t="str">
        <f t="shared" si="5"/>
        <v>16</v>
      </c>
    </row>
    <row r="1096" ht="22.5" customHeight="1">
      <c r="A1096" s="26">
        <v>46044.0</v>
      </c>
      <c r="B1096" s="39" t="s">
        <v>388</v>
      </c>
      <c r="C1096" s="32" t="str">
        <f t="array" ref="C1096">_xlfn.XLOOKUP(B1096, DB[samplingPoint], DB[samplingTag])</f>
        <v>SV217.01</v>
      </c>
      <c r="D1096" s="33" t="s">
        <v>371</v>
      </c>
      <c r="E1096" s="39" t="str">
        <f t="array" ref="E1096">_xlfn.XLOOKUP($B1096, DB[samplingPoint], DB[noLocation])</f>
        <v>16-2-010</v>
      </c>
      <c r="F1096" s="40" t="str">
        <f t="array" ref="F1096">_xlfn.XLOOKUP($B1096, DB[samplingPoint], DB[building])</f>
        <v>Building 16</v>
      </c>
      <c r="G1096" s="40" t="str">
        <f t="array" ref="G1096">_xlfn.XLOOKUP($B1096, DB[samplingPoint], DB[location])</f>
        <v>RETURN LOOP</v>
      </c>
      <c r="H1096" s="39" t="str">
        <f t="array" ref="H1096">_xlfn.XLOOKUP($B1096, DB[samplingPoint], DB[waterType])</f>
        <v>WFI</v>
      </c>
      <c r="I1096" s="43">
        <f t="shared" si="10"/>
        <v>46046</v>
      </c>
      <c r="J1096" s="26">
        <v>46049.0</v>
      </c>
      <c r="K1096" s="32">
        <v>0.0</v>
      </c>
      <c r="L1096" s="32"/>
      <c r="M1096" s="32">
        <f t="shared" si="3"/>
        <v>0</v>
      </c>
      <c r="N1096" s="32" t="s">
        <v>376</v>
      </c>
      <c r="O1096" s="32">
        <v>10.0</v>
      </c>
      <c r="P1096" s="50" t="str">
        <f t="shared" si="6"/>
        <v>PASSED</v>
      </c>
      <c r="Q1096" s="50" t="str">
        <f t="shared" si="5"/>
        <v>16</v>
      </c>
    </row>
    <row r="1097" ht="22.5" customHeight="1">
      <c r="A1097" s="26">
        <v>46044.0</v>
      </c>
      <c r="B1097" s="39" t="s">
        <v>403</v>
      </c>
      <c r="C1097" s="32" t="str">
        <f t="array" ref="C1097">_xlfn.XLOOKUP(B1097, DB[samplingPoint], DB[samplingTag])</f>
        <v>POU HE216.01</v>
      </c>
      <c r="D1097" s="33" t="s">
        <v>371</v>
      </c>
      <c r="E1097" s="39" t="str">
        <f t="array" ref="E1097">_xlfn.XLOOKUP($B1097, DB[samplingPoint], DB[noLocation])</f>
        <v>16-1-107</v>
      </c>
      <c r="F1097" s="40" t="str">
        <f t="array" ref="F1097">_xlfn.XLOOKUP($B1097, DB[samplingPoint], DB[building])</f>
        <v>Building 16</v>
      </c>
      <c r="G1097" s="40" t="str">
        <f t="array" ref="G1097">_xlfn.XLOOKUP($B1097, DB[samplingPoint], DB[location])</f>
        <v>COMPOUNDING-01</v>
      </c>
      <c r="H1097" s="39" t="str">
        <f t="array" ref="H1097">_xlfn.XLOOKUP($B1097, DB[samplingPoint], DB[waterType])</f>
        <v>WFI</v>
      </c>
      <c r="I1097" s="43">
        <f t="shared" si="10"/>
        <v>46046</v>
      </c>
      <c r="J1097" s="26">
        <v>46049.0</v>
      </c>
      <c r="K1097" s="32">
        <v>0.0</v>
      </c>
      <c r="L1097" s="32"/>
      <c r="M1097" s="32">
        <f t="shared" si="3"/>
        <v>0</v>
      </c>
      <c r="N1097" s="32" t="s">
        <v>376</v>
      </c>
      <c r="O1097" s="32">
        <v>10.0</v>
      </c>
      <c r="P1097" s="50" t="str">
        <f t="shared" si="6"/>
        <v>PASSED</v>
      </c>
      <c r="Q1097" s="50" t="str">
        <f t="shared" si="5"/>
        <v>16</v>
      </c>
    </row>
    <row r="1098" ht="22.5" customHeight="1">
      <c r="A1098" s="26">
        <v>46044.0</v>
      </c>
      <c r="B1098" s="39" t="s">
        <v>403</v>
      </c>
      <c r="C1098" s="32" t="str">
        <f t="array" ref="C1098">_xlfn.XLOOKUP(B1098, DB[samplingPoint], DB[samplingTag])</f>
        <v>POU HE216.01</v>
      </c>
      <c r="D1098" s="33" t="s">
        <v>371</v>
      </c>
      <c r="E1098" s="39" t="str">
        <f t="array" ref="E1098">_xlfn.XLOOKUP($B1098, DB[samplingPoint], DB[noLocation])</f>
        <v>16-1-107</v>
      </c>
      <c r="F1098" s="40" t="str">
        <f t="array" ref="F1098">_xlfn.XLOOKUP($B1098, DB[samplingPoint], DB[building])</f>
        <v>Building 16</v>
      </c>
      <c r="G1098" s="40" t="str">
        <f t="array" ref="G1098">_xlfn.XLOOKUP($B1098, DB[samplingPoint], DB[location])</f>
        <v>COMPOUNDING-01</v>
      </c>
      <c r="H1098" s="39" t="str">
        <f t="array" ref="H1098">_xlfn.XLOOKUP($B1098, DB[samplingPoint], DB[waterType])</f>
        <v>WFI</v>
      </c>
      <c r="I1098" s="43">
        <f t="shared" si="10"/>
        <v>46046</v>
      </c>
      <c r="J1098" s="26">
        <v>46049.0</v>
      </c>
      <c r="K1098" s="32">
        <v>0.0</v>
      </c>
      <c r="L1098" s="32"/>
      <c r="M1098" s="32">
        <f t="shared" si="3"/>
        <v>0</v>
      </c>
      <c r="N1098" s="32" t="s">
        <v>439</v>
      </c>
      <c r="O1098" s="32">
        <v>10.0</v>
      </c>
      <c r="P1098" s="50" t="str">
        <f t="shared" si="6"/>
        <v>PASSED</v>
      </c>
      <c r="Q1098" s="50" t="str">
        <f t="shared" si="5"/>
        <v>16</v>
      </c>
    </row>
    <row r="1099" ht="22.5" customHeight="1">
      <c r="A1099" s="26">
        <v>46044.0</v>
      </c>
      <c r="B1099" s="39" t="s">
        <v>407</v>
      </c>
      <c r="C1099" s="32" t="str">
        <f t="array" ref="C1099">_xlfn.XLOOKUP(B1099, DB[samplingPoint], DB[samplingTag])</f>
        <v>POU HE216.02</v>
      </c>
      <c r="D1099" s="33" t="s">
        <v>371</v>
      </c>
      <c r="E1099" s="39" t="str">
        <f t="array" ref="E1099">_xlfn.XLOOKUP($B1099, DB[samplingPoint], DB[noLocation])</f>
        <v>16-1-107</v>
      </c>
      <c r="F1099" s="40" t="str">
        <f t="array" ref="F1099">_xlfn.XLOOKUP($B1099, DB[samplingPoint], DB[building])</f>
        <v>Building 16</v>
      </c>
      <c r="G1099" s="40" t="str">
        <f t="array" ref="G1099">_xlfn.XLOOKUP($B1099, DB[samplingPoint], DB[location])</f>
        <v>COMPOUNDING-01</v>
      </c>
      <c r="H1099" s="39" t="str">
        <f t="array" ref="H1099">_xlfn.XLOOKUP($B1099, DB[samplingPoint], DB[waterType])</f>
        <v>WFI</v>
      </c>
      <c r="I1099" s="43">
        <f t="shared" si="10"/>
        <v>46046</v>
      </c>
      <c r="J1099" s="26">
        <v>46049.0</v>
      </c>
      <c r="K1099" s="32">
        <v>0.0</v>
      </c>
      <c r="L1099" s="32"/>
      <c r="M1099" s="32">
        <f t="shared" si="3"/>
        <v>0</v>
      </c>
      <c r="N1099" s="32" t="s">
        <v>376</v>
      </c>
      <c r="O1099" s="32">
        <v>10.0</v>
      </c>
      <c r="P1099" s="50" t="str">
        <f t="shared" si="6"/>
        <v>PASSED</v>
      </c>
      <c r="Q1099" s="50" t="str">
        <f t="shared" si="5"/>
        <v>16</v>
      </c>
    </row>
    <row r="1100" ht="22.5" customHeight="1">
      <c r="A1100" s="26">
        <v>46044.0</v>
      </c>
      <c r="B1100" s="39" t="s">
        <v>407</v>
      </c>
      <c r="C1100" s="32" t="str">
        <f t="array" ref="C1100">_xlfn.XLOOKUP(B1100, DB[samplingPoint], DB[samplingTag])</f>
        <v>POU HE216.02</v>
      </c>
      <c r="D1100" s="33" t="s">
        <v>371</v>
      </c>
      <c r="E1100" s="39" t="str">
        <f t="array" ref="E1100">_xlfn.XLOOKUP($B1100, DB[samplingPoint], DB[noLocation])</f>
        <v>16-1-107</v>
      </c>
      <c r="F1100" s="40" t="str">
        <f t="array" ref="F1100">_xlfn.XLOOKUP($B1100, DB[samplingPoint], DB[building])</f>
        <v>Building 16</v>
      </c>
      <c r="G1100" s="40" t="str">
        <f t="array" ref="G1100">_xlfn.XLOOKUP($B1100, DB[samplingPoint], DB[location])</f>
        <v>COMPOUNDING-01</v>
      </c>
      <c r="H1100" s="39" t="str">
        <f t="array" ref="H1100">_xlfn.XLOOKUP($B1100, DB[samplingPoint], DB[waterType])</f>
        <v>WFI</v>
      </c>
      <c r="I1100" s="43">
        <f t="shared" si="10"/>
        <v>46046</v>
      </c>
      <c r="J1100" s="26">
        <v>46049.0</v>
      </c>
      <c r="K1100" s="32">
        <v>22.0</v>
      </c>
      <c r="L1100" s="32"/>
      <c r="M1100" s="32">
        <f t="shared" si="3"/>
        <v>22</v>
      </c>
      <c r="N1100" s="32" t="s">
        <v>439</v>
      </c>
      <c r="O1100" s="32">
        <v>10.0</v>
      </c>
      <c r="P1100" s="50" t="str">
        <f t="shared" si="6"/>
        <v>NOT-PASSED</v>
      </c>
      <c r="Q1100" s="50" t="str">
        <f t="shared" si="5"/>
        <v>16</v>
      </c>
    </row>
    <row r="1101" ht="22.5" customHeight="1">
      <c r="A1101" s="26">
        <v>46045.0</v>
      </c>
      <c r="B1101" s="39" t="s">
        <v>377</v>
      </c>
      <c r="C1101" s="32" t="str">
        <f t="array" ref="C1101">_xlfn.XLOOKUP(B1101, DB[samplingPoint], DB[samplingTag])</f>
        <v>V12-4</v>
      </c>
      <c r="D1101" s="33" t="s">
        <v>371</v>
      </c>
      <c r="E1101" s="39" t="str">
        <f t="array" ref="E1101">_xlfn.XLOOKUP($B1101, DB[samplingPoint], DB[noLocation])</f>
        <v>16-2-010</v>
      </c>
      <c r="F1101" s="40" t="str">
        <f t="array" ref="F1101">_xlfn.XLOOKUP($B1101, DB[samplingPoint], DB[building])</f>
        <v>Building 16</v>
      </c>
      <c r="G1101" s="40" t="str">
        <f t="array" ref="G1101">_xlfn.XLOOKUP($B1101, DB[samplingPoint], DB[location])</f>
        <v>AFTER WFI GENERATOR</v>
      </c>
      <c r="H1101" s="39" t="str">
        <f t="array" ref="H1101">_xlfn.XLOOKUP($B1101, DB[samplingPoint], DB[waterType])</f>
        <v>WFI</v>
      </c>
      <c r="I1101" s="43">
        <f t="shared" ref="I1101:I1143" si="11">$A1101+1</f>
        <v>46046</v>
      </c>
      <c r="J1101" s="26">
        <v>46049.0</v>
      </c>
      <c r="K1101" s="32">
        <v>0.0</v>
      </c>
      <c r="L1101" s="32"/>
      <c r="M1101" s="32">
        <f t="shared" si="3"/>
        <v>0</v>
      </c>
      <c r="N1101" s="32" t="s">
        <v>376</v>
      </c>
      <c r="O1101" s="32">
        <v>10.0</v>
      </c>
      <c r="P1101" s="50" t="str">
        <f t="shared" si="6"/>
        <v>PASSED</v>
      </c>
      <c r="Q1101" s="50" t="str">
        <f t="shared" si="5"/>
        <v>16</v>
      </c>
    </row>
    <row r="1102" ht="22.5" customHeight="1">
      <c r="A1102" s="26">
        <v>46045.0</v>
      </c>
      <c r="B1102" s="39" t="s">
        <v>388</v>
      </c>
      <c r="C1102" s="32" t="str">
        <f t="array" ref="C1102">_xlfn.XLOOKUP(B1102, DB[samplingPoint], DB[samplingTag])</f>
        <v>SV217.01</v>
      </c>
      <c r="D1102" s="33" t="s">
        <v>371</v>
      </c>
      <c r="E1102" s="39" t="str">
        <f t="array" ref="E1102">_xlfn.XLOOKUP($B1102, DB[samplingPoint], DB[noLocation])</f>
        <v>16-2-010</v>
      </c>
      <c r="F1102" s="40" t="str">
        <f t="array" ref="F1102">_xlfn.XLOOKUP($B1102, DB[samplingPoint], DB[building])</f>
        <v>Building 16</v>
      </c>
      <c r="G1102" s="40" t="str">
        <f t="array" ref="G1102">_xlfn.XLOOKUP($B1102, DB[samplingPoint], DB[location])</f>
        <v>RETURN LOOP</v>
      </c>
      <c r="H1102" s="39" t="str">
        <f t="array" ref="H1102">_xlfn.XLOOKUP($B1102, DB[samplingPoint], DB[waterType])</f>
        <v>WFI</v>
      </c>
      <c r="I1102" s="43">
        <f t="shared" si="11"/>
        <v>46046</v>
      </c>
      <c r="J1102" s="26">
        <v>46049.0</v>
      </c>
      <c r="K1102" s="32">
        <v>0.0</v>
      </c>
      <c r="L1102" s="32"/>
      <c r="M1102" s="32">
        <f t="shared" si="3"/>
        <v>0</v>
      </c>
      <c r="N1102" s="32" t="s">
        <v>376</v>
      </c>
      <c r="O1102" s="32">
        <v>10.0</v>
      </c>
      <c r="P1102" s="50" t="str">
        <f t="shared" si="6"/>
        <v>PASSED</v>
      </c>
      <c r="Q1102" s="50" t="str">
        <f t="shared" si="5"/>
        <v>16</v>
      </c>
    </row>
    <row r="1103" ht="22.5" customHeight="1">
      <c r="A1103" s="26">
        <v>46045.0</v>
      </c>
      <c r="B1103" s="39" t="s">
        <v>367</v>
      </c>
      <c r="C1103" s="32" t="str">
        <f t="array" ref="C1103">_xlfn.XLOOKUP(B1103, DB[samplingPoint], DB[samplingTag])</f>
        <v>POU HE216.04</v>
      </c>
      <c r="D1103" s="33" t="s">
        <v>371</v>
      </c>
      <c r="E1103" s="39" t="str">
        <f t="array" ref="E1103">_xlfn.XLOOKUP($B1103, DB[samplingPoint], DB[noLocation])</f>
        <v>16-1-114</v>
      </c>
      <c r="F1103" s="40" t="str">
        <f t="array" ref="F1103">_xlfn.XLOOKUP($B1103, DB[samplingPoint], DB[building])</f>
        <v>Building 16</v>
      </c>
      <c r="G1103" s="40" t="str">
        <f t="array" ref="G1103">_xlfn.XLOOKUP($B1103, DB[samplingPoint], DB[location])</f>
        <v>COMPOUNDING-02</v>
      </c>
      <c r="H1103" s="39" t="str">
        <f t="array" ref="H1103">_xlfn.XLOOKUP($B1103, DB[samplingPoint], DB[waterType])</f>
        <v>WFI</v>
      </c>
      <c r="I1103" s="43">
        <f t="shared" si="11"/>
        <v>46046</v>
      </c>
      <c r="J1103" s="26">
        <v>46049.0</v>
      </c>
      <c r="K1103" s="32">
        <v>0.0</v>
      </c>
      <c r="L1103" s="32"/>
      <c r="M1103" s="32">
        <f t="shared" si="3"/>
        <v>0</v>
      </c>
      <c r="N1103" s="32" t="s">
        <v>376</v>
      </c>
      <c r="O1103" s="32">
        <v>10.0</v>
      </c>
      <c r="P1103" s="50" t="str">
        <f t="shared" si="6"/>
        <v>PASSED</v>
      </c>
      <c r="Q1103" s="50" t="str">
        <f t="shared" si="5"/>
        <v>16</v>
      </c>
    </row>
    <row r="1104" ht="22.5" customHeight="1">
      <c r="A1104" s="26">
        <v>46045.0</v>
      </c>
      <c r="B1104" s="39" t="s">
        <v>367</v>
      </c>
      <c r="C1104" s="32" t="str">
        <f t="array" ref="C1104">_xlfn.XLOOKUP(B1104, DB[samplingPoint], DB[samplingTag])</f>
        <v>POU HE216.04</v>
      </c>
      <c r="D1104" s="33" t="s">
        <v>371</v>
      </c>
      <c r="E1104" s="39" t="str">
        <f t="array" ref="E1104">_xlfn.XLOOKUP($B1104, DB[samplingPoint], DB[noLocation])</f>
        <v>16-1-114</v>
      </c>
      <c r="F1104" s="40" t="str">
        <f t="array" ref="F1104">_xlfn.XLOOKUP($B1104, DB[samplingPoint], DB[building])</f>
        <v>Building 16</v>
      </c>
      <c r="G1104" s="40" t="str">
        <f t="array" ref="G1104">_xlfn.XLOOKUP($B1104, DB[samplingPoint], DB[location])</f>
        <v>COMPOUNDING-02</v>
      </c>
      <c r="H1104" s="39" t="str">
        <f t="array" ref="H1104">_xlfn.XLOOKUP($B1104, DB[samplingPoint], DB[waterType])</f>
        <v>WFI</v>
      </c>
      <c r="I1104" s="43">
        <f t="shared" si="11"/>
        <v>46046</v>
      </c>
      <c r="J1104" s="26">
        <v>46049.0</v>
      </c>
      <c r="K1104" s="32">
        <v>13.0</v>
      </c>
      <c r="L1104" s="32"/>
      <c r="M1104" s="32">
        <f t="shared" si="3"/>
        <v>13</v>
      </c>
      <c r="N1104" s="32" t="s">
        <v>439</v>
      </c>
      <c r="O1104" s="32">
        <v>10.0</v>
      </c>
      <c r="P1104" s="50" t="str">
        <f t="shared" si="6"/>
        <v>NOT-PASSED</v>
      </c>
      <c r="Q1104" s="50" t="str">
        <f t="shared" si="5"/>
        <v>16</v>
      </c>
    </row>
    <row r="1105" ht="22.5" customHeight="1">
      <c r="A1105" s="26">
        <v>46045.0</v>
      </c>
      <c r="B1105" s="39" t="s">
        <v>372</v>
      </c>
      <c r="C1105" s="32" t="str">
        <f t="array" ref="C1105">_xlfn.XLOOKUP(B1105, DB[samplingPoint], DB[samplingTag])</f>
        <v>POU HE216.05</v>
      </c>
      <c r="D1105" s="33" t="s">
        <v>371</v>
      </c>
      <c r="E1105" s="39" t="str">
        <f t="array" ref="E1105">_xlfn.XLOOKUP($B1105, DB[samplingPoint], DB[noLocation])</f>
        <v>16-1-114</v>
      </c>
      <c r="F1105" s="40" t="str">
        <f t="array" ref="F1105">_xlfn.XLOOKUP($B1105, DB[samplingPoint], DB[building])</f>
        <v>Building 16</v>
      </c>
      <c r="G1105" s="40" t="str">
        <f t="array" ref="G1105">_xlfn.XLOOKUP($B1105, DB[samplingPoint], DB[location])</f>
        <v>COMPOUNDING-02</v>
      </c>
      <c r="H1105" s="39" t="str">
        <f t="array" ref="H1105">_xlfn.XLOOKUP($B1105, DB[samplingPoint], DB[waterType])</f>
        <v>WFI</v>
      </c>
      <c r="I1105" s="43">
        <f t="shared" si="11"/>
        <v>46046</v>
      </c>
      <c r="J1105" s="26">
        <v>46049.0</v>
      </c>
      <c r="K1105" s="32">
        <v>0.0</v>
      </c>
      <c r="L1105" s="32"/>
      <c r="M1105" s="32">
        <f t="shared" si="3"/>
        <v>0</v>
      </c>
      <c r="N1105" s="32" t="s">
        <v>376</v>
      </c>
      <c r="O1105" s="32">
        <v>10.0</v>
      </c>
      <c r="P1105" s="50" t="str">
        <f t="shared" si="6"/>
        <v>PASSED</v>
      </c>
      <c r="Q1105" s="50" t="str">
        <f t="shared" si="5"/>
        <v>16</v>
      </c>
    </row>
    <row r="1106" ht="22.5" customHeight="1">
      <c r="A1106" s="26">
        <v>46045.0</v>
      </c>
      <c r="B1106" s="39" t="s">
        <v>372</v>
      </c>
      <c r="C1106" s="32" t="str">
        <f t="array" ref="C1106">_xlfn.XLOOKUP(B1106, DB[samplingPoint], DB[samplingTag])</f>
        <v>POU HE216.05</v>
      </c>
      <c r="D1106" s="33" t="s">
        <v>371</v>
      </c>
      <c r="E1106" s="39" t="str">
        <f t="array" ref="E1106">_xlfn.XLOOKUP($B1106, DB[samplingPoint], DB[noLocation])</f>
        <v>16-1-114</v>
      </c>
      <c r="F1106" s="40" t="str">
        <f t="array" ref="F1106">_xlfn.XLOOKUP($B1106, DB[samplingPoint], DB[building])</f>
        <v>Building 16</v>
      </c>
      <c r="G1106" s="40" t="str">
        <f t="array" ref="G1106">_xlfn.XLOOKUP($B1106, DB[samplingPoint], DB[location])</f>
        <v>COMPOUNDING-02</v>
      </c>
      <c r="H1106" s="39" t="str">
        <f t="array" ref="H1106">_xlfn.XLOOKUP($B1106, DB[samplingPoint], DB[waterType])</f>
        <v>WFI</v>
      </c>
      <c r="I1106" s="43">
        <f t="shared" si="11"/>
        <v>46046</v>
      </c>
      <c r="J1106" s="26">
        <v>46049.0</v>
      </c>
      <c r="K1106" s="32">
        <v>0.0</v>
      </c>
      <c r="L1106" s="32"/>
      <c r="M1106" s="32">
        <f t="shared" si="3"/>
        <v>0</v>
      </c>
      <c r="N1106" s="32" t="s">
        <v>439</v>
      </c>
      <c r="O1106" s="32">
        <v>10.0</v>
      </c>
      <c r="P1106" s="50" t="str">
        <f t="shared" si="6"/>
        <v>PASSED</v>
      </c>
      <c r="Q1106" s="50" t="str">
        <f t="shared" si="5"/>
        <v>16</v>
      </c>
    </row>
    <row r="1107" ht="22.5" customHeight="1">
      <c r="A1107" s="26">
        <v>46049.0</v>
      </c>
      <c r="B1107" s="39" t="s">
        <v>435</v>
      </c>
      <c r="C1107" s="32" t="str">
        <f t="array" ref="C1107">_xlfn.XLOOKUP(B1107, DB[samplingPoint], DB[samplingTag])</f>
        <v>SV133.01</v>
      </c>
      <c r="D1107" s="33" t="s">
        <v>59</v>
      </c>
      <c r="E1107" s="39" t="str">
        <f t="array" ref="E1107">_xlfn.XLOOKUP($B1107, DB[samplingPoint], DB[noLocation])</f>
        <v>WATER SYSTEM (B12)</v>
      </c>
      <c r="F1107" s="40" t="str">
        <f t="array" ref="F1107">_xlfn.XLOOKUP($B1107, DB[samplingPoint], DB[building])</f>
        <v>Building 12</v>
      </c>
      <c r="G1107" s="40" t="str">
        <f t="array" ref="G1107">_xlfn.XLOOKUP($B1107, DB[samplingPoint], DB[location])</f>
        <v>After Storage tank (B12)</v>
      </c>
      <c r="H1107" s="39" t="str">
        <f t="array" ref="H1107">_xlfn.XLOOKUP($B1107, DB[samplingPoint], DB[waterType])</f>
        <v>PW</v>
      </c>
      <c r="I1107" s="43">
        <f t="shared" si="11"/>
        <v>46050</v>
      </c>
      <c r="J1107" s="26">
        <v>46055.0</v>
      </c>
      <c r="K1107" s="32">
        <v>0.0</v>
      </c>
      <c r="L1107" s="32">
        <v>0.0</v>
      </c>
      <c r="M1107" s="32">
        <f t="shared" si="3"/>
        <v>0</v>
      </c>
      <c r="N1107" s="32" t="s">
        <v>376</v>
      </c>
      <c r="O1107" s="32">
        <v>100.0</v>
      </c>
      <c r="P1107" s="50" t="str">
        <f t="shared" si="6"/>
        <v>PASSED</v>
      </c>
      <c r="Q1107" s="50" t="str">
        <f t="shared" si="5"/>
        <v>WA</v>
      </c>
    </row>
    <row r="1108" ht="22.5" customHeight="1">
      <c r="A1108" s="26">
        <v>46049.0</v>
      </c>
      <c r="B1108" s="39" t="s">
        <v>438</v>
      </c>
      <c r="C1108" s="32" t="str">
        <f t="array" ref="C1108">_xlfn.XLOOKUP(B1108, DB[samplingPoint], DB[samplingTag])</f>
        <v>SV135.02</v>
      </c>
      <c r="D1108" s="33" t="s">
        <v>59</v>
      </c>
      <c r="E1108" s="39" t="str">
        <f t="array" ref="E1108">_xlfn.XLOOKUP($B1108, DB[samplingPoint], DB[noLocation])</f>
        <v>WATER SYSTEM (B12)</v>
      </c>
      <c r="F1108" s="40" t="str">
        <f t="array" ref="F1108">_xlfn.XLOOKUP($B1108, DB[samplingPoint], DB[building])</f>
        <v>Building 12</v>
      </c>
      <c r="G1108" s="40" t="str">
        <f t="array" ref="G1108">_xlfn.XLOOKUP($B1108, DB[samplingPoint], DB[location])</f>
        <v>After UV (B12)</v>
      </c>
      <c r="H1108" s="39" t="str">
        <f t="array" ref="H1108">_xlfn.XLOOKUP($B1108, DB[samplingPoint], DB[waterType])</f>
        <v>PW</v>
      </c>
      <c r="I1108" s="43">
        <f t="shared" si="11"/>
        <v>46050</v>
      </c>
      <c r="J1108" s="26">
        <v>46055.0</v>
      </c>
      <c r="K1108" s="32">
        <v>0.0</v>
      </c>
      <c r="L1108" s="32">
        <v>0.0</v>
      </c>
      <c r="M1108" s="32">
        <f t="shared" si="3"/>
        <v>0</v>
      </c>
      <c r="N1108" s="32" t="s">
        <v>376</v>
      </c>
      <c r="O1108" s="32">
        <v>100.0</v>
      </c>
      <c r="P1108" s="50" t="str">
        <f t="shared" si="6"/>
        <v>PASSED</v>
      </c>
      <c r="Q1108" s="50" t="str">
        <f t="shared" si="5"/>
        <v>WA</v>
      </c>
    </row>
    <row r="1109" ht="22.5" customHeight="1">
      <c r="A1109" s="26">
        <v>46049.0</v>
      </c>
      <c r="B1109" s="39" t="s">
        <v>430</v>
      </c>
      <c r="C1109" s="32" t="str">
        <f t="array" ref="C1109">_xlfn.XLOOKUP(B1109, DB[samplingPoint], DB[samplingTag])</f>
        <v>SV137.01</v>
      </c>
      <c r="D1109" s="33" t="s">
        <v>59</v>
      </c>
      <c r="E1109" s="39" t="str">
        <f t="array" ref="E1109">_xlfn.XLOOKUP($B1109, DB[samplingPoint], DB[noLocation])</f>
        <v>WATER SYSTEM (B12)</v>
      </c>
      <c r="F1109" s="40" t="str">
        <f t="array" ref="F1109">_xlfn.XLOOKUP($B1109, DB[samplingPoint], DB[building])</f>
        <v>Building 12</v>
      </c>
      <c r="G1109" s="40" t="str">
        <f t="array" ref="G1109">_xlfn.XLOOKUP($B1109, DB[samplingPoint], DB[location])</f>
        <v>Return loop (B12)</v>
      </c>
      <c r="H1109" s="39" t="str">
        <f t="array" ref="H1109">_xlfn.XLOOKUP($B1109, DB[samplingPoint], DB[waterType])</f>
        <v>PW</v>
      </c>
      <c r="I1109" s="43">
        <f t="shared" si="11"/>
        <v>46050</v>
      </c>
      <c r="J1109" s="26">
        <v>46055.0</v>
      </c>
      <c r="K1109" s="32">
        <v>0.0</v>
      </c>
      <c r="L1109" s="32">
        <v>0.0</v>
      </c>
      <c r="M1109" s="32">
        <f t="shared" si="3"/>
        <v>0</v>
      </c>
      <c r="N1109" s="32" t="s">
        <v>376</v>
      </c>
      <c r="O1109" s="32">
        <v>100.0</v>
      </c>
      <c r="P1109" s="50" t="str">
        <f t="shared" si="6"/>
        <v>PASSED</v>
      </c>
      <c r="Q1109" s="50" t="str">
        <f t="shared" si="5"/>
        <v>WA</v>
      </c>
    </row>
    <row r="1110" ht="22.5" customHeight="1">
      <c r="A1110" s="26">
        <v>46049.0</v>
      </c>
      <c r="B1110" s="39" t="s">
        <v>443</v>
      </c>
      <c r="C1110" s="32" t="str">
        <f t="array" ref="C1110">_xlfn.XLOOKUP(B1110, DB[samplingPoint], DB[samplingTag])</f>
        <v>SV136.09</v>
      </c>
      <c r="D1110" s="33" t="s">
        <v>59</v>
      </c>
      <c r="E1110" s="39" t="str">
        <f t="array" ref="E1110">_xlfn.XLOOKUP($B1110, DB[samplingPoint], DB[noLocation])</f>
        <v>12-2-039</v>
      </c>
      <c r="F1110" s="40" t="str">
        <f t="array" ref="F1110">_xlfn.XLOOKUP($B1110, DB[samplingPoint], DB[building])</f>
        <v>Building 12</v>
      </c>
      <c r="G1110" s="40" t="str">
        <f t="array" ref="G1110">_xlfn.XLOOKUP($B1110, DB[samplingPoint], DB[location])</f>
        <v>MFG 1</v>
      </c>
      <c r="H1110" s="39" t="str">
        <f t="array" ref="H1110">_xlfn.XLOOKUP($B1110, DB[samplingPoint], DB[waterType])</f>
        <v>PW</v>
      </c>
      <c r="I1110" s="43">
        <f t="shared" si="11"/>
        <v>46050</v>
      </c>
      <c r="J1110" s="26">
        <v>46055.0</v>
      </c>
      <c r="K1110" s="32">
        <v>0.0</v>
      </c>
      <c r="L1110" s="32">
        <v>0.0</v>
      </c>
      <c r="M1110" s="32">
        <f t="shared" si="3"/>
        <v>0</v>
      </c>
      <c r="N1110" s="32" t="s">
        <v>376</v>
      </c>
      <c r="O1110" s="32">
        <v>100.0</v>
      </c>
      <c r="P1110" s="50" t="str">
        <f t="shared" si="6"/>
        <v>PASSED</v>
      </c>
      <c r="Q1110" s="50" t="str">
        <f t="shared" si="5"/>
        <v>12</v>
      </c>
    </row>
    <row r="1111" ht="22.5" customHeight="1">
      <c r="A1111" s="26">
        <v>46049.0</v>
      </c>
      <c r="B1111" s="39" t="s">
        <v>445</v>
      </c>
      <c r="C1111" s="32" t="str">
        <f t="array" ref="C1111">_xlfn.XLOOKUP(B1111, DB[samplingPoint], DB[samplingTag])</f>
        <v>SV136.10</v>
      </c>
      <c r="D1111" s="33" t="s">
        <v>59</v>
      </c>
      <c r="E1111" s="39" t="str">
        <f t="array" ref="E1111">_xlfn.XLOOKUP($B1111, DB[samplingPoint], DB[noLocation])</f>
        <v>12-2-041</v>
      </c>
      <c r="F1111" s="40" t="str">
        <f t="array" ref="F1111">_xlfn.XLOOKUP($B1111, DB[samplingPoint], DB[building])</f>
        <v>Building 12</v>
      </c>
      <c r="G1111" s="40" t="str">
        <f t="array" ref="G1111">_xlfn.XLOOKUP($B1111, DB[samplingPoint], DB[location])</f>
        <v>MFG 2</v>
      </c>
      <c r="H1111" s="39" t="str">
        <f t="array" ref="H1111">_xlfn.XLOOKUP($B1111, DB[samplingPoint], DB[waterType])</f>
        <v>PW</v>
      </c>
      <c r="I1111" s="43">
        <f t="shared" si="11"/>
        <v>46050</v>
      </c>
      <c r="J1111" s="26">
        <v>46055.0</v>
      </c>
      <c r="K1111" s="32">
        <v>0.0</v>
      </c>
      <c r="L1111" s="32">
        <v>0.0</v>
      </c>
      <c r="M1111" s="32">
        <f t="shared" si="3"/>
        <v>0</v>
      </c>
      <c r="N1111" s="32" t="s">
        <v>376</v>
      </c>
      <c r="O1111" s="32">
        <v>100.0</v>
      </c>
      <c r="P1111" s="50" t="str">
        <f t="shared" si="6"/>
        <v>PASSED</v>
      </c>
      <c r="Q1111" s="50" t="str">
        <f t="shared" si="5"/>
        <v>12</v>
      </c>
    </row>
    <row r="1112" ht="22.5" customHeight="1">
      <c r="A1112" s="26">
        <v>46049.0</v>
      </c>
      <c r="B1112" s="39" t="s">
        <v>449</v>
      </c>
      <c r="C1112" s="32" t="str">
        <f t="array" ref="C1112">_xlfn.XLOOKUP(B1112, DB[samplingPoint], DB[samplingTag])</f>
        <v>SV136.11</v>
      </c>
      <c r="D1112" s="33" t="s">
        <v>59</v>
      </c>
      <c r="E1112" s="39" t="str">
        <f t="array" ref="E1112">_xlfn.XLOOKUP($B1112, DB[samplingPoint], DB[noLocation])</f>
        <v>12-2-043</v>
      </c>
      <c r="F1112" s="40" t="str">
        <f t="array" ref="F1112">_xlfn.XLOOKUP($B1112, DB[samplingPoint], DB[building])</f>
        <v>Building 12</v>
      </c>
      <c r="G1112" s="40" t="str">
        <f t="array" ref="G1112">_xlfn.XLOOKUP($B1112, DB[samplingPoint], DB[location])</f>
        <v>MFG 3</v>
      </c>
      <c r="H1112" s="39" t="str">
        <f t="array" ref="H1112">_xlfn.XLOOKUP($B1112, DB[samplingPoint], DB[waterType])</f>
        <v>PW</v>
      </c>
      <c r="I1112" s="43">
        <f t="shared" si="11"/>
        <v>46050</v>
      </c>
      <c r="J1112" s="26">
        <v>46055.0</v>
      </c>
      <c r="K1112" s="32">
        <v>0.0</v>
      </c>
      <c r="L1112" s="32">
        <v>0.0</v>
      </c>
      <c r="M1112" s="32">
        <f t="shared" si="3"/>
        <v>0</v>
      </c>
      <c r="N1112" s="32" t="s">
        <v>376</v>
      </c>
      <c r="O1112" s="32">
        <v>100.0</v>
      </c>
      <c r="P1112" s="50" t="str">
        <f t="shared" si="6"/>
        <v>PASSED</v>
      </c>
      <c r="Q1112" s="50" t="str">
        <f t="shared" si="5"/>
        <v>12</v>
      </c>
    </row>
    <row r="1113" ht="22.5" customHeight="1">
      <c r="A1113" s="26">
        <v>46049.0</v>
      </c>
      <c r="B1113" s="39" t="s">
        <v>453</v>
      </c>
      <c r="C1113" s="32" t="str">
        <f t="array" ref="C1113">_xlfn.XLOOKUP(B1113, DB[samplingPoint], DB[samplingTag])</f>
        <v>SV136.13</v>
      </c>
      <c r="D1113" s="33" t="s">
        <v>59</v>
      </c>
      <c r="E1113" s="39" t="str">
        <f t="array" ref="E1113">_xlfn.XLOOKUP($B1113, DB[samplingPoint], DB[noLocation])</f>
        <v>12-2-043</v>
      </c>
      <c r="F1113" s="40" t="str">
        <f t="array" ref="F1113">_xlfn.XLOOKUP($B1113, DB[samplingPoint], DB[building])</f>
        <v>Building 12</v>
      </c>
      <c r="G1113" s="40" t="str">
        <f t="array" ref="G1113">_xlfn.XLOOKUP($B1113, DB[samplingPoint], DB[location])</f>
        <v>MFG 3</v>
      </c>
      <c r="H1113" s="39" t="str">
        <f t="array" ref="H1113">_xlfn.XLOOKUP($B1113, DB[samplingPoint], DB[waterType])</f>
        <v>PW</v>
      </c>
      <c r="I1113" s="43">
        <f t="shared" si="11"/>
        <v>46050</v>
      </c>
      <c r="J1113" s="26">
        <v>46055.0</v>
      </c>
      <c r="K1113" s="32">
        <v>0.0</v>
      </c>
      <c r="L1113" s="32">
        <v>0.0</v>
      </c>
      <c r="M1113" s="32">
        <f t="shared" si="3"/>
        <v>0</v>
      </c>
      <c r="N1113" s="32" t="s">
        <v>376</v>
      </c>
      <c r="O1113" s="32">
        <v>100.0</v>
      </c>
      <c r="P1113" s="50" t="str">
        <f t="shared" si="6"/>
        <v>PASSED</v>
      </c>
      <c r="Q1113" s="50" t="str">
        <f t="shared" si="5"/>
        <v>12</v>
      </c>
    </row>
    <row r="1114" ht="22.5" customHeight="1">
      <c r="A1114" s="26">
        <v>46049.0</v>
      </c>
      <c r="B1114" s="39" t="s">
        <v>455</v>
      </c>
      <c r="C1114" s="32" t="str">
        <f t="array" ref="C1114">_xlfn.XLOOKUP(B1114, DB[samplingPoint], DB[samplingTag])</f>
        <v>SV136.08</v>
      </c>
      <c r="D1114" s="33" t="s">
        <v>59</v>
      </c>
      <c r="E1114" s="39" t="str">
        <f t="array" ref="E1114">_xlfn.XLOOKUP($B1114, DB[samplingPoint], DB[noLocation])</f>
        <v>12-2-043</v>
      </c>
      <c r="F1114" s="40" t="str">
        <f t="array" ref="F1114">_xlfn.XLOOKUP($B1114, DB[samplingPoint], DB[building])</f>
        <v>Building 12</v>
      </c>
      <c r="G1114" s="40" t="str">
        <f t="array" ref="G1114">_xlfn.XLOOKUP($B1114, DB[samplingPoint], DB[location])</f>
        <v>MFG 3</v>
      </c>
      <c r="H1114" s="39" t="str">
        <f t="array" ref="H1114">_xlfn.XLOOKUP($B1114, DB[samplingPoint], DB[waterType])</f>
        <v>PW</v>
      </c>
      <c r="I1114" s="43">
        <f t="shared" si="11"/>
        <v>46050</v>
      </c>
      <c r="J1114" s="26">
        <v>46055.0</v>
      </c>
      <c r="K1114" s="32">
        <v>0.0</v>
      </c>
      <c r="L1114" s="32">
        <v>0.0</v>
      </c>
      <c r="M1114" s="32">
        <f t="shared" si="3"/>
        <v>0</v>
      </c>
      <c r="N1114" s="32" t="s">
        <v>376</v>
      </c>
      <c r="O1114" s="32">
        <v>100.0</v>
      </c>
      <c r="P1114" s="50" t="str">
        <f t="shared" si="6"/>
        <v>PASSED</v>
      </c>
      <c r="Q1114" s="50" t="str">
        <f t="shared" si="5"/>
        <v>12</v>
      </c>
    </row>
    <row r="1115" ht="22.5" customHeight="1">
      <c r="A1115" s="26">
        <v>46049.0</v>
      </c>
      <c r="B1115" s="39" t="s">
        <v>458</v>
      </c>
      <c r="C1115" s="32" t="str">
        <f t="array" ref="C1115">_xlfn.XLOOKUP(B1115, DB[samplingPoint], DB[samplingTag])</f>
        <v>SV136.14</v>
      </c>
      <c r="D1115" s="33" t="s">
        <v>59</v>
      </c>
      <c r="E1115" s="39" t="str">
        <f t="array" ref="E1115">_xlfn.XLOOKUP($B1115, DB[samplingPoint], DB[noLocation])</f>
        <v>12-2-045</v>
      </c>
      <c r="F1115" s="40" t="str">
        <f t="array" ref="F1115">_xlfn.XLOOKUP($B1115, DB[samplingPoint], DB[building])</f>
        <v>Building 12</v>
      </c>
      <c r="G1115" s="40" t="str">
        <f t="array" ref="G1115">_xlfn.XLOOKUP($B1115, DB[samplingPoint], DB[location])</f>
        <v>MFG 4</v>
      </c>
      <c r="H1115" s="39" t="str">
        <f t="array" ref="H1115">_xlfn.XLOOKUP($B1115, DB[samplingPoint], DB[waterType])</f>
        <v>PW</v>
      </c>
      <c r="I1115" s="43">
        <f t="shared" si="11"/>
        <v>46050</v>
      </c>
      <c r="J1115" s="26">
        <v>46055.0</v>
      </c>
      <c r="K1115" s="32">
        <v>0.0</v>
      </c>
      <c r="L1115" s="32">
        <v>0.0</v>
      </c>
      <c r="M1115" s="32">
        <f t="shared" si="3"/>
        <v>0</v>
      </c>
      <c r="N1115" s="32" t="s">
        <v>376</v>
      </c>
      <c r="O1115" s="32">
        <v>100.0</v>
      </c>
      <c r="P1115" s="50" t="str">
        <f t="shared" si="6"/>
        <v>PASSED</v>
      </c>
      <c r="Q1115" s="50" t="str">
        <f t="shared" si="5"/>
        <v>12</v>
      </c>
    </row>
    <row r="1116" ht="22.5" customHeight="1">
      <c r="A1116" s="26">
        <v>46049.0</v>
      </c>
      <c r="B1116" s="39" t="s">
        <v>460</v>
      </c>
      <c r="C1116" s="32" t="str">
        <f t="array" ref="C1116">_xlfn.XLOOKUP(B1116, DB[samplingPoint], DB[samplingTag])</f>
        <v>SV136.02</v>
      </c>
      <c r="D1116" s="33" t="s">
        <v>59</v>
      </c>
      <c r="E1116" s="39" t="str">
        <f t="array" ref="E1116">_xlfn.XLOOKUP($B1116, DB[samplingPoint], DB[noLocation])</f>
        <v>12-2-024</v>
      </c>
      <c r="F1116" s="40" t="str">
        <f t="array" ref="F1116">_xlfn.XLOOKUP($B1116, DB[samplingPoint], DB[building])</f>
        <v>Building 12</v>
      </c>
      <c r="G1116" s="40" t="str">
        <f t="array" ref="G1116">_xlfn.XLOOKUP($B1116, DB[samplingPoint], DB[location])</f>
        <v>LIQUORICE EXTRACT</v>
      </c>
      <c r="H1116" s="39" t="str">
        <f t="array" ref="H1116">_xlfn.XLOOKUP($B1116, DB[samplingPoint], DB[waterType])</f>
        <v>PW</v>
      </c>
      <c r="I1116" s="43">
        <f t="shared" si="11"/>
        <v>46050</v>
      </c>
      <c r="J1116" s="26">
        <v>46055.0</v>
      </c>
      <c r="K1116" s="32">
        <v>0.0</v>
      </c>
      <c r="L1116" s="32">
        <v>0.0</v>
      </c>
      <c r="M1116" s="32">
        <f t="shared" si="3"/>
        <v>0</v>
      </c>
      <c r="N1116" s="32" t="s">
        <v>376</v>
      </c>
      <c r="O1116" s="32">
        <v>100.0</v>
      </c>
      <c r="P1116" s="50" t="str">
        <f t="shared" si="6"/>
        <v>PASSED</v>
      </c>
      <c r="Q1116" s="50" t="str">
        <f t="shared" si="5"/>
        <v>12</v>
      </c>
    </row>
    <row r="1117" ht="22.5" customHeight="1">
      <c r="A1117" s="26">
        <v>46049.0</v>
      </c>
      <c r="B1117" s="39" t="s">
        <v>463</v>
      </c>
      <c r="C1117" s="32" t="str">
        <f t="array" ref="C1117">_xlfn.XLOOKUP(B1117, DB[samplingPoint], DB[samplingTag])</f>
        <v>DV136.08</v>
      </c>
      <c r="D1117" s="33" t="s">
        <v>59</v>
      </c>
      <c r="E1117" s="39" t="str">
        <f t="array" ref="E1117">_xlfn.XLOOKUP($B1117, DB[samplingPoint], DB[noLocation])</f>
        <v>12-3-042</v>
      </c>
      <c r="F1117" s="40" t="str">
        <f t="array" ref="F1117">_xlfn.XLOOKUP($B1117, DB[samplingPoint], DB[building])</f>
        <v>Building 12</v>
      </c>
      <c r="G1117" s="40" t="str">
        <f t="array" ref="G1117">_xlfn.XLOOKUP($B1117, DB[samplingPoint], DB[location])</f>
        <v>SAMPLE PREPARATION</v>
      </c>
      <c r="H1117" s="39" t="str">
        <f t="array" ref="H1117">_xlfn.XLOOKUP($B1117, DB[samplingPoint], DB[waterType])</f>
        <v>PW</v>
      </c>
      <c r="I1117" s="43">
        <f t="shared" si="11"/>
        <v>46050</v>
      </c>
      <c r="J1117" s="26">
        <v>46055.0</v>
      </c>
      <c r="K1117" s="32">
        <v>0.0</v>
      </c>
      <c r="L1117" s="32">
        <v>0.0</v>
      </c>
      <c r="M1117" s="32">
        <f t="shared" si="3"/>
        <v>0</v>
      </c>
      <c r="N1117" s="32" t="s">
        <v>376</v>
      </c>
      <c r="O1117" s="32">
        <v>100.0</v>
      </c>
      <c r="P1117" s="50" t="str">
        <f t="shared" si="6"/>
        <v>PASSED</v>
      </c>
      <c r="Q1117" s="50" t="str">
        <f t="shared" si="5"/>
        <v>12</v>
      </c>
    </row>
    <row r="1118" ht="22.5" customHeight="1">
      <c r="A1118" s="26">
        <v>46049.0</v>
      </c>
      <c r="B1118" s="39" t="s">
        <v>465</v>
      </c>
      <c r="C1118" s="32" t="str">
        <f t="array" ref="C1118">_xlfn.XLOOKUP(B1118, DB[samplingPoint], DB[samplingTag])</f>
        <v>DV136.09</v>
      </c>
      <c r="D1118" s="33" t="s">
        <v>59</v>
      </c>
      <c r="E1118" s="39" t="str">
        <f t="array" ref="E1118">_xlfn.XLOOKUP($B1118, DB[samplingPoint], DB[noLocation])</f>
        <v>12-3-042</v>
      </c>
      <c r="F1118" s="40" t="str">
        <f t="array" ref="F1118">_xlfn.XLOOKUP($B1118, DB[samplingPoint], DB[building])</f>
        <v>Building 12</v>
      </c>
      <c r="G1118" s="40" t="str">
        <f t="array" ref="G1118">_xlfn.XLOOKUP($B1118, DB[samplingPoint], DB[location])</f>
        <v>SAMPLE PREPARATION</v>
      </c>
      <c r="H1118" s="39" t="str">
        <f t="array" ref="H1118">_xlfn.XLOOKUP($B1118, DB[samplingPoint], DB[waterType])</f>
        <v>PW</v>
      </c>
      <c r="I1118" s="43">
        <f t="shared" si="11"/>
        <v>46050</v>
      </c>
      <c r="J1118" s="26">
        <v>46055.0</v>
      </c>
      <c r="K1118" s="32">
        <v>0.0</v>
      </c>
      <c r="L1118" s="32">
        <v>0.0</v>
      </c>
      <c r="M1118" s="32">
        <f t="shared" si="3"/>
        <v>0</v>
      </c>
      <c r="N1118" s="32" t="s">
        <v>376</v>
      </c>
      <c r="O1118" s="32">
        <v>100.0</v>
      </c>
      <c r="P1118" s="50" t="str">
        <f t="shared" si="6"/>
        <v>PASSED</v>
      </c>
      <c r="Q1118" s="50" t="str">
        <f t="shared" si="5"/>
        <v>12</v>
      </c>
    </row>
    <row r="1119" ht="22.5" customHeight="1">
      <c r="A1119" s="26">
        <v>46049.0</v>
      </c>
      <c r="B1119" s="39" t="s">
        <v>467</v>
      </c>
      <c r="C1119" s="32" t="str">
        <f t="array" ref="C1119">_xlfn.XLOOKUP(B1119, DB[samplingPoint], DB[samplingTag])</f>
        <v>SV123.01</v>
      </c>
      <c r="D1119" s="33" t="s">
        <v>59</v>
      </c>
      <c r="E1119" s="39" t="str">
        <f t="array" ref="E1119">_xlfn.XLOOKUP($B1119, DB[samplingPoint], DB[noLocation])</f>
        <v>WATER SYSTEM (B16)</v>
      </c>
      <c r="F1119" s="40" t="str">
        <f t="array" ref="F1119">_xlfn.XLOOKUP($B1119, DB[samplingPoint], DB[building])</f>
        <v>Building 16</v>
      </c>
      <c r="G1119" s="40" t="str">
        <f t="array" ref="G1119">_xlfn.XLOOKUP($B1119, DB[samplingPoint], DB[location])</f>
        <v>After Storage tank (B16)</v>
      </c>
      <c r="H1119" s="39" t="str">
        <f t="array" ref="H1119">_xlfn.XLOOKUP($B1119, DB[samplingPoint], DB[waterType])</f>
        <v>PW</v>
      </c>
      <c r="I1119" s="43">
        <f t="shared" si="11"/>
        <v>46050</v>
      </c>
      <c r="J1119" s="26">
        <v>46055.0</v>
      </c>
      <c r="K1119" s="32">
        <v>0.0</v>
      </c>
      <c r="L1119" s="32">
        <v>0.0</v>
      </c>
      <c r="M1119" s="32">
        <f t="shared" si="3"/>
        <v>0</v>
      </c>
      <c r="N1119" s="32" t="s">
        <v>376</v>
      </c>
      <c r="O1119" s="32">
        <v>100.0</v>
      </c>
      <c r="P1119" s="50" t="str">
        <f t="shared" si="6"/>
        <v>PASSED</v>
      </c>
      <c r="Q1119" s="50" t="str">
        <f t="shared" si="5"/>
        <v>WA</v>
      </c>
    </row>
    <row r="1120" ht="22.5" customHeight="1">
      <c r="A1120" s="26">
        <v>46049.0</v>
      </c>
      <c r="B1120" s="39" t="s">
        <v>469</v>
      </c>
      <c r="C1120" s="32" t="str">
        <f t="array" ref="C1120">_xlfn.XLOOKUP(B1120, DB[samplingPoint], DB[samplingTag])</f>
        <v>SV125.02</v>
      </c>
      <c r="D1120" s="33" t="s">
        <v>59</v>
      </c>
      <c r="E1120" s="39" t="str">
        <f t="array" ref="E1120">_xlfn.XLOOKUP($B1120, DB[samplingPoint], DB[noLocation])</f>
        <v>WATER SYSTEM (B16)</v>
      </c>
      <c r="F1120" s="40" t="str">
        <f t="array" ref="F1120">_xlfn.XLOOKUP($B1120, DB[samplingPoint], DB[building])</f>
        <v>Building 16</v>
      </c>
      <c r="G1120" s="40" t="str">
        <f t="array" ref="G1120">_xlfn.XLOOKUP($B1120, DB[samplingPoint], DB[location])</f>
        <v>After UV (B16)</v>
      </c>
      <c r="H1120" s="39" t="str">
        <f t="array" ref="H1120">_xlfn.XLOOKUP($B1120, DB[samplingPoint], DB[waterType])</f>
        <v>PW</v>
      </c>
      <c r="I1120" s="43">
        <f t="shared" si="11"/>
        <v>46050</v>
      </c>
      <c r="J1120" s="26">
        <v>46055.0</v>
      </c>
      <c r="K1120" s="32">
        <v>0.0</v>
      </c>
      <c r="L1120" s="32">
        <v>0.0</v>
      </c>
      <c r="M1120" s="32">
        <f t="shared" si="3"/>
        <v>0</v>
      </c>
      <c r="N1120" s="32" t="s">
        <v>376</v>
      </c>
      <c r="O1120" s="32">
        <v>100.0</v>
      </c>
      <c r="P1120" s="50" t="str">
        <f t="shared" si="6"/>
        <v>PASSED</v>
      </c>
      <c r="Q1120" s="50" t="str">
        <f t="shared" si="5"/>
        <v>WA</v>
      </c>
    </row>
    <row r="1121" ht="22.5" customHeight="1">
      <c r="A1121" s="26">
        <v>46049.0</v>
      </c>
      <c r="B1121" s="39" t="s">
        <v>464</v>
      </c>
      <c r="C1121" s="32" t="str">
        <f t="array" ref="C1121">_xlfn.XLOOKUP(B1121, DB[samplingPoint], DB[samplingTag])</f>
        <v>SV127.01</v>
      </c>
      <c r="D1121" s="33" t="s">
        <v>59</v>
      </c>
      <c r="E1121" s="39" t="str">
        <f t="array" ref="E1121">_xlfn.XLOOKUP($B1121, DB[samplingPoint], DB[noLocation])</f>
        <v>WATER SYSTEM (B16)</v>
      </c>
      <c r="F1121" s="40" t="str">
        <f t="array" ref="F1121">_xlfn.XLOOKUP($B1121, DB[samplingPoint], DB[building])</f>
        <v>Building 16</v>
      </c>
      <c r="G1121" s="40" t="str">
        <f t="array" ref="G1121">_xlfn.XLOOKUP($B1121, DB[samplingPoint], DB[location])</f>
        <v>Return loop (B16)</v>
      </c>
      <c r="H1121" s="39" t="str">
        <f t="array" ref="H1121">_xlfn.XLOOKUP($B1121, DB[samplingPoint], DB[waterType])</f>
        <v>PW</v>
      </c>
      <c r="I1121" s="43">
        <f t="shared" si="11"/>
        <v>46050</v>
      </c>
      <c r="J1121" s="26">
        <v>46055.0</v>
      </c>
      <c r="K1121" s="32">
        <v>0.0</v>
      </c>
      <c r="L1121" s="32">
        <v>0.0</v>
      </c>
      <c r="M1121" s="32">
        <f t="shared" si="3"/>
        <v>0</v>
      </c>
      <c r="N1121" s="32" t="s">
        <v>376</v>
      </c>
      <c r="O1121" s="32">
        <v>100.0</v>
      </c>
      <c r="P1121" s="50" t="str">
        <f t="shared" si="6"/>
        <v>PASSED</v>
      </c>
      <c r="Q1121" s="50" t="str">
        <f t="shared" si="5"/>
        <v>WA</v>
      </c>
    </row>
    <row r="1122" ht="22.5" customHeight="1">
      <c r="A1122" s="26">
        <v>46049.0</v>
      </c>
      <c r="B1122" s="39" t="s">
        <v>553</v>
      </c>
      <c r="C1122" s="32" t="str">
        <f t="array" ref="C1122">_xlfn.XLOOKUP(B1122, DB[samplingPoint], DB[samplingTag])</f>
        <v>DV126.10</v>
      </c>
      <c r="D1122" s="33" t="s">
        <v>59</v>
      </c>
      <c r="E1122" s="39" t="str">
        <f t="array" ref="E1122">_xlfn.XLOOKUP($B1122, DB[samplingPoint], DB[noLocation])</f>
        <v>16-3-069</v>
      </c>
      <c r="F1122" s="40" t="str">
        <f t="array" ref="F1122">_xlfn.XLOOKUP($B1122, DB[samplingPoint], DB[building])</f>
        <v>Building 16</v>
      </c>
      <c r="G1122" s="40" t="str">
        <f t="array" ref="G1122">_xlfn.XLOOKUP($B1122, DB[samplingPoint], DB[location])</f>
        <v>MFG 2</v>
      </c>
      <c r="H1122" s="39" t="str">
        <f t="array" ref="H1122">_xlfn.XLOOKUP($B1122, DB[samplingPoint], DB[waterType])</f>
        <v>PW</v>
      </c>
      <c r="I1122" s="43">
        <f t="shared" si="11"/>
        <v>46050</v>
      </c>
      <c r="J1122" s="26">
        <v>46055.0</v>
      </c>
      <c r="K1122" s="32">
        <v>1.0</v>
      </c>
      <c r="L1122" s="32">
        <v>0.0</v>
      </c>
      <c r="M1122" s="32">
        <f t="shared" si="3"/>
        <v>1</v>
      </c>
      <c r="N1122" s="32" t="s">
        <v>376</v>
      </c>
      <c r="O1122" s="32">
        <v>100.0</v>
      </c>
      <c r="P1122" s="50" t="str">
        <f t="shared" si="6"/>
        <v>PASSED</v>
      </c>
      <c r="Q1122" s="50" t="str">
        <f t="shared" si="5"/>
        <v>16</v>
      </c>
    </row>
    <row r="1123" ht="22.5" customHeight="1">
      <c r="A1123" s="26">
        <v>46049.0</v>
      </c>
      <c r="B1123" s="39" t="s">
        <v>555</v>
      </c>
      <c r="C1123" s="32" t="str">
        <f t="array" ref="C1123">_xlfn.XLOOKUP(B1123, DB[samplingPoint], DB[samplingTag])</f>
        <v>DV126.06</v>
      </c>
      <c r="D1123" s="33" t="s">
        <v>59</v>
      </c>
      <c r="E1123" s="39" t="str">
        <f t="array" ref="E1123">_xlfn.XLOOKUP($B1123, DB[samplingPoint], DB[noLocation])</f>
        <v>16-3-069</v>
      </c>
      <c r="F1123" s="40" t="str">
        <f t="array" ref="F1123">_xlfn.XLOOKUP($B1123, DB[samplingPoint], DB[building])</f>
        <v>Building 16</v>
      </c>
      <c r="G1123" s="40" t="str">
        <f t="array" ref="G1123">_xlfn.XLOOKUP($B1123, DB[samplingPoint], DB[location])</f>
        <v>MFG 2</v>
      </c>
      <c r="H1123" s="39" t="str">
        <f t="array" ref="H1123">_xlfn.XLOOKUP($B1123, DB[samplingPoint], DB[waterType])</f>
        <v>PW</v>
      </c>
      <c r="I1123" s="43">
        <f t="shared" si="11"/>
        <v>46050</v>
      </c>
      <c r="J1123" s="26">
        <v>46055.0</v>
      </c>
      <c r="K1123" s="32">
        <v>0.0</v>
      </c>
      <c r="L1123" s="32">
        <v>0.0</v>
      </c>
      <c r="M1123" s="32">
        <f t="shared" si="3"/>
        <v>0</v>
      </c>
      <c r="N1123" s="32" t="s">
        <v>376</v>
      </c>
      <c r="O1123" s="32">
        <v>100.0</v>
      </c>
      <c r="P1123" s="50" t="str">
        <f t="shared" si="6"/>
        <v>PASSED</v>
      </c>
      <c r="Q1123" s="50" t="str">
        <f t="shared" si="5"/>
        <v>16</v>
      </c>
    </row>
    <row r="1124" ht="22.5" customHeight="1">
      <c r="A1124" s="26">
        <v>46049.0</v>
      </c>
      <c r="B1124" s="39" t="s">
        <v>557</v>
      </c>
      <c r="C1124" s="32" t="str">
        <f t="array" ref="C1124">_xlfn.XLOOKUP(B1124, DB[samplingPoint], DB[samplingTag])</f>
        <v>SV126.10</v>
      </c>
      <c r="D1124" s="33" t="s">
        <v>59</v>
      </c>
      <c r="E1124" s="39" t="str">
        <f t="array" ref="E1124">_xlfn.XLOOKUP($B1124, DB[samplingPoint], DB[noLocation])</f>
        <v>16-3-071</v>
      </c>
      <c r="F1124" s="40" t="str">
        <f t="array" ref="F1124">_xlfn.XLOOKUP($B1124, DB[samplingPoint], DB[building])</f>
        <v>Building 16</v>
      </c>
      <c r="G1124" s="40" t="str">
        <f t="array" ref="G1124">_xlfn.XLOOKUP($B1124, DB[samplingPoint], DB[location])</f>
        <v>MFG 3 (1200L)</v>
      </c>
      <c r="H1124" s="39" t="str">
        <f t="array" ref="H1124">_xlfn.XLOOKUP($B1124, DB[samplingPoint], DB[waterType])</f>
        <v>PW</v>
      </c>
      <c r="I1124" s="43">
        <f t="shared" si="11"/>
        <v>46050</v>
      </c>
      <c r="J1124" s="26">
        <v>46055.0</v>
      </c>
      <c r="K1124" s="32">
        <v>0.0</v>
      </c>
      <c r="L1124" s="32">
        <v>0.0</v>
      </c>
      <c r="M1124" s="32">
        <f t="shared" si="3"/>
        <v>0</v>
      </c>
      <c r="N1124" s="32" t="s">
        <v>376</v>
      </c>
      <c r="O1124" s="32">
        <v>100.0</v>
      </c>
      <c r="P1124" s="50" t="str">
        <f t="shared" si="6"/>
        <v>PASSED</v>
      </c>
      <c r="Q1124" s="50" t="str">
        <f t="shared" si="5"/>
        <v>16</v>
      </c>
    </row>
    <row r="1125" ht="22.5" customHeight="1">
      <c r="A1125" s="26">
        <v>46049.0</v>
      </c>
      <c r="B1125" s="39" t="s">
        <v>561</v>
      </c>
      <c r="C1125" s="32" t="str">
        <f t="array" ref="C1125">_xlfn.XLOOKUP(B1125, DB[samplingPoint], DB[samplingTag])</f>
        <v>SV126.09</v>
      </c>
      <c r="D1125" s="33" t="s">
        <v>59</v>
      </c>
      <c r="E1125" s="39" t="str">
        <f t="array" ref="E1125">_xlfn.XLOOKUP($B1125, DB[samplingPoint], DB[noLocation])</f>
        <v>16-3-071</v>
      </c>
      <c r="F1125" s="40" t="str">
        <f t="array" ref="F1125">_xlfn.XLOOKUP($B1125, DB[samplingPoint], DB[building])</f>
        <v>Building 16</v>
      </c>
      <c r="G1125" s="40" t="str">
        <f t="array" ref="G1125">_xlfn.XLOOKUP($B1125, DB[samplingPoint], DB[location])</f>
        <v>MFG 3 (5000L)</v>
      </c>
      <c r="H1125" s="39" t="str">
        <f t="array" ref="H1125">_xlfn.XLOOKUP($B1125, DB[samplingPoint], DB[waterType])</f>
        <v>PW</v>
      </c>
      <c r="I1125" s="43">
        <f t="shared" si="11"/>
        <v>46050</v>
      </c>
      <c r="J1125" s="26">
        <v>46055.0</v>
      </c>
      <c r="K1125" s="32">
        <v>0.0</v>
      </c>
      <c r="L1125" s="32">
        <v>0.0</v>
      </c>
      <c r="M1125" s="32">
        <f t="shared" si="3"/>
        <v>0</v>
      </c>
      <c r="N1125" s="32" t="s">
        <v>376</v>
      </c>
      <c r="O1125" s="32">
        <v>100.0</v>
      </c>
      <c r="P1125" s="50" t="str">
        <f t="shared" si="6"/>
        <v>PASSED</v>
      </c>
      <c r="Q1125" s="50" t="str">
        <f t="shared" si="5"/>
        <v>16</v>
      </c>
    </row>
    <row r="1126" ht="22.5" customHeight="1">
      <c r="A1126" s="26">
        <v>46049.0</v>
      </c>
      <c r="B1126" s="39" t="s">
        <v>566</v>
      </c>
      <c r="C1126" s="32" t="str">
        <f t="array" ref="C1126">_xlfn.XLOOKUP(B1126, DB[samplingPoint], DB[samplingTag])</f>
        <v>DV126.08</v>
      </c>
      <c r="D1126" s="33" t="s">
        <v>59</v>
      </c>
      <c r="E1126" s="39" t="str">
        <f t="array" ref="E1126">_xlfn.XLOOKUP($B1126, DB[samplingPoint], DB[noLocation])</f>
        <v>16-3-077</v>
      </c>
      <c r="F1126" s="40" t="str">
        <f t="array" ref="F1126">_xlfn.XLOOKUP($B1126, DB[samplingPoint], DB[building])</f>
        <v>Building 16</v>
      </c>
      <c r="G1126" s="40" t="str">
        <f t="array" ref="G1126">_xlfn.XLOOKUP($B1126, DB[samplingPoint], DB[location])</f>
        <v>MFG 6</v>
      </c>
      <c r="H1126" s="39" t="str">
        <f t="array" ref="H1126">_xlfn.XLOOKUP($B1126, DB[samplingPoint], DB[waterType])</f>
        <v>PW</v>
      </c>
      <c r="I1126" s="43">
        <f t="shared" si="11"/>
        <v>46050</v>
      </c>
      <c r="J1126" s="26">
        <v>46055.0</v>
      </c>
      <c r="K1126" s="32">
        <v>0.0</v>
      </c>
      <c r="L1126" s="32">
        <v>0.0</v>
      </c>
      <c r="M1126" s="32">
        <f t="shared" si="3"/>
        <v>0</v>
      </c>
      <c r="N1126" s="32" t="s">
        <v>376</v>
      </c>
      <c r="O1126" s="32">
        <v>100.0</v>
      </c>
      <c r="P1126" s="50" t="str">
        <f t="shared" si="6"/>
        <v>PASSED</v>
      </c>
      <c r="Q1126" s="50" t="str">
        <f t="shared" si="5"/>
        <v>16</v>
      </c>
    </row>
    <row r="1127" ht="22.5" customHeight="1">
      <c r="A1127" s="26">
        <v>46049.0</v>
      </c>
      <c r="B1127" s="39" t="s">
        <v>563</v>
      </c>
      <c r="C1127" s="32" t="str">
        <f t="array" ref="C1127">_xlfn.XLOOKUP(B1127, DB[samplingPoint], DB[samplingTag])</f>
        <v>DV126.07</v>
      </c>
      <c r="D1127" s="33" t="s">
        <v>59</v>
      </c>
      <c r="E1127" s="39" t="str">
        <f t="array" ref="E1127">_xlfn.XLOOKUP($B1127, DB[samplingPoint], DB[noLocation])</f>
        <v>16-3-077</v>
      </c>
      <c r="F1127" s="40" t="str">
        <f t="array" ref="F1127">_xlfn.XLOOKUP($B1127, DB[samplingPoint], DB[building])</f>
        <v>Building 16</v>
      </c>
      <c r="G1127" s="40" t="str">
        <f t="array" ref="G1127">_xlfn.XLOOKUP($B1127, DB[samplingPoint], DB[location])</f>
        <v>MFG 6</v>
      </c>
      <c r="H1127" s="39" t="str">
        <f t="array" ref="H1127">_xlfn.XLOOKUP($B1127, DB[samplingPoint], DB[waterType])</f>
        <v>PW</v>
      </c>
      <c r="I1127" s="43">
        <f t="shared" si="11"/>
        <v>46050</v>
      </c>
      <c r="J1127" s="26">
        <v>46055.0</v>
      </c>
      <c r="K1127" s="32">
        <v>0.0</v>
      </c>
      <c r="L1127" s="32">
        <v>0.0</v>
      </c>
      <c r="M1127" s="32">
        <f t="shared" si="3"/>
        <v>0</v>
      </c>
      <c r="N1127" s="32" t="s">
        <v>376</v>
      </c>
      <c r="O1127" s="32">
        <v>100.0</v>
      </c>
      <c r="P1127" s="50" t="str">
        <f t="shared" si="6"/>
        <v>PASSED</v>
      </c>
      <c r="Q1127" s="50" t="str">
        <f t="shared" si="5"/>
        <v>16</v>
      </c>
    </row>
    <row r="1128" ht="22.5" customHeight="1">
      <c r="A1128" s="26">
        <v>46050.0</v>
      </c>
      <c r="B1128" s="39" t="s">
        <v>380</v>
      </c>
      <c r="C1128" s="32" t="str">
        <f t="array" ref="C1128">_xlfn.XLOOKUP(B1128, DB[samplingPoint], DB[samplingTag])</f>
        <v>SV113.01</v>
      </c>
      <c r="D1128" s="33" t="s">
        <v>59</v>
      </c>
      <c r="E1128" s="39" t="str">
        <f t="array" ref="E1128">_xlfn.XLOOKUP($B1128, DB[samplingPoint], DB[noLocation])</f>
        <v>WATER SYSTEM (B10)</v>
      </c>
      <c r="F1128" s="40" t="str">
        <f t="array" ref="F1128">_xlfn.XLOOKUP($B1128, DB[samplingPoint], DB[building])</f>
        <v>Building 10</v>
      </c>
      <c r="G1128" s="40" t="str">
        <f t="array" ref="G1128">_xlfn.XLOOKUP($B1128, DB[samplingPoint], DB[location])</f>
        <v>After Storage tank (B10)</v>
      </c>
      <c r="H1128" s="39" t="str">
        <f t="array" ref="H1128">_xlfn.XLOOKUP($B1128, DB[samplingPoint], DB[waterType])</f>
        <v>PW</v>
      </c>
      <c r="I1128" s="43">
        <f t="shared" si="11"/>
        <v>46051</v>
      </c>
      <c r="J1128" s="26">
        <v>46055.0</v>
      </c>
      <c r="K1128" s="32">
        <v>0.0</v>
      </c>
      <c r="L1128" s="32">
        <v>0.0</v>
      </c>
      <c r="M1128" s="32">
        <f t="shared" si="3"/>
        <v>0</v>
      </c>
      <c r="N1128" s="32" t="s">
        <v>376</v>
      </c>
      <c r="O1128" s="32">
        <v>100.0</v>
      </c>
      <c r="P1128" s="50" t="str">
        <f t="shared" si="6"/>
        <v>PASSED</v>
      </c>
      <c r="Q1128" s="50" t="str">
        <f t="shared" si="5"/>
        <v>WA</v>
      </c>
    </row>
    <row r="1129" ht="22.5" customHeight="1">
      <c r="A1129" s="26">
        <v>46050.0</v>
      </c>
      <c r="B1129" s="39" t="s">
        <v>385</v>
      </c>
      <c r="C1129" s="32" t="str">
        <f t="array" ref="C1129">_xlfn.XLOOKUP(B1129, DB[samplingPoint], DB[samplingTag])</f>
        <v>SV115.02</v>
      </c>
      <c r="D1129" s="33" t="s">
        <v>59</v>
      </c>
      <c r="E1129" s="39" t="str">
        <f t="array" ref="E1129">_xlfn.XLOOKUP($B1129, DB[samplingPoint], DB[noLocation])</f>
        <v>WATER SYSTEM (B10)</v>
      </c>
      <c r="F1129" s="40" t="str">
        <f t="array" ref="F1129">_xlfn.XLOOKUP($B1129, DB[samplingPoint], DB[building])</f>
        <v>Building 10</v>
      </c>
      <c r="G1129" s="40" t="str">
        <f t="array" ref="G1129">_xlfn.XLOOKUP($B1129, DB[samplingPoint], DB[location])</f>
        <v>After UV (B10)</v>
      </c>
      <c r="H1129" s="39" t="str">
        <f t="array" ref="H1129">_xlfn.XLOOKUP($B1129, DB[samplingPoint], DB[waterType])</f>
        <v>PW</v>
      </c>
      <c r="I1129" s="43">
        <f t="shared" si="11"/>
        <v>46051</v>
      </c>
      <c r="J1129" s="26">
        <v>46055.0</v>
      </c>
      <c r="K1129" s="32">
        <v>0.0</v>
      </c>
      <c r="L1129" s="32">
        <v>0.0</v>
      </c>
      <c r="M1129" s="32">
        <f t="shared" si="3"/>
        <v>0</v>
      </c>
      <c r="N1129" s="32" t="s">
        <v>376</v>
      </c>
      <c r="O1129" s="32">
        <v>100.0</v>
      </c>
      <c r="P1129" s="50" t="str">
        <f t="shared" si="6"/>
        <v>PASSED</v>
      </c>
      <c r="Q1129" s="50" t="str">
        <f t="shared" si="5"/>
        <v>WA</v>
      </c>
    </row>
    <row r="1130" ht="22.5" customHeight="1">
      <c r="A1130" s="26">
        <v>46050.0</v>
      </c>
      <c r="B1130" s="39" t="s">
        <v>390</v>
      </c>
      <c r="C1130" s="32" t="str">
        <f t="array" ref="C1130">_xlfn.XLOOKUP(B1130, DB[samplingPoint], DB[samplingTag])</f>
        <v>SV117.01</v>
      </c>
      <c r="D1130" s="33" t="s">
        <v>59</v>
      </c>
      <c r="E1130" s="39" t="str">
        <f t="array" ref="E1130">_xlfn.XLOOKUP($B1130, DB[samplingPoint], DB[noLocation])</f>
        <v>WATER SYSTEM (B10)</v>
      </c>
      <c r="F1130" s="40" t="str">
        <f t="array" ref="F1130">_xlfn.XLOOKUP($B1130, DB[samplingPoint], DB[building])</f>
        <v>Building 10</v>
      </c>
      <c r="G1130" s="40" t="str">
        <f t="array" ref="G1130">_xlfn.XLOOKUP($B1130, DB[samplingPoint], DB[location])</f>
        <v>Return loop (B10)</v>
      </c>
      <c r="H1130" s="39" t="str">
        <f t="array" ref="H1130">_xlfn.XLOOKUP($B1130, DB[samplingPoint], DB[waterType])</f>
        <v>PW</v>
      </c>
      <c r="I1130" s="43">
        <f t="shared" si="11"/>
        <v>46051</v>
      </c>
      <c r="J1130" s="26">
        <v>46055.0</v>
      </c>
      <c r="K1130" s="32">
        <v>0.0</v>
      </c>
      <c r="L1130" s="32">
        <v>0.0</v>
      </c>
      <c r="M1130" s="32">
        <f t="shared" si="3"/>
        <v>0</v>
      </c>
      <c r="N1130" s="32" t="s">
        <v>376</v>
      </c>
      <c r="O1130" s="32">
        <v>100.0</v>
      </c>
      <c r="P1130" s="50" t="str">
        <f t="shared" si="6"/>
        <v>PASSED</v>
      </c>
      <c r="Q1130" s="50" t="str">
        <f t="shared" si="5"/>
        <v>WA</v>
      </c>
    </row>
    <row r="1131" ht="22.5" customHeight="1">
      <c r="A1131" s="26">
        <v>46050.0</v>
      </c>
      <c r="B1131" s="39" t="s">
        <v>491</v>
      </c>
      <c r="C1131" s="32" t="str">
        <f t="array" ref="C1131">_xlfn.XLOOKUP(B1131, DB[samplingPoint], DB[samplingTag])</f>
        <v>SV116.15</v>
      </c>
      <c r="D1131" s="33" t="s">
        <v>59</v>
      </c>
      <c r="E1131" s="39" t="str">
        <f t="array" ref="E1131">_xlfn.XLOOKUP($B1131, DB[samplingPoint], DB[noLocation])</f>
        <v>10-4-012</v>
      </c>
      <c r="F1131" s="40" t="str">
        <f t="array" ref="F1131">_xlfn.XLOOKUP($B1131, DB[samplingPoint], DB[building])</f>
        <v>Building 10</v>
      </c>
      <c r="G1131" s="40" t="str">
        <f t="array" ref="G1131">_xlfn.XLOOKUP($B1131, DB[samplingPoint], DB[location])</f>
        <v>CIP SKID-1 FOR BIN WASHING-1</v>
      </c>
      <c r="H1131" s="39" t="str">
        <f t="array" ref="H1131">_xlfn.XLOOKUP($B1131, DB[samplingPoint], DB[waterType])</f>
        <v>PW</v>
      </c>
      <c r="I1131" s="43">
        <f t="shared" si="11"/>
        <v>46051</v>
      </c>
      <c r="J1131" s="26">
        <v>46055.0</v>
      </c>
      <c r="K1131" s="32">
        <v>0.0</v>
      </c>
      <c r="L1131" s="32">
        <v>0.0</v>
      </c>
      <c r="M1131" s="32">
        <f t="shared" si="3"/>
        <v>0</v>
      </c>
      <c r="N1131" s="32" t="s">
        <v>376</v>
      </c>
      <c r="O1131" s="32">
        <v>100.0</v>
      </c>
      <c r="P1131" s="50" t="str">
        <f t="shared" si="6"/>
        <v>PASSED</v>
      </c>
      <c r="Q1131" s="50" t="str">
        <f t="shared" si="5"/>
        <v>10</v>
      </c>
    </row>
    <row r="1132" ht="22.5" customHeight="1">
      <c r="A1132" s="26">
        <v>46050.0</v>
      </c>
      <c r="B1132" s="39" t="s">
        <v>493</v>
      </c>
      <c r="C1132" s="32" t="str">
        <f t="array" ref="C1132">_xlfn.XLOOKUP(B1132, DB[samplingPoint], DB[samplingTag])</f>
        <v>SV116.16</v>
      </c>
      <c r="D1132" s="33" t="s">
        <v>59</v>
      </c>
      <c r="E1132" s="39" t="str">
        <f t="array" ref="E1132">_xlfn.XLOOKUP($B1132, DB[samplingPoint], DB[noLocation])</f>
        <v>10-4-012</v>
      </c>
      <c r="F1132" s="40" t="str">
        <f t="array" ref="F1132">_xlfn.XLOOKUP($B1132, DB[samplingPoint], DB[building])</f>
        <v>Building 10</v>
      </c>
      <c r="G1132" s="40" t="str">
        <f t="array" ref="G1132">_xlfn.XLOOKUP($B1132, DB[samplingPoint], DB[location])</f>
        <v>WIP SKID-3 FOR GRANULATION POTENT</v>
      </c>
      <c r="H1132" s="39" t="str">
        <f t="array" ref="H1132">_xlfn.XLOOKUP($B1132, DB[samplingPoint], DB[waterType])</f>
        <v>PW</v>
      </c>
      <c r="I1132" s="43">
        <f t="shared" si="11"/>
        <v>46051</v>
      </c>
      <c r="J1132" s="26">
        <v>46055.0</v>
      </c>
      <c r="K1132" s="32">
        <v>0.0</v>
      </c>
      <c r="L1132" s="32">
        <v>0.0</v>
      </c>
      <c r="M1132" s="32">
        <f t="shared" si="3"/>
        <v>0</v>
      </c>
      <c r="N1132" s="32" t="s">
        <v>376</v>
      </c>
      <c r="O1132" s="32">
        <v>100.0</v>
      </c>
      <c r="P1132" s="50" t="str">
        <f t="shared" si="6"/>
        <v>PASSED</v>
      </c>
      <c r="Q1132" s="50" t="str">
        <f t="shared" si="5"/>
        <v>10</v>
      </c>
    </row>
    <row r="1133" ht="22.5" customHeight="1">
      <c r="A1133" s="26">
        <v>46050.0</v>
      </c>
      <c r="B1133" s="39" t="s">
        <v>494</v>
      </c>
      <c r="C1133" s="32" t="str">
        <f t="array" ref="C1133">_xlfn.XLOOKUP(B1133, DB[samplingPoint], DB[samplingTag])</f>
        <v>SV116.17</v>
      </c>
      <c r="D1133" s="33" t="s">
        <v>59</v>
      </c>
      <c r="E1133" s="39" t="str">
        <f t="array" ref="E1133">_xlfn.XLOOKUP($B1133, DB[samplingPoint], DB[noLocation])</f>
        <v>10-4-012</v>
      </c>
      <c r="F1133" s="40" t="str">
        <f t="array" ref="F1133">_xlfn.XLOOKUP($B1133, DB[samplingPoint], DB[building])</f>
        <v>Building 10</v>
      </c>
      <c r="G1133" s="40" t="str">
        <f t="array" ref="G1133">_xlfn.XLOOKUP($B1133, DB[samplingPoint], DB[location])</f>
        <v>CIP SKID-2 FOR BIN WASHING-1</v>
      </c>
      <c r="H1133" s="39" t="str">
        <f t="array" ref="H1133">_xlfn.XLOOKUP($B1133, DB[samplingPoint], DB[waterType])</f>
        <v>PW</v>
      </c>
      <c r="I1133" s="43">
        <f t="shared" si="11"/>
        <v>46051</v>
      </c>
      <c r="J1133" s="26">
        <v>46055.0</v>
      </c>
      <c r="K1133" s="32">
        <v>0.0</v>
      </c>
      <c r="L1133" s="32">
        <v>0.0</v>
      </c>
      <c r="M1133" s="32">
        <f t="shared" si="3"/>
        <v>0</v>
      </c>
      <c r="N1133" s="32" t="s">
        <v>376</v>
      </c>
      <c r="O1133" s="32">
        <v>100.0</v>
      </c>
      <c r="P1133" s="50" t="str">
        <f t="shared" si="6"/>
        <v>PASSED</v>
      </c>
      <c r="Q1133" s="50" t="str">
        <f t="shared" si="5"/>
        <v>10</v>
      </c>
    </row>
    <row r="1134" ht="22.5" customHeight="1">
      <c r="A1134" s="26">
        <v>46050.0</v>
      </c>
      <c r="B1134" s="39" t="s">
        <v>495</v>
      </c>
      <c r="C1134" s="32" t="str">
        <f t="array" ref="C1134">_xlfn.XLOOKUP(B1134, DB[samplingPoint], DB[samplingTag])</f>
        <v>SV116.18</v>
      </c>
      <c r="D1134" s="33" t="s">
        <v>59</v>
      </c>
      <c r="E1134" s="39" t="str">
        <f t="array" ref="E1134">_xlfn.XLOOKUP($B1134, DB[samplingPoint], DB[noLocation])</f>
        <v>10-4-012</v>
      </c>
      <c r="F1134" s="40" t="str">
        <f t="array" ref="F1134">_xlfn.XLOOKUP($B1134, DB[samplingPoint], DB[building])</f>
        <v>Building 10</v>
      </c>
      <c r="G1134" s="40" t="str">
        <f t="array" ref="G1134">_xlfn.XLOOKUP($B1134, DB[samplingPoint], DB[location])</f>
        <v>WIP SKID-1 FOR GRANULATION NON POTENT</v>
      </c>
      <c r="H1134" s="39" t="str">
        <f t="array" ref="H1134">_xlfn.XLOOKUP($B1134, DB[samplingPoint], DB[waterType])</f>
        <v>PW</v>
      </c>
      <c r="I1134" s="43">
        <f t="shared" si="11"/>
        <v>46051</v>
      </c>
      <c r="J1134" s="26">
        <v>46055.0</v>
      </c>
      <c r="K1134" s="32">
        <v>0.0</v>
      </c>
      <c r="L1134" s="32">
        <v>0.0</v>
      </c>
      <c r="M1134" s="32">
        <f t="shared" si="3"/>
        <v>0</v>
      </c>
      <c r="N1134" s="32" t="s">
        <v>376</v>
      </c>
      <c r="O1134" s="32">
        <v>100.0</v>
      </c>
      <c r="P1134" s="50" t="str">
        <f t="shared" si="6"/>
        <v>PASSED</v>
      </c>
      <c r="Q1134" s="50" t="str">
        <f t="shared" si="5"/>
        <v>10</v>
      </c>
    </row>
    <row r="1135" ht="22.5" customHeight="1">
      <c r="A1135" s="26">
        <v>46050.0</v>
      </c>
      <c r="B1135" s="39" t="s">
        <v>496</v>
      </c>
      <c r="C1135" s="32" t="str">
        <f t="array" ref="C1135">_xlfn.XLOOKUP(B1135, DB[samplingPoint], DB[samplingTag])</f>
        <v>SV116.19</v>
      </c>
      <c r="D1135" s="33" t="s">
        <v>59</v>
      </c>
      <c r="E1135" s="39" t="str">
        <f t="array" ref="E1135">_xlfn.XLOOKUP($B1135, DB[samplingPoint], DB[noLocation])</f>
        <v>10-4-012</v>
      </c>
      <c r="F1135" s="40" t="str">
        <f t="array" ref="F1135">_xlfn.XLOOKUP($B1135, DB[samplingPoint], DB[building])</f>
        <v>Building 10</v>
      </c>
      <c r="G1135" s="40" t="str">
        <f t="array" ref="G1135">_xlfn.XLOOKUP($B1135, DB[samplingPoint], DB[location])</f>
        <v>WIP SKID-2 FOR GRANULATION NON POTENT</v>
      </c>
      <c r="H1135" s="39" t="str">
        <f t="array" ref="H1135">_xlfn.XLOOKUP($B1135, DB[samplingPoint], DB[waterType])</f>
        <v>PW</v>
      </c>
      <c r="I1135" s="43">
        <f t="shared" si="11"/>
        <v>46051</v>
      </c>
      <c r="J1135" s="26">
        <v>46055.0</v>
      </c>
      <c r="K1135" s="32">
        <v>0.0</v>
      </c>
      <c r="L1135" s="32">
        <v>0.0</v>
      </c>
      <c r="M1135" s="32">
        <f t="shared" si="3"/>
        <v>0</v>
      </c>
      <c r="N1135" s="32" t="s">
        <v>376</v>
      </c>
      <c r="O1135" s="32">
        <v>100.0</v>
      </c>
      <c r="P1135" s="50" t="str">
        <f t="shared" si="6"/>
        <v>PASSED</v>
      </c>
      <c r="Q1135" s="50" t="str">
        <f t="shared" si="5"/>
        <v>10</v>
      </c>
    </row>
    <row r="1136" ht="22.5" customHeight="1">
      <c r="A1136" s="26">
        <v>46050.0</v>
      </c>
      <c r="B1136" s="39" t="s">
        <v>498</v>
      </c>
      <c r="C1136" s="32" t="str">
        <f t="array" ref="C1136">_xlfn.XLOOKUP(B1136, DB[samplingPoint], DB[samplingTag])</f>
        <v>SV116.02</v>
      </c>
      <c r="D1136" s="33" t="s">
        <v>59</v>
      </c>
      <c r="E1136" s="39" t="str">
        <f t="array" ref="E1136">_xlfn.XLOOKUP($B1136, DB[samplingPoint], DB[noLocation])</f>
        <v>10-2-037</v>
      </c>
      <c r="F1136" s="40" t="str">
        <f t="array" ref="F1136">_xlfn.XLOOKUP($B1136, DB[samplingPoint], DB[building])</f>
        <v>Building 10</v>
      </c>
      <c r="G1136" s="40" t="str">
        <f t="array" ref="G1136">_xlfn.XLOOKUP($B1136, DB[samplingPoint], DB[location])</f>
        <v>SKID FOR BIN WASHING-2</v>
      </c>
      <c r="H1136" s="39" t="str">
        <f t="array" ref="H1136">_xlfn.XLOOKUP($B1136, DB[samplingPoint], DB[waterType])</f>
        <v>PW</v>
      </c>
      <c r="I1136" s="43">
        <f t="shared" si="11"/>
        <v>46051</v>
      </c>
      <c r="J1136" s="26">
        <v>46055.0</v>
      </c>
      <c r="K1136" s="32">
        <v>0.0</v>
      </c>
      <c r="L1136" s="32">
        <v>0.0</v>
      </c>
      <c r="M1136" s="32">
        <f t="shared" si="3"/>
        <v>0</v>
      </c>
      <c r="N1136" s="32" t="s">
        <v>376</v>
      </c>
      <c r="O1136" s="32">
        <v>100.0</v>
      </c>
      <c r="P1136" s="50" t="str">
        <f t="shared" si="6"/>
        <v>PASSED</v>
      </c>
      <c r="Q1136" s="50" t="str">
        <f t="shared" si="5"/>
        <v>10</v>
      </c>
    </row>
    <row r="1137" ht="22.5" customHeight="1">
      <c r="A1137" s="26">
        <v>46050.0</v>
      </c>
      <c r="B1137" s="39" t="s">
        <v>499</v>
      </c>
      <c r="C1137" s="32" t="str">
        <f t="array" ref="C1137">_xlfn.XLOOKUP(B1137, DB[samplingPoint], DB[samplingTag])</f>
        <v>SV116.01</v>
      </c>
      <c r="D1137" s="33" t="s">
        <v>59</v>
      </c>
      <c r="E1137" s="39" t="str">
        <f t="array" ref="E1137">_xlfn.XLOOKUP($B1137, DB[samplingPoint], DB[noLocation])</f>
        <v>10-2-021</v>
      </c>
      <c r="F1137" s="40" t="str">
        <f t="array" ref="F1137">_xlfn.XLOOKUP($B1137, DB[samplingPoint], DB[building])</f>
        <v>Building 10</v>
      </c>
      <c r="G1137" s="40" t="str">
        <f t="array" ref="G1137">_xlfn.XLOOKUP($B1137, DB[samplingPoint], DB[location])</f>
        <v>INSTRUMENT-1</v>
      </c>
      <c r="H1137" s="39" t="str">
        <f t="array" ref="H1137">_xlfn.XLOOKUP($B1137, DB[samplingPoint], DB[waterType])</f>
        <v>PW</v>
      </c>
      <c r="I1137" s="43">
        <f t="shared" si="11"/>
        <v>46051</v>
      </c>
      <c r="J1137" s="26">
        <v>46055.0</v>
      </c>
      <c r="K1137" s="32">
        <v>0.0</v>
      </c>
      <c r="L1137" s="32">
        <v>0.0</v>
      </c>
      <c r="M1137" s="32">
        <f t="shared" si="3"/>
        <v>0</v>
      </c>
      <c r="N1137" s="32" t="s">
        <v>376</v>
      </c>
      <c r="O1137" s="32">
        <v>100.0</v>
      </c>
      <c r="P1137" s="50" t="str">
        <f t="shared" si="6"/>
        <v>PASSED</v>
      </c>
      <c r="Q1137" s="50" t="str">
        <f t="shared" si="5"/>
        <v>10</v>
      </c>
    </row>
    <row r="1138" ht="22.5" customHeight="1">
      <c r="A1138" s="26">
        <v>46050.0</v>
      </c>
      <c r="B1138" s="39" t="s">
        <v>502</v>
      </c>
      <c r="C1138" s="32" t="str">
        <f t="array" ref="C1138">_xlfn.XLOOKUP(B1138, DB[samplingPoint], DB[samplingTag])</f>
        <v>DV116.26</v>
      </c>
      <c r="D1138" s="33" t="s">
        <v>59</v>
      </c>
      <c r="E1138" s="39" t="str">
        <f t="array" ref="E1138">_xlfn.XLOOKUP($B1138, DB[samplingPoint], DB[noLocation])</f>
        <v>10-4-015</v>
      </c>
      <c r="F1138" s="40" t="str">
        <f t="array" ref="F1138">_xlfn.XLOOKUP($B1138, DB[samplingPoint], DB[building])</f>
        <v>Building 10</v>
      </c>
      <c r="G1138" s="40" t="str">
        <f t="array" ref="G1138">_xlfn.XLOOKUP($B1138, DB[samplingPoint], DB[location])</f>
        <v>WATER SYSTEM ROOM</v>
      </c>
      <c r="H1138" s="39" t="str">
        <f t="array" ref="H1138">_xlfn.XLOOKUP($B1138, DB[samplingPoint], DB[waterType])</f>
        <v>PW</v>
      </c>
      <c r="I1138" s="43">
        <f t="shared" si="11"/>
        <v>46051</v>
      </c>
      <c r="J1138" s="26">
        <v>46055.0</v>
      </c>
      <c r="K1138" s="32">
        <v>0.0</v>
      </c>
      <c r="L1138" s="32">
        <v>0.0</v>
      </c>
      <c r="M1138" s="32">
        <f t="shared" si="3"/>
        <v>0</v>
      </c>
      <c r="N1138" s="32" t="s">
        <v>376</v>
      </c>
      <c r="O1138" s="32">
        <v>100.0</v>
      </c>
      <c r="P1138" s="50" t="str">
        <f t="shared" si="6"/>
        <v>PASSED</v>
      </c>
      <c r="Q1138" s="50" t="str">
        <f t="shared" si="5"/>
        <v>10</v>
      </c>
    </row>
    <row r="1139" ht="22.5" customHeight="1">
      <c r="A1139" s="26">
        <v>46055.0</v>
      </c>
      <c r="B1139" s="39" t="s">
        <v>377</v>
      </c>
      <c r="C1139" s="32" t="str">
        <f t="array" ref="C1139">_xlfn.XLOOKUP(B1139, DB[samplingPoint], DB[samplingTag])</f>
        <v>V12-4</v>
      </c>
      <c r="D1139" s="33"/>
      <c r="E1139" s="39" t="str">
        <f t="array" ref="E1139">_xlfn.XLOOKUP($B1139, DB[samplingPoint], DB[noLocation])</f>
        <v>16-2-010</v>
      </c>
      <c r="F1139" s="40" t="str">
        <f t="array" ref="F1139">_xlfn.XLOOKUP($B1139, DB[samplingPoint], DB[building])</f>
        <v>Building 16</v>
      </c>
      <c r="G1139" s="40" t="str">
        <f t="array" ref="G1139">_xlfn.XLOOKUP($B1139, DB[samplingPoint], DB[location])</f>
        <v>AFTER WFI GENERATOR</v>
      </c>
      <c r="H1139" s="39" t="str">
        <f t="array" ref="H1139">_xlfn.XLOOKUP($B1139, DB[samplingPoint], DB[waterType])</f>
        <v>WFI</v>
      </c>
      <c r="I1139" s="43">
        <f t="shared" si="11"/>
        <v>46056</v>
      </c>
      <c r="J1139" s="26">
        <v>46059.0</v>
      </c>
      <c r="K1139" s="32">
        <v>0.0</v>
      </c>
      <c r="L1139" s="32"/>
      <c r="M1139" s="32">
        <f t="shared" si="3"/>
        <v>0</v>
      </c>
      <c r="N1139" s="32" t="s">
        <v>376</v>
      </c>
      <c r="O1139" s="32">
        <v>10.0</v>
      </c>
      <c r="P1139" s="50" t="str">
        <f t="shared" si="6"/>
        <v>PASSED</v>
      </c>
      <c r="Q1139" s="50" t="str">
        <f t="shared" si="5"/>
        <v>16</v>
      </c>
    </row>
    <row r="1140" ht="22.5" customHeight="1">
      <c r="A1140" s="26">
        <v>46055.0</v>
      </c>
      <c r="B1140" s="39" t="s">
        <v>383</v>
      </c>
      <c r="C1140" s="32" t="str">
        <f t="array" ref="C1140">_xlfn.XLOOKUP(B1140, DB[samplingPoint], DB[samplingTag])</f>
        <v>SV213.01</v>
      </c>
      <c r="D1140" s="33"/>
      <c r="E1140" s="39" t="str">
        <f t="array" ref="E1140">_xlfn.XLOOKUP($B1140, DB[samplingPoint], DB[noLocation])</f>
        <v>16-2-010</v>
      </c>
      <c r="F1140" s="40" t="str">
        <f t="array" ref="F1140">_xlfn.XLOOKUP($B1140, DB[samplingPoint], DB[building])</f>
        <v>Building 16</v>
      </c>
      <c r="G1140" s="40" t="str">
        <f t="array" ref="G1140">_xlfn.XLOOKUP($B1140, DB[samplingPoint], DB[location])</f>
        <v>AFTER STORAGE TANK</v>
      </c>
      <c r="H1140" s="39" t="str">
        <f t="array" ref="H1140">_xlfn.XLOOKUP($B1140, DB[samplingPoint], DB[waterType])</f>
        <v>WFI</v>
      </c>
      <c r="I1140" s="43">
        <f t="shared" si="11"/>
        <v>46056</v>
      </c>
      <c r="J1140" s="26">
        <v>46059.0</v>
      </c>
      <c r="K1140" s="32">
        <v>0.0</v>
      </c>
      <c r="L1140" s="32"/>
      <c r="M1140" s="32">
        <f t="shared" si="3"/>
        <v>0</v>
      </c>
      <c r="N1140" s="32" t="s">
        <v>376</v>
      </c>
      <c r="O1140" s="32">
        <v>10.0</v>
      </c>
      <c r="P1140" s="50" t="str">
        <f t="shared" si="6"/>
        <v>PASSED</v>
      </c>
      <c r="Q1140" s="50" t="str">
        <f t="shared" si="5"/>
        <v>16</v>
      </c>
    </row>
    <row r="1141" ht="22.5" customHeight="1">
      <c r="A1141" s="26">
        <v>46055.0</v>
      </c>
      <c r="B1141" s="39" t="s">
        <v>388</v>
      </c>
      <c r="C1141" s="32" t="str">
        <f t="array" ref="C1141">_xlfn.XLOOKUP(B1141, DB[samplingPoint], DB[samplingTag])</f>
        <v>SV217.01</v>
      </c>
      <c r="D1141" s="33"/>
      <c r="E1141" s="39" t="str">
        <f t="array" ref="E1141">_xlfn.XLOOKUP($B1141, DB[samplingPoint], DB[noLocation])</f>
        <v>16-2-010</v>
      </c>
      <c r="F1141" s="40" t="str">
        <f t="array" ref="F1141">_xlfn.XLOOKUP($B1141, DB[samplingPoint], DB[building])</f>
        <v>Building 16</v>
      </c>
      <c r="G1141" s="40" t="str">
        <f t="array" ref="G1141">_xlfn.XLOOKUP($B1141, DB[samplingPoint], DB[location])</f>
        <v>RETURN LOOP</v>
      </c>
      <c r="H1141" s="39" t="str">
        <f t="array" ref="H1141">_xlfn.XLOOKUP($B1141, DB[samplingPoint], DB[waterType])</f>
        <v>WFI</v>
      </c>
      <c r="I1141" s="43">
        <f t="shared" si="11"/>
        <v>46056</v>
      </c>
      <c r="J1141" s="26">
        <v>46059.0</v>
      </c>
      <c r="K1141" s="32">
        <v>0.0</v>
      </c>
      <c r="L1141" s="32"/>
      <c r="M1141" s="32">
        <f t="shared" si="3"/>
        <v>0</v>
      </c>
      <c r="N1141" s="32" t="s">
        <v>376</v>
      </c>
      <c r="O1141" s="32">
        <v>10.0</v>
      </c>
      <c r="P1141" s="50" t="str">
        <f t="shared" si="6"/>
        <v>PASSED</v>
      </c>
      <c r="Q1141" s="50" t="str">
        <f t="shared" si="5"/>
        <v>16</v>
      </c>
    </row>
    <row r="1142" ht="22.5" customHeight="1">
      <c r="A1142" s="26">
        <v>46055.0</v>
      </c>
      <c r="B1142" s="39" t="s">
        <v>416</v>
      </c>
      <c r="C1142" s="32" t="str">
        <f t="array" ref="C1142">_xlfn.XLOOKUP(B1142, DB[samplingPoint], DB[samplingTag])</f>
        <v>SV216.02</v>
      </c>
      <c r="D1142" s="33"/>
      <c r="E1142" s="39" t="str">
        <f t="array" ref="E1142">_xlfn.XLOOKUP($B1142, DB[samplingPoint], DB[noLocation])</f>
        <v>16-1-098</v>
      </c>
      <c r="F1142" s="40" t="str">
        <f t="array" ref="F1142">_xlfn.XLOOKUP($B1142, DB[samplingPoint], DB[building])</f>
        <v>Building 16</v>
      </c>
      <c r="G1142" s="40" t="str">
        <f t="array" ref="G1142">_xlfn.XLOOKUP($B1142, DB[samplingPoint], DB[location])</f>
        <v>CIP/SIP</v>
      </c>
      <c r="H1142" s="39" t="str">
        <f t="array" ref="H1142">_xlfn.XLOOKUP($B1142, DB[samplingPoint], DB[waterType])</f>
        <v>WFI</v>
      </c>
      <c r="I1142" s="43">
        <f t="shared" si="11"/>
        <v>46056</v>
      </c>
      <c r="J1142" s="26">
        <v>46059.0</v>
      </c>
      <c r="K1142" s="32">
        <v>0.0</v>
      </c>
      <c r="L1142" s="32"/>
      <c r="M1142" s="32">
        <f t="shared" si="3"/>
        <v>0</v>
      </c>
      <c r="N1142" s="32" t="s">
        <v>376</v>
      </c>
      <c r="O1142" s="32">
        <v>10.0</v>
      </c>
      <c r="P1142" s="50" t="str">
        <f t="shared" si="6"/>
        <v>PASSED</v>
      </c>
      <c r="Q1142" s="50" t="str">
        <f t="shared" si="5"/>
        <v>16</v>
      </c>
    </row>
    <row r="1143" ht="22.5" customHeight="1">
      <c r="A1143" s="26">
        <v>46055.0</v>
      </c>
      <c r="B1143" s="39" t="s">
        <v>418</v>
      </c>
      <c r="C1143" s="32" t="str">
        <f t="array" ref="C1143">_xlfn.XLOOKUP(B1143, DB[samplingPoint], DB[samplingTag])</f>
        <v>SV216.04</v>
      </c>
      <c r="D1143" s="33"/>
      <c r="E1143" s="39" t="str">
        <f t="array" ref="E1143">_xlfn.XLOOKUP($B1143, DB[samplingPoint], DB[noLocation])</f>
        <v>16-1-098</v>
      </c>
      <c r="F1143" s="40" t="str">
        <f t="array" ref="F1143">_xlfn.XLOOKUP($B1143, DB[samplingPoint], DB[building])</f>
        <v>Building 16</v>
      </c>
      <c r="G1143" s="40" t="str">
        <f t="array" ref="G1143">_xlfn.XLOOKUP($B1143, DB[samplingPoint], DB[location])</f>
        <v>CIP/SIP</v>
      </c>
      <c r="H1143" s="39" t="str">
        <f t="array" ref="H1143">_xlfn.XLOOKUP($B1143, DB[samplingPoint], DB[waterType])</f>
        <v>WFI</v>
      </c>
      <c r="I1143" s="43">
        <f t="shared" si="11"/>
        <v>46056</v>
      </c>
      <c r="J1143" s="26">
        <v>46059.0</v>
      </c>
      <c r="K1143" s="32">
        <v>0.0</v>
      </c>
      <c r="L1143" s="32"/>
      <c r="M1143" s="32">
        <f t="shared" si="3"/>
        <v>0</v>
      </c>
      <c r="N1143" s="32" t="s">
        <v>376</v>
      </c>
      <c r="O1143" s="32">
        <v>10.0</v>
      </c>
      <c r="P1143" s="50" t="str">
        <f t="shared" si="6"/>
        <v>PASSED</v>
      </c>
      <c r="Q1143" s="50" t="str">
        <f t="shared" si="5"/>
        <v>16</v>
      </c>
    </row>
    <row r="1144" ht="22.5" customHeight="1">
      <c r="A1144" s="26">
        <v>46056.0</v>
      </c>
      <c r="B1144" s="39" t="s">
        <v>391</v>
      </c>
      <c r="C1144" s="32" t="str">
        <f t="array" ref="C1144">_xlfn.XLOOKUP(B1144, DB[samplingPoint], DB[samplingTag])</f>
        <v>SV216.03</v>
      </c>
      <c r="D1144" s="33"/>
      <c r="E1144" s="39" t="str">
        <f t="array" ref="E1144">_xlfn.XLOOKUP($B1144, DB[samplingPoint], DB[noLocation])</f>
        <v>16-1-096</v>
      </c>
      <c r="F1144" s="40" t="str">
        <f t="array" ref="F1144">_xlfn.XLOOKUP($B1144, DB[samplingPoint], DB[building])</f>
        <v>Building 16</v>
      </c>
      <c r="G1144" s="40" t="str">
        <f t="array" ref="G1144">_xlfn.XLOOKUP($B1144, DB[samplingPoint], DB[location])</f>
        <v>WASHING/TUNNEL-02</v>
      </c>
      <c r="H1144" s="39" t="str">
        <f t="array" ref="H1144">_xlfn.XLOOKUP($B1144, DB[samplingPoint], DB[waterType])</f>
        <v>WFI</v>
      </c>
      <c r="I1144" s="43">
        <f t="shared" ref="I1144:I1146" si="12">$A1144+2</f>
        <v>46058</v>
      </c>
      <c r="J1144" s="26">
        <v>46062.0</v>
      </c>
      <c r="K1144" s="32">
        <v>0.0</v>
      </c>
      <c r="L1144" s="32"/>
      <c r="M1144" s="32">
        <f t="shared" si="3"/>
        <v>0</v>
      </c>
      <c r="N1144" s="32" t="s">
        <v>376</v>
      </c>
      <c r="O1144" s="32">
        <v>10.0</v>
      </c>
      <c r="P1144" s="50" t="str">
        <f t="shared" si="6"/>
        <v>PASSED</v>
      </c>
      <c r="Q1144" s="50" t="str">
        <f t="shared" si="5"/>
        <v>16</v>
      </c>
    </row>
    <row r="1145" ht="22.5" customHeight="1">
      <c r="A1145" s="26">
        <v>46056.0</v>
      </c>
      <c r="B1145" s="39" t="s">
        <v>395</v>
      </c>
      <c r="C1145" s="32" t="str">
        <f t="array" ref="C1145">_xlfn.XLOOKUP(B1145, DB[samplingPoint], DB[samplingTag])</f>
        <v>POU HE216.03</v>
      </c>
      <c r="D1145" s="33"/>
      <c r="E1145" s="39" t="str">
        <f t="array" ref="E1145">_xlfn.XLOOKUP($B1145, DB[samplingPoint], DB[noLocation])</f>
        <v>16-1-082</v>
      </c>
      <c r="F1145" s="40" t="str">
        <f t="array" ref="F1145">_xlfn.XLOOKUP($B1145, DB[samplingPoint], DB[building])</f>
        <v>Building 16</v>
      </c>
      <c r="G1145" s="40" t="str">
        <f t="array" ref="G1145">_xlfn.XLOOKUP($B1145, DB[samplingPoint], DB[location])</f>
        <v>WASHING</v>
      </c>
      <c r="H1145" s="39" t="str">
        <f t="array" ref="H1145">_xlfn.XLOOKUP($B1145, DB[samplingPoint], DB[waterType])</f>
        <v>WFI</v>
      </c>
      <c r="I1145" s="43">
        <f t="shared" si="12"/>
        <v>46058</v>
      </c>
      <c r="J1145" s="26">
        <v>46062.0</v>
      </c>
      <c r="K1145" s="32">
        <v>0.0</v>
      </c>
      <c r="L1145" s="32"/>
      <c r="M1145" s="32">
        <f t="shared" si="3"/>
        <v>0</v>
      </c>
      <c r="N1145" s="32" t="s">
        <v>376</v>
      </c>
      <c r="O1145" s="32">
        <v>10.0</v>
      </c>
      <c r="P1145" s="50" t="str">
        <f t="shared" si="6"/>
        <v>PASSED</v>
      </c>
      <c r="Q1145" s="50" t="str">
        <f t="shared" si="5"/>
        <v>16</v>
      </c>
    </row>
    <row r="1146" ht="22.5" customHeight="1">
      <c r="A1146" s="26">
        <v>46056.0</v>
      </c>
      <c r="B1146" s="39" t="s">
        <v>397</v>
      </c>
      <c r="C1146" s="32" t="str">
        <f t="array" ref="C1146">_xlfn.XLOOKUP(B1146, DB[samplingPoint], DB[samplingTag])</f>
        <v>SV216.06</v>
      </c>
      <c r="D1146" s="33"/>
      <c r="E1146" s="39" t="str">
        <f t="array" ref="E1146">_xlfn.XLOOKUP($B1146, DB[samplingPoint], DB[noLocation])</f>
        <v>16-1-082</v>
      </c>
      <c r="F1146" s="40" t="str">
        <f t="array" ref="F1146">_xlfn.XLOOKUP($B1146, DB[samplingPoint], DB[building])</f>
        <v>Building 16</v>
      </c>
      <c r="G1146" s="40" t="str">
        <f t="array" ref="G1146">_xlfn.XLOOKUP($B1146, DB[samplingPoint], DB[location])</f>
        <v>WASHING</v>
      </c>
      <c r="H1146" s="39" t="str">
        <f t="array" ref="H1146">_xlfn.XLOOKUP($B1146, DB[samplingPoint], DB[waterType])</f>
        <v>WFI</v>
      </c>
      <c r="I1146" s="43">
        <f t="shared" si="12"/>
        <v>46058</v>
      </c>
      <c r="J1146" s="26">
        <v>46062.0</v>
      </c>
      <c r="K1146" s="32">
        <v>0.0</v>
      </c>
      <c r="L1146" s="32"/>
      <c r="M1146" s="32">
        <f t="shared" si="3"/>
        <v>0</v>
      </c>
      <c r="N1146" s="32" t="s">
        <v>376</v>
      </c>
      <c r="O1146" s="32">
        <v>10.0</v>
      </c>
      <c r="P1146" s="50" t="str">
        <f t="shared" si="6"/>
        <v>PASSED</v>
      </c>
      <c r="Q1146" s="50" t="str">
        <f t="shared" si="5"/>
        <v>16</v>
      </c>
    </row>
    <row r="1147" ht="22.5" customHeight="1">
      <c r="A1147" s="26">
        <v>46056.0</v>
      </c>
      <c r="B1147" s="39" t="s">
        <v>471</v>
      </c>
      <c r="C1147" s="32" t="str">
        <f t="array" ref="C1147">_xlfn.XLOOKUP(B1147, DB[samplingPoint], DB[samplingTag])</f>
        <v>VB-05 (16)</v>
      </c>
      <c r="D1147" s="33"/>
      <c r="E1147" s="39" t="str">
        <f t="array" ref="E1147">_xlfn.XLOOKUP($B1147, DB[samplingPoint], DB[noLocation])</f>
        <v>WATER SYSTEM (B16)</v>
      </c>
      <c r="F1147" s="40" t="str">
        <f t="array" ref="F1147">_xlfn.XLOOKUP($B1147, DB[samplingPoint], DB[building])</f>
        <v>Building 16</v>
      </c>
      <c r="G1147" s="40" t="str">
        <f t="array" ref="G1147">_xlfn.XLOOKUP($B1147, DB[samplingPoint], DB[location])</f>
        <v>After Chlorine circulation tank (B16)</v>
      </c>
      <c r="H1147" s="39" t="str">
        <f t="array" ref="H1147">_xlfn.XLOOKUP($B1147, DB[samplingPoint], DB[waterType])</f>
        <v>PRW</v>
      </c>
      <c r="I1147" s="43">
        <f t="shared" ref="I1147:I1175" si="13">$A1147+1</f>
        <v>46057</v>
      </c>
      <c r="J1147" s="26">
        <v>46060.0</v>
      </c>
      <c r="K1147" s="32">
        <v>0.0</v>
      </c>
      <c r="L1147" s="32">
        <v>0.0</v>
      </c>
      <c r="M1147" s="32">
        <f t="shared" si="3"/>
        <v>0</v>
      </c>
      <c r="N1147" s="32" t="s">
        <v>376</v>
      </c>
      <c r="O1147" s="32"/>
      <c r="P1147" s="50" t="str">
        <f t="shared" si="6"/>
        <v>PASSED</v>
      </c>
      <c r="Q1147" s="50" t="str">
        <f t="shared" si="5"/>
        <v>WA</v>
      </c>
    </row>
    <row r="1148" ht="22.5" customHeight="1">
      <c r="A1148" s="26">
        <v>46056.0</v>
      </c>
      <c r="B1148" s="39" t="s">
        <v>470</v>
      </c>
      <c r="C1148" s="32" t="str">
        <f t="array" ref="C1148">_xlfn.XLOOKUP(B1148, DB[samplingPoint], DB[samplingTag])</f>
        <v>V50-61 (16)</v>
      </c>
      <c r="D1148" s="33"/>
      <c r="E1148" s="39" t="str">
        <f t="array" ref="E1148">_xlfn.XLOOKUP($B1148, DB[samplingPoint], DB[noLocation])</f>
        <v>WATER SYSTEM (B16)</v>
      </c>
      <c r="F1148" s="40" t="str">
        <f t="array" ref="F1148">_xlfn.XLOOKUP($B1148, DB[samplingPoint], DB[building])</f>
        <v>Building 16</v>
      </c>
      <c r="G1148" s="40" t="str">
        <f t="array" ref="G1148">_xlfn.XLOOKUP($B1148, DB[samplingPoint], DB[location])</f>
        <v>After Cartridge filter 5 µm (B16)</v>
      </c>
      <c r="H1148" s="39" t="str">
        <f t="array" ref="H1148">_xlfn.XLOOKUP($B1148, DB[samplingPoint], DB[waterType])</f>
        <v>PRW</v>
      </c>
      <c r="I1148" s="43">
        <f t="shared" si="13"/>
        <v>46057</v>
      </c>
      <c r="J1148" s="26">
        <v>46060.0</v>
      </c>
      <c r="K1148" s="32">
        <v>0.0</v>
      </c>
      <c r="L1148" s="32">
        <v>0.0</v>
      </c>
      <c r="M1148" s="32">
        <f t="shared" si="3"/>
        <v>0</v>
      </c>
      <c r="N1148" s="32" t="s">
        <v>376</v>
      </c>
      <c r="O1148" s="32"/>
      <c r="P1148" s="50" t="str">
        <f t="shared" si="6"/>
        <v>PASSED</v>
      </c>
      <c r="Q1148" s="50" t="str">
        <f t="shared" si="5"/>
        <v>WA</v>
      </c>
    </row>
    <row r="1149" ht="22.5" customHeight="1">
      <c r="A1149" s="26">
        <v>46056.0</v>
      </c>
      <c r="B1149" s="39" t="s">
        <v>466</v>
      </c>
      <c r="C1149" s="32" t="str">
        <f t="array" ref="C1149">_xlfn.XLOOKUP(B1149, DB[samplingPoint], DB[samplingTag])</f>
        <v>V50-11C (16)</v>
      </c>
      <c r="D1149" s="33"/>
      <c r="E1149" s="39" t="str">
        <f t="array" ref="E1149">_xlfn.XLOOKUP($B1149, DB[samplingPoint], DB[noLocation])</f>
        <v>WATER SYSTEM (B16)</v>
      </c>
      <c r="F1149" s="40" t="str">
        <f t="array" ref="F1149">_xlfn.XLOOKUP($B1149, DB[samplingPoint], DB[building])</f>
        <v>Building 16</v>
      </c>
      <c r="G1149" s="40" t="str">
        <f t="array" ref="G1149">_xlfn.XLOOKUP($B1149, DB[samplingPoint], DB[location])</f>
        <v>After RO (Before EDI) (B16)</v>
      </c>
      <c r="H1149" s="39" t="str">
        <f t="array" ref="H1149">_xlfn.XLOOKUP($B1149, DB[samplingPoint], DB[waterType])</f>
        <v>RO water</v>
      </c>
      <c r="I1149" s="43">
        <f t="shared" si="13"/>
        <v>46057</v>
      </c>
      <c r="J1149" s="26">
        <v>46060.0</v>
      </c>
      <c r="K1149" s="32">
        <v>0.0</v>
      </c>
      <c r="L1149" s="32">
        <v>0.0</v>
      </c>
      <c r="M1149" s="32">
        <f t="shared" si="3"/>
        <v>0</v>
      </c>
      <c r="N1149" s="32" t="s">
        <v>376</v>
      </c>
      <c r="O1149" s="32"/>
      <c r="P1149" s="50" t="str">
        <f t="shared" si="6"/>
        <v>PASSED</v>
      </c>
      <c r="Q1149" s="50" t="str">
        <f t="shared" si="5"/>
        <v>WA</v>
      </c>
    </row>
    <row r="1150" ht="22.5" customHeight="1">
      <c r="A1150" s="26">
        <v>46056.0</v>
      </c>
      <c r="B1150" s="39" t="s">
        <v>468</v>
      </c>
      <c r="C1150" s="32" t="str">
        <f t="array" ref="C1150">_xlfn.XLOOKUP(B1150, DB[samplingPoint], DB[samplingTag])</f>
        <v>V50-39 (16)</v>
      </c>
      <c r="D1150" s="33"/>
      <c r="E1150" s="39" t="str">
        <f t="array" ref="E1150">_xlfn.XLOOKUP($B1150, DB[samplingPoint], DB[noLocation])</f>
        <v>WATER SYSTEM (B16)</v>
      </c>
      <c r="F1150" s="40" t="str">
        <f t="array" ref="F1150">_xlfn.XLOOKUP($B1150, DB[samplingPoint], DB[building])</f>
        <v>Building 16</v>
      </c>
      <c r="G1150" s="40" t="str">
        <f t="array" ref="G1150">_xlfn.XLOOKUP($B1150, DB[samplingPoint], DB[location])</f>
        <v>After EDI (B16)</v>
      </c>
      <c r="H1150" s="39" t="str">
        <f t="array" ref="H1150">_xlfn.XLOOKUP($B1150, DB[samplingPoint], DB[waterType])</f>
        <v>PW</v>
      </c>
      <c r="I1150" s="43">
        <f t="shared" si="13"/>
        <v>46057</v>
      </c>
      <c r="J1150" s="26">
        <v>46060.0</v>
      </c>
      <c r="K1150" s="32">
        <v>0.0</v>
      </c>
      <c r="L1150" s="32">
        <v>0.0</v>
      </c>
      <c r="M1150" s="32">
        <f t="shared" si="3"/>
        <v>0</v>
      </c>
      <c r="N1150" s="32" t="s">
        <v>376</v>
      </c>
      <c r="O1150" s="32"/>
      <c r="P1150" s="50" t="str">
        <f t="shared" si="6"/>
        <v>PASSED</v>
      </c>
      <c r="Q1150" s="50" t="str">
        <f t="shared" si="5"/>
        <v>WA</v>
      </c>
    </row>
    <row r="1151" ht="22.5" customHeight="1">
      <c r="A1151" s="26">
        <v>46056.0</v>
      </c>
      <c r="B1151" s="39" t="s">
        <v>464</v>
      </c>
      <c r="C1151" s="32" t="str">
        <f t="array" ref="C1151">_xlfn.XLOOKUP(B1151, DB[samplingPoint], DB[samplingTag])</f>
        <v>SV127.01</v>
      </c>
      <c r="D1151" s="33"/>
      <c r="E1151" s="39" t="str">
        <f t="array" ref="E1151">_xlfn.XLOOKUP($B1151, DB[samplingPoint], DB[noLocation])</f>
        <v>WATER SYSTEM (B16)</v>
      </c>
      <c r="F1151" s="40" t="str">
        <f t="array" ref="F1151">_xlfn.XLOOKUP($B1151, DB[samplingPoint], DB[building])</f>
        <v>Building 16</v>
      </c>
      <c r="G1151" s="40" t="str">
        <f t="array" ref="G1151">_xlfn.XLOOKUP($B1151, DB[samplingPoint], DB[location])</f>
        <v>Return loop (B16)</v>
      </c>
      <c r="H1151" s="39" t="str">
        <f t="array" ref="H1151">_xlfn.XLOOKUP($B1151, DB[samplingPoint], DB[waterType])</f>
        <v>PW</v>
      </c>
      <c r="I1151" s="43">
        <f t="shared" si="13"/>
        <v>46057</v>
      </c>
      <c r="J1151" s="26">
        <v>46060.0</v>
      </c>
      <c r="K1151" s="32">
        <v>0.0</v>
      </c>
      <c r="L1151" s="32">
        <v>0.0</v>
      </c>
      <c r="M1151" s="32">
        <f t="shared" si="3"/>
        <v>0</v>
      </c>
      <c r="N1151" s="32" t="s">
        <v>376</v>
      </c>
      <c r="O1151" s="32"/>
      <c r="P1151" s="50" t="str">
        <f t="shared" si="6"/>
        <v>PASSED</v>
      </c>
      <c r="Q1151" s="50" t="str">
        <f t="shared" si="5"/>
        <v>WA</v>
      </c>
    </row>
    <row r="1152" ht="22.5" customHeight="1">
      <c r="A1152" s="26">
        <v>46056.0</v>
      </c>
      <c r="B1152" s="39" t="s">
        <v>451</v>
      </c>
      <c r="C1152" s="32" t="str">
        <f t="array" ref="C1152">_xlfn.XLOOKUP(B1152, DB[samplingPoint], DB[samplingTag])</f>
        <v>DV126.02</v>
      </c>
      <c r="D1152" s="33"/>
      <c r="E1152" s="39" t="str">
        <f t="array" ref="E1152">_xlfn.XLOOKUP($B1152, DB[samplingPoint], DB[noLocation])</f>
        <v>16-1-082</v>
      </c>
      <c r="F1152" s="40" t="str">
        <f t="array" ref="F1152">_xlfn.XLOOKUP($B1152, DB[samplingPoint], DB[building])</f>
        <v>Building 16</v>
      </c>
      <c r="G1152" s="40" t="str">
        <f t="array" ref="G1152">_xlfn.XLOOKUP($B1152, DB[samplingPoint], DB[location])</f>
        <v>WASHING</v>
      </c>
      <c r="H1152" s="39" t="str">
        <f t="array" ref="H1152">_xlfn.XLOOKUP($B1152, DB[samplingPoint], DB[waterType])</f>
        <v>PW</v>
      </c>
      <c r="I1152" s="43">
        <f t="shared" si="13"/>
        <v>46057</v>
      </c>
      <c r="J1152" s="26">
        <v>46060.0</v>
      </c>
      <c r="K1152" s="32">
        <v>0.0</v>
      </c>
      <c r="L1152" s="32">
        <v>0.0</v>
      </c>
      <c r="M1152" s="32">
        <f t="shared" si="3"/>
        <v>0</v>
      </c>
      <c r="N1152" s="32" t="s">
        <v>376</v>
      </c>
      <c r="O1152" s="32"/>
      <c r="P1152" s="50" t="str">
        <f t="shared" si="6"/>
        <v>PASSED</v>
      </c>
      <c r="Q1152" s="50" t="str">
        <f t="shared" si="5"/>
        <v>16</v>
      </c>
    </row>
    <row r="1153" ht="22.5" customHeight="1">
      <c r="A1153" s="26">
        <v>46056.0</v>
      </c>
      <c r="B1153" s="39" t="s">
        <v>447</v>
      </c>
      <c r="C1153" s="32" t="str">
        <f t="array" ref="C1153">_xlfn.XLOOKUP(B1153, DB[samplingPoint], DB[samplingTag])</f>
        <v>DV126.01</v>
      </c>
      <c r="D1153" s="33"/>
      <c r="E1153" s="39" t="str">
        <f t="array" ref="E1153">_xlfn.XLOOKUP($B1153, DB[samplingPoint], DB[noLocation])</f>
        <v>16-1-082</v>
      </c>
      <c r="F1153" s="40" t="str">
        <f t="array" ref="F1153">_xlfn.XLOOKUP($B1153, DB[samplingPoint], DB[building])</f>
        <v>Building 16</v>
      </c>
      <c r="G1153" s="40" t="str">
        <f t="array" ref="G1153">_xlfn.XLOOKUP($B1153, DB[samplingPoint], DB[location])</f>
        <v>WASHING</v>
      </c>
      <c r="H1153" s="39" t="str">
        <f t="array" ref="H1153">_xlfn.XLOOKUP($B1153, DB[samplingPoint], DB[waterType])</f>
        <v>PW</v>
      </c>
      <c r="I1153" s="43">
        <f t="shared" si="13"/>
        <v>46057</v>
      </c>
      <c r="J1153" s="26">
        <v>46060.0</v>
      </c>
      <c r="K1153" s="32">
        <v>0.0</v>
      </c>
      <c r="L1153" s="32">
        <v>0.0</v>
      </c>
      <c r="M1153" s="32">
        <f t="shared" si="3"/>
        <v>0</v>
      </c>
      <c r="N1153" s="32" t="s">
        <v>376</v>
      </c>
      <c r="O1153" s="32"/>
      <c r="P1153" s="50" t="str">
        <f t="shared" si="6"/>
        <v>PASSED</v>
      </c>
      <c r="Q1153" s="50" t="str">
        <f t="shared" si="5"/>
        <v>16</v>
      </c>
    </row>
    <row r="1154" ht="22.5" customHeight="1">
      <c r="A1154" s="26">
        <v>46056.0</v>
      </c>
      <c r="B1154" s="39" t="s">
        <v>459</v>
      </c>
      <c r="C1154" s="32" t="str">
        <f t="array" ref="C1154">_xlfn.XLOOKUP(B1154, DB[samplingPoint], DB[samplingTag])</f>
        <v>SV126.02</v>
      </c>
      <c r="D1154" s="33"/>
      <c r="E1154" s="39" t="str">
        <f t="array" ref="E1154">_xlfn.XLOOKUP($B1154, DB[samplingPoint], DB[noLocation])</f>
        <v>16-1-098</v>
      </c>
      <c r="F1154" s="40" t="str">
        <f t="array" ref="F1154">_xlfn.XLOOKUP($B1154, DB[samplingPoint], DB[building])</f>
        <v>Building 16</v>
      </c>
      <c r="G1154" s="40" t="str">
        <f t="array" ref="G1154">_xlfn.XLOOKUP($B1154, DB[samplingPoint], DB[location])</f>
        <v>CIP/SIP (EQUIPMENT REQUIREMENT – 200L)</v>
      </c>
      <c r="H1154" s="39" t="str">
        <f t="array" ref="H1154">_xlfn.XLOOKUP($B1154, DB[samplingPoint], DB[waterType])</f>
        <v>PW</v>
      </c>
      <c r="I1154" s="43">
        <f t="shared" si="13"/>
        <v>46057</v>
      </c>
      <c r="J1154" s="26">
        <v>46060.0</v>
      </c>
      <c r="K1154" s="32">
        <v>0.0</v>
      </c>
      <c r="L1154" s="32">
        <v>0.0</v>
      </c>
      <c r="M1154" s="32">
        <f t="shared" si="3"/>
        <v>0</v>
      </c>
      <c r="N1154" s="32" t="s">
        <v>376</v>
      </c>
      <c r="O1154" s="32"/>
      <c r="P1154" s="50" t="str">
        <f t="shared" si="6"/>
        <v>PASSED</v>
      </c>
      <c r="Q1154" s="50" t="str">
        <f t="shared" si="5"/>
        <v>16</v>
      </c>
    </row>
    <row r="1155" ht="22.5" customHeight="1">
      <c r="A1155" s="26">
        <v>46056.0</v>
      </c>
      <c r="B1155" s="39" t="s">
        <v>454</v>
      </c>
      <c r="C1155" s="32" t="str">
        <f t="array" ref="C1155">_xlfn.XLOOKUP(B1155, DB[samplingPoint], DB[samplingTag])</f>
        <v>DV126.03</v>
      </c>
      <c r="D1155" s="33"/>
      <c r="E1155" s="39" t="str">
        <f t="array" ref="E1155">_xlfn.XLOOKUP($B1155, DB[samplingPoint], DB[noLocation])</f>
        <v>16-1-098</v>
      </c>
      <c r="F1155" s="40" t="str">
        <f t="array" ref="F1155">_xlfn.XLOOKUP($B1155, DB[samplingPoint], DB[building])</f>
        <v>Building 16</v>
      </c>
      <c r="G1155" s="40" t="str">
        <f t="array" ref="G1155">_xlfn.XLOOKUP($B1155, DB[samplingPoint], DB[location])</f>
        <v>CIP/SIP (SINK WASHING)</v>
      </c>
      <c r="H1155" s="39" t="str">
        <f t="array" ref="H1155">_xlfn.XLOOKUP($B1155, DB[samplingPoint], DB[waterType])</f>
        <v>PW</v>
      </c>
      <c r="I1155" s="43">
        <f t="shared" si="13"/>
        <v>46057</v>
      </c>
      <c r="J1155" s="26">
        <v>46060.0</v>
      </c>
      <c r="K1155" s="32">
        <v>0.0</v>
      </c>
      <c r="L1155" s="32">
        <v>0.0</v>
      </c>
      <c r="M1155" s="32">
        <f t="shared" si="3"/>
        <v>0</v>
      </c>
      <c r="N1155" s="32" t="s">
        <v>376</v>
      </c>
      <c r="O1155" s="32"/>
      <c r="P1155" s="50" t="str">
        <f t="shared" si="6"/>
        <v>PASSED</v>
      </c>
      <c r="Q1155" s="50" t="str">
        <f t="shared" si="5"/>
        <v>16</v>
      </c>
    </row>
    <row r="1156" ht="22.5" customHeight="1">
      <c r="A1156" s="26">
        <v>46056.0</v>
      </c>
      <c r="B1156" s="39" t="s">
        <v>457</v>
      </c>
      <c r="C1156" s="32" t="str">
        <f t="array" ref="C1156">_xlfn.XLOOKUP(B1156, DB[samplingPoint], DB[samplingTag])</f>
        <v>SV126.01</v>
      </c>
      <c r="D1156" s="33"/>
      <c r="E1156" s="39" t="str">
        <f t="array" ref="E1156">_xlfn.XLOOKUP($B1156, DB[samplingPoint], DB[noLocation])</f>
        <v>16-1-092</v>
      </c>
      <c r="F1156" s="40" t="str">
        <f t="array" ref="F1156">_xlfn.XLOOKUP($B1156, DB[samplingPoint], DB[building])</f>
        <v>Building 16</v>
      </c>
      <c r="G1156" s="40" t="str">
        <f t="array" ref="G1156">_xlfn.XLOOKUP($B1156, DB[samplingPoint], DB[location])</f>
        <v>LINEN WASHING</v>
      </c>
      <c r="H1156" s="39" t="str">
        <f t="array" ref="H1156">_xlfn.XLOOKUP($B1156, DB[samplingPoint], DB[waterType])</f>
        <v>PW</v>
      </c>
      <c r="I1156" s="43">
        <f t="shared" si="13"/>
        <v>46057</v>
      </c>
      <c r="J1156" s="26">
        <v>46060.0</v>
      </c>
      <c r="K1156" s="32">
        <v>0.0</v>
      </c>
      <c r="L1156" s="32">
        <v>0.0</v>
      </c>
      <c r="M1156" s="32">
        <f t="shared" si="3"/>
        <v>0</v>
      </c>
      <c r="N1156" s="32" t="s">
        <v>376</v>
      </c>
      <c r="O1156" s="32"/>
      <c r="P1156" s="50" t="str">
        <f t="shared" si="6"/>
        <v>PASSED</v>
      </c>
      <c r="Q1156" s="50" t="str">
        <f t="shared" si="5"/>
        <v>16</v>
      </c>
    </row>
    <row r="1157" ht="22.5" customHeight="1">
      <c r="A1157" s="26">
        <v>46056.0</v>
      </c>
      <c r="B1157" s="39" t="s">
        <v>461</v>
      </c>
      <c r="C1157" s="32" t="str">
        <f t="array" ref="C1157">_xlfn.XLOOKUP(B1157, DB[samplingPoint], DB[samplingTag])</f>
        <v>SV126.03</v>
      </c>
      <c r="D1157" s="33"/>
      <c r="E1157" s="39" t="str">
        <f t="array" ref="E1157">_xlfn.XLOOKUP($B1157, DB[samplingPoint], DB[noLocation])</f>
        <v>16-2-010</v>
      </c>
      <c r="F1157" s="40" t="str">
        <f t="array" ref="F1157">_xlfn.XLOOKUP($B1157, DB[samplingPoint], DB[building])</f>
        <v>Building 16</v>
      </c>
      <c r="G1157" s="40" t="str">
        <f t="array" ref="G1157">_xlfn.XLOOKUP($B1157, DB[samplingPoint], DB[location])</f>
        <v>WATER SYSTEM (WFI)</v>
      </c>
      <c r="H1157" s="39" t="str">
        <f t="array" ref="H1157">_xlfn.XLOOKUP($B1157, DB[samplingPoint], DB[waterType])</f>
        <v>PW</v>
      </c>
      <c r="I1157" s="43">
        <f t="shared" si="13"/>
        <v>46057</v>
      </c>
      <c r="J1157" s="26">
        <v>46060.0</v>
      </c>
      <c r="K1157" s="32">
        <v>0.0</v>
      </c>
      <c r="L1157" s="32">
        <v>0.0</v>
      </c>
      <c r="M1157" s="32">
        <f t="shared" si="3"/>
        <v>0</v>
      </c>
      <c r="N1157" s="32" t="s">
        <v>376</v>
      </c>
      <c r="O1157" s="32"/>
      <c r="P1157" s="50" t="str">
        <f t="shared" si="6"/>
        <v>PASSED</v>
      </c>
      <c r="Q1157" s="50" t="str">
        <f t="shared" si="5"/>
        <v>16</v>
      </c>
    </row>
    <row r="1158" ht="22.5" customHeight="1">
      <c r="A1158" s="26">
        <v>46056.0</v>
      </c>
      <c r="B1158" s="39" t="s">
        <v>444</v>
      </c>
      <c r="C1158" s="32" t="str">
        <f t="array" ref="C1158">_xlfn.XLOOKUP(B1158, DB[samplingPoint], DB[samplingTag])</f>
        <v>VB-05 (12)</v>
      </c>
      <c r="D1158" s="33"/>
      <c r="E1158" s="39" t="str">
        <f t="array" ref="E1158">_xlfn.XLOOKUP($B1158, DB[samplingPoint], DB[noLocation])</f>
        <v>WATER SYSTEM (B12)</v>
      </c>
      <c r="F1158" s="40" t="str">
        <f t="array" ref="F1158">_xlfn.XLOOKUP($B1158, DB[samplingPoint], DB[building])</f>
        <v>Building 12</v>
      </c>
      <c r="G1158" s="40" t="str">
        <f t="array" ref="G1158">_xlfn.XLOOKUP($B1158, DB[samplingPoint], DB[location])</f>
        <v>After Chlorine circulation tank</v>
      </c>
      <c r="H1158" s="39" t="str">
        <f t="array" ref="H1158">_xlfn.XLOOKUP($B1158, DB[samplingPoint], DB[waterType])</f>
        <v>PRW</v>
      </c>
      <c r="I1158" s="43">
        <f t="shared" si="13"/>
        <v>46057</v>
      </c>
      <c r="J1158" s="26">
        <v>46060.0</v>
      </c>
      <c r="K1158" s="32">
        <v>0.0</v>
      </c>
      <c r="L1158" s="32">
        <v>0.0</v>
      </c>
      <c r="M1158" s="32">
        <f t="shared" si="3"/>
        <v>0</v>
      </c>
      <c r="N1158" s="32" t="s">
        <v>376</v>
      </c>
      <c r="O1158" s="32"/>
      <c r="P1158" s="50" t="str">
        <f t="shared" si="6"/>
        <v>PASSED</v>
      </c>
      <c r="Q1158" s="50" t="str">
        <f t="shared" si="5"/>
        <v>WA</v>
      </c>
    </row>
    <row r="1159" ht="22.5" customHeight="1">
      <c r="A1159" s="26">
        <v>46056.0</v>
      </c>
      <c r="B1159" s="39" t="s">
        <v>442</v>
      </c>
      <c r="C1159" s="32" t="str">
        <f t="array" ref="C1159">_xlfn.XLOOKUP(B1159, DB[samplingPoint], DB[samplingTag])</f>
        <v>V50-61 (12)</v>
      </c>
      <c r="D1159" s="33"/>
      <c r="E1159" s="39" t="str">
        <f t="array" ref="E1159">_xlfn.XLOOKUP($B1159, DB[samplingPoint], DB[noLocation])</f>
        <v>WATER SYSTEM (B12)</v>
      </c>
      <c r="F1159" s="40" t="str">
        <f t="array" ref="F1159">_xlfn.XLOOKUP($B1159, DB[samplingPoint], DB[building])</f>
        <v>Building 12</v>
      </c>
      <c r="G1159" s="40" t="str">
        <f t="array" ref="G1159">_xlfn.XLOOKUP($B1159, DB[samplingPoint], DB[location])</f>
        <v>After Cartridge filter 5 µm (B12)</v>
      </c>
      <c r="H1159" s="39" t="str">
        <f t="array" ref="H1159">_xlfn.XLOOKUP($B1159, DB[samplingPoint], DB[waterType])</f>
        <v>PRW</v>
      </c>
      <c r="I1159" s="43">
        <f t="shared" si="13"/>
        <v>46057</v>
      </c>
      <c r="J1159" s="26">
        <v>46060.0</v>
      </c>
      <c r="K1159" s="32">
        <v>15.0</v>
      </c>
      <c r="L1159" s="32">
        <v>21.0</v>
      </c>
      <c r="M1159" s="32">
        <f t="shared" si="3"/>
        <v>18</v>
      </c>
      <c r="N1159" s="32" t="s">
        <v>376</v>
      </c>
      <c r="O1159" s="32"/>
      <c r="P1159" s="50" t="str">
        <f t="shared" si="6"/>
        <v>NOT-PASSED</v>
      </c>
      <c r="Q1159" s="50" t="str">
        <f t="shared" si="5"/>
        <v>WA</v>
      </c>
    </row>
    <row r="1160" ht="22.5" customHeight="1">
      <c r="A1160" s="26">
        <v>46056.0</v>
      </c>
      <c r="B1160" s="39" t="s">
        <v>434</v>
      </c>
      <c r="C1160" s="32" t="str">
        <f t="array" ref="C1160">_xlfn.XLOOKUP(B1160, DB[samplingPoint], DB[samplingTag])</f>
        <v>V50-11C (12)</v>
      </c>
      <c r="D1160" s="33"/>
      <c r="E1160" s="39" t="str">
        <f t="array" ref="E1160">_xlfn.XLOOKUP($B1160, DB[samplingPoint], DB[noLocation])</f>
        <v>WATER SYSTEM (B12)</v>
      </c>
      <c r="F1160" s="40" t="str">
        <f t="array" ref="F1160">_xlfn.XLOOKUP($B1160, DB[samplingPoint], DB[building])</f>
        <v>Building 12</v>
      </c>
      <c r="G1160" s="40" t="str">
        <f t="array" ref="G1160">_xlfn.XLOOKUP($B1160, DB[samplingPoint], DB[location])</f>
        <v>After RO (Before EDI) (B12)</v>
      </c>
      <c r="H1160" s="39" t="str">
        <f t="array" ref="H1160">_xlfn.XLOOKUP($B1160, DB[samplingPoint], DB[waterType])</f>
        <v>RO water</v>
      </c>
      <c r="I1160" s="43">
        <f t="shared" si="13"/>
        <v>46057</v>
      </c>
      <c r="J1160" s="26">
        <v>46060.0</v>
      </c>
      <c r="K1160" s="32">
        <v>0.0</v>
      </c>
      <c r="L1160" s="32">
        <v>0.0</v>
      </c>
      <c r="M1160" s="32">
        <f t="shared" si="3"/>
        <v>0</v>
      </c>
      <c r="N1160" s="32" t="s">
        <v>376</v>
      </c>
      <c r="O1160" s="32"/>
      <c r="P1160" s="50" t="str">
        <f t="shared" si="6"/>
        <v>PASSED</v>
      </c>
      <c r="Q1160" s="50" t="str">
        <f t="shared" si="5"/>
        <v>WA</v>
      </c>
    </row>
    <row r="1161" ht="22.5" customHeight="1">
      <c r="A1161" s="26">
        <v>46056.0</v>
      </c>
      <c r="B1161" s="39" t="s">
        <v>440</v>
      </c>
      <c r="C1161" s="32" t="str">
        <f t="array" ref="C1161">_xlfn.XLOOKUP(B1161, DB[samplingPoint], DB[samplingTag])</f>
        <v>V50-39 (12)</v>
      </c>
      <c r="D1161" s="33"/>
      <c r="E1161" s="39" t="str">
        <f t="array" ref="E1161">_xlfn.XLOOKUP($B1161, DB[samplingPoint], DB[noLocation])</f>
        <v>WATER SYSTEM (B12)</v>
      </c>
      <c r="F1161" s="40" t="str">
        <f t="array" ref="F1161">_xlfn.XLOOKUP($B1161, DB[samplingPoint], DB[building])</f>
        <v>Building 12</v>
      </c>
      <c r="G1161" s="40" t="str">
        <f t="array" ref="G1161">_xlfn.XLOOKUP($B1161, DB[samplingPoint], DB[location])</f>
        <v>After EDI (B12)</v>
      </c>
      <c r="H1161" s="39" t="str">
        <f t="array" ref="H1161">_xlfn.XLOOKUP($B1161, DB[samplingPoint], DB[waterType])</f>
        <v>PW</v>
      </c>
      <c r="I1161" s="43">
        <f t="shared" si="13"/>
        <v>46057</v>
      </c>
      <c r="J1161" s="26">
        <v>46060.0</v>
      </c>
      <c r="K1161" s="32">
        <v>0.0</v>
      </c>
      <c r="L1161" s="32">
        <v>0.0</v>
      </c>
      <c r="M1161" s="32">
        <f t="shared" si="3"/>
        <v>0</v>
      </c>
      <c r="N1161" s="32" t="s">
        <v>376</v>
      </c>
      <c r="O1161" s="32"/>
      <c r="P1161" s="50" t="str">
        <f t="shared" si="6"/>
        <v>PASSED</v>
      </c>
      <c r="Q1161" s="50" t="str">
        <f t="shared" si="5"/>
        <v>WA</v>
      </c>
    </row>
    <row r="1162" ht="22.5" customHeight="1">
      <c r="A1162" s="26">
        <v>46056.0</v>
      </c>
      <c r="B1162" s="39" t="s">
        <v>430</v>
      </c>
      <c r="C1162" s="32" t="str">
        <f t="array" ref="C1162">_xlfn.XLOOKUP(B1162, DB[samplingPoint], DB[samplingTag])</f>
        <v>SV137.01</v>
      </c>
      <c r="D1162" s="33"/>
      <c r="E1162" s="39" t="str">
        <f t="array" ref="E1162">_xlfn.XLOOKUP($B1162, DB[samplingPoint], DB[noLocation])</f>
        <v>WATER SYSTEM (B12)</v>
      </c>
      <c r="F1162" s="40" t="str">
        <f t="array" ref="F1162">_xlfn.XLOOKUP($B1162, DB[samplingPoint], DB[building])</f>
        <v>Building 12</v>
      </c>
      <c r="G1162" s="40" t="str">
        <f t="array" ref="G1162">_xlfn.XLOOKUP($B1162, DB[samplingPoint], DB[location])</f>
        <v>Return loop (B12)</v>
      </c>
      <c r="H1162" s="39" t="str">
        <f t="array" ref="H1162">_xlfn.XLOOKUP($B1162, DB[samplingPoint], DB[waterType])</f>
        <v>PW</v>
      </c>
      <c r="I1162" s="43">
        <f t="shared" si="13"/>
        <v>46057</v>
      </c>
      <c r="J1162" s="26">
        <v>46060.0</v>
      </c>
      <c r="K1162" s="32">
        <v>0.0</v>
      </c>
      <c r="L1162" s="32">
        <v>0.0</v>
      </c>
      <c r="M1162" s="32">
        <f t="shared" si="3"/>
        <v>0</v>
      </c>
      <c r="N1162" s="32" t="s">
        <v>376</v>
      </c>
      <c r="O1162" s="32"/>
      <c r="P1162" s="50" t="str">
        <f t="shared" si="6"/>
        <v>PASSED</v>
      </c>
      <c r="Q1162" s="50" t="str">
        <f t="shared" si="5"/>
        <v>WA</v>
      </c>
    </row>
    <row r="1163" ht="22.5" customHeight="1">
      <c r="A1163" s="26">
        <v>46056.0</v>
      </c>
      <c r="B1163" s="39" t="s">
        <v>419</v>
      </c>
      <c r="C1163" s="32" t="str">
        <f t="array" ref="C1163">_xlfn.XLOOKUP(B1163, DB[samplingPoint], DB[samplingTag])</f>
        <v>DV136.15</v>
      </c>
      <c r="D1163" s="33"/>
      <c r="E1163" s="39" t="str">
        <f t="array" ref="E1163">_xlfn.XLOOKUP($B1163, DB[samplingPoint], DB[noLocation])</f>
        <v>12-3-078</v>
      </c>
      <c r="F1163" s="40" t="str">
        <f t="array" ref="F1163">_xlfn.XLOOKUP($B1163, DB[samplingPoint], DB[building])</f>
        <v>Building 12</v>
      </c>
      <c r="G1163" s="40" t="str">
        <f t="array" ref="G1163">_xlfn.XLOOKUP($B1163, DB[samplingPoint], DB[location])</f>
        <v>GLASSWARE WASHING 2</v>
      </c>
      <c r="H1163" s="39" t="str">
        <f t="array" ref="H1163">_xlfn.XLOOKUP($B1163, DB[samplingPoint], DB[waterType])</f>
        <v>PW</v>
      </c>
      <c r="I1163" s="43">
        <f t="shared" si="13"/>
        <v>46057</v>
      </c>
      <c r="J1163" s="26">
        <v>46060.0</v>
      </c>
      <c r="K1163" s="32">
        <v>0.0</v>
      </c>
      <c r="L1163" s="32">
        <v>0.0</v>
      </c>
      <c r="M1163" s="32">
        <f t="shared" si="3"/>
        <v>0</v>
      </c>
      <c r="N1163" s="32" t="s">
        <v>376</v>
      </c>
      <c r="O1163" s="32"/>
      <c r="P1163" s="50" t="str">
        <f t="shared" si="6"/>
        <v>PASSED</v>
      </c>
      <c r="Q1163" s="50" t="str">
        <f t="shared" si="5"/>
        <v>12</v>
      </c>
    </row>
    <row r="1164" ht="22.5" customHeight="1">
      <c r="A1164" s="26">
        <v>46056.0</v>
      </c>
      <c r="B1164" s="39" t="s">
        <v>409</v>
      </c>
      <c r="C1164" s="32" t="str">
        <f t="array" ref="C1164">_xlfn.XLOOKUP(B1164, DB[samplingPoint], DB[samplingTag])</f>
        <v>DV136.13</v>
      </c>
      <c r="D1164" s="33"/>
      <c r="E1164" s="39" t="str">
        <f t="array" ref="E1164">_xlfn.XLOOKUP($B1164, DB[samplingPoint], DB[noLocation])</f>
        <v>12-3-057</v>
      </c>
      <c r="F1164" s="40" t="str">
        <f t="array" ref="F1164">_xlfn.XLOOKUP($B1164, DB[samplingPoint], DB[building])</f>
        <v>Building 12</v>
      </c>
      <c r="G1164" s="40" t="str">
        <f t="array" ref="G1164">_xlfn.XLOOKUP($B1164, DB[samplingPoint], DB[location])</f>
        <v>STERILIZATION</v>
      </c>
      <c r="H1164" s="39" t="str">
        <f t="array" ref="H1164">_xlfn.XLOOKUP($B1164, DB[samplingPoint], DB[waterType])</f>
        <v>PW</v>
      </c>
      <c r="I1164" s="43">
        <f t="shared" si="13"/>
        <v>46057</v>
      </c>
      <c r="J1164" s="26">
        <v>46060.0</v>
      </c>
      <c r="K1164" s="32">
        <v>0.0</v>
      </c>
      <c r="L1164" s="32">
        <v>0.0</v>
      </c>
      <c r="M1164" s="32">
        <f t="shared" si="3"/>
        <v>0</v>
      </c>
      <c r="N1164" s="32" t="s">
        <v>376</v>
      </c>
      <c r="O1164" s="32"/>
      <c r="P1164" s="50" t="str">
        <f t="shared" si="6"/>
        <v>PASSED</v>
      </c>
      <c r="Q1164" s="50" t="str">
        <f t="shared" si="5"/>
        <v>12</v>
      </c>
    </row>
    <row r="1165" ht="22.5" customHeight="1">
      <c r="A1165" s="26">
        <v>46056.0</v>
      </c>
      <c r="B1165" s="39" t="s">
        <v>427</v>
      </c>
      <c r="C1165" s="32" t="str">
        <f t="array" ref="C1165">_xlfn.XLOOKUP(B1165, DB[samplingPoint], DB[samplingTag])</f>
        <v>SV136.18</v>
      </c>
      <c r="D1165" s="33"/>
      <c r="E1165" s="39" t="str">
        <f t="array" ref="E1165">_xlfn.XLOOKUP($B1165, DB[samplingPoint], DB[noLocation])</f>
        <v>12-3-059</v>
      </c>
      <c r="F1165" s="40" t="str">
        <f t="array" ref="F1165">_xlfn.XLOOKUP($B1165, DB[samplingPoint], DB[building])</f>
        <v>Building 12</v>
      </c>
      <c r="G1165" s="40" t="str">
        <f t="array" ref="G1165">_xlfn.XLOOKUP($B1165, DB[samplingPoint], DB[location])</f>
        <v>AUTOCLAVE</v>
      </c>
      <c r="H1165" s="39" t="str">
        <f t="array" ref="H1165">_xlfn.XLOOKUP($B1165, DB[samplingPoint], DB[waterType])</f>
        <v>PW</v>
      </c>
      <c r="I1165" s="43">
        <f t="shared" si="13"/>
        <v>46057</v>
      </c>
      <c r="J1165" s="26">
        <v>46060.0</v>
      </c>
      <c r="K1165" s="32">
        <v>0.0</v>
      </c>
      <c r="L1165" s="32">
        <v>0.0</v>
      </c>
      <c r="M1165" s="32">
        <f t="shared" si="3"/>
        <v>0</v>
      </c>
      <c r="N1165" s="32" t="s">
        <v>376</v>
      </c>
      <c r="O1165" s="32"/>
      <c r="P1165" s="50" t="str">
        <f t="shared" si="6"/>
        <v>PASSED</v>
      </c>
      <c r="Q1165" s="50" t="str">
        <f t="shared" si="5"/>
        <v>12</v>
      </c>
    </row>
    <row r="1166" ht="22.5" customHeight="1">
      <c r="A1166" s="26">
        <v>46056.0</v>
      </c>
      <c r="B1166" s="39" t="s">
        <v>399</v>
      </c>
      <c r="C1166" s="32" t="str">
        <f t="array" ref="C1166">_xlfn.XLOOKUP(B1166, DB[samplingPoint], DB[samplingTag])</f>
        <v>DV136.11</v>
      </c>
      <c r="D1166" s="33"/>
      <c r="E1166" s="39" t="str">
        <f t="array" ref="E1166">_xlfn.XLOOKUP($B1166, DB[samplingPoint], DB[noLocation])</f>
        <v>12-3-059</v>
      </c>
      <c r="F1166" s="40" t="str">
        <f t="array" ref="F1166">_xlfn.XLOOKUP($B1166, DB[samplingPoint], DB[building])</f>
        <v>Building 12</v>
      </c>
      <c r="G1166" s="40" t="str">
        <f t="array" ref="G1166">_xlfn.XLOOKUP($B1166, DB[samplingPoint], DB[location])</f>
        <v>AUTOCLAVE</v>
      </c>
      <c r="H1166" s="39" t="str">
        <f t="array" ref="H1166">_xlfn.XLOOKUP($B1166, DB[samplingPoint], DB[waterType])</f>
        <v>PW</v>
      </c>
      <c r="I1166" s="43">
        <f t="shared" si="13"/>
        <v>46057</v>
      </c>
      <c r="J1166" s="26">
        <v>46060.0</v>
      </c>
      <c r="K1166" s="32">
        <v>0.0</v>
      </c>
      <c r="L1166" s="32">
        <v>0.0</v>
      </c>
      <c r="M1166" s="32">
        <f t="shared" si="3"/>
        <v>0</v>
      </c>
      <c r="N1166" s="32" t="s">
        <v>376</v>
      </c>
      <c r="O1166" s="32"/>
      <c r="P1166" s="50" t="str">
        <f t="shared" si="6"/>
        <v>PASSED</v>
      </c>
      <c r="Q1166" s="50" t="str">
        <f t="shared" si="5"/>
        <v>12</v>
      </c>
    </row>
    <row r="1167" ht="22.5" customHeight="1">
      <c r="A1167" s="26">
        <v>46056.0</v>
      </c>
      <c r="B1167" s="39" t="s">
        <v>405</v>
      </c>
      <c r="C1167" s="32" t="str">
        <f t="array" ref="C1167">_xlfn.XLOOKUP(B1167, DB[samplingPoint], DB[samplingTag])</f>
        <v>DV136.12</v>
      </c>
      <c r="D1167" s="33"/>
      <c r="E1167" s="39" t="str">
        <f t="array" ref="E1167">_xlfn.XLOOKUP($B1167, DB[samplingPoint], DB[noLocation])</f>
        <v>12-3-056</v>
      </c>
      <c r="F1167" s="40" t="str">
        <f t="array" ref="F1167">_xlfn.XLOOKUP($B1167, DB[samplingPoint], DB[building])</f>
        <v>Building 12</v>
      </c>
      <c r="G1167" s="40" t="str">
        <f t="array" ref="G1167">_xlfn.XLOOKUP($B1167, DB[samplingPoint], DB[location])</f>
        <v>MEDIA PREPARATION</v>
      </c>
      <c r="H1167" s="39" t="str">
        <f t="array" ref="H1167">_xlfn.XLOOKUP($B1167, DB[samplingPoint], DB[waterType])</f>
        <v>PW</v>
      </c>
      <c r="I1167" s="43">
        <f t="shared" si="13"/>
        <v>46057</v>
      </c>
      <c r="J1167" s="26">
        <v>46060.0</v>
      </c>
      <c r="K1167" s="32">
        <v>0.0</v>
      </c>
      <c r="L1167" s="32">
        <v>0.0</v>
      </c>
      <c r="M1167" s="32">
        <f t="shared" si="3"/>
        <v>0</v>
      </c>
      <c r="N1167" s="32" t="s">
        <v>376</v>
      </c>
      <c r="O1167" s="32"/>
      <c r="P1167" s="50" t="str">
        <f t="shared" si="6"/>
        <v>PASSED</v>
      </c>
      <c r="Q1167" s="50" t="str">
        <f t="shared" si="5"/>
        <v>12</v>
      </c>
    </row>
    <row r="1168" ht="22.5" customHeight="1">
      <c r="A1168" s="26">
        <v>46056.0</v>
      </c>
      <c r="B1168" s="39" t="s">
        <v>393</v>
      </c>
      <c r="C1168" s="32" t="str">
        <f t="array" ref="C1168">_xlfn.XLOOKUP(B1168, DB[samplingPoint], DB[samplingTag])</f>
        <v>DV136.10</v>
      </c>
      <c r="D1168" s="33"/>
      <c r="E1168" s="39" t="str">
        <f t="array" ref="E1168">_xlfn.XLOOKUP($B1168, DB[samplingPoint], DB[noLocation])</f>
        <v>12-3-056</v>
      </c>
      <c r="F1168" s="40" t="str">
        <f t="array" ref="F1168">_xlfn.XLOOKUP($B1168, DB[samplingPoint], DB[building])</f>
        <v>Building 12</v>
      </c>
      <c r="G1168" s="40" t="str">
        <f t="array" ref="G1168">_xlfn.XLOOKUP($B1168, DB[samplingPoint], DB[location])</f>
        <v>MEDIA PREPARATION</v>
      </c>
      <c r="H1168" s="39" t="str">
        <f t="array" ref="H1168">_xlfn.XLOOKUP($B1168, DB[samplingPoint], DB[waterType])</f>
        <v>PW</v>
      </c>
      <c r="I1168" s="43">
        <f t="shared" si="13"/>
        <v>46057</v>
      </c>
      <c r="J1168" s="26">
        <v>46060.0</v>
      </c>
      <c r="K1168" s="32">
        <v>0.0</v>
      </c>
      <c r="L1168" s="32">
        <v>0.0</v>
      </c>
      <c r="M1168" s="32">
        <f t="shared" si="3"/>
        <v>0</v>
      </c>
      <c r="N1168" s="32" t="s">
        <v>376</v>
      </c>
      <c r="O1168" s="32"/>
      <c r="P1168" s="50" t="str">
        <f t="shared" si="6"/>
        <v>PASSED</v>
      </c>
      <c r="Q1168" s="50" t="str">
        <f t="shared" si="5"/>
        <v>12</v>
      </c>
    </row>
    <row r="1169" ht="22.5" customHeight="1">
      <c r="A1169" s="26">
        <v>46056.0</v>
      </c>
      <c r="B1169" s="39" t="s">
        <v>413</v>
      </c>
      <c r="C1169" s="32" t="str">
        <f t="array" ref="C1169">_xlfn.XLOOKUP(B1169, DB[samplingPoint], DB[samplingTag])</f>
        <v>DV136.14</v>
      </c>
      <c r="D1169" s="33"/>
      <c r="E1169" s="39" t="str">
        <f t="array" ref="E1169">_xlfn.XLOOKUP($B1169, DB[samplingPoint], DB[noLocation])</f>
        <v>12-3-074</v>
      </c>
      <c r="F1169" s="40" t="str">
        <f t="array" ref="F1169">_xlfn.XLOOKUP($B1169, DB[samplingPoint], DB[building])</f>
        <v>Building 12</v>
      </c>
      <c r="G1169" s="40" t="str">
        <f t="array" ref="G1169">_xlfn.XLOOKUP($B1169, DB[samplingPoint], DB[location])</f>
        <v>DECONTAMINATION</v>
      </c>
      <c r="H1169" s="39" t="str">
        <f t="array" ref="H1169">_xlfn.XLOOKUP($B1169, DB[samplingPoint], DB[waterType])</f>
        <v>PW</v>
      </c>
      <c r="I1169" s="43">
        <f t="shared" si="13"/>
        <v>46057</v>
      </c>
      <c r="J1169" s="26">
        <v>46060.0</v>
      </c>
      <c r="K1169" s="32">
        <v>0.0</v>
      </c>
      <c r="L1169" s="32">
        <v>0.0</v>
      </c>
      <c r="M1169" s="32">
        <f t="shared" si="3"/>
        <v>0</v>
      </c>
      <c r="N1169" s="32" t="s">
        <v>376</v>
      </c>
      <c r="O1169" s="32"/>
      <c r="P1169" s="50" t="str">
        <f t="shared" si="6"/>
        <v>PASSED</v>
      </c>
      <c r="Q1169" s="50" t="str">
        <f t="shared" si="5"/>
        <v>12</v>
      </c>
    </row>
    <row r="1170" ht="22.5" customHeight="1">
      <c r="A1170" s="26">
        <v>46056.0</v>
      </c>
      <c r="B1170" s="39" t="s">
        <v>422</v>
      </c>
      <c r="C1170" s="32" t="str">
        <f t="array" ref="C1170">_xlfn.XLOOKUP(B1170, DB[samplingPoint], DB[samplingTag])</f>
        <v>DV136.18</v>
      </c>
      <c r="D1170" s="33"/>
      <c r="E1170" s="39" t="str">
        <f t="array" ref="E1170">_xlfn.XLOOKUP($B1170, DB[samplingPoint], DB[noLocation])</f>
        <v>12-3-037</v>
      </c>
      <c r="F1170" s="40" t="str">
        <f t="array" ref="F1170">_xlfn.XLOOKUP($B1170, DB[samplingPoint], DB[building])</f>
        <v>Building 12</v>
      </c>
      <c r="G1170" s="40" t="str">
        <f t="array" ref="G1170">_xlfn.XLOOKUP($B1170, DB[samplingPoint], DB[location])</f>
        <v>GLASSWARE WASHING 1</v>
      </c>
      <c r="H1170" s="39" t="str">
        <f t="array" ref="H1170">_xlfn.XLOOKUP($B1170, DB[samplingPoint], DB[waterType])</f>
        <v>PW</v>
      </c>
      <c r="I1170" s="43">
        <f t="shared" si="13"/>
        <v>46057</v>
      </c>
      <c r="J1170" s="26">
        <v>46060.0</v>
      </c>
      <c r="K1170" s="32">
        <v>0.0</v>
      </c>
      <c r="L1170" s="32">
        <v>0.0</v>
      </c>
      <c r="M1170" s="32">
        <f t="shared" si="3"/>
        <v>0</v>
      </c>
      <c r="N1170" s="32" t="s">
        <v>376</v>
      </c>
      <c r="O1170" s="32"/>
      <c r="P1170" s="50" t="str">
        <f t="shared" si="6"/>
        <v>PASSED</v>
      </c>
      <c r="Q1170" s="50" t="str">
        <f t="shared" si="5"/>
        <v>12</v>
      </c>
    </row>
    <row r="1171" ht="22.5" customHeight="1">
      <c r="A1171" s="26">
        <v>46056.0</v>
      </c>
      <c r="B1171" s="39" t="s">
        <v>373</v>
      </c>
      <c r="C1171" s="32" t="str">
        <f t="array" ref="C1171">_xlfn.XLOOKUP(B1171, DB[samplingPoint], DB[samplingTag])</f>
        <v>DV136.05</v>
      </c>
      <c r="D1171" s="33"/>
      <c r="E1171" s="39" t="str">
        <f t="array" ref="E1171">_xlfn.XLOOKUP($B1171, DB[samplingPoint], DB[noLocation])</f>
        <v>12-3-037</v>
      </c>
      <c r="F1171" s="40" t="str">
        <f t="array" ref="F1171">_xlfn.XLOOKUP($B1171, DB[samplingPoint], DB[building])</f>
        <v>Building 12</v>
      </c>
      <c r="G1171" s="40" t="str">
        <f t="array" ref="G1171">_xlfn.XLOOKUP($B1171, DB[samplingPoint], DB[location])</f>
        <v>GLASSWARE WASHING 1</v>
      </c>
      <c r="H1171" s="39" t="str">
        <f t="array" ref="H1171">_xlfn.XLOOKUP($B1171, DB[samplingPoint], DB[waterType])</f>
        <v>PW</v>
      </c>
      <c r="I1171" s="43">
        <f t="shared" si="13"/>
        <v>46057</v>
      </c>
      <c r="J1171" s="26">
        <v>46060.0</v>
      </c>
      <c r="K1171" s="32">
        <v>0.0</v>
      </c>
      <c r="L1171" s="32">
        <v>0.0</v>
      </c>
      <c r="M1171" s="32">
        <f t="shared" si="3"/>
        <v>0</v>
      </c>
      <c r="N1171" s="32" t="s">
        <v>376</v>
      </c>
      <c r="O1171" s="32"/>
      <c r="P1171" s="50" t="str">
        <f t="shared" si="6"/>
        <v>PASSED</v>
      </c>
      <c r="Q1171" s="50" t="str">
        <f t="shared" si="5"/>
        <v>12</v>
      </c>
    </row>
    <row r="1172" ht="22.5" customHeight="1">
      <c r="A1172" s="26">
        <v>46056.0</v>
      </c>
      <c r="B1172" s="39" t="s">
        <v>389</v>
      </c>
      <c r="C1172" s="32" t="str">
        <f t="array" ref="C1172">_xlfn.XLOOKUP(B1172, DB[samplingPoint], DB[samplingTag])</f>
        <v>DV136.06</v>
      </c>
      <c r="D1172" s="33"/>
      <c r="E1172" s="39" t="str">
        <f t="array" ref="E1172">_xlfn.XLOOKUP($B1172, DB[samplingPoint], DB[noLocation])</f>
        <v>12-3-037</v>
      </c>
      <c r="F1172" s="40" t="str">
        <f t="array" ref="F1172">_xlfn.XLOOKUP($B1172, DB[samplingPoint], DB[building])</f>
        <v>Building 12</v>
      </c>
      <c r="G1172" s="40" t="str">
        <f t="array" ref="G1172">_xlfn.XLOOKUP($B1172, DB[samplingPoint], DB[location])</f>
        <v>GLASSWARE WASHING 1</v>
      </c>
      <c r="H1172" s="39" t="str">
        <f t="array" ref="H1172">_xlfn.XLOOKUP($B1172, DB[samplingPoint], DB[waterType])</f>
        <v>PW</v>
      </c>
      <c r="I1172" s="43">
        <f t="shared" si="13"/>
        <v>46057</v>
      </c>
      <c r="J1172" s="26">
        <v>46060.0</v>
      </c>
      <c r="K1172" s="32">
        <v>0.0</v>
      </c>
      <c r="L1172" s="32">
        <v>0.0</v>
      </c>
      <c r="M1172" s="32">
        <f t="shared" si="3"/>
        <v>0</v>
      </c>
      <c r="N1172" s="32" t="s">
        <v>376</v>
      </c>
      <c r="O1172" s="32"/>
      <c r="P1172" s="50" t="str">
        <f t="shared" si="6"/>
        <v>PASSED</v>
      </c>
      <c r="Q1172" s="50" t="str">
        <f t="shared" si="5"/>
        <v>12</v>
      </c>
    </row>
    <row r="1173" ht="22.5" customHeight="1">
      <c r="A1173" s="26">
        <v>46057.0</v>
      </c>
      <c r="B1173" s="39" t="s">
        <v>365</v>
      </c>
      <c r="C1173" s="32" t="str">
        <f t="array" ref="C1173">_xlfn.XLOOKUP(B1173, DB[samplingPoint], DB[samplingTag])</f>
        <v>SV216.10</v>
      </c>
      <c r="D1173" s="33"/>
      <c r="E1173" s="39" t="str">
        <f t="array" ref="E1173">_xlfn.XLOOKUP($B1173, DB[samplingPoint], DB[noLocation])</f>
        <v>16-1-105</v>
      </c>
      <c r="F1173" s="40" t="str">
        <f t="array" ref="F1173">_xlfn.XLOOKUP($B1173, DB[samplingPoint], DB[building])</f>
        <v>Building 16</v>
      </c>
      <c r="G1173" s="40" t="str">
        <f t="array" ref="G1173">_xlfn.XLOOKUP($B1173, DB[samplingPoint], DB[location])</f>
        <v>WASHING/TUNNEL-01</v>
      </c>
      <c r="H1173" s="39" t="str">
        <f t="array" ref="H1173">_xlfn.XLOOKUP($B1173, DB[samplingPoint], DB[waterType])</f>
        <v>WFI</v>
      </c>
      <c r="I1173" s="43">
        <f t="shared" si="13"/>
        <v>46058</v>
      </c>
      <c r="J1173" s="26">
        <v>46062.0</v>
      </c>
      <c r="K1173" s="32">
        <v>0.0</v>
      </c>
      <c r="L1173" s="32"/>
      <c r="M1173" s="32">
        <f t="shared" si="3"/>
        <v>0</v>
      </c>
      <c r="N1173" s="32" t="s">
        <v>376</v>
      </c>
      <c r="O1173" s="32">
        <v>10.0</v>
      </c>
      <c r="P1173" s="50" t="str">
        <f t="shared" si="6"/>
        <v>PASSED</v>
      </c>
      <c r="Q1173" s="50" t="str">
        <f t="shared" si="5"/>
        <v>16</v>
      </c>
    </row>
    <row r="1174" ht="22.5" customHeight="1">
      <c r="A1174" s="26">
        <v>46057.0</v>
      </c>
      <c r="B1174" s="39" t="s">
        <v>367</v>
      </c>
      <c r="C1174" s="32" t="str">
        <f t="array" ref="C1174">_xlfn.XLOOKUP(B1174, DB[samplingPoint], DB[samplingTag])</f>
        <v>POU HE216.04</v>
      </c>
      <c r="D1174" s="33"/>
      <c r="E1174" s="39" t="str">
        <f t="array" ref="E1174">_xlfn.XLOOKUP($B1174, DB[samplingPoint], DB[noLocation])</f>
        <v>16-1-114</v>
      </c>
      <c r="F1174" s="40" t="str">
        <f t="array" ref="F1174">_xlfn.XLOOKUP($B1174, DB[samplingPoint], DB[building])</f>
        <v>Building 16</v>
      </c>
      <c r="G1174" s="40" t="str">
        <f t="array" ref="G1174">_xlfn.XLOOKUP($B1174, DB[samplingPoint], DB[location])</f>
        <v>COMPOUNDING-02</v>
      </c>
      <c r="H1174" s="39" t="str">
        <f t="array" ref="H1174">_xlfn.XLOOKUP($B1174, DB[samplingPoint], DB[waterType])</f>
        <v>WFI</v>
      </c>
      <c r="I1174" s="43">
        <f t="shared" si="13"/>
        <v>46058</v>
      </c>
      <c r="J1174" s="26">
        <v>46062.0</v>
      </c>
      <c r="K1174" s="32">
        <v>0.0</v>
      </c>
      <c r="L1174" s="32"/>
      <c r="M1174" s="32">
        <f t="shared" si="3"/>
        <v>0</v>
      </c>
      <c r="N1174" s="32" t="s">
        <v>376</v>
      </c>
      <c r="O1174" s="32">
        <v>10.0</v>
      </c>
      <c r="P1174" s="50" t="str">
        <f t="shared" si="6"/>
        <v>PASSED</v>
      </c>
      <c r="Q1174" s="50" t="str">
        <f t="shared" si="5"/>
        <v>16</v>
      </c>
    </row>
    <row r="1175" ht="22.5" customHeight="1">
      <c r="A1175" s="26">
        <v>46057.0</v>
      </c>
      <c r="B1175" s="39" t="s">
        <v>372</v>
      </c>
      <c r="C1175" s="32" t="str">
        <f t="array" ref="C1175">_xlfn.XLOOKUP(B1175, DB[samplingPoint], DB[samplingTag])</f>
        <v>POU HE216.05</v>
      </c>
      <c r="D1175" s="33"/>
      <c r="E1175" s="39" t="str">
        <f t="array" ref="E1175">_xlfn.XLOOKUP($B1175, DB[samplingPoint], DB[noLocation])</f>
        <v>16-1-114</v>
      </c>
      <c r="F1175" s="40" t="str">
        <f t="array" ref="F1175">_xlfn.XLOOKUP($B1175, DB[samplingPoint], DB[building])</f>
        <v>Building 16</v>
      </c>
      <c r="G1175" s="40" t="str">
        <f t="array" ref="G1175">_xlfn.XLOOKUP($B1175, DB[samplingPoint], DB[location])</f>
        <v>COMPOUNDING-02</v>
      </c>
      <c r="H1175" s="39" t="str">
        <f t="array" ref="H1175">_xlfn.XLOOKUP($B1175, DB[samplingPoint], DB[waterType])</f>
        <v>WFI</v>
      </c>
      <c r="I1175" s="43">
        <f t="shared" si="13"/>
        <v>46058</v>
      </c>
      <c r="J1175" s="26">
        <v>46062.0</v>
      </c>
      <c r="K1175" s="32">
        <v>9.0</v>
      </c>
      <c r="L1175" s="32"/>
      <c r="M1175" s="98">
        <f t="shared" si="3"/>
        <v>9</v>
      </c>
      <c r="N1175" s="32" t="s">
        <v>376</v>
      </c>
      <c r="O1175" s="32">
        <v>10.0</v>
      </c>
      <c r="P1175" s="50" t="str">
        <f t="shared" si="6"/>
        <v>PASSED</v>
      </c>
      <c r="Q1175" s="50" t="str">
        <f t="shared" si="5"/>
        <v>16</v>
      </c>
    </row>
    <row r="1176" ht="22.5" customHeight="1">
      <c r="A1176" s="26">
        <v>46058.0</v>
      </c>
      <c r="B1176" s="39" t="s">
        <v>403</v>
      </c>
      <c r="C1176" s="32" t="str">
        <f t="array" ref="C1176">_xlfn.XLOOKUP(B1176, DB[samplingPoint], DB[samplingTag])</f>
        <v>POU HE216.01</v>
      </c>
      <c r="D1176" s="33"/>
      <c r="E1176" s="39" t="str">
        <f t="array" ref="E1176">_xlfn.XLOOKUP($B1176, DB[samplingPoint], DB[noLocation])</f>
        <v>16-1-107</v>
      </c>
      <c r="F1176" s="40" t="str">
        <f t="array" ref="F1176">_xlfn.XLOOKUP($B1176, DB[samplingPoint], DB[building])</f>
        <v>Building 16</v>
      </c>
      <c r="G1176" s="40" t="str">
        <f t="array" ref="G1176">_xlfn.XLOOKUP($B1176, DB[samplingPoint], DB[location])</f>
        <v>COMPOUNDING-01</v>
      </c>
      <c r="H1176" s="39" t="str">
        <f t="array" ref="H1176">_xlfn.XLOOKUP($B1176, DB[samplingPoint], DB[waterType])</f>
        <v>WFI</v>
      </c>
      <c r="I1176" s="43">
        <f t="shared" ref="I1176:I1177" si="14">$A1176+2</f>
        <v>46060</v>
      </c>
      <c r="J1176" s="26">
        <v>46063.0</v>
      </c>
      <c r="K1176" s="32">
        <v>0.0</v>
      </c>
      <c r="L1176" s="32"/>
      <c r="M1176" s="32">
        <f t="shared" si="3"/>
        <v>0</v>
      </c>
      <c r="N1176" s="32" t="s">
        <v>376</v>
      </c>
      <c r="O1176" s="32">
        <v>10.0</v>
      </c>
      <c r="P1176" s="50" t="str">
        <f t="shared" si="6"/>
        <v>PASSED</v>
      </c>
      <c r="Q1176" s="50" t="str">
        <f t="shared" si="5"/>
        <v>16</v>
      </c>
    </row>
    <row r="1177" ht="22.5" customHeight="1">
      <c r="A1177" s="26">
        <v>46058.0</v>
      </c>
      <c r="B1177" s="39" t="s">
        <v>407</v>
      </c>
      <c r="C1177" s="32" t="str">
        <f t="array" ref="C1177">_xlfn.XLOOKUP(B1177, DB[samplingPoint], DB[samplingTag])</f>
        <v>POU HE216.02</v>
      </c>
      <c r="D1177" s="33"/>
      <c r="E1177" s="39" t="str">
        <f t="array" ref="E1177">_xlfn.XLOOKUP($B1177, DB[samplingPoint], DB[noLocation])</f>
        <v>16-1-107</v>
      </c>
      <c r="F1177" s="40" t="str">
        <f t="array" ref="F1177">_xlfn.XLOOKUP($B1177, DB[samplingPoint], DB[building])</f>
        <v>Building 16</v>
      </c>
      <c r="G1177" s="40" t="str">
        <f t="array" ref="G1177">_xlfn.XLOOKUP($B1177, DB[samplingPoint], DB[location])</f>
        <v>COMPOUNDING-01</v>
      </c>
      <c r="H1177" s="39" t="str">
        <f t="array" ref="H1177">_xlfn.XLOOKUP($B1177, DB[samplingPoint], DB[waterType])</f>
        <v>WFI</v>
      </c>
      <c r="I1177" s="43">
        <f t="shared" si="14"/>
        <v>46060</v>
      </c>
      <c r="J1177" s="26">
        <v>46063.0</v>
      </c>
      <c r="K1177" s="32">
        <v>0.0</v>
      </c>
      <c r="L1177" s="32"/>
      <c r="M1177" s="32">
        <f t="shared" si="3"/>
        <v>0</v>
      </c>
      <c r="N1177" s="32" t="s">
        <v>376</v>
      </c>
      <c r="O1177" s="32">
        <v>10.0</v>
      </c>
      <c r="P1177" s="50" t="str">
        <f t="shared" si="6"/>
        <v>PASSED</v>
      </c>
      <c r="Q1177" s="50" t="str">
        <f t="shared" si="5"/>
        <v>16</v>
      </c>
    </row>
    <row r="1178" ht="22.5" customHeight="1">
      <c r="A1178" s="26">
        <v>46059.0</v>
      </c>
      <c r="B1178" s="39" t="s">
        <v>225</v>
      </c>
      <c r="C1178" s="32" t="str">
        <f t="array" ref="C1178">_xlfn.XLOOKUP(B1178, DB[samplingPoint], DB[samplingTag])</f>
        <v>SV216.05</v>
      </c>
      <c r="D1178" s="33"/>
      <c r="E1178" s="39" t="str">
        <f t="array" ref="E1178">_xlfn.XLOOKUP($B1178, DB[samplingPoint], DB[noLocation])</f>
        <v>16-1-110</v>
      </c>
      <c r="F1178" s="40" t="str">
        <f t="array" ref="F1178">_xlfn.XLOOKUP($B1178, DB[samplingPoint], DB[building])</f>
        <v>Building 16</v>
      </c>
      <c r="G1178" s="40" t="str">
        <f t="array" ref="G1178">_xlfn.XLOOKUP($B1178, DB[samplingPoint], DB[location])</f>
        <v>DISINFECTANT PREPARATION</v>
      </c>
      <c r="H1178" s="39" t="str">
        <f t="array" ref="H1178">_xlfn.XLOOKUP($B1178, DB[samplingPoint], DB[waterType])</f>
        <v>WFI</v>
      </c>
      <c r="I1178" s="43">
        <f t="shared" ref="I1178:I1193" si="15">$A1178+1</f>
        <v>46060</v>
      </c>
      <c r="J1178" s="26">
        <v>46063.0</v>
      </c>
      <c r="K1178" s="32">
        <v>0.0</v>
      </c>
      <c r="L1178" s="32"/>
      <c r="M1178" s="32">
        <f t="shared" si="3"/>
        <v>0</v>
      </c>
      <c r="N1178" s="32" t="s">
        <v>376</v>
      </c>
      <c r="O1178" s="32">
        <v>10.0</v>
      </c>
      <c r="P1178" s="50" t="str">
        <f t="shared" si="6"/>
        <v>PASSED</v>
      </c>
      <c r="Q1178" s="50" t="str">
        <f t="shared" si="5"/>
        <v>16</v>
      </c>
    </row>
    <row r="1179" ht="22.5" customHeight="1">
      <c r="A1179" s="26">
        <v>46059.0</v>
      </c>
      <c r="B1179" s="138" t="s">
        <v>431</v>
      </c>
      <c r="C1179" s="32" t="str">
        <f t="array" ref="C1179">_xlfn.XLOOKUP(B1179, DB[samplingPoint], DB[samplingTag])</f>
        <v>SV-14</v>
      </c>
      <c r="D1179" s="33"/>
      <c r="E1179" s="39" t="str">
        <f t="array" ref="E1179">_xlfn.XLOOKUP($B1179, DB[samplingPoint], DB[noLocation])</f>
        <v>PROCESS WATER (B19)</v>
      </c>
      <c r="F1179" s="40" t="str">
        <f t="array" ref="F1179">_xlfn.XLOOKUP($B1179, DB[samplingPoint], DB[building])</f>
        <v>Building 19</v>
      </c>
      <c r="G1179" s="40" t="str">
        <f t="array" ref="G1179">_xlfn.XLOOKUP($B1179, DB[samplingPoint], DB[location])</f>
        <v>AFTER RO SYSTEM NO.12 SV14</v>
      </c>
      <c r="H1179" s="39" t="str">
        <f t="array" ref="H1179">_xlfn.XLOOKUP($B1179, DB[samplingPoint], DB[waterType])</f>
        <v>PRW</v>
      </c>
      <c r="I1179" s="43">
        <f t="shared" si="15"/>
        <v>46060</v>
      </c>
      <c r="J1179" s="26">
        <v>46063.0</v>
      </c>
      <c r="K1179" s="32">
        <v>0.0</v>
      </c>
      <c r="L1179" s="32">
        <v>0.0</v>
      </c>
      <c r="M1179" s="32">
        <f t="shared" si="3"/>
        <v>0</v>
      </c>
      <c r="N1179" s="32" t="s">
        <v>376</v>
      </c>
      <c r="O1179" s="32"/>
      <c r="P1179" s="50" t="str">
        <f t="shared" si="6"/>
        <v>PASSED</v>
      </c>
      <c r="Q1179" s="50" t="str">
        <f t="shared" si="5"/>
        <v>PR</v>
      </c>
    </row>
    <row r="1180" ht="22.5" customHeight="1">
      <c r="A1180" s="26">
        <v>46059.0</v>
      </c>
      <c r="B1180" s="73" t="s">
        <v>349</v>
      </c>
      <c r="C1180" s="32" t="str">
        <f t="array" ref="C1180">_xlfn.XLOOKUP(B1180, DB[samplingPoint], DB[samplingTag])</f>
        <v>VB-05(10)</v>
      </c>
      <c r="D1180" s="33"/>
      <c r="E1180" s="39" t="str">
        <f t="array" ref="E1180">_xlfn.XLOOKUP($B1180, DB[samplingPoint], DB[noLocation])</f>
        <v>WATER SYSTEM (B10)</v>
      </c>
      <c r="F1180" s="40" t="str">
        <f t="array" ref="F1180">_xlfn.XLOOKUP($B1180, DB[samplingPoint], DB[building])</f>
        <v>Building 10</v>
      </c>
      <c r="G1180" s="40" t="str">
        <f t="array" ref="G1180">_xlfn.XLOOKUP($B1180, DB[samplingPoint], DB[location])</f>
        <v>After Chlorine circulation tank (B10)</v>
      </c>
      <c r="H1180" s="39" t="str">
        <f t="array" ref="H1180">_xlfn.XLOOKUP($B1180, DB[samplingPoint], DB[waterType])</f>
        <v>PRW</v>
      </c>
      <c r="I1180" s="43">
        <f t="shared" si="15"/>
        <v>46060</v>
      </c>
      <c r="J1180" s="26">
        <v>46063.0</v>
      </c>
      <c r="K1180" s="32">
        <v>0.0</v>
      </c>
      <c r="L1180" s="32">
        <v>0.0</v>
      </c>
      <c r="M1180" s="32">
        <f t="shared" si="3"/>
        <v>0</v>
      </c>
      <c r="N1180" s="32" t="s">
        <v>376</v>
      </c>
      <c r="O1180" s="32"/>
      <c r="P1180" s="50" t="str">
        <f t="shared" si="6"/>
        <v>PASSED</v>
      </c>
      <c r="Q1180" s="50" t="str">
        <f t="shared" si="5"/>
        <v>WA</v>
      </c>
    </row>
    <row r="1181" ht="22.5" customHeight="1">
      <c r="A1181" s="26">
        <v>46059.0</v>
      </c>
      <c r="B1181" s="73" t="s">
        <v>366</v>
      </c>
      <c r="C1181" s="32" t="str">
        <f t="array" ref="C1181">_xlfn.XLOOKUP(B1181, DB[samplingPoint], DB[samplingTag])</f>
        <v>V50-61(10)</v>
      </c>
      <c r="D1181" s="33"/>
      <c r="E1181" s="39" t="str">
        <f t="array" ref="E1181">_xlfn.XLOOKUP($B1181, DB[samplingPoint], DB[noLocation])</f>
        <v>WATER SYSTEM (B10)</v>
      </c>
      <c r="F1181" s="40" t="str">
        <f t="array" ref="F1181">_xlfn.XLOOKUP($B1181, DB[samplingPoint], DB[building])</f>
        <v>Building 10</v>
      </c>
      <c r="G1181" s="40" t="str">
        <f t="array" ref="G1181">_xlfn.XLOOKUP($B1181, DB[samplingPoint], DB[location])</f>
        <v>After Cartridge filter 5 µm (B10)</v>
      </c>
      <c r="H1181" s="39" t="str">
        <f t="array" ref="H1181">_xlfn.XLOOKUP($B1181, DB[samplingPoint], DB[waterType])</f>
        <v>PRW</v>
      </c>
      <c r="I1181" s="43">
        <f t="shared" si="15"/>
        <v>46060</v>
      </c>
      <c r="J1181" s="26">
        <v>46063.0</v>
      </c>
      <c r="K1181" s="32">
        <v>25.0</v>
      </c>
      <c r="L1181" s="32">
        <v>12.0</v>
      </c>
      <c r="M1181" s="32">
        <f t="shared" si="3"/>
        <v>19</v>
      </c>
      <c r="N1181" s="32" t="s">
        <v>376</v>
      </c>
      <c r="O1181" s="32"/>
      <c r="P1181" s="50" t="str">
        <f t="shared" si="6"/>
        <v>NOT-PASSED</v>
      </c>
      <c r="Q1181" s="50" t="str">
        <f t="shared" si="5"/>
        <v>WA</v>
      </c>
    </row>
    <row r="1182" ht="22.5" customHeight="1">
      <c r="A1182" s="26">
        <v>46059.0</v>
      </c>
      <c r="B1182" s="73" t="s">
        <v>368</v>
      </c>
      <c r="C1182" s="32" t="str">
        <f t="array" ref="C1182">_xlfn.XLOOKUP(B1182, DB[samplingPoint], DB[samplingTag])</f>
        <v>V50-11C(10)</v>
      </c>
      <c r="D1182" s="33"/>
      <c r="E1182" s="39" t="str">
        <f t="array" ref="E1182">_xlfn.XLOOKUP($B1182, DB[samplingPoint], DB[noLocation])</f>
        <v>WATER SYSTEM (B10)</v>
      </c>
      <c r="F1182" s="40" t="str">
        <f t="array" ref="F1182">_xlfn.XLOOKUP($B1182, DB[samplingPoint], DB[building])</f>
        <v>Building 10</v>
      </c>
      <c r="G1182" s="40" t="str">
        <f t="array" ref="G1182">_xlfn.XLOOKUP($B1182, DB[samplingPoint], DB[location])</f>
        <v>After RO (Before EDI) (B10)</v>
      </c>
      <c r="H1182" s="39" t="str">
        <f t="array" ref="H1182">_xlfn.XLOOKUP($B1182, DB[samplingPoint], DB[waterType])</f>
        <v>RO water</v>
      </c>
      <c r="I1182" s="43">
        <f t="shared" si="15"/>
        <v>46060</v>
      </c>
      <c r="J1182" s="26">
        <v>46063.0</v>
      </c>
      <c r="K1182" s="32">
        <v>0.0</v>
      </c>
      <c r="L1182" s="32">
        <v>0.0</v>
      </c>
      <c r="M1182" s="32">
        <f t="shared" si="3"/>
        <v>0</v>
      </c>
      <c r="N1182" s="32" t="s">
        <v>376</v>
      </c>
      <c r="O1182" s="32"/>
      <c r="P1182" s="50" t="str">
        <f t="shared" si="6"/>
        <v>PASSED</v>
      </c>
      <c r="Q1182" s="50" t="str">
        <f t="shared" si="5"/>
        <v>WA</v>
      </c>
    </row>
    <row r="1183" ht="22.5" customHeight="1">
      <c r="A1183" s="26">
        <v>46059.0</v>
      </c>
      <c r="B1183" s="73" t="s">
        <v>374</v>
      </c>
      <c r="C1183" s="32" t="str">
        <f t="array" ref="C1183">_xlfn.XLOOKUP(B1183, DB[samplingPoint], DB[samplingTag])</f>
        <v>V50-39(10)</v>
      </c>
      <c r="D1183" s="33"/>
      <c r="E1183" s="39" t="str">
        <f t="array" ref="E1183">_xlfn.XLOOKUP($B1183, DB[samplingPoint], DB[noLocation])</f>
        <v>WATER SYSTEM (B10)</v>
      </c>
      <c r="F1183" s="40" t="str">
        <f t="array" ref="F1183">_xlfn.XLOOKUP($B1183, DB[samplingPoint], DB[building])</f>
        <v>Building 10</v>
      </c>
      <c r="G1183" s="40" t="str">
        <f t="array" ref="G1183">_xlfn.XLOOKUP($B1183, DB[samplingPoint], DB[location])</f>
        <v>After EDI (B10)</v>
      </c>
      <c r="H1183" s="39" t="str">
        <f t="array" ref="H1183">_xlfn.XLOOKUP($B1183, DB[samplingPoint], DB[waterType])</f>
        <v>PW</v>
      </c>
      <c r="I1183" s="43">
        <f t="shared" si="15"/>
        <v>46060</v>
      </c>
      <c r="J1183" s="26">
        <v>46063.0</v>
      </c>
      <c r="K1183" s="32">
        <v>0.0</v>
      </c>
      <c r="L1183" s="32">
        <v>0.0</v>
      </c>
      <c r="M1183" s="32">
        <f t="shared" si="3"/>
        <v>0</v>
      </c>
      <c r="N1183" s="32" t="s">
        <v>376</v>
      </c>
      <c r="O1183" s="32"/>
      <c r="P1183" s="50" t="str">
        <f t="shared" si="6"/>
        <v>PASSED</v>
      </c>
      <c r="Q1183" s="50" t="str">
        <f t="shared" si="5"/>
        <v>WA</v>
      </c>
    </row>
    <row r="1184" ht="22.5" customHeight="1">
      <c r="A1184" s="26">
        <v>46059.0</v>
      </c>
      <c r="B1184" s="73" t="s">
        <v>390</v>
      </c>
      <c r="C1184" s="32" t="str">
        <f t="array" ref="C1184">_xlfn.XLOOKUP(B1184, DB[samplingPoint], DB[samplingTag])</f>
        <v>SV117.01</v>
      </c>
      <c r="D1184" s="33"/>
      <c r="E1184" s="39" t="str">
        <f t="array" ref="E1184">_xlfn.XLOOKUP($B1184, DB[samplingPoint], DB[noLocation])</f>
        <v>WATER SYSTEM (B10)</v>
      </c>
      <c r="F1184" s="40" t="str">
        <f t="array" ref="F1184">_xlfn.XLOOKUP($B1184, DB[samplingPoint], DB[building])</f>
        <v>Building 10</v>
      </c>
      <c r="G1184" s="40" t="str">
        <f t="array" ref="G1184">_xlfn.XLOOKUP($B1184, DB[samplingPoint], DB[location])</f>
        <v>Return loop (B10)</v>
      </c>
      <c r="H1184" s="39" t="str">
        <f t="array" ref="H1184">_xlfn.XLOOKUP($B1184, DB[samplingPoint], DB[waterType])</f>
        <v>PW</v>
      </c>
      <c r="I1184" s="43">
        <f t="shared" si="15"/>
        <v>46060</v>
      </c>
      <c r="J1184" s="26">
        <v>46063.0</v>
      </c>
      <c r="K1184" s="32">
        <v>0.0</v>
      </c>
      <c r="L1184" s="32">
        <v>0.0</v>
      </c>
      <c r="M1184" s="32">
        <f t="shared" si="3"/>
        <v>0</v>
      </c>
      <c r="N1184" s="32" t="s">
        <v>376</v>
      </c>
      <c r="O1184" s="32"/>
      <c r="P1184" s="50" t="str">
        <f t="shared" si="6"/>
        <v>PASSED</v>
      </c>
      <c r="Q1184" s="50" t="str">
        <f t="shared" si="5"/>
        <v>WA</v>
      </c>
    </row>
    <row r="1185" ht="22.5" customHeight="1">
      <c r="A1185" s="26">
        <v>46059.0</v>
      </c>
      <c r="B1185" s="73" t="s">
        <v>489</v>
      </c>
      <c r="C1185" s="32" t="str">
        <f t="array" ref="C1185">_xlfn.XLOOKUP(B1185, DB[samplingPoint], DB[samplingTag])</f>
        <v>DV116.18</v>
      </c>
      <c r="D1185" s="33"/>
      <c r="E1185" s="39" t="str">
        <f t="array" ref="E1185">_xlfn.XLOOKUP($B1185, DB[samplingPoint], DB[noLocation])</f>
        <v>10-3-111</v>
      </c>
      <c r="F1185" s="40" t="str">
        <f t="array" ref="F1185">_xlfn.XLOOKUP($B1185, DB[samplingPoint], DB[building])</f>
        <v>Building 10</v>
      </c>
      <c r="G1185" s="40" t="str">
        <f t="array" ref="G1185">_xlfn.XLOOKUP($B1185, DB[samplingPoint], DB[location])</f>
        <v>WET GRANULATION-5</v>
      </c>
      <c r="H1185" s="39" t="str">
        <f t="array" ref="H1185">_xlfn.XLOOKUP($B1185, DB[samplingPoint], DB[waterType])</f>
        <v>PW</v>
      </c>
      <c r="I1185" s="43">
        <f t="shared" si="15"/>
        <v>46060</v>
      </c>
      <c r="J1185" s="26">
        <v>46063.0</v>
      </c>
      <c r="K1185" s="32">
        <v>0.0</v>
      </c>
      <c r="L1185" s="32">
        <v>0.0</v>
      </c>
      <c r="M1185" s="32">
        <f t="shared" si="3"/>
        <v>0</v>
      </c>
      <c r="N1185" s="32" t="s">
        <v>376</v>
      </c>
      <c r="O1185" s="32"/>
      <c r="P1185" s="50" t="str">
        <f t="shared" si="6"/>
        <v>PASSED</v>
      </c>
      <c r="Q1185" s="50" t="str">
        <f t="shared" si="5"/>
        <v>10</v>
      </c>
    </row>
    <row r="1186" ht="22.5" customHeight="1">
      <c r="A1186" s="26">
        <v>46059.0</v>
      </c>
      <c r="B1186" s="73" t="s">
        <v>485</v>
      </c>
      <c r="C1186" s="32" t="str">
        <f t="array" ref="C1186">_xlfn.XLOOKUP(B1186, DB[samplingPoint], DB[samplingTag])</f>
        <v>DV116.16</v>
      </c>
      <c r="D1186" s="33"/>
      <c r="E1186" s="39" t="str">
        <f t="array" ref="E1186">_xlfn.XLOOKUP($B1186, DB[samplingPoint], DB[noLocation])</f>
        <v>10-3-107</v>
      </c>
      <c r="F1186" s="40" t="str">
        <f t="array" ref="F1186">_xlfn.XLOOKUP($B1186, DB[samplingPoint], DB[building])</f>
        <v>Building 10</v>
      </c>
      <c r="G1186" s="40" t="str">
        <f t="array" ref="G1186">_xlfn.XLOOKUP($B1186, DB[samplingPoint], DB[location])</f>
        <v>WET GRANULATION-2</v>
      </c>
      <c r="H1186" s="39" t="str">
        <f t="array" ref="H1186">_xlfn.XLOOKUP($B1186, DB[samplingPoint], DB[waterType])</f>
        <v>PW</v>
      </c>
      <c r="I1186" s="43">
        <f t="shared" si="15"/>
        <v>46060</v>
      </c>
      <c r="J1186" s="26">
        <v>46063.0</v>
      </c>
      <c r="K1186" s="32">
        <v>0.0</v>
      </c>
      <c r="L1186" s="32">
        <v>0.0</v>
      </c>
      <c r="M1186" s="32">
        <f t="shared" si="3"/>
        <v>0</v>
      </c>
      <c r="N1186" s="32" t="s">
        <v>376</v>
      </c>
      <c r="O1186" s="32"/>
      <c r="P1186" s="50" t="str">
        <f t="shared" si="6"/>
        <v>PASSED</v>
      </c>
      <c r="Q1186" s="50" t="str">
        <f t="shared" si="5"/>
        <v>10</v>
      </c>
    </row>
    <row r="1187" ht="22.5" customHeight="1">
      <c r="A1187" s="26">
        <v>46059.0</v>
      </c>
      <c r="B1187" s="73" t="s">
        <v>492</v>
      </c>
      <c r="C1187" s="32" t="str">
        <f t="array" ref="C1187">_xlfn.XLOOKUP(B1187, DB[samplingPoint], DB[samplingTag])</f>
        <v>SV116.11</v>
      </c>
      <c r="D1187" s="33"/>
      <c r="E1187" s="39" t="str">
        <f t="array" ref="E1187">_xlfn.XLOOKUP($B1187, DB[samplingPoint], DB[noLocation])</f>
        <v>10-3-107</v>
      </c>
      <c r="F1187" s="40" t="str">
        <f t="array" ref="F1187">_xlfn.XLOOKUP($B1187, DB[samplingPoint], DB[building])</f>
        <v>Building 10</v>
      </c>
      <c r="G1187" s="40" t="str">
        <f t="array" ref="G1187">_xlfn.XLOOKUP($B1187, DB[samplingPoint], DB[location])</f>
        <v>WET GRANULATION-2</v>
      </c>
      <c r="H1187" s="39" t="str">
        <f t="array" ref="H1187">_xlfn.XLOOKUP($B1187, DB[samplingPoint], DB[waterType])</f>
        <v>PW</v>
      </c>
      <c r="I1187" s="43">
        <f t="shared" si="15"/>
        <v>46060</v>
      </c>
      <c r="J1187" s="26">
        <v>46063.0</v>
      </c>
      <c r="K1187" s="32">
        <v>0.0</v>
      </c>
      <c r="L1187" s="32">
        <v>0.0</v>
      </c>
      <c r="M1187" s="32">
        <f t="shared" si="3"/>
        <v>0</v>
      </c>
      <c r="N1187" s="32" t="s">
        <v>376</v>
      </c>
      <c r="O1187" s="32"/>
      <c r="P1187" s="50" t="str">
        <f t="shared" si="6"/>
        <v>PASSED</v>
      </c>
      <c r="Q1187" s="50" t="str">
        <f t="shared" si="5"/>
        <v>10</v>
      </c>
    </row>
    <row r="1188" ht="22.5" customHeight="1">
      <c r="A1188" s="26">
        <v>46059.0</v>
      </c>
      <c r="B1188" s="73" t="s">
        <v>482</v>
      </c>
      <c r="C1188" s="32" t="str">
        <f t="array" ref="C1188">_xlfn.XLOOKUP(B1188, DB[samplingPoint], DB[samplingTag])</f>
        <v>DV116.14</v>
      </c>
      <c r="D1188" s="33"/>
      <c r="E1188" s="39" t="str">
        <f t="array" ref="E1188">_xlfn.XLOOKUP($B1188, DB[samplingPoint], DB[noLocation])</f>
        <v>10-3-086</v>
      </c>
      <c r="F1188" s="40" t="str">
        <f t="array" ref="F1188">_xlfn.XLOOKUP($B1188, DB[samplingPoint], DB[building])</f>
        <v>Building 10</v>
      </c>
      <c r="G1188" s="40" t="str">
        <f t="array" ref="G1188">_xlfn.XLOOKUP($B1188, DB[samplingPoint], DB[location])</f>
        <v>TOOL WASHING</v>
      </c>
      <c r="H1188" s="39" t="str">
        <f t="array" ref="H1188">_xlfn.XLOOKUP($B1188, DB[samplingPoint], DB[waterType])</f>
        <v>PW</v>
      </c>
      <c r="I1188" s="43">
        <f t="shared" si="15"/>
        <v>46060</v>
      </c>
      <c r="J1188" s="26">
        <v>46063.0</v>
      </c>
      <c r="K1188" s="32">
        <v>0.0</v>
      </c>
      <c r="L1188" s="32">
        <v>0.0</v>
      </c>
      <c r="M1188" s="32">
        <f t="shared" si="3"/>
        <v>0</v>
      </c>
      <c r="N1188" s="32" t="s">
        <v>376</v>
      </c>
      <c r="O1188" s="32"/>
      <c r="P1188" s="50" t="str">
        <f t="shared" si="6"/>
        <v>PASSED</v>
      </c>
      <c r="Q1188" s="50" t="str">
        <f t="shared" si="5"/>
        <v>10</v>
      </c>
    </row>
    <row r="1189" ht="22.5" customHeight="1">
      <c r="A1189" s="26">
        <v>46059.0</v>
      </c>
      <c r="B1189" s="73" t="s">
        <v>490</v>
      </c>
      <c r="C1189" s="32" t="str">
        <f t="array" ref="C1189">_xlfn.XLOOKUP(B1189, DB[samplingPoint], DB[samplingTag])</f>
        <v>SV116.09</v>
      </c>
      <c r="D1189" s="33"/>
      <c r="E1189" s="39" t="str">
        <f t="array" ref="E1189">_xlfn.XLOOKUP($B1189, DB[samplingPoint], DB[noLocation])</f>
        <v>10-3-078</v>
      </c>
      <c r="F1189" s="40" t="str">
        <f t="array" ref="F1189">_xlfn.XLOOKUP($B1189, DB[samplingPoint], DB[building])</f>
        <v>Building 10</v>
      </c>
      <c r="G1189" s="40" t="str">
        <f t="array" ref="G1189">_xlfn.XLOOKUP($B1189, DB[samplingPoint], DB[location])</f>
        <v>WASHING</v>
      </c>
      <c r="H1189" s="39" t="str">
        <f t="array" ref="H1189">_xlfn.XLOOKUP($B1189, DB[samplingPoint], DB[waterType])</f>
        <v>PW</v>
      </c>
      <c r="I1189" s="43">
        <f t="shared" si="15"/>
        <v>46060</v>
      </c>
      <c r="J1189" s="26">
        <v>46063.0</v>
      </c>
      <c r="K1189" s="32">
        <v>0.0</v>
      </c>
      <c r="L1189" s="32">
        <v>0.0</v>
      </c>
      <c r="M1189" s="32">
        <f t="shared" si="3"/>
        <v>0</v>
      </c>
      <c r="N1189" s="32" t="s">
        <v>376</v>
      </c>
      <c r="O1189" s="32"/>
      <c r="P1189" s="50" t="str">
        <f t="shared" si="6"/>
        <v>PASSED</v>
      </c>
      <c r="Q1189" s="50" t="str">
        <f t="shared" si="5"/>
        <v>10</v>
      </c>
    </row>
    <row r="1190" ht="22.5" customHeight="1">
      <c r="A1190" s="26">
        <v>46059.0</v>
      </c>
      <c r="B1190" s="73" t="s">
        <v>479</v>
      </c>
      <c r="C1190" s="32" t="str">
        <f t="array" ref="C1190">_xlfn.XLOOKUP(B1190, DB[samplingPoint], DB[samplingTag])</f>
        <v>DV116.13</v>
      </c>
      <c r="D1190" s="33"/>
      <c r="E1190" s="39" t="str">
        <f t="array" ref="E1190">_xlfn.XLOOKUP($B1190, DB[samplingPoint], DB[noLocation])</f>
        <v>10-3-078</v>
      </c>
      <c r="F1190" s="40" t="str">
        <f t="array" ref="F1190">_xlfn.XLOOKUP($B1190, DB[samplingPoint], DB[building])</f>
        <v>Building 10</v>
      </c>
      <c r="G1190" s="40" t="str">
        <f t="array" ref="G1190">_xlfn.XLOOKUP($B1190, DB[samplingPoint], DB[location])</f>
        <v>WASHING</v>
      </c>
      <c r="H1190" s="39" t="str">
        <f t="array" ref="H1190">_xlfn.XLOOKUP($B1190, DB[samplingPoint], DB[waterType])</f>
        <v>PW</v>
      </c>
      <c r="I1190" s="43">
        <f t="shared" si="15"/>
        <v>46060</v>
      </c>
      <c r="J1190" s="26">
        <v>46063.0</v>
      </c>
      <c r="K1190" s="32">
        <v>0.0</v>
      </c>
      <c r="L1190" s="32">
        <v>0.0</v>
      </c>
      <c r="M1190" s="32">
        <f t="shared" si="3"/>
        <v>0</v>
      </c>
      <c r="N1190" s="32" t="s">
        <v>376</v>
      </c>
      <c r="O1190" s="32"/>
      <c r="P1190" s="50" t="str">
        <f t="shared" si="6"/>
        <v>PASSED</v>
      </c>
      <c r="Q1190" s="50" t="str">
        <f t="shared" si="5"/>
        <v>10</v>
      </c>
    </row>
    <row r="1191" ht="22.5" customHeight="1">
      <c r="A1191" s="26">
        <v>46059.0</v>
      </c>
      <c r="B1191" s="73" t="s">
        <v>476</v>
      </c>
      <c r="C1191" s="32" t="str">
        <f t="array" ref="C1191">_xlfn.XLOOKUP(B1191, DB[samplingPoint], DB[samplingTag])</f>
        <v>DV116.12</v>
      </c>
      <c r="D1191" s="33"/>
      <c r="E1191" s="39" t="str">
        <f t="array" ref="E1191">_xlfn.XLOOKUP($B1191, DB[samplingPoint], DB[noLocation])</f>
        <v>10-3-078</v>
      </c>
      <c r="F1191" s="40" t="str">
        <f t="array" ref="F1191">_xlfn.XLOOKUP($B1191, DB[samplingPoint], DB[building])</f>
        <v>Building 10</v>
      </c>
      <c r="G1191" s="40" t="str">
        <f t="array" ref="G1191">_xlfn.XLOOKUP($B1191, DB[samplingPoint], DB[location])</f>
        <v>WASHING</v>
      </c>
      <c r="H1191" s="39" t="str">
        <f t="array" ref="H1191">_xlfn.XLOOKUP($B1191, DB[samplingPoint], DB[waterType])</f>
        <v>PW</v>
      </c>
      <c r="I1191" s="43">
        <f t="shared" si="15"/>
        <v>46060</v>
      </c>
      <c r="J1191" s="26">
        <v>46063.0</v>
      </c>
      <c r="K1191" s="32">
        <v>0.0</v>
      </c>
      <c r="L1191" s="32">
        <v>0.0</v>
      </c>
      <c r="M1191" s="32">
        <f t="shared" si="3"/>
        <v>0</v>
      </c>
      <c r="N1191" s="32" t="s">
        <v>376</v>
      </c>
      <c r="O1191" s="32"/>
      <c r="P1191" s="50" t="str">
        <f t="shared" si="6"/>
        <v>PASSED</v>
      </c>
      <c r="Q1191" s="50" t="str">
        <f t="shared" si="5"/>
        <v>10</v>
      </c>
    </row>
    <row r="1192" ht="22.5" customHeight="1">
      <c r="A1192" s="26">
        <v>46059.0</v>
      </c>
      <c r="B1192" s="73" t="s">
        <v>488</v>
      </c>
      <c r="C1192" s="32" t="str">
        <f t="array" ref="C1192">_xlfn.XLOOKUP(B1192, DB[samplingPoint], DB[samplingTag])</f>
        <v>DV116.17</v>
      </c>
      <c r="D1192" s="33"/>
      <c r="E1192" s="39" t="str">
        <f t="array" ref="E1192">_xlfn.XLOOKUP($B1192, DB[samplingPoint], DB[noLocation])</f>
        <v>10-3-117</v>
      </c>
      <c r="F1192" s="40" t="str">
        <f t="array" ref="F1192">_xlfn.XLOOKUP($B1192, DB[samplingPoint], DB[building])</f>
        <v>Building 10</v>
      </c>
      <c r="G1192" s="40" t="str">
        <f t="array" ref="G1192">_xlfn.XLOOKUP($B1192, DB[samplingPoint], DB[location])</f>
        <v>IPQC-2</v>
      </c>
      <c r="H1192" s="39" t="str">
        <f t="array" ref="H1192">_xlfn.XLOOKUP($B1192, DB[samplingPoint], DB[waterType])</f>
        <v>PW</v>
      </c>
      <c r="I1192" s="43">
        <f t="shared" si="15"/>
        <v>46060</v>
      </c>
      <c r="J1192" s="26">
        <v>46063.0</v>
      </c>
      <c r="K1192" s="32">
        <v>0.0</v>
      </c>
      <c r="L1192" s="32">
        <v>0.0</v>
      </c>
      <c r="M1192" s="32">
        <f t="shared" si="3"/>
        <v>0</v>
      </c>
      <c r="N1192" s="32" t="s">
        <v>376</v>
      </c>
      <c r="O1192" s="32"/>
      <c r="P1192" s="50" t="str">
        <f t="shared" si="6"/>
        <v>PASSED</v>
      </c>
      <c r="Q1192" s="50" t="str">
        <f t="shared" si="5"/>
        <v>10</v>
      </c>
    </row>
    <row r="1193" ht="22.5" customHeight="1">
      <c r="A1193" s="26">
        <v>46059.0</v>
      </c>
      <c r="B1193" s="73" t="s">
        <v>119</v>
      </c>
      <c r="C1193" s="32" t="str">
        <f t="array" ref="C1193">_xlfn.XLOOKUP(B1193, DB[samplingPoint], DB[samplingTag])</f>
        <v>DV116.15</v>
      </c>
      <c r="D1193" s="33"/>
      <c r="E1193" s="39" t="str">
        <f t="array" ref="E1193">_xlfn.XLOOKUP($B1193, DB[samplingPoint], DB[noLocation])</f>
        <v>10-3-104</v>
      </c>
      <c r="F1193" s="40" t="str">
        <f t="array" ref="F1193">_xlfn.XLOOKUP($B1193, DB[samplingPoint], DB[building])</f>
        <v>Building 10</v>
      </c>
      <c r="G1193" s="40" t="str">
        <f t="array" ref="G1193">_xlfn.XLOOKUP($B1193, DB[samplingPoint], DB[location])</f>
        <v>BINDER PREPARATION</v>
      </c>
      <c r="H1193" s="39" t="str">
        <f t="array" ref="H1193">_xlfn.XLOOKUP($B1193, DB[samplingPoint], DB[waterType])</f>
        <v>PW</v>
      </c>
      <c r="I1193" s="43">
        <f t="shared" si="15"/>
        <v>46060</v>
      </c>
      <c r="J1193" s="26">
        <v>46063.0</v>
      </c>
      <c r="K1193" s="32">
        <v>0.0</v>
      </c>
      <c r="L1193" s="32">
        <v>0.0</v>
      </c>
      <c r="M1193" s="32">
        <f t="shared" si="3"/>
        <v>0</v>
      </c>
      <c r="N1193" s="32" t="s">
        <v>376</v>
      </c>
      <c r="O1193" s="32"/>
      <c r="P1193" s="50" t="str">
        <f t="shared" si="6"/>
        <v>PASSED</v>
      </c>
      <c r="Q1193" s="50" t="str">
        <f t="shared" si="5"/>
        <v>10</v>
      </c>
    </row>
  </sheetData>
  <dataValidations>
    <dataValidation type="custom" allowBlank="1" showDropDown="1" sqref="A2:A1193 I2:J1193">
      <formula1>OR(NOT(ISERROR(DATEVALUE(A2))), AND(ISNUMBER(A2), LEFT(CELL("format", A2))="D"))</formula1>
    </dataValidation>
    <dataValidation allowBlank="1" showDropDown="1" sqref="B2:B1193 E2:E1193 G2:H1193"/>
    <dataValidation type="list" allowBlank="1" sqref="D2:D1193">
      <formula1>"Routine,RAMA6,PQ1-2/OLD,PQ1-2/OCL,Pre PQ3/WFI"</formula1>
    </dataValidation>
  </dataValidations>
  <drawing r:id="rId1"/>
  <tableParts count="1">
    <tablePart r:id="rId3"/>
  </tableParts>
</worksheet>
</file>