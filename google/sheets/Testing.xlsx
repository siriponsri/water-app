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V" sheetId="1" r:id="rId5"/>
    <sheet state="visible" name="database" sheetId="2" r:id="rId6"/>
    <sheet state="visible" name="ชีต10" sheetId="3" r:id="rId7"/>
    <sheet state="visible" name="table" sheetId="4" r:id="rId8"/>
  </sheets>
  <definedNames/>
  <calcPr/>
</workbook>
</file>

<file path=xl/sharedStrings.xml><?xml version="1.0" encoding="utf-8"?>
<sst xmlns="http://schemas.openxmlformats.org/spreadsheetml/2006/main" count="6901" uniqueCount="322">
  <si>
    <t>ID</t>
  </si>
  <si>
    <t>รหัสหน่วยงาน</t>
  </si>
  <si>
    <t>Bld</t>
  </si>
  <si>
    <t>worksheetNo</t>
  </si>
  <si>
    <t>Samp-Method</t>
  </si>
  <si>
    <t>Test-Method</t>
  </si>
  <si>
    <t>room</t>
  </si>
  <si>
    <t>worksheetCreate</t>
  </si>
  <si>
    <t>Condition</t>
  </si>
  <si>
    <t>Spec</t>
  </si>
  <si>
    <t>Grade</t>
  </si>
  <si>
    <t>Unit</t>
  </si>
  <si>
    <t>Item</t>
  </si>
  <si>
    <t>factor</t>
  </si>
  <si>
    <t>Equipment</t>
  </si>
  <si>
    <t>Location</t>
  </si>
  <si>
    <t>Sampling date</t>
  </si>
  <si>
    <t>ฝ่าย</t>
  </si>
  <si>
    <t>กอง</t>
  </si>
  <si>
    <t>แผนก</t>
  </si>
  <si>
    <t>AN00</t>
  </si>
  <si>
    <t>CV/CEHT</t>
  </si>
  <si>
    <t>ฝ่ายประกันคุณภาพ</t>
  </si>
  <si>
    <t>Normal/ReSamp</t>
  </si>
  <si>
    <t>ครั้งที่</t>
  </si>
  <si>
    <t>Count</t>
  </si>
  <si>
    <t>Result</t>
  </si>
  <si>
    <t>Settle Plate</t>
  </si>
  <si>
    <t>D</t>
  </si>
  <si>
    <t>Finger Dab-Left</t>
  </si>
  <si>
    <t>Contact plate</t>
  </si>
  <si>
    <t>Finger Dab-Right</t>
  </si>
  <si>
    <t>Exclude</t>
  </si>
  <si>
    <t>Risperidone</t>
  </si>
  <si>
    <t>Note</t>
  </si>
  <si>
    <t>หน่วยงาน</t>
  </si>
  <si>
    <t>syncStatus</t>
  </si>
  <si>
    <t>A</t>
  </si>
  <si>
    <t>Rapid mixer granulator</t>
  </si>
  <si>
    <t>Bowl with Top dish</t>
  </si>
  <si>
    <t>cfu</t>
  </si>
  <si>
    <t>B</t>
  </si>
  <si>
    <t>CV</t>
  </si>
  <si>
    <t>C</t>
  </si>
  <si>
    <t>ANB0</t>
  </si>
  <si>
    <t>Normal</t>
  </si>
  <si>
    <t>กองตรวจสอบความถูกต้องกระบวนการผลิด</t>
  </si>
  <si>
    <t>Rinse-PW</t>
  </si>
  <si>
    <t>Pour plate</t>
  </si>
  <si>
    <t>cfu/ml</t>
  </si>
  <si>
    <t>Memb. Filtration</t>
  </si>
  <si>
    <t>ANB1</t>
  </si>
  <si>
    <t>Rinse-WFI</t>
  </si>
  <si>
    <t>แผนกตรวจสอบความถูกต้องวิธีวิเคราะห์ 1</t>
  </si>
  <si>
    <t>cfu/100ml</t>
  </si>
  <si>
    <t>Impeller Blades</t>
  </si>
  <si>
    <t>ANB2</t>
  </si>
  <si>
    <t>แผนกตรวจสอบความถูกต้องกระบวนการผลิต 1</t>
  </si>
  <si>
    <t>ANB4</t>
  </si>
  <si>
    <t>แผนกตรวจสอบความถูกต้องวิธีวิเคราะห์ 2</t>
  </si>
  <si>
    <t>ANB5</t>
  </si>
  <si>
    <t>แผนกตรวจสอบความถูกต้องกระบวนการผลิต 2</t>
  </si>
  <si>
    <t>ANC0</t>
  </si>
  <si>
    <t>กองประกันคุณภาพผลิตภัณฑ์ 1</t>
  </si>
  <si>
    <t>ANC1</t>
  </si>
  <si>
    <t>แผนกประกันคุณภาพผลิตภัณฑ์ 1</t>
  </si>
  <si>
    <t>ANC2</t>
  </si>
  <si>
    <t>แผนกประกันคุณภาพผลิตภัณฑ์ 2</t>
  </si>
  <si>
    <t>ANC3</t>
  </si>
  <si>
    <t>แผนกประกันคุณภาพผลิตภัณฑ์ 3</t>
  </si>
  <si>
    <t>ANC4</t>
  </si>
  <si>
    <t>แผนกประกันคุณภาพผลิตภัณฑ์ 4</t>
  </si>
  <si>
    <t>Discharge</t>
  </si>
  <si>
    <t>AND0</t>
  </si>
  <si>
    <t>กองบริหารงานระบบประกันคุณภาพ</t>
  </si>
  <si>
    <t>Fluid bed dryer</t>
  </si>
  <si>
    <t>AND2</t>
  </si>
  <si>
    <t>แผนกบริหารงานระบบประกันคุณภาพ 2</t>
  </si>
  <si>
    <t>Expansion chamber Column</t>
  </si>
  <si>
    <t>AND3</t>
  </si>
  <si>
    <t>แผนกบริหารงานระบบประกันคุณภาพ 3</t>
  </si>
  <si>
    <t>Product container</t>
  </si>
  <si>
    <t>AND4</t>
  </si>
  <si>
    <t>แผนกบริหารงานระบบประกันคุณภาพ 1</t>
  </si>
  <si>
    <t>ANE0</t>
  </si>
  <si>
    <t>กองมาตรฐานวัตถุดิบและบรรจุภัณฑ์</t>
  </si>
  <si>
    <t>Cone mill</t>
  </si>
  <si>
    <t>Screen</t>
  </si>
  <si>
    <t>ANE1</t>
  </si>
  <si>
    <t>แผนกตรวจสอบคุณภาพวัตถุดิบ 1</t>
  </si>
  <si>
    <t>Discharge shroud</t>
  </si>
  <si>
    <t>ANE2</t>
  </si>
  <si>
    <t>แผนกตรวจสอบคุณภาพวัตถุดิบ 2</t>
  </si>
  <si>
    <t>ANE3</t>
  </si>
  <si>
    <t>แผนกตรวจสอบคุณภาพวัตถุดิบ 3</t>
  </si>
  <si>
    <t>Vibro sifter</t>
  </si>
  <si>
    <t>Sieve</t>
  </si>
  <si>
    <t>ANE4</t>
  </si>
  <si>
    <t>แผนกตรวจสอบคุณภาพบรรจุภัณฑ์ 1</t>
  </si>
  <si>
    <t>Top Hopper</t>
  </si>
  <si>
    <t>ANE5</t>
  </si>
  <si>
    <t>แผนกตรวจสอบคุณภาพบรรจุภัณฑ์ 2</t>
  </si>
  <si>
    <t>Tablet Machine</t>
  </si>
  <si>
    <t>ANF0</t>
  </si>
  <si>
    <t>กองตรวจสอบคุณภาพทางจุลชีววิทยา</t>
  </si>
  <si>
    <t>Turrent</t>
  </si>
  <si>
    <t>ANF1</t>
  </si>
  <si>
    <t>แผนกตรวจสอบคุณภาพทางจุลชีววิทยา ยาปราศจากเชื้อ</t>
  </si>
  <si>
    <t>Feeder</t>
  </si>
  <si>
    <t>ANF2</t>
  </si>
  <si>
    <t>แผนกตรวจสอบคุณภาพทางจุลชีววิทยา ยาเม็ด ยาน้ำ ยาครี</t>
  </si>
  <si>
    <t>Hopper-1</t>
  </si>
  <si>
    <t>ANF3</t>
  </si>
  <si>
    <t>แผนกตรวจสอบคุณภาพทางจุลชีววิทยาสิ่งแวดล้อมและระบบส</t>
  </si>
  <si>
    <t>ANG0</t>
  </si>
  <si>
    <t>กองตรวจสอบคุณภาพผลิตภัณฑ์</t>
  </si>
  <si>
    <t>Hopper-2</t>
  </si>
  <si>
    <t>ANG1</t>
  </si>
  <si>
    <t>แผนกตรวจสอบคุณภาพผลิตภัณฑ์ 1</t>
  </si>
  <si>
    <t>Metal detector</t>
  </si>
  <si>
    <t>Tablet channel-1</t>
  </si>
  <si>
    <t>ANG2</t>
  </si>
  <si>
    <t>แผนกตรวจสอบคุณภาพผลิตภัณฑ์ 2</t>
  </si>
  <si>
    <t>Tablet channel-2</t>
  </si>
  <si>
    <t>ANG3</t>
  </si>
  <si>
    <t>แผนกตรวจสอบคุณภาพผลิตภัณฑ์ 3</t>
  </si>
  <si>
    <t>ANG4</t>
  </si>
  <si>
    <t>Tablet Deduster</t>
  </si>
  <si>
    <t>แผนกตรวจสอบคุณภาพผลิตภัณฑ์ 4</t>
  </si>
  <si>
    <t>Discharge-1</t>
  </si>
  <si>
    <t>ANG5</t>
  </si>
  <si>
    <t>แผนกตรวจสอบคุณภาพผลิตภัณฑ์ 5</t>
  </si>
  <si>
    <t>Discharge-2</t>
  </si>
  <si>
    <t>ANH0</t>
  </si>
  <si>
    <t>กองบริหารคุณภาพผลิตภัณฑ์ผู้ผลิตอื่น</t>
  </si>
  <si>
    <t>Darunavir</t>
  </si>
  <si>
    <t>ANH1</t>
  </si>
  <si>
    <t>แผนกบริหารคุณภาพผลิตภัณฑ์ผู้ผลิตอื่น 1</t>
  </si>
  <si>
    <t>Bowl</t>
  </si>
  <si>
    <t>ANH2</t>
  </si>
  <si>
    <t>แผนกบริหารคุณภาพผลิตภัณฑ์ผู้ผลิตอื่น 2</t>
  </si>
  <si>
    <t>ANH3</t>
  </si>
  <si>
    <t>แผนกทดสอบ</t>
  </si>
  <si>
    <t>ANJ0</t>
  </si>
  <si>
    <t>กองการประกันคุณภาพพระราม 6</t>
  </si>
  <si>
    <t>ANJ1</t>
  </si>
  <si>
    <t>Expansion chamber</t>
  </si>
  <si>
    <t>แผนกประกันคุณภาพพระราม 6</t>
  </si>
  <si>
    <t>ANJ2</t>
  </si>
  <si>
    <t>แผนกควบคุมคุณภาพยาเม็ด</t>
  </si>
  <si>
    <t>ANJ3</t>
  </si>
  <si>
    <t>แผนกมาตรฐานการผลิตพระราม 6</t>
  </si>
  <si>
    <t>ANK0</t>
  </si>
  <si>
    <t>กองการประกันคุณภาพสมุนไพรและเภสัชเคมีภัณฑ์</t>
  </si>
  <si>
    <t>ANK1</t>
  </si>
  <si>
    <t>แผนกบริหารระบบคุณภาพ 1</t>
  </si>
  <si>
    <t>ANK2</t>
  </si>
  <si>
    <t>แผนกตรวจสอบคุณภาพ</t>
  </si>
  <si>
    <t>ANK3</t>
  </si>
  <si>
    <t>แผนกมาตรฐานการผลิต</t>
  </si>
  <si>
    <t>ANK4</t>
  </si>
  <si>
    <t>แผนกบริหารระบบคุณภาพ 2</t>
  </si>
  <si>
    <t>Bin blender</t>
  </si>
  <si>
    <t>ANM0</t>
  </si>
  <si>
    <t>กองการประกันคุณภาพวัคซีน</t>
  </si>
  <si>
    <t>Bin</t>
  </si>
  <si>
    <t>ANM1</t>
  </si>
  <si>
    <t>แผนกบริหารระบบคุณภาพวัคซีนและชีววัตถุ</t>
  </si>
  <si>
    <t>Bin body</t>
  </si>
  <si>
    <t>ANM2</t>
  </si>
  <si>
    <t>แผนกมาตรฐานการผลิตวัคซีนและชีววัตถุ</t>
  </si>
  <si>
    <t>Top cover</t>
  </si>
  <si>
    <t>ANM3</t>
  </si>
  <si>
    <t>แผนกควบคุมคุณภาพวัคซีนและชีววัตถุ 1</t>
  </si>
  <si>
    <t>Powder hopper</t>
  </si>
  <si>
    <t>ANM4</t>
  </si>
  <si>
    <t>แผนกควบคุมคุณภาพวัคซีนและชีววัตถุ 2</t>
  </si>
  <si>
    <t>ANP0</t>
  </si>
  <si>
    <t>กองตรวจสอบความถูกต้องระบบผลิต</t>
  </si>
  <si>
    <t>ANP1</t>
  </si>
  <si>
    <t>แผนกตรวจสอบความถูกต้องเครื่องจักร</t>
  </si>
  <si>
    <t>ANP2</t>
  </si>
  <si>
    <t>แผนกตรวจสอบความถูกต้องระบบสนับสนุนการผลิต</t>
  </si>
  <si>
    <t>ANQ0</t>
  </si>
  <si>
    <t>กองประกันคุณภาพผลิตภัณฑ์ 2</t>
  </si>
  <si>
    <t>ANQ1</t>
  </si>
  <si>
    <t>แผนกจัดการระบบคุณภาพ 1</t>
  </si>
  <si>
    <t>Tablet channel</t>
  </si>
  <si>
    <t>ANQ2</t>
  </si>
  <si>
    <t>แผนกจัดการระบบคุณภาพ 2</t>
  </si>
  <si>
    <t>Film coater</t>
  </si>
  <si>
    <t>Pan</t>
  </si>
  <si>
    <t>ANQ3</t>
  </si>
  <si>
    <t>แผนกจัดการระบบคุณภาพ 3</t>
  </si>
  <si>
    <t>Baffles</t>
  </si>
  <si>
    <t>ANQ4</t>
  </si>
  <si>
    <t>แผนกจัดการระบบคุณภาพ 4</t>
  </si>
  <si>
    <t>ANR0</t>
  </si>
  <si>
    <t>กองการควบคุมคุณภาพ 1</t>
  </si>
  <si>
    <t>ANR1</t>
  </si>
  <si>
    <t>แผนกงานวิเคราะห์วัตถุดิบ</t>
  </si>
  <si>
    <t>ANR2</t>
  </si>
  <si>
    <t>แผนกงานวิเคราะห์บรรจุภัณฑ์</t>
  </si>
  <si>
    <t>ANR3</t>
  </si>
  <si>
    <t>แผนกงานชีววิเคราะห์</t>
  </si>
  <si>
    <t>ANS0</t>
  </si>
  <si>
    <t>กองการควบคุมคุณภาพ 2</t>
  </si>
  <si>
    <t>ANS1</t>
  </si>
  <si>
    <t>แผนกงานวิเคราะห์ 1</t>
  </si>
  <si>
    <t>Perforated pan</t>
  </si>
  <si>
    <t>ANS2</t>
  </si>
  <si>
    <t>แผนกงานวิเคราะห์ 2</t>
  </si>
  <si>
    <t>ANS3</t>
  </si>
  <si>
    <t>แผนกงานวิเคราะห์ 3</t>
  </si>
  <si>
    <t>ANS4</t>
  </si>
  <si>
    <t>แผนกงานวิเคราะห์ 4</t>
  </si>
  <si>
    <t>Bottle filling</t>
  </si>
  <si>
    <t>Hopper</t>
  </si>
  <si>
    <t>Track #3</t>
  </si>
  <si>
    <t>Funnel</t>
  </si>
  <si>
    <t>CEHT</t>
  </si>
  <si>
    <t>Blister Packing machine</t>
  </si>
  <si>
    <t>Product Hopper</t>
  </si>
  <si>
    <t>Distributor plate</t>
  </si>
  <si>
    <t>Perforated sheet</t>
  </si>
  <si>
    <t>TA Lotion</t>
  </si>
  <si>
    <t>300L-Manufacturing vessel</t>
  </si>
  <si>
    <t>Top</t>
  </si>
  <si>
    <t>Body</t>
  </si>
  <si>
    <t>Filling tube-1</t>
  </si>
  <si>
    <t>Filling tube-2</t>
  </si>
  <si>
    <t>Lidocain inj 2% 20 ml</t>
  </si>
  <si>
    <t>Mixing tank with jacket</t>
  </si>
  <si>
    <t>Pipe before entering Filling Machine</t>
  </si>
  <si>
    <t>Vial filling machine</t>
  </si>
  <si>
    <t>filling needle (6 nos.) -1</t>
  </si>
  <si>
    <t>filling needle (6 nos.) -2</t>
  </si>
  <si>
    <t>filling needle (6 nos.) -3</t>
  </si>
  <si>
    <t>filling needle (6 nos.) -4</t>
  </si>
  <si>
    <t>filling needle (6 nos.) -5</t>
  </si>
  <si>
    <t>filling needle (6 nos.) -6</t>
  </si>
  <si>
    <t>Capping machine</t>
  </si>
  <si>
    <t>Bowl of rubber stopper</t>
  </si>
  <si>
    <t>Hopper of rubber stopper</t>
  </si>
  <si>
    <t>TA Cream</t>
  </si>
  <si>
    <t>1000L-Manufacturing vessel</t>
  </si>
  <si>
    <t>Before Buffer tank</t>
  </si>
  <si>
    <t xml:space="preserve">Ibuprofen </t>
  </si>
  <si>
    <t>Liquid filling Machine</t>
  </si>
  <si>
    <t>filling 1</t>
  </si>
  <si>
    <t>filling 2</t>
  </si>
  <si>
    <t>filling 3</t>
  </si>
  <si>
    <t>filling 4</t>
  </si>
  <si>
    <t>Storage vessel</t>
  </si>
  <si>
    <t>cream filling Machine</t>
  </si>
  <si>
    <t xml:space="preserve">Staging </t>
  </si>
  <si>
    <t>Levofloxacin</t>
  </si>
  <si>
    <t>Deferasirox</t>
  </si>
  <si>
    <t>Clobetasol cream</t>
  </si>
  <si>
    <t>Vacuum Homo Mixer</t>
  </si>
  <si>
    <t>Chamber</t>
  </si>
  <si>
    <t>Cover</t>
  </si>
  <si>
    <t>Agitators</t>
  </si>
  <si>
    <t xml:space="preserve">Alacovir </t>
  </si>
  <si>
    <t>Filling 1</t>
  </si>
  <si>
    <t>Filling 2</t>
  </si>
  <si>
    <t xml:space="preserve">Adrenaline </t>
  </si>
  <si>
    <t>ampule filling machine</t>
  </si>
  <si>
    <t>Adrenaline</t>
  </si>
  <si>
    <t>Filling 3</t>
  </si>
  <si>
    <t>Filling 4</t>
  </si>
  <si>
    <t>Filling 5</t>
  </si>
  <si>
    <t>Filling 6</t>
  </si>
  <si>
    <t>Filling 7</t>
  </si>
  <si>
    <t>Filling 8</t>
  </si>
  <si>
    <t>Guiafenesin</t>
  </si>
  <si>
    <t>Manufacturing vessel and pipeline</t>
  </si>
  <si>
    <t>SV08 (MFG1)</t>
  </si>
  <si>
    <t>Alacovir</t>
  </si>
  <si>
    <t xml:space="preserve">Blister Packing machine </t>
  </si>
  <si>
    <t>Liquid filling Machine line3</t>
  </si>
  <si>
    <t>Re-Sampling</t>
  </si>
  <si>
    <t>filling 5</t>
  </si>
  <si>
    <t>filling 6</t>
  </si>
  <si>
    <t>filling 7</t>
  </si>
  <si>
    <t>filling 8</t>
  </si>
  <si>
    <t>filling 9</t>
  </si>
  <si>
    <t>filling 10</t>
  </si>
  <si>
    <t xml:space="preserve">Storage vessel and pipeline </t>
  </si>
  <si>
    <t>SV07 (Filling line3)</t>
  </si>
  <si>
    <t>ยังไม่ได้ทำบันทึก</t>
  </si>
  <si>
    <t>ยกเลิกจุด</t>
  </si>
  <si>
    <t>มีหยดน้ำเกาะ</t>
  </si>
  <si>
    <t>ซันแจ้งไม่เอาผล</t>
  </si>
  <si>
    <t xml:space="preserve">ไม่ได้ต่อจาก staging เปิดถังเติมน้ำลงถังbuffer ดูให้ผ่านหัว Fill </t>
  </si>
  <si>
    <t xml:space="preserve">เก็บตัวอย่าง 2 ถุง ถุงแรกล้นออก </t>
  </si>
  <si>
    <t>สายยาง (เก็บเพิ่ม)</t>
  </si>
  <si>
    <t>Albendazole</t>
  </si>
  <si>
    <t>บรรจุยาน้ำ</t>
  </si>
  <si>
    <t>KC</t>
  </si>
  <si>
    <t>ขอบ</t>
  </si>
  <si>
    <t>ตะแกงด้านล่าง</t>
  </si>
  <si>
    <t>KC,NN</t>
  </si>
  <si>
    <t>Expansion chamber Column จุดที่ 1 (CV)</t>
  </si>
  <si>
    <t>พี่แมน</t>
  </si>
  <si>
    <t>Belt ***</t>
  </si>
  <si>
    <t>ขอบ 1 ***</t>
  </si>
  <si>
    <t>ขอบ 2</t>
  </si>
  <si>
    <t>ขอบ 3</t>
  </si>
  <si>
    <t>ขอบ 4</t>
  </si>
  <si>
    <t>Expansion chamber จุดที่ 2 *** (จุดสัมผัสถุงกรอง)</t>
  </si>
  <si>
    <t>NN</t>
  </si>
  <si>
    <t>ขอบผ้า 1</t>
  </si>
  <si>
    <t>ขอบผ้า 2</t>
  </si>
  <si>
    <t xml:space="preserve">ผ้า1 </t>
  </si>
  <si>
    <t>ผ้า2</t>
  </si>
  <si>
    <t>ผ้า3</t>
  </si>
  <si>
    <t>ผ้า4</t>
  </si>
  <si>
    <t>KC พี่แมน</t>
  </si>
  <si>
    <t>KC พี่ี่แมน</t>
  </si>
  <si>
    <t>Liquid filling Machine line2</t>
  </si>
  <si>
    <t xml:space="preserve">ผลิตเก็บให้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</si>
</sst>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"/>
    <numFmt numFmtId="165" formatCode="d/m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Roboto"/>
    </font>
    <font>
      <sz val="11.0"/>
      <color theme="1"/>
      <name val="Roboto"/>
    </font>
    <font>
      <b/>
      <color rgb="FF000000"/>
      <name val="Roboto"/>
    </font>
    <font>
      <b/>
      <sz val="8.0"/>
      <color theme="1"/>
      <name val="&quot;Ms sans serif&quot;"/>
    </font>
    <font>
      <sz val="8.0"/>
      <color rgb="FF474747"/>
      <name val="&quot;Ms sans serif&quot;"/>
    </font>
    <font>
      <sz val="8.0"/>
      <color rgb="FF474747"/>
      <name val="Arial"/>
    </font>
    <font>
      <color rgb="FF434343"/>
      <name val="Roboto"/>
    </font>
    <font>
      <color theme="1"/>
      <name val="Arial"/>
    </font>
    <font>
      <sz val="11.0"/>
      <color rgb="FF434343"/>
      <name val="Roboto"/>
    </font>
    <font>
      <color rgb="FF11734B"/>
      <name val="Roboto"/>
    </font>
    <font>
      <color rgb="FF0A53A8"/>
      <name val="Roboto"/>
    </font>
    <font>
      <color rgb="FF473821"/>
      <name val="Roboto"/>
    </font>
    <font>
      <color rgb="FF753800"/>
      <name val="Roboto"/>
    </font>
    <font>
      <color rgb="FFBFE0F6"/>
      <name val="Roboto"/>
    </font>
    <font>
      <color rgb="FFFFC8AA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B7E5CD"/>
        <bgColor rgb="FFB7E5C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9F5F0"/>
        <bgColor rgb="FFF9F5F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B7E5CD"/>
      </left>
      <right style="thin">
        <color rgb="FFB7E5CD"/>
      </right>
      <top style="thin">
        <color rgb="FF89AC9A"/>
      </top>
      <bottom style="thin">
        <color rgb="FF89AC9A"/>
      </bottom>
    </border>
    <border>
      <left style="thin">
        <color rgb="FFD9D9D9"/>
      </left>
      <right style="thin">
        <color rgb="FFD9D9D9"/>
      </right>
      <top style="thin">
        <color rgb="FF89AC9A"/>
      </top>
      <bottom style="thin">
        <color rgb="FF89AC9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9F5F0"/>
      </left>
      <right style="thin">
        <color rgb="FFF9F5F0"/>
      </right>
      <top style="thin">
        <color rgb="FFF9F5F0"/>
      </top>
      <bottom style="thin">
        <color rgb="FFF9F5F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bottom style="thin">
        <color rgb="FFD8D8D8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2" fillId="3" fontId="4" numFmtId="49" xfId="0" applyAlignment="1" applyBorder="1" applyFill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4" fontId="6" numFmtId="0" xfId="0" applyAlignment="1" applyFill="1" applyFont="1">
      <alignment horizontal="left" readingOrder="0" shrinkToFit="0" vertical="center" wrapText="0"/>
    </xf>
    <xf borderId="0" fillId="4" fontId="7" numFmtId="0" xfId="0" applyAlignment="1" applyFill="1" applyFont="1">
      <alignment horizontal="left" readingOrder="0" shrinkToFit="0" vertical="center" wrapText="0"/>
    </xf>
    <xf borderId="3" fillId="4" fontId="8" numFmtId="0" xfId="0" applyAlignment="1" applyBorder="1" applyFill="1" applyFont="1">
      <alignment horizontal="center" shrinkToFit="0" vertical="center" wrapText="0"/>
    </xf>
    <xf borderId="0" fillId="4" fontId="6" numFmtId="0" xfId="0" applyAlignment="1" applyFill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4" fillId="4" fontId="9" numFmtId="164" xfId="0" applyAlignment="1" applyBorder="1" applyFill="1" applyFont="1" applyNumberFormat="1">
      <alignment shrinkToFit="0" vertical="center" wrapText="0"/>
    </xf>
    <xf borderId="4" fillId="4" fontId="8" numFmtId="0" xfId="0" applyAlignment="1" applyBorder="1" applyFill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4" fillId="4" fontId="8" numFmtId="0" xfId="0" applyAlignment="1" applyBorder="1" applyFill="1" applyFont="1">
      <alignment shrinkToFit="0" vertical="center" wrapText="0"/>
    </xf>
    <xf borderId="0" fillId="5" fontId="6" numFmtId="0" xfId="0" applyAlignment="1" applyFill="1" applyFont="1">
      <alignment horizontal="left" readingOrder="0" shrinkToFit="0" vertical="center" wrapText="0"/>
    </xf>
    <xf borderId="5" fillId="6" fontId="10" numFmtId="49" xfId="0" applyAlignment="1" applyBorder="1" applyFill="1" applyFont="1" applyNumberFormat="1">
      <alignment horizontal="center" shrinkToFit="0" vertical="center" wrapText="0"/>
    </xf>
    <xf borderId="0" fillId="5" fontId="6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5" fontId="6" numFmtId="0" xfId="0" applyAlignment="1" applyFill="1" applyFont="1">
      <alignment horizontal="left" shrinkToFit="0" vertical="center" wrapText="0"/>
    </xf>
    <xf borderId="4" fillId="4" fontId="10" numFmtId="0" xfId="0" applyAlignment="1" applyBorder="1" applyFill="1" applyFont="1">
      <alignment horizontal="center" readingOrder="0" shrinkToFit="0" vertical="center" wrapText="0"/>
    </xf>
    <xf borderId="4" fillId="4" fontId="8" numFmtId="14" xfId="0" applyAlignment="1" applyBorder="1" applyFill="1" applyFont="1" applyNumberFormat="1">
      <alignment horizontal="right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4" fillId="4" fontId="11" numFmtId="0" xfId="0" applyAlignment="1" applyBorder="1" applyFill="1" applyFont="1">
      <alignment shrinkToFit="0" vertical="center" wrapText="0"/>
    </xf>
    <xf borderId="4" fillId="4" fontId="12" numFmtId="0" xfId="0" applyAlignment="1" applyBorder="1" applyFill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6" numFmtId="0" xfId="0" applyAlignment="1" applyFill="1" applyFont="1">
      <alignment horizontal="left" readingOrder="0" shrinkToFit="0" vertical="center" wrapText="0"/>
    </xf>
    <xf borderId="6" fillId="7" fontId="8" numFmtId="0" xfId="0" applyAlignment="1" applyBorder="1" applyFill="1" applyFont="1">
      <alignment horizontal="center" shrinkToFit="0" vertical="center" wrapText="0"/>
    </xf>
    <xf borderId="7" fillId="7" fontId="9" numFmtId="0" xfId="0" applyAlignment="1" applyBorder="1" applyFill="1" applyFont="1">
      <alignment shrinkToFit="0" vertical="center" wrapText="0"/>
    </xf>
    <xf borderId="7" fillId="7" fontId="8" numFmtId="0" xfId="0" applyAlignment="1" applyBorder="1" applyFill="1" applyFont="1">
      <alignment shrinkToFit="0" vertical="center" wrapText="0"/>
    </xf>
    <xf borderId="7" fillId="7" fontId="8" numFmtId="0" xfId="0" applyAlignment="1" applyBorder="1" applyFill="1" applyFont="1">
      <alignment shrinkToFit="0" vertical="center" wrapText="0"/>
    </xf>
    <xf borderId="8" fillId="4" fontId="8" numFmtId="0" xfId="0" applyAlignment="1" applyBorder="1" applyFill="1" applyFont="1">
      <alignment shrinkToFit="0" vertical="center" wrapText="0"/>
    </xf>
    <xf borderId="9" fillId="4" fontId="8" numFmtId="0" xfId="0" applyAlignment="1" applyBorder="1" applyFill="1" applyFont="1">
      <alignment shrinkToFit="0" vertical="center" wrapText="0"/>
    </xf>
    <xf borderId="7" fillId="7" fontId="8" numFmtId="14" xfId="0" applyAlignment="1" applyBorder="1" applyFill="1" applyFont="1" applyNumberFormat="1">
      <alignment horizontal="right" shrinkToFit="0" vertical="center" wrapText="0"/>
    </xf>
    <xf borderId="9" fillId="4" fontId="8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9" fillId="4" fontId="8" numFmtId="0" xfId="0" applyAlignment="1" applyBorder="1" applyFill="1" applyFont="1">
      <alignment horizontal="right" shrinkToFit="0" vertical="center" wrapText="0"/>
    </xf>
    <xf borderId="7" fillId="7" fontId="11" numFmtId="0" xfId="0" applyAlignment="1" applyBorder="1" applyFill="1" applyFont="1">
      <alignment shrinkToFit="0" vertical="center" wrapText="0"/>
    </xf>
    <xf borderId="10" fillId="4" fontId="8" numFmtId="0" xfId="0" applyAlignment="1" applyBorder="1" applyFill="1" applyFont="1">
      <alignment horizontal="right" shrinkToFit="0" vertical="center" wrapText="0"/>
    </xf>
    <xf borderId="7" fillId="7" fontId="12" numFmtId="0" xfId="0" applyAlignment="1" applyBorder="1" applyFill="1" applyFont="1">
      <alignment shrinkToFit="0" vertical="center" wrapText="0"/>
    </xf>
    <xf borderId="4" fillId="4" fontId="9" numFmtId="0" xfId="0" applyAlignment="1" applyBorder="1" applyFill="1" applyFont="1">
      <alignment shrinkToFit="0" vertical="center" wrapText="0"/>
    </xf>
    <xf borderId="7" fillId="7" fontId="9" numFmtId="164" xfId="0" applyAlignment="1" applyBorder="1" applyFill="1" applyFont="1" applyNumberFormat="1">
      <alignment shrinkToFit="0" vertical="center" wrapText="0"/>
    </xf>
    <xf borderId="4" fillId="4" fontId="13" numFmtId="0" xfId="0" applyAlignment="1" applyBorder="1" applyFill="1" applyFont="1">
      <alignment shrinkToFit="0" vertical="center" wrapText="0"/>
    </xf>
    <xf borderId="7" fillId="7" fontId="13" numFmtId="0" xfId="0" applyAlignment="1" applyBorder="1" applyFill="1" applyFont="1">
      <alignment shrinkToFit="0" vertical="center" wrapText="0"/>
    </xf>
    <xf borderId="4" fillId="4" fontId="14" numFmtId="0" xfId="0" applyAlignment="1" applyBorder="1" applyFill="1" applyFont="1">
      <alignment shrinkToFit="0" vertical="center" wrapText="0"/>
    </xf>
    <xf borderId="7" fillId="7" fontId="14" numFmtId="0" xfId="0" applyAlignment="1" applyBorder="1" applyFill="1" applyFont="1">
      <alignment shrinkToFit="0" vertical="center" wrapText="0"/>
    </xf>
    <xf borderId="4" fillId="4" fontId="15" numFmtId="0" xfId="0" applyAlignment="1" applyBorder="1" applyFill="1" applyFont="1">
      <alignment shrinkToFit="0" vertical="center" wrapText="0"/>
    </xf>
    <xf borderId="4" fillId="4" fontId="16" numFmtId="0" xfId="0" applyAlignment="1" applyBorder="1" applyFill="1" applyFont="1">
      <alignment shrinkToFit="0" vertical="center" wrapText="0"/>
    </xf>
    <xf borderId="7" fillId="7" fontId="15" numFmtId="0" xfId="0" applyAlignment="1" applyBorder="1" applyFill="1" applyFont="1">
      <alignment shrinkToFit="0" vertical="center" wrapText="0"/>
    </xf>
    <xf borderId="7" fillId="7" fontId="16" numFmtId="0" xfId="0" applyAlignment="1" applyBorder="1" applyFill="1" applyFont="1">
      <alignment shrinkToFit="0" vertical="center" wrapText="0"/>
    </xf>
    <xf borderId="7" fillId="7" fontId="8" numFmtId="0" xfId="0" applyAlignment="1" applyBorder="1" applyFill="1" applyFont="1">
      <alignment horizontal="center" shrinkToFit="0" vertical="center" wrapText="0"/>
    </xf>
    <xf borderId="4" fillId="4" fontId="8" numFmtId="0" xfId="0" applyAlignment="1" applyBorder="1" applyFill="1" applyFont="1">
      <alignment horizontal="center" shrinkToFit="0" vertical="center" wrapText="0"/>
    </xf>
    <xf borderId="11" fillId="5" fontId="6" numFmtId="0" xfId="0" applyAlignment="1" applyBorder="1" applyFill="1" applyFont="1">
      <alignment horizontal="left" readingOrder="0" shrinkToFit="0" vertical="center" wrapText="0"/>
    </xf>
    <xf borderId="11" fillId="5" fontId="6" numFmtId="0" xfId="0" applyAlignment="1" applyBorder="1" applyFill="1" applyFont="1">
      <alignment horizontal="left" readingOrder="0" shrinkToFit="0" vertical="center" wrapText="0"/>
    </xf>
    <xf borderId="0" fillId="8" fontId="1" numFmtId="0" xfId="0" applyAlignment="1" applyFill="1" applyFont="1">
      <alignment horizontal="center" readingOrder="0" shrinkToFit="0" vertical="center" wrapText="0"/>
    </xf>
    <xf borderId="0" fillId="8" fontId="1" numFmtId="164" xfId="0" applyAlignment="1" applyFill="1" applyFont="1" applyNumberFormat="1">
      <alignment readingOrder="0" shrinkToFit="0" vertical="center" wrapText="0"/>
    </xf>
    <xf borderId="0" fillId="8" fontId="1" numFmtId="0" xfId="0" applyAlignment="1" applyFill="1" applyFont="1">
      <alignment readingOrder="0" shrinkToFit="0" vertical="center" wrapText="0"/>
    </xf>
    <xf borderId="0" fillId="8" fontId="1" numFmtId="14" xfId="0" applyAlignment="1" applyFill="1" applyFont="1" applyNumberFormat="1">
      <alignment readingOrder="0" shrinkToFit="0" vertical="center" wrapText="0"/>
    </xf>
    <xf borderId="0" fillId="8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7" fontId="8" numFmtId="0" xfId="0" applyAlignment="1" applyFill="1" applyFont="1">
      <alignment horizontal="center" readingOrder="0" shrinkToFit="0" vertical="center" wrapText="0"/>
    </xf>
    <xf borderId="0" fillId="7" fontId="9" numFmtId="164" xfId="0" applyAlignment="1" applyFill="1" applyFont="1" applyNumberFormat="1">
      <alignment shrinkToFit="0" vertical="center" wrapText="0"/>
    </xf>
    <xf borderId="0" fillId="7" fontId="8" numFmtId="0" xfId="0" applyAlignment="1" applyFill="1" applyFont="1">
      <alignment horizontal="left" readingOrder="0" shrinkToFit="0" vertical="center" wrapText="0"/>
    </xf>
    <xf borderId="0" fillId="7" fontId="8" numFmtId="0" xfId="0" applyAlignment="1" applyFill="1" applyFont="1">
      <alignment readingOrder="0" shrinkToFit="0" vertical="center" wrapText="0"/>
    </xf>
    <xf borderId="0" fillId="7" fontId="8" numFmtId="0" xfId="0" applyAlignment="1" applyFill="1" applyFont="1">
      <alignment horizontal="center" shrinkToFit="0" vertical="center" wrapText="0"/>
    </xf>
    <xf borderId="6" fillId="7" fontId="8" numFmtId="0" xfId="0" applyAlignment="1" applyBorder="1" applyFill="1" applyFont="1">
      <alignment horizontal="center" shrinkToFit="0" vertical="center" wrapText="0"/>
    </xf>
    <xf borderId="7" fillId="7" fontId="8" numFmtId="0" xfId="0" applyAlignment="1" applyBorder="1" applyFill="1" applyFont="1">
      <alignment horizontal="center" shrinkToFit="0" vertical="center" wrapText="0"/>
    </xf>
    <xf borderId="7" fillId="7" fontId="8" numFmtId="0" xfId="0" applyAlignment="1" applyBorder="1" applyFill="1" applyFont="1">
      <alignment shrinkToFit="0" vertical="center" wrapText="0"/>
    </xf>
    <xf borderId="0" fillId="4" fontId="8" numFmtId="0" xfId="0" applyAlignment="1" applyFill="1" applyFont="1">
      <alignment horizontal="center" shrinkToFit="0" vertical="center" wrapText="0"/>
    </xf>
    <xf borderId="0" fillId="4" fontId="8" numFmtId="0" xfId="0" applyAlignment="1" applyFill="1" applyFont="1">
      <alignment horizontal="center" readingOrder="0" shrinkToFit="0" vertical="center" wrapText="0"/>
    </xf>
    <xf borderId="3" fillId="4" fontId="8" numFmtId="0" xfId="0" applyAlignment="1" applyBorder="1" applyFill="1" applyFont="1">
      <alignment horizontal="center" shrinkToFit="0" vertical="center" wrapText="0"/>
    </xf>
    <xf borderId="4" fillId="4" fontId="8" numFmtId="0" xfId="0" applyAlignment="1" applyBorder="1" applyFill="1" applyFont="1">
      <alignment horizontal="center" shrinkToFit="0" vertical="center" wrapText="0"/>
    </xf>
    <xf borderId="4" fillId="4" fontId="8" numFmtId="0" xfId="0" applyAlignment="1" applyBorder="1" applyFill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EAD3"/>
          <bgColor rgb="FFD9EAD3"/>
        </patternFill>
      </fill>
      <border/>
    </dxf>
  </dxfs>
  <tableStyles count="4">
    <tableStyle count="4" pivot="0" name="table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CV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ชีต10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database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472" displayName="recordCV" name="recordCV" id="4">
  <tableColumns count="24">
    <tableColumn name="worksheetNo" id="1"/>
    <tableColumn name="worksheetCreate" id="2"/>
    <tableColumn name="Bld" id="3"/>
    <tableColumn name="room" id="4"/>
    <tableColumn name="Grade" id="5"/>
    <tableColumn name="Item" id="6"/>
    <tableColumn name="Equipment" id="7"/>
    <tableColumn name="Location" id="8"/>
    <tableColumn name="Sampling date" id="9"/>
    <tableColumn name="Samp-Method" id="10"/>
    <tableColumn name="Test-Method" id="11"/>
    <tableColumn name="CV/CEHT" id="12"/>
    <tableColumn name="Normal/ReSamp" id="13"/>
    <tableColumn name="ครั้งที่" id="14"/>
    <tableColumn name="Count" id="15"/>
    <tableColumn name="Result" id="16"/>
    <tableColumn name="Spec" id="17"/>
    <tableColumn name="Unit" id="18"/>
    <tableColumn name="Settle Plate" id="19"/>
    <tableColumn name="Finger Dab-Left" id="20"/>
    <tableColumn name="Finger Dab-Right" id="21"/>
    <tableColumn name="Exclude" id="22"/>
    <tableColumn name="Note" id="23"/>
    <tableColumn name="syncStatus" id="24"/>
  </tableColumns>
  <tableStyleInfo name="CV-style" showColumnStripes="0" showFirstColumn="1" showLastColumn="1" showRowStripes="1"/>
</table>
</file>

<file path=xl/tables/table2.xml><?xml version="1.0" encoding="utf-8"?>
<table xmlns="http://schemas.openxmlformats.org/spreadsheetml/2006/main" ref="A1:J144" displayName="database" name="database" id="1">
  <tableColumns count="10">
    <tableColumn name="Bld" id="1"/>
    <tableColumn name="room" id="2"/>
    <tableColumn name="Grade" id="3"/>
    <tableColumn name="Item" id="4"/>
    <tableColumn name="Equipment" id="5"/>
    <tableColumn name="Location" id="6"/>
    <tableColumn name="Sampling date" id="7"/>
    <tableColumn name="Samp-Method" id="8"/>
    <tableColumn name="Test-Method" id="9"/>
    <tableColumn name="CV/CEHT" id="10"/>
  </tableColumns>
  <tableStyleInfo name="database-style" showColumnStripes="0" showFirstColumn="1" showLastColumn="1" showRowStripes="1"/>
</table>
</file>

<file path=xl/tables/table3.xml><?xml version="1.0" encoding="utf-8"?>
<table xmlns="http://schemas.openxmlformats.org/spreadsheetml/2006/main" ref="A1:D491" displayName="name" name="name" id="2">
  <tableColumns count="4">
    <tableColumn name="รหัสหน่วยงาน" id="1"/>
    <tableColumn name="ฝ่าย" id="2"/>
    <tableColumn name="กอง" id="3"/>
    <tableColumn name="แผนก" id="4"/>
  </tableColumns>
  <tableStyleInfo name="ชีต10-style" showColumnStripes="0" showFirstColumn="1" showLastColumn="1" showRowStripes="1"/>
</table>
</file>

<file path=xl/tables/table4.xml><?xml version="1.0" encoding="utf-8"?>
<table xmlns="http://schemas.openxmlformats.org/spreadsheetml/2006/main" ref="A1:G11" displayName="SpecCV" name="SpecCV" id="3">
  <tableColumns count="7">
    <tableColumn name="ID" id="1"/>
    <tableColumn name="Samp-Method" id="2"/>
    <tableColumn name="Test-Method" id="3"/>
    <tableColumn name="Condition" id="4"/>
    <tableColumn name="Spec" id="5"/>
    <tableColumn name="Unit" id="6"/>
    <tableColumn name="factor" id="7"/>
  </tableColumns>
  <tableStyleInfo name="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.88"/>
    <col customWidth="1" min="4" max="4" width="9.38"/>
    <col customWidth="1" min="5" max="5" width="14.38"/>
    <col customWidth="1" min="6" max="6" width="15.13"/>
    <col customWidth="1" min="7" max="7" width="23.25"/>
    <col customWidth="1" min="8" max="8" width="20.0"/>
    <col customWidth="1" min="9" max="9" width="19.5"/>
    <col customWidth="1" min="10" max="10" width="15.75"/>
    <col customWidth="1" min="11" max="11" width="18.38"/>
    <col customWidth="1" min="12" max="12" width="15.75"/>
    <col customWidth="1" min="13" max="13" width="21.13"/>
    <col customWidth="1" min="18" max="22" width="14.63"/>
  </cols>
  <sheetData>
    <row r="1" ht="22.5" customHeight="1">
      <c r="A1" s="3" t="s">
        <v>3</v>
      </c>
      <c r="B1" s="6" t="s">
        <v>7</v>
      </c>
      <c r="C1" s="8" t="s">
        <v>2</v>
      </c>
      <c r="D1" s="1" t="s">
        <v>6</v>
      </c>
      <c r="E1" s="8" t="s">
        <v>10</v>
      </c>
      <c r="F1" s="1" t="s">
        <v>12</v>
      </c>
      <c r="G1" s="1" t="s">
        <v>14</v>
      </c>
      <c r="H1" s="1" t="s">
        <v>15</v>
      </c>
      <c r="I1" s="1" t="s">
        <v>16</v>
      </c>
      <c r="J1" s="1" t="s">
        <v>4</v>
      </c>
      <c r="K1" s="4" t="s">
        <v>5</v>
      </c>
      <c r="L1" s="4" t="s">
        <v>21</v>
      </c>
      <c r="M1" s="4" t="s">
        <v>23</v>
      </c>
      <c r="N1" s="1" t="s">
        <v>24</v>
      </c>
      <c r="O1" s="4" t="s">
        <v>25</v>
      </c>
      <c r="P1" s="1" t="s">
        <v>26</v>
      </c>
      <c r="Q1" s="1" t="s">
        <v>9</v>
      </c>
      <c r="R1" s="4" t="s">
        <v>11</v>
      </c>
      <c r="S1" s="4" t="s">
        <v>27</v>
      </c>
      <c r="T1" s="4" t="s">
        <v>29</v>
      </c>
      <c r="U1" s="4" t="s">
        <v>31</v>
      </c>
      <c r="V1" s="1" t="s">
        <v>32</v>
      </c>
      <c r="W1" s="1" t="s">
        <v>34</v>
      </c>
      <c r="X1" s="1" t="s">
        <v>36</v>
      </c>
    </row>
    <row r="2" ht="22.5" customHeight="1">
      <c r="A2" s="22"/>
      <c r="B2" s="26" t="b">
        <v>0</v>
      </c>
      <c r="C2" s="8">
        <v>10.0</v>
      </c>
      <c r="D2" s="28"/>
      <c r="E2" s="8" t="s">
        <v>28</v>
      </c>
      <c r="F2" s="15" t="s">
        <v>33</v>
      </c>
      <c r="G2" s="15" t="s">
        <v>38</v>
      </c>
      <c r="H2" s="15" t="s">
        <v>39</v>
      </c>
      <c r="I2" s="31">
        <v>45856.0</v>
      </c>
      <c r="J2" s="32" t="s">
        <v>30</v>
      </c>
      <c r="K2" s="32" t="s">
        <v>30</v>
      </c>
      <c r="L2" s="32" t="s">
        <v>42</v>
      </c>
      <c r="M2" s="32" t="s">
        <v>45</v>
      </c>
      <c r="N2" s="15">
        <v>1.0</v>
      </c>
      <c r="O2" s="15">
        <v>2.0</v>
      </c>
      <c r="P2" s="15">
        <f t="array" ref="P2">if(O2="","", if(O2=9999,9999,ROUNDUP(_xlfn.XLOOKUP(J2&amp;"-"&amp;E2&amp;"-"&amp;K2,SpecCV[ID],SpecCV[factor])*O2,0)))</f>
        <v>2</v>
      </c>
      <c r="Q2" s="15">
        <f t="array" ref="Q2">if(J2="Contact plate", _xlfn.XLOOKUP(J2&amp;"-"&amp;E2&amp;"-"&amp;K2,SpecCV[ID],SpecCV[Spec]),_xlfn.XLOOKUP(J2&amp;"-"&amp;E2&amp;"-"&amp;K2,SpecCV[ID],SpecCV[Spec]))</f>
        <v>50</v>
      </c>
      <c r="R2" s="15" t="str">
        <f t="array" ref="R2">if(J2="Contact plate", _xlfn.XLOOKUP(J2&amp;"-"&amp;E2&amp;"-"&amp;K2,SpecCV[ID],SpecCV[Unit]),_xlfn.XLOOKUP(J2&amp;"-"&amp;E2&amp;"-"&amp;K2,SpecCV[ID],SpecCV[Unit]))</f>
        <v>cfu</v>
      </c>
      <c r="S2" s="42"/>
      <c r="T2" s="42"/>
      <c r="U2" s="42"/>
      <c r="V2" s="8" t="b">
        <v>0</v>
      </c>
    </row>
    <row r="3" ht="22.5" customHeight="1">
      <c r="A3" s="8"/>
      <c r="B3" s="8" t="b">
        <v>0</v>
      </c>
      <c r="C3" s="8">
        <v>10.0</v>
      </c>
      <c r="E3" s="8" t="s">
        <v>28</v>
      </c>
      <c r="F3" s="15" t="s">
        <v>33</v>
      </c>
      <c r="G3" s="15" t="s">
        <v>38</v>
      </c>
      <c r="H3" s="15" t="s">
        <v>55</v>
      </c>
      <c r="I3" s="31">
        <v>45856.0</v>
      </c>
      <c r="J3" s="32" t="s">
        <v>30</v>
      </c>
      <c r="K3" s="32" t="s">
        <v>30</v>
      </c>
      <c r="L3" s="32" t="s">
        <v>42</v>
      </c>
      <c r="M3" s="32" t="s">
        <v>45</v>
      </c>
      <c r="N3" s="15">
        <v>1.0</v>
      </c>
      <c r="O3" s="15">
        <v>3.0</v>
      </c>
      <c r="P3" s="15">
        <f t="array" ref="P3">if(O3="","", if(O3=9999,9999,ROUNDUP(_xlfn.XLOOKUP(J3&amp;"-"&amp;E3&amp;"-"&amp;K3,SpecCV[ID],SpecCV[factor])*O3,0)))</f>
        <v>3</v>
      </c>
      <c r="Q3" s="15">
        <f t="array" ref="Q3">if(J3="Contact plate", _xlfn.XLOOKUP(J3&amp;"-"&amp;E3&amp;"-"&amp;K3,SpecCV[ID],SpecCV[Spec]),_xlfn.XLOOKUP(J3&amp;"-"&amp;E3&amp;"-"&amp;K3,SpecCV[ID],SpecCV[Spec]))</f>
        <v>50</v>
      </c>
      <c r="R3" s="15" t="str">
        <f t="array" ref="R3">if(J3="Contact plate", _xlfn.XLOOKUP(J3&amp;"-"&amp;E3&amp;"-"&amp;K3,SpecCV[ID],SpecCV[Unit]),_xlfn.XLOOKUP(J3&amp;"-"&amp;E3&amp;"-"&amp;K3,SpecCV[ID],SpecCV[Unit]))</f>
        <v>cfu</v>
      </c>
      <c r="S3" s="42"/>
      <c r="T3" s="42"/>
      <c r="U3" s="42"/>
      <c r="V3" s="8" t="b">
        <v>0</v>
      </c>
    </row>
    <row r="4" ht="22.5" customHeight="1">
      <c r="A4" s="8"/>
      <c r="B4" s="8" t="b">
        <v>0</v>
      </c>
      <c r="C4" s="8">
        <v>10.0</v>
      </c>
      <c r="E4" s="8" t="s">
        <v>28</v>
      </c>
      <c r="F4" s="15" t="s">
        <v>33</v>
      </c>
      <c r="G4" s="15" t="s">
        <v>38</v>
      </c>
      <c r="H4" s="15" t="s">
        <v>72</v>
      </c>
      <c r="I4" s="31">
        <v>45856.0</v>
      </c>
      <c r="J4" s="32" t="s">
        <v>30</v>
      </c>
      <c r="K4" s="32" t="s">
        <v>30</v>
      </c>
      <c r="L4" s="32" t="s">
        <v>42</v>
      </c>
      <c r="M4" s="32" t="s">
        <v>45</v>
      </c>
      <c r="N4" s="15">
        <v>1.0</v>
      </c>
      <c r="O4" s="15">
        <v>9.0</v>
      </c>
      <c r="P4" s="15">
        <f t="array" ref="P4">if(O4="","", if(O4=9999,9999,ROUNDUP(_xlfn.XLOOKUP(J4&amp;"-"&amp;E4&amp;"-"&amp;K4,SpecCV[ID],SpecCV[factor])*O4,0)))</f>
        <v>9</v>
      </c>
      <c r="Q4" s="15">
        <f t="array" ref="Q4">if(J4="Contact plate", _xlfn.XLOOKUP(J4&amp;"-"&amp;E4&amp;"-"&amp;K4,SpecCV[ID],SpecCV[Spec]),_xlfn.XLOOKUP(J4&amp;"-"&amp;E4&amp;"-"&amp;K4,SpecCV[ID],SpecCV[Spec]))</f>
        <v>50</v>
      </c>
      <c r="R4" s="15" t="str">
        <f t="array" ref="R4">if(J4="Contact plate", _xlfn.XLOOKUP(J4&amp;"-"&amp;E4&amp;"-"&amp;K4,SpecCV[ID],SpecCV[Unit]),_xlfn.XLOOKUP(J4&amp;"-"&amp;E4&amp;"-"&amp;K4,SpecCV[ID],SpecCV[Unit]))</f>
        <v>cfu</v>
      </c>
      <c r="S4" s="42"/>
      <c r="T4" s="42"/>
      <c r="U4" s="42"/>
      <c r="V4" s="8" t="b">
        <v>0</v>
      </c>
    </row>
    <row r="5" ht="22.5" customHeight="1">
      <c r="A5" s="8"/>
      <c r="B5" s="8" t="b">
        <v>0</v>
      </c>
      <c r="C5" s="8">
        <v>10.0</v>
      </c>
      <c r="E5" s="8" t="s">
        <v>28</v>
      </c>
      <c r="F5" s="15" t="s">
        <v>33</v>
      </c>
      <c r="G5" s="15" t="s">
        <v>75</v>
      </c>
      <c r="H5" s="15" t="s">
        <v>78</v>
      </c>
      <c r="I5" s="31">
        <v>45856.0</v>
      </c>
      <c r="J5" s="32" t="s">
        <v>30</v>
      </c>
      <c r="K5" s="32" t="s">
        <v>30</v>
      </c>
      <c r="L5" s="32" t="s">
        <v>42</v>
      </c>
      <c r="M5" s="32" t="s">
        <v>45</v>
      </c>
      <c r="N5" s="15">
        <v>1.0</v>
      </c>
      <c r="O5" s="15">
        <v>28.0</v>
      </c>
      <c r="P5" s="15">
        <f t="array" ref="P5">if(O5="","", if(O5=9999,9999,ROUNDUP(_xlfn.XLOOKUP(J5&amp;"-"&amp;E5&amp;"-"&amp;K5,SpecCV[ID],SpecCV[factor])*O5,0)))</f>
        <v>28</v>
      </c>
      <c r="Q5" s="15">
        <f t="array" ref="Q5">if(J5="Contact plate", _xlfn.XLOOKUP(J5&amp;"-"&amp;E5&amp;"-"&amp;K5,SpecCV[ID],SpecCV[Spec]),_xlfn.XLOOKUP(J5&amp;"-"&amp;E5&amp;"-"&amp;K5,SpecCV[ID],SpecCV[Spec]))</f>
        <v>50</v>
      </c>
      <c r="R5" s="15" t="str">
        <f t="array" ref="R5">if(J5="Contact plate", _xlfn.XLOOKUP(J5&amp;"-"&amp;E5&amp;"-"&amp;K5,SpecCV[ID],SpecCV[Unit]),_xlfn.XLOOKUP(J5&amp;"-"&amp;E5&amp;"-"&amp;K5,SpecCV[ID],SpecCV[Unit]))</f>
        <v>cfu</v>
      </c>
      <c r="S5" s="42"/>
      <c r="T5" s="42"/>
      <c r="U5" s="42"/>
      <c r="V5" s="8" t="b">
        <v>0</v>
      </c>
    </row>
    <row r="6" ht="22.5" customHeight="1">
      <c r="A6" s="8"/>
      <c r="B6" s="8" t="b">
        <v>0</v>
      </c>
      <c r="C6" s="8">
        <v>10.0</v>
      </c>
      <c r="E6" s="8" t="s">
        <v>28</v>
      </c>
      <c r="F6" s="15" t="s">
        <v>33</v>
      </c>
      <c r="G6" s="15" t="s">
        <v>75</v>
      </c>
      <c r="H6" s="15" t="s">
        <v>81</v>
      </c>
      <c r="I6" s="31">
        <v>45856.0</v>
      </c>
      <c r="J6" s="32" t="s">
        <v>30</v>
      </c>
      <c r="K6" s="32" t="s">
        <v>30</v>
      </c>
      <c r="L6" s="32" t="s">
        <v>42</v>
      </c>
      <c r="M6" s="32" t="s">
        <v>45</v>
      </c>
      <c r="N6" s="15">
        <v>1.0</v>
      </c>
      <c r="O6" s="15">
        <v>14.0</v>
      </c>
      <c r="P6" s="15">
        <f t="array" ref="P6">if(O6="","", if(O6=9999,9999,ROUNDUP(_xlfn.XLOOKUP(J6&amp;"-"&amp;E6&amp;"-"&amp;K6,SpecCV[ID],SpecCV[factor])*O6,0)))</f>
        <v>14</v>
      </c>
      <c r="Q6" s="15">
        <f t="array" ref="Q6">if(J6="Contact plate", _xlfn.XLOOKUP(J6&amp;"-"&amp;E6&amp;"-"&amp;K6,SpecCV[ID],SpecCV[Spec]),_xlfn.XLOOKUP(J6&amp;"-"&amp;E6&amp;"-"&amp;K6,SpecCV[ID],SpecCV[Spec]))</f>
        <v>50</v>
      </c>
      <c r="R6" s="15" t="str">
        <f t="array" ref="R6">if(J6="Contact plate", _xlfn.XLOOKUP(J6&amp;"-"&amp;E6&amp;"-"&amp;K6,SpecCV[ID],SpecCV[Unit]),_xlfn.XLOOKUP(J6&amp;"-"&amp;E6&amp;"-"&amp;K6,SpecCV[ID],SpecCV[Unit]))</f>
        <v>cfu</v>
      </c>
      <c r="S6" s="42"/>
      <c r="T6" s="42"/>
      <c r="U6" s="42"/>
      <c r="V6" s="8" t="b">
        <v>0</v>
      </c>
    </row>
    <row r="7" ht="22.5" customHeight="1">
      <c r="A7" s="8"/>
      <c r="B7" s="8" t="b">
        <v>0</v>
      </c>
      <c r="C7" s="8">
        <v>10.0</v>
      </c>
      <c r="E7" s="8" t="s">
        <v>28</v>
      </c>
      <c r="F7" s="15" t="s">
        <v>33</v>
      </c>
      <c r="G7" s="15" t="s">
        <v>86</v>
      </c>
      <c r="H7" s="15" t="s">
        <v>87</v>
      </c>
      <c r="I7" s="31">
        <v>45856.0</v>
      </c>
      <c r="J7" s="32" t="s">
        <v>30</v>
      </c>
      <c r="K7" s="32" t="s">
        <v>30</v>
      </c>
      <c r="L7" s="32" t="s">
        <v>42</v>
      </c>
      <c r="M7" s="32" t="s">
        <v>45</v>
      </c>
      <c r="N7" s="15">
        <v>1.0</v>
      </c>
      <c r="O7" s="15">
        <v>2.0</v>
      </c>
      <c r="P7" s="15">
        <f t="array" ref="P7">if(O7="","", if(O7=9999,9999,ROUNDUP(_xlfn.XLOOKUP(J7&amp;"-"&amp;E7&amp;"-"&amp;K7,SpecCV[ID],SpecCV[factor])*O7,0)))</f>
        <v>2</v>
      </c>
      <c r="Q7" s="15">
        <f t="array" ref="Q7">if(J7="Contact plate", _xlfn.XLOOKUP(J7&amp;"-"&amp;E7&amp;"-"&amp;K7,SpecCV[ID],SpecCV[Spec]),_xlfn.XLOOKUP(J7&amp;"-"&amp;E7&amp;"-"&amp;K7,SpecCV[ID],SpecCV[Spec]))</f>
        <v>50</v>
      </c>
      <c r="R7" s="15" t="str">
        <f t="array" ref="R7">if(J7="Contact plate", _xlfn.XLOOKUP(J7&amp;"-"&amp;E7&amp;"-"&amp;K7,SpecCV[ID],SpecCV[Unit]),_xlfn.XLOOKUP(J7&amp;"-"&amp;E7&amp;"-"&amp;K7,SpecCV[ID],SpecCV[Unit]))</f>
        <v>cfu</v>
      </c>
      <c r="S7" s="42"/>
      <c r="T7" s="42"/>
      <c r="U7" s="42"/>
      <c r="V7" s="8" t="b">
        <v>0</v>
      </c>
    </row>
    <row r="8" ht="22.5" customHeight="1">
      <c r="A8" s="8"/>
      <c r="B8" s="8" t="b">
        <v>0</v>
      </c>
      <c r="C8" s="8">
        <v>10.0</v>
      </c>
      <c r="E8" s="8" t="s">
        <v>28</v>
      </c>
      <c r="F8" s="15" t="s">
        <v>33</v>
      </c>
      <c r="G8" s="15" t="s">
        <v>86</v>
      </c>
      <c r="H8" s="15" t="s">
        <v>90</v>
      </c>
      <c r="I8" s="31">
        <v>45856.0</v>
      </c>
      <c r="J8" s="32" t="s">
        <v>30</v>
      </c>
      <c r="K8" s="32" t="s">
        <v>30</v>
      </c>
      <c r="L8" s="32" t="s">
        <v>42</v>
      </c>
      <c r="M8" s="32" t="s">
        <v>45</v>
      </c>
      <c r="N8" s="15">
        <v>1.0</v>
      </c>
      <c r="O8" s="15">
        <v>1.0</v>
      </c>
      <c r="P8" s="15">
        <f t="array" ref="P8">if(O8="","", if(O8=9999,9999,ROUNDUP(_xlfn.XLOOKUP(J8&amp;"-"&amp;E8&amp;"-"&amp;K8,SpecCV[ID],SpecCV[factor])*O8,0)))</f>
        <v>1</v>
      </c>
      <c r="Q8" s="15">
        <f t="array" ref="Q8">if(J8="Contact plate", _xlfn.XLOOKUP(J8&amp;"-"&amp;E8&amp;"-"&amp;K8,SpecCV[ID],SpecCV[Spec]),_xlfn.XLOOKUP(J8&amp;"-"&amp;E8&amp;"-"&amp;K8,SpecCV[ID],SpecCV[Spec]))</f>
        <v>50</v>
      </c>
      <c r="R8" s="15" t="str">
        <f t="array" ref="R8">if(J8="Contact plate", _xlfn.XLOOKUP(J8&amp;"-"&amp;E8&amp;"-"&amp;K8,SpecCV[ID],SpecCV[Unit]),_xlfn.XLOOKUP(J8&amp;"-"&amp;E8&amp;"-"&amp;K8,SpecCV[ID],SpecCV[Unit]))</f>
        <v>cfu</v>
      </c>
      <c r="S8" s="42"/>
      <c r="T8" s="42"/>
      <c r="U8" s="42"/>
      <c r="V8" s="8" t="b">
        <v>0</v>
      </c>
    </row>
    <row r="9" ht="22.5" customHeight="1">
      <c r="A9" s="8"/>
      <c r="B9" s="8" t="b">
        <v>0</v>
      </c>
      <c r="C9" s="8">
        <v>10.0</v>
      </c>
      <c r="E9" s="8" t="s">
        <v>28</v>
      </c>
      <c r="F9" s="15" t="s">
        <v>33</v>
      </c>
      <c r="G9" s="15" t="s">
        <v>95</v>
      </c>
      <c r="H9" s="15" t="s">
        <v>96</v>
      </c>
      <c r="I9" s="31">
        <v>45856.0</v>
      </c>
      <c r="J9" s="32" t="s">
        <v>30</v>
      </c>
      <c r="K9" s="32" t="s">
        <v>30</v>
      </c>
      <c r="L9" s="32" t="s">
        <v>42</v>
      </c>
      <c r="M9" s="32" t="s">
        <v>45</v>
      </c>
      <c r="N9" s="15">
        <v>1.0</v>
      </c>
      <c r="O9" s="15">
        <v>4.0</v>
      </c>
      <c r="P9" s="15">
        <f t="array" ref="P9">if(O9="","", if(O9=9999,9999,ROUNDUP(_xlfn.XLOOKUP(J9&amp;"-"&amp;E9&amp;"-"&amp;K9,SpecCV[ID],SpecCV[factor])*O9,0)))</f>
        <v>4</v>
      </c>
      <c r="Q9" s="15">
        <f t="array" ref="Q9">if(J9="Contact plate", _xlfn.XLOOKUP(J9&amp;"-"&amp;E9&amp;"-"&amp;K9,SpecCV[ID],SpecCV[Spec]),_xlfn.XLOOKUP(J9&amp;"-"&amp;E9&amp;"-"&amp;K9,SpecCV[ID],SpecCV[Spec]))</f>
        <v>50</v>
      </c>
      <c r="R9" s="15" t="str">
        <f t="array" ref="R9">if(J9="Contact plate", _xlfn.XLOOKUP(J9&amp;"-"&amp;E9&amp;"-"&amp;K9,SpecCV[ID],SpecCV[Unit]),_xlfn.XLOOKUP(J9&amp;"-"&amp;E9&amp;"-"&amp;K9,SpecCV[ID],SpecCV[Unit]))</f>
        <v>cfu</v>
      </c>
      <c r="S9" s="42"/>
      <c r="T9" s="42"/>
      <c r="U9" s="42"/>
      <c r="V9" s="8" t="b">
        <v>0</v>
      </c>
    </row>
    <row r="10" ht="22.5" customHeight="1">
      <c r="A10" s="8"/>
      <c r="B10" s="8" t="b">
        <v>0</v>
      </c>
      <c r="C10" s="8">
        <v>10.0</v>
      </c>
      <c r="E10" s="8" t="s">
        <v>28</v>
      </c>
      <c r="F10" s="15" t="s">
        <v>33</v>
      </c>
      <c r="G10" s="15" t="s">
        <v>95</v>
      </c>
      <c r="H10" s="15" t="s">
        <v>99</v>
      </c>
      <c r="I10" s="31">
        <v>45856.0</v>
      </c>
      <c r="J10" s="32" t="s">
        <v>30</v>
      </c>
      <c r="K10" s="32" t="s">
        <v>30</v>
      </c>
      <c r="L10" s="32" t="s">
        <v>42</v>
      </c>
      <c r="M10" s="32" t="s">
        <v>45</v>
      </c>
      <c r="N10" s="15">
        <v>1.0</v>
      </c>
      <c r="O10" s="15">
        <v>20.0</v>
      </c>
      <c r="P10" s="15">
        <f t="array" ref="P10">if(O10="","", if(O10=9999,9999,ROUNDUP(_xlfn.XLOOKUP(J10&amp;"-"&amp;E10&amp;"-"&amp;K10,SpecCV[ID],SpecCV[factor])*O10,0)))</f>
        <v>20</v>
      </c>
      <c r="Q10" s="15">
        <f t="array" ref="Q10">if(J10="Contact plate", _xlfn.XLOOKUP(J10&amp;"-"&amp;E10&amp;"-"&amp;K10,SpecCV[ID],SpecCV[Spec]),_xlfn.XLOOKUP(J10&amp;"-"&amp;E10&amp;"-"&amp;K10,SpecCV[ID],SpecCV[Spec]))</f>
        <v>50</v>
      </c>
      <c r="R10" s="15" t="str">
        <f t="array" ref="R10">if(J10="Contact plate", _xlfn.XLOOKUP(J10&amp;"-"&amp;E10&amp;"-"&amp;K10,SpecCV[ID],SpecCV[Unit]),_xlfn.XLOOKUP(J10&amp;"-"&amp;E10&amp;"-"&amp;K10,SpecCV[ID],SpecCV[Unit]))</f>
        <v>cfu</v>
      </c>
      <c r="S10" s="42"/>
      <c r="T10" s="42"/>
      <c r="U10" s="42"/>
      <c r="V10" s="8" t="b">
        <v>0</v>
      </c>
    </row>
    <row r="11" ht="22.5" customHeight="1">
      <c r="A11" s="8"/>
      <c r="B11" s="8" t="b">
        <v>0</v>
      </c>
      <c r="C11" s="8">
        <v>10.0</v>
      </c>
      <c r="E11" s="8" t="s">
        <v>28</v>
      </c>
      <c r="F11" s="15" t="s">
        <v>33</v>
      </c>
      <c r="G11" s="15" t="s">
        <v>102</v>
      </c>
      <c r="H11" s="15" t="s">
        <v>105</v>
      </c>
      <c r="I11" s="31">
        <v>45867.0</v>
      </c>
      <c r="J11" s="32" t="s">
        <v>30</v>
      </c>
      <c r="K11" s="32" t="s">
        <v>30</v>
      </c>
      <c r="L11" s="32" t="s">
        <v>42</v>
      </c>
      <c r="M11" s="32" t="s">
        <v>45</v>
      </c>
      <c r="N11" s="15">
        <v>1.0</v>
      </c>
      <c r="O11" s="15">
        <v>14.0</v>
      </c>
      <c r="P11" s="15">
        <f t="array" ref="P11">if(O11="","", if(O11=9999,9999,ROUNDUP(_xlfn.XLOOKUP(J11&amp;"-"&amp;E11&amp;"-"&amp;K11,SpecCV[ID],SpecCV[factor])*O11,0)))</f>
        <v>14</v>
      </c>
      <c r="Q11" s="15">
        <f t="array" ref="Q11">if(J11="Contact plate", _xlfn.XLOOKUP(J11&amp;"-"&amp;E11&amp;"-"&amp;K11,SpecCV[ID],SpecCV[Spec]),_xlfn.XLOOKUP(J11&amp;"-"&amp;E11&amp;"-"&amp;K11,SpecCV[ID],SpecCV[Spec]))</f>
        <v>50</v>
      </c>
      <c r="R11" s="15" t="str">
        <f t="array" ref="R11">if(J11="Contact plate", _xlfn.XLOOKUP(J11&amp;"-"&amp;E11&amp;"-"&amp;K11,SpecCV[ID],SpecCV[Unit]),_xlfn.XLOOKUP(J11&amp;"-"&amp;E11&amp;"-"&amp;K11,SpecCV[ID],SpecCV[Unit]))</f>
        <v>cfu</v>
      </c>
      <c r="S11" s="42"/>
      <c r="T11" s="42"/>
      <c r="U11" s="42"/>
      <c r="V11" s="8" t="b">
        <v>0</v>
      </c>
    </row>
    <row r="12" ht="22.5" customHeight="1">
      <c r="A12" s="8"/>
      <c r="B12" s="8" t="b">
        <v>0</v>
      </c>
      <c r="C12" s="8">
        <v>10.0</v>
      </c>
      <c r="E12" s="8" t="s">
        <v>28</v>
      </c>
      <c r="F12" s="15" t="s">
        <v>33</v>
      </c>
      <c r="G12" s="15" t="s">
        <v>102</v>
      </c>
      <c r="H12" s="15" t="s">
        <v>108</v>
      </c>
      <c r="I12" s="31">
        <v>45867.0</v>
      </c>
      <c r="J12" s="32" t="s">
        <v>30</v>
      </c>
      <c r="K12" s="32" t="s">
        <v>30</v>
      </c>
      <c r="L12" s="32" t="s">
        <v>42</v>
      </c>
      <c r="M12" s="32" t="s">
        <v>45</v>
      </c>
      <c r="N12" s="15">
        <v>1.0</v>
      </c>
      <c r="O12" s="15">
        <v>15.0</v>
      </c>
      <c r="P12" s="15">
        <f t="array" ref="P12">if(O12="","", if(O12=9999,9999,ROUNDUP(_xlfn.XLOOKUP(J12&amp;"-"&amp;E12&amp;"-"&amp;K12,SpecCV[ID],SpecCV[factor])*O12,0)))</f>
        <v>15</v>
      </c>
      <c r="Q12" s="15">
        <f t="array" ref="Q12">if(J12="Contact plate", _xlfn.XLOOKUP(J12&amp;"-"&amp;E12&amp;"-"&amp;K12,SpecCV[ID],SpecCV[Spec]),_xlfn.XLOOKUP(J12&amp;"-"&amp;E12&amp;"-"&amp;K12,SpecCV[ID],SpecCV[Spec]))</f>
        <v>50</v>
      </c>
      <c r="R12" s="15" t="str">
        <f t="array" ref="R12">if(J12="Contact plate", _xlfn.XLOOKUP(J12&amp;"-"&amp;E12&amp;"-"&amp;K12,SpecCV[ID],SpecCV[Unit]),_xlfn.XLOOKUP(J12&amp;"-"&amp;E12&amp;"-"&amp;K12,SpecCV[ID],SpecCV[Unit]))</f>
        <v>cfu</v>
      </c>
      <c r="S12" s="42"/>
      <c r="T12" s="42"/>
      <c r="U12" s="42"/>
      <c r="V12" s="8" t="b">
        <v>0</v>
      </c>
    </row>
    <row r="13" ht="22.5" customHeight="1">
      <c r="A13" s="8"/>
      <c r="B13" s="8" t="b">
        <v>0</v>
      </c>
      <c r="C13" s="8">
        <v>10.0</v>
      </c>
      <c r="E13" s="8" t="s">
        <v>28</v>
      </c>
      <c r="F13" s="15" t="s">
        <v>33</v>
      </c>
      <c r="G13" s="15" t="s">
        <v>102</v>
      </c>
      <c r="H13" s="15" t="s">
        <v>111</v>
      </c>
      <c r="I13" s="31">
        <v>45867.0</v>
      </c>
      <c r="J13" s="32" t="s">
        <v>30</v>
      </c>
      <c r="K13" s="32" t="s">
        <v>30</v>
      </c>
      <c r="L13" s="32" t="s">
        <v>42</v>
      </c>
      <c r="M13" s="32" t="s">
        <v>45</v>
      </c>
      <c r="N13" s="15">
        <v>1.0</v>
      </c>
      <c r="O13" s="15">
        <v>9999.0</v>
      </c>
      <c r="P13" s="15">
        <f t="array" ref="P13">if(O13="","", if(O13=9999,9999,ROUNDUP(_xlfn.XLOOKUP(J13&amp;"-"&amp;E13&amp;"-"&amp;K13,SpecCV[ID],SpecCV[factor])*O13,0)))</f>
        <v>9999</v>
      </c>
      <c r="Q13" s="15">
        <f t="array" ref="Q13">if(J13="Contact plate", _xlfn.XLOOKUP(J13&amp;"-"&amp;E13&amp;"-"&amp;K13,SpecCV[ID],SpecCV[Spec]),_xlfn.XLOOKUP(J13&amp;"-"&amp;E13&amp;"-"&amp;K13,SpecCV[ID],SpecCV[Spec]))</f>
        <v>50</v>
      </c>
      <c r="R13" s="15" t="str">
        <f t="array" ref="R13">if(J13="Contact plate", _xlfn.XLOOKUP(J13&amp;"-"&amp;E13&amp;"-"&amp;K13,SpecCV[ID],SpecCV[Unit]),_xlfn.XLOOKUP(J13&amp;"-"&amp;E13&amp;"-"&amp;K13,SpecCV[ID],SpecCV[Unit]))</f>
        <v>cfu</v>
      </c>
      <c r="S13" s="42"/>
      <c r="T13" s="42"/>
      <c r="U13" s="42"/>
      <c r="V13" s="8" t="b">
        <v>0</v>
      </c>
    </row>
    <row r="14" ht="22.5" customHeight="1">
      <c r="A14" s="8"/>
      <c r="B14" s="8" t="b">
        <v>0</v>
      </c>
      <c r="C14" s="8">
        <v>10.0</v>
      </c>
      <c r="E14" s="8" t="s">
        <v>28</v>
      </c>
      <c r="F14" s="15" t="s">
        <v>33</v>
      </c>
      <c r="G14" s="15" t="s">
        <v>102</v>
      </c>
      <c r="H14" s="15" t="s">
        <v>116</v>
      </c>
      <c r="I14" s="31">
        <v>45867.0</v>
      </c>
      <c r="J14" s="32" t="s">
        <v>30</v>
      </c>
      <c r="K14" s="32" t="s">
        <v>30</v>
      </c>
      <c r="L14" s="32" t="s">
        <v>42</v>
      </c>
      <c r="M14" s="32" t="s">
        <v>45</v>
      </c>
      <c r="N14" s="15">
        <v>1.0</v>
      </c>
      <c r="O14" s="15">
        <v>9999.0</v>
      </c>
      <c r="P14" s="15">
        <f t="array" ref="P14">if(O14="","", if(O14=9999,9999,ROUNDUP(_xlfn.XLOOKUP(J14&amp;"-"&amp;E14&amp;"-"&amp;K14,SpecCV[ID],SpecCV[factor])*O14,0)))</f>
        <v>9999</v>
      </c>
      <c r="Q14" s="15">
        <f t="array" ref="Q14">if(J14="Contact plate", _xlfn.XLOOKUP(J14&amp;"-"&amp;E14&amp;"-"&amp;K14,SpecCV[ID],SpecCV[Spec]),_xlfn.XLOOKUP(J14&amp;"-"&amp;E14&amp;"-"&amp;K14,SpecCV[ID],SpecCV[Spec]))</f>
        <v>50</v>
      </c>
      <c r="R14" s="15" t="str">
        <f t="array" ref="R14">if(J14="Contact plate", _xlfn.XLOOKUP(J14&amp;"-"&amp;E14&amp;"-"&amp;K14,SpecCV[ID],SpecCV[Unit]),_xlfn.XLOOKUP(J14&amp;"-"&amp;E14&amp;"-"&amp;K14,SpecCV[ID],SpecCV[Unit]))</f>
        <v>cfu</v>
      </c>
      <c r="S14" s="42"/>
      <c r="T14" s="42"/>
      <c r="U14" s="42"/>
      <c r="V14" s="8" t="b">
        <v>0</v>
      </c>
    </row>
    <row r="15" ht="22.5" customHeight="1">
      <c r="A15" s="8"/>
      <c r="B15" s="8" t="b">
        <v>0</v>
      </c>
      <c r="C15" s="8">
        <v>10.0</v>
      </c>
      <c r="E15" s="8" t="s">
        <v>28</v>
      </c>
      <c r="F15" s="15" t="s">
        <v>33</v>
      </c>
      <c r="G15" s="15" t="s">
        <v>119</v>
      </c>
      <c r="H15" s="15" t="s">
        <v>120</v>
      </c>
      <c r="I15" s="31">
        <v>45867.0</v>
      </c>
      <c r="J15" s="32" t="s">
        <v>30</v>
      </c>
      <c r="K15" s="32" t="s">
        <v>30</v>
      </c>
      <c r="L15" s="32" t="s">
        <v>42</v>
      </c>
      <c r="M15" s="32" t="s">
        <v>45</v>
      </c>
      <c r="N15" s="15">
        <v>1.0</v>
      </c>
      <c r="O15" s="15">
        <v>0.0</v>
      </c>
      <c r="P15" s="15">
        <f t="array" ref="P15">if(O15="","", if(O15=9999,9999,ROUNDUP(_xlfn.XLOOKUP(J15&amp;"-"&amp;E15&amp;"-"&amp;K15,SpecCV[ID],SpecCV[factor])*O15,0)))</f>
        <v>0</v>
      </c>
      <c r="Q15" s="15">
        <f t="array" ref="Q15">if(J15="Contact plate", _xlfn.XLOOKUP(J15&amp;"-"&amp;E15&amp;"-"&amp;K15,SpecCV[ID],SpecCV[Spec]),_xlfn.XLOOKUP(J15&amp;"-"&amp;E15&amp;"-"&amp;K15,SpecCV[ID],SpecCV[Spec]))</f>
        <v>50</v>
      </c>
      <c r="R15" s="15" t="str">
        <f t="array" ref="R15">if(J15="Contact plate", _xlfn.XLOOKUP(J15&amp;"-"&amp;E15&amp;"-"&amp;K15,SpecCV[ID],SpecCV[Unit]),_xlfn.XLOOKUP(J15&amp;"-"&amp;E15&amp;"-"&amp;K15,SpecCV[ID],SpecCV[Unit]))</f>
        <v>cfu</v>
      </c>
      <c r="S15" s="42"/>
      <c r="T15" s="42"/>
      <c r="U15" s="42"/>
      <c r="V15" s="8" t="b">
        <v>0</v>
      </c>
    </row>
    <row r="16" ht="22.5" customHeight="1">
      <c r="A16" s="8"/>
      <c r="B16" s="8" t="b">
        <v>0</v>
      </c>
      <c r="C16" s="8">
        <v>10.0</v>
      </c>
      <c r="E16" s="8" t="s">
        <v>28</v>
      </c>
      <c r="F16" s="15" t="s">
        <v>33</v>
      </c>
      <c r="G16" s="15" t="s">
        <v>119</v>
      </c>
      <c r="H16" s="15" t="s">
        <v>123</v>
      </c>
      <c r="I16" s="31">
        <v>45867.0</v>
      </c>
      <c r="J16" s="32" t="s">
        <v>30</v>
      </c>
      <c r="K16" s="32" t="s">
        <v>30</v>
      </c>
      <c r="L16" s="32" t="s">
        <v>42</v>
      </c>
      <c r="M16" s="32" t="s">
        <v>45</v>
      </c>
      <c r="N16" s="15">
        <v>1.0</v>
      </c>
      <c r="O16" s="15">
        <v>0.0</v>
      </c>
      <c r="P16" s="15">
        <f t="array" ref="P16">if(O16="","", if(O16=9999,9999,ROUNDUP(_xlfn.XLOOKUP(J16&amp;"-"&amp;E16&amp;"-"&amp;K16,SpecCV[ID],SpecCV[factor])*O16,0)))</f>
        <v>0</v>
      </c>
      <c r="Q16" s="15">
        <f t="array" ref="Q16">if(J16="Contact plate", _xlfn.XLOOKUP(J16&amp;"-"&amp;E16&amp;"-"&amp;K16,SpecCV[ID],SpecCV[Spec]),_xlfn.XLOOKUP(J16&amp;"-"&amp;E16&amp;"-"&amp;K16,SpecCV[ID],SpecCV[Spec]))</f>
        <v>50</v>
      </c>
      <c r="R16" s="15" t="str">
        <f t="array" ref="R16">if(J16="Contact plate", _xlfn.XLOOKUP(J16&amp;"-"&amp;E16&amp;"-"&amp;K16,SpecCV[ID],SpecCV[Unit]),_xlfn.XLOOKUP(J16&amp;"-"&amp;E16&amp;"-"&amp;K16,SpecCV[ID],SpecCV[Unit]))</f>
        <v>cfu</v>
      </c>
      <c r="S16" s="42"/>
      <c r="T16" s="42"/>
      <c r="U16" s="42"/>
      <c r="V16" s="8" t="b">
        <v>0</v>
      </c>
    </row>
    <row r="17" ht="22.5" customHeight="1">
      <c r="A17" s="8"/>
      <c r="B17" s="8" t="b">
        <v>0</v>
      </c>
      <c r="C17" s="8">
        <v>10.0</v>
      </c>
      <c r="E17" s="8" t="s">
        <v>28</v>
      </c>
      <c r="F17" s="15" t="s">
        <v>33</v>
      </c>
      <c r="G17" s="15" t="s">
        <v>127</v>
      </c>
      <c r="H17" s="15" t="s">
        <v>129</v>
      </c>
      <c r="I17" s="31">
        <v>45867.0</v>
      </c>
      <c r="J17" s="32" t="s">
        <v>30</v>
      </c>
      <c r="K17" s="32" t="s">
        <v>30</v>
      </c>
      <c r="L17" s="32" t="s">
        <v>42</v>
      </c>
      <c r="M17" s="32" t="s">
        <v>45</v>
      </c>
      <c r="N17" s="15">
        <v>1.0</v>
      </c>
      <c r="O17" s="15">
        <v>4.0</v>
      </c>
      <c r="P17" s="15">
        <f t="array" ref="P17">if(O17="","", if(O17=9999,9999,ROUNDUP(_xlfn.XLOOKUP(J17&amp;"-"&amp;E17&amp;"-"&amp;K17,SpecCV[ID],SpecCV[factor])*O17,0)))</f>
        <v>4</v>
      </c>
      <c r="Q17" s="15">
        <f t="array" ref="Q17">if(J17="Contact plate", _xlfn.XLOOKUP(J17&amp;"-"&amp;E17&amp;"-"&amp;K17,SpecCV[ID],SpecCV[Spec]),_xlfn.XLOOKUP(J17&amp;"-"&amp;E17&amp;"-"&amp;K17,SpecCV[ID],SpecCV[Spec]))</f>
        <v>50</v>
      </c>
      <c r="R17" s="15" t="str">
        <f t="array" ref="R17">if(J17="Contact plate", _xlfn.XLOOKUP(J17&amp;"-"&amp;E17&amp;"-"&amp;K17,SpecCV[ID],SpecCV[Unit]),_xlfn.XLOOKUP(J17&amp;"-"&amp;E17&amp;"-"&amp;K17,SpecCV[ID],SpecCV[Unit]))</f>
        <v>cfu</v>
      </c>
      <c r="S17" s="42"/>
      <c r="T17" s="42"/>
      <c r="U17" s="42"/>
      <c r="V17" s="8" t="b">
        <v>0</v>
      </c>
    </row>
    <row r="18" ht="22.5" customHeight="1">
      <c r="A18" s="8"/>
      <c r="B18" s="8" t="b">
        <v>0</v>
      </c>
      <c r="C18" s="8">
        <v>10.0</v>
      </c>
      <c r="E18" s="8" t="s">
        <v>28</v>
      </c>
      <c r="F18" s="15" t="s">
        <v>33</v>
      </c>
      <c r="G18" s="15" t="s">
        <v>127</v>
      </c>
      <c r="H18" s="15" t="s">
        <v>132</v>
      </c>
      <c r="I18" s="31">
        <v>45867.0</v>
      </c>
      <c r="J18" s="32" t="s">
        <v>30</v>
      </c>
      <c r="K18" s="32" t="s">
        <v>30</v>
      </c>
      <c r="L18" s="32" t="s">
        <v>42</v>
      </c>
      <c r="M18" s="32" t="s">
        <v>45</v>
      </c>
      <c r="N18" s="15">
        <v>1.0</v>
      </c>
      <c r="O18" s="15">
        <v>6.0</v>
      </c>
      <c r="P18" s="15">
        <f t="array" ref="P18">if(O18="","", if(O18=9999,9999,ROUNDUP(_xlfn.XLOOKUP(J18&amp;"-"&amp;E18&amp;"-"&amp;K18,SpecCV[ID],SpecCV[factor])*O18,0)))</f>
        <v>6</v>
      </c>
      <c r="Q18" s="15">
        <f t="array" ref="Q18">if(J18="Contact plate", _xlfn.XLOOKUP(J18&amp;"-"&amp;E18&amp;"-"&amp;K18,SpecCV[ID],SpecCV[Spec]),_xlfn.XLOOKUP(J18&amp;"-"&amp;E18&amp;"-"&amp;K18,SpecCV[ID],SpecCV[Spec]))</f>
        <v>50</v>
      </c>
      <c r="R18" s="15" t="str">
        <f t="array" ref="R18">if(J18="Contact plate", _xlfn.XLOOKUP(J18&amp;"-"&amp;E18&amp;"-"&amp;K18,SpecCV[ID],SpecCV[Unit]),_xlfn.XLOOKUP(J18&amp;"-"&amp;E18&amp;"-"&amp;K18,SpecCV[ID],SpecCV[Unit]))</f>
        <v>cfu</v>
      </c>
      <c r="S18" s="42"/>
      <c r="T18" s="42"/>
      <c r="U18" s="42"/>
      <c r="V18" s="8" t="b">
        <v>0</v>
      </c>
    </row>
    <row r="19" ht="22.5" customHeight="1">
      <c r="A19" s="8"/>
      <c r="B19" s="8" t="b">
        <v>0</v>
      </c>
      <c r="C19" s="8">
        <v>10.0</v>
      </c>
      <c r="D19" s="28"/>
      <c r="E19" s="8" t="s">
        <v>28</v>
      </c>
      <c r="F19" s="15" t="s">
        <v>135</v>
      </c>
      <c r="G19" s="15" t="s">
        <v>38</v>
      </c>
      <c r="H19" s="15" t="s">
        <v>138</v>
      </c>
      <c r="I19" s="31">
        <v>45873.0</v>
      </c>
      <c r="J19" s="32" t="s">
        <v>30</v>
      </c>
      <c r="K19" s="32" t="s">
        <v>30</v>
      </c>
      <c r="L19" s="32" t="s">
        <v>42</v>
      </c>
      <c r="M19" s="32" t="s">
        <v>45</v>
      </c>
      <c r="N19" s="15">
        <v>1.0</v>
      </c>
      <c r="O19" s="15">
        <v>0.0</v>
      </c>
      <c r="P19" s="15">
        <f t="array" ref="P19">if(O19="","", if(O19=9999,9999,ROUNDUP(_xlfn.XLOOKUP(J19&amp;"-"&amp;E19&amp;"-"&amp;K19,SpecCV[ID],SpecCV[factor])*O19,0)))</f>
        <v>0</v>
      </c>
      <c r="Q19" s="15">
        <f t="array" ref="Q19">if(J19="Contact plate", _xlfn.XLOOKUP(J19&amp;"-"&amp;E19&amp;"-"&amp;K19,SpecCV[ID],SpecCV[Spec]),_xlfn.XLOOKUP(J19&amp;"-"&amp;E19&amp;"-"&amp;K19,SpecCV[ID],SpecCV[Spec]))</f>
        <v>50</v>
      </c>
      <c r="R19" s="15" t="str">
        <f t="array" ref="R19">if(J19="Contact plate", _xlfn.XLOOKUP(J19&amp;"-"&amp;E19&amp;"-"&amp;K19,SpecCV[ID],SpecCV[Unit]),_xlfn.XLOOKUP(J19&amp;"-"&amp;E19&amp;"-"&amp;K19,SpecCV[ID],SpecCV[Unit]))</f>
        <v>cfu</v>
      </c>
      <c r="S19" s="42"/>
      <c r="T19" s="42"/>
      <c r="U19" s="42"/>
      <c r="V19" s="8" t="b">
        <v>0</v>
      </c>
    </row>
    <row r="20" ht="22.5" customHeight="1">
      <c r="A20" s="8"/>
      <c r="B20" s="8" t="b">
        <v>0</v>
      </c>
      <c r="C20" s="8">
        <v>10.0</v>
      </c>
      <c r="D20" s="28"/>
      <c r="E20" s="8" t="s">
        <v>28</v>
      </c>
      <c r="F20" s="15" t="s">
        <v>135</v>
      </c>
      <c r="G20" s="15" t="s">
        <v>38</v>
      </c>
      <c r="H20" s="15" t="s">
        <v>55</v>
      </c>
      <c r="I20" s="31">
        <v>45873.0</v>
      </c>
      <c r="J20" s="32" t="s">
        <v>30</v>
      </c>
      <c r="K20" s="32" t="s">
        <v>30</v>
      </c>
      <c r="L20" s="32" t="s">
        <v>42</v>
      </c>
      <c r="M20" s="32" t="s">
        <v>45</v>
      </c>
      <c r="N20" s="15">
        <v>1.0</v>
      </c>
      <c r="O20" s="15">
        <v>0.0</v>
      </c>
      <c r="P20" s="15">
        <f t="array" ref="P20">if(O20="","", if(O20=9999,9999,ROUNDUP(_xlfn.XLOOKUP(J20&amp;"-"&amp;E20&amp;"-"&amp;K20,SpecCV[ID],SpecCV[factor])*O20,0)))</f>
        <v>0</v>
      </c>
      <c r="Q20" s="15">
        <f t="array" ref="Q20">if(J20="Contact plate", _xlfn.XLOOKUP(J20&amp;"-"&amp;E20&amp;"-"&amp;K20,SpecCV[ID],SpecCV[Spec]),_xlfn.XLOOKUP(J20&amp;"-"&amp;E20&amp;"-"&amp;K20,SpecCV[ID],SpecCV[Spec]))</f>
        <v>50</v>
      </c>
      <c r="R20" s="15" t="str">
        <f t="array" ref="R20">if(J20="Contact plate", _xlfn.XLOOKUP(J20&amp;"-"&amp;E20&amp;"-"&amp;K20,SpecCV[ID],SpecCV[Unit]),_xlfn.XLOOKUP(J20&amp;"-"&amp;E20&amp;"-"&amp;K20,SpecCV[ID],SpecCV[Unit]))</f>
        <v>cfu</v>
      </c>
      <c r="S20" s="42"/>
      <c r="T20" s="42"/>
      <c r="U20" s="42"/>
      <c r="V20" s="8" t="b">
        <v>0</v>
      </c>
    </row>
    <row r="21" ht="22.5" customHeight="1">
      <c r="A21" s="8"/>
      <c r="B21" s="8" t="b">
        <v>0</v>
      </c>
      <c r="C21" s="8">
        <v>10.0</v>
      </c>
      <c r="D21" s="28"/>
      <c r="E21" s="8" t="s">
        <v>28</v>
      </c>
      <c r="F21" s="15" t="s">
        <v>135</v>
      </c>
      <c r="G21" s="15" t="s">
        <v>38</v>
      </c>
      <c r="H21" s="15" t="s">
        <v>72</v>
      </c>
      <c r="I21" s="31">
        <v>45873.0</v>
      </c>
      <c r="J21" s="32" t="s">
        <v>30</v>
      </c>
      <c r="K21" s="32" t="s">
        <v>30</v>
      </c>
      <c r="L21" s="32" t="s">
        <v>42</v>
      </c>
      <c r="M21" s="32" t="s">
        <v>45</v>
      </c>
      <c r="N21" s="15">
        <v>1.0</v>
      </c>
      <c r="O21" s="15">
        <v>0.0</v>
      </c>
      <c r="P21" s="15">
        <f t="array" ref="P21">if(O21="","", if(O21=9999,9999,ROUNDUP(_xlfn.XLOOKUP(J21&amp;"-"&amp;E21&amp;"-"&amp;K21,SpecCV[ID],SpecCV[factor])*O21,0)))</f>
        <v>0</v>
      </c>
      <c r="Q21" s="15">
        <f t="array" ref="Q21">if(J21="Contact plate", _xlfn.XLOOKUP(J21&amp;"-"&amp;E21&amp;"-"&amp;K21,SpecCV[ID],SpecCV[Spec]),_xlfn.XLOOKUP(J21&amp;"-"&amp;E21&amp;"-"&amp;K21,SpecCV[ID],SpecCV[Spec]))</f>
        <v>50</v>
      </c>
      <c r="R21" s="15" t="str">
        <f t="array" ref="R21">if(J21="Contact plate", _xlfn.XLOOKUP(J21&amp;"-"&amp;E21&amp;"-"&amp;K21,SpecCV[ID],SpecCV[Unit]),_xlfn.XLOOKUP(J21&amp;"-"&amp;E21&amp;"-"&amp;K21,SpecCV[ID],SpecCV[Unit]))</f>
        <v>cfu</v>
      </c>
      <c r="S21" s="42"/>
      <c r="T21" s="42"/>
      <c r="U21" s="42"/>
      <c r="V21" s="8" t="b">
        <v>0</v>
      </c>
    </row>
    <row r="22" ht="22.5" customHeight="1">
      <c r="A22" s="8"/>
      <c r="B22" s="8" t="b">
        <v>0</v>
      </c>
      <c r="C22" s="8">
        <v>10.0</v>
      </c>
      <c r="D22" s="28"/>
      <c r="E22" s="8" t="s">
        <v>28</v>
      </c>
      <c r="F22" s="15" t="s">
        <v>135</v>
      </c>
      <c r="G22" s="15" t="s">
        <v>75</v>
      </c>
      <c r="H22" s="15" t="s">
        <v>146</v>
      </c>
      <c r="I22" s="31">
        <v>45873.0</v>
      </c>
      <c r="J22" s="32" t="s">
        <v>30</v>
      </c>
      <c r="K22" s="32" t="s">
        <v>30</v>
      </c>
      <c r="L22" s="32" t="s">
        <v>42</v>
      </c>
      <c r="M22" s="32" t="s">
        <v>45</v>
      </c>
      <c r="N22" s="15">
        <v>1.0</v>
      </c>
      <c r="O22" s="15">
        <v>0.0</v>
      </c>
      <c r="P22" s="15">
        <f t="array" ref="P22">if(O22="","", if(O22=9999,9999,ROUNDUP(_xlfn.XLOOKUP(J22&amp;"-"&amp;E22&amp;"-"&amp;K22,SpecCV[ID],SpecCV[factor])*O22,0)))</f>
        <v>0</v>
      </c>
      <c r="Q22" s="15">
        <f t="array" ref="Q22">if(J22="Contact plate", _xlfn.XLOOKUP(J22&amp;"-"&amp;E22&amp;"-"&amp;K22,SpecCV[ID],SpecCV[Spec]),_xlfn.XLOOKUP(J22&amp;"-"&amp;E22&amp;"-"&amp;K22,SpecCV[ID],SpecCV[Spec]))</f>
        <v>50</v>
      </c>
      <c r="R22" s="15" t="str">
        <f t="array" ref="R22">if(J22="Contact plate", _xlfn.XLOOKUP(J22&amp;"-"&amp;E22&amp;"-"&amp;K22,SpecCV[ID],SpecCV[Unit]),_xlfn.XLOOKUP(J22&amp;"-"&amp;E22&amp;"-"&amp;K22,SpecCV[ID],SpecCV[Unit]))</f>
        <v>cfu</v>
      </c>
      <c r="S22" s="42"/>
      <c r="T22" s="42"/>
      <c r="U22" s="42"/>
      <c r="V22" s="8" t="b">
        <v>0</v>
      </c>
    </row>
    <row r="23" ht="22.5" customHeight="1">
      <c r="A23" s="8"/>
      <c r="B23" s="8" t="b">
        <v>0</v>
      </c>
      <c r="C23" s="8">
        <v>10.0</v>
      </c>
      <c r="D23" s="28"/>
      <c r="E23" s="8" t="s">
        <v>28</v>
      </c>
      <c r="F23" s="15" t="s">
        <v>135</v>
      </c>
      <c r="G23" s="15" t="s">
        <v>75</v>
      </c>
      <c r="H23" s="15" t="s">
        <v>81</v>
      </c>
      <c r="I23" s="31">
        <v>45873.0</v>
      </c>
      <c r="J23" s="32" t="s">
        <v>30</v>
      </c>
      <c r="K23" s="32" t="s">
        <v>30</v>
      </c>
      <c r="L23" s="32" t="s">
        <v>42</v>
      </c>
      <c r="M23" s="32" t="s">
        <v>45</v>
      </c>
      <c r="N23" s="15">
        <v>1.0</v>
      </c>
      <c r="O23" s="15">
        <v>45.0</v>
      </c>
      <c r="P23" s="15">
        <f t="array" ref="P23">if(O23="","", if(O23=9999,9999,ROUNDUP(_xlfn.XLOOKUP(J23&amp;"-"&amp;E23&amp;"-"&amp;K23,SpecCV[ID],SpecCV[factor])*O23,0)))</f>
        <v>45</v>
      </c>
      <c r="Q23" s="15">
        <f t="array" ref="Q23">if(J23="Contact plate", _xlfn.XLOOKUP(J23&amp;"-"&amp;E23&amp;"-"&amp;K23,SpecCV[ID],SpecCV[Spec]),_xlfn.XLOOKUP(J23&amp;"-"&amp;E23&amp;"-"&amp;K23,SpecCV[ID],SpecCV[Spec]))</f>
        <v>50</v>
      </c>
      <c r="R23" s="15" t="str">
        <f t="array" ref="R23">if(J23="Contact plate", _xlfn.XLOOKUP(J23&amp;"-"&amp;E23&amp;"-"&amp;K23,SpecCV[ID],SpecCV[Unit]),_xlfn.XLOOKUP(J23&amp;"-"&amp;E23&amp;"-"&amp;K23,SpecCV[ID],SpecCV[Unit]))</f>
        <v>cfu</v>
      </c>
      <c r="S23" s="42"/>
      <c r="T23" s="42"/>
      <c r="U23" s="42"/>
      <c r="V23" s="8" t="b">
        <v>0</v>
      </c>
    </row>
    <row r="24" ht="22.5" customHeight="1">
      <c r="A24" s="8"/>
      <c r="B24" s="8" t="b">
        <v>0</v>
      </c>
      <c r="C24" s="8">
        <v>10.0</v>
      </c>
      <c r="D24" s="28"/>
      <c r="E24" s="8" t="s">
        <v>28</v>
      </c>
      <c r="F24" s="15" t="s">
        <v>135</v>
      </c>
      <c r="G24" s="15" t="s">
        <v>86</v>
      </c>
      <c r="H24" s="15" t="s">
        <v>87</v>
      </c>
      <c r="I24" s="31">
        <v>45873.0</v>
      </c>
      <c r="J24" s="32" t="s">
        <v>30</v>
      </c>
      <c r="K24" s="32" t="s">
        <v>30</v>
      </c>
      <c r="L24" s="32" t="s">
        <v>42</v>
      </c>
      <c r="M24" s="32" t="s">
        <v>45</v>
      </c>
      <c r="N24" s="15">
        <v>1.0</v>
      </c>
      <c r="O24" s="15">
        <v>0.0</v>
      </c>
      <c r="P24" s="15">
        <f t="array" ref="P24">if(O24="","", if(O24=9999,9999,ROUNDUP(_xlfn.XLOOKUP(J24&amp;"-"&amp;E24&amp;"-"&amp;K24,SpecCV[ID],SpecCV[factor])*O24,0)))</f>
        <v>0</v>
      </c>
      <c r="Q24" s="15">
        <f t="array" ref="Q24">if(J24="Contact plate", _xlfn.XLOOKUP(J24&amp;"-"&amp;E24&amp;"-"&amp;K24,SpecCV[ID],SpecCV[Spec]),_xlfn.XLOOKUP(J24&amp;"-"&amp;E24&amp;"-"&amp;K24,SpecCV[ID],SpecCV[Spec]))</f>
        <v>50</v>
      </c>
      <c r="R24" s="15" t="str">
        <f t="array" ref="R24">if(J24="Contact plate", _xlfn.XLOOKUP(J24&amp;"-"&amp;E24&amp;"-"&amp;K24,SpecCV[ID],SpecCV[Unit]),_xlfn.XLOOKUP(J24&amp;"-"&amp;E24&amp;"-"&amp;K24,SpecCV[ID],SpecCV[Unit]))</f>
        <v>cfu</v>
      </c>
      <c r="S24" s="42"/>
      <c r="T24" s="42"/>
      <c r="U24" s="42"/>
      <c r="V24" s="8" t="b">
        <v>0</v>
      </c>
    </row>
    <row r="25" ht="22.5" customHeight="1">
      <c r="A25" s="8"/>
      <c r="B25" s="8" t="b">
        <v>0</v>
      </c>
      <c r="C25" s="8">
        <v>10.0</v>
      </c>
      <c r="D25" s="28"/>
      <c r="E25" s="8" t="s">
        <v>28</v>
      </c>
      <c r="F25" s="15" t="s">
        <v>135</v>
      </c>
      <c r="G25" s="15" t="s">
        <v>86</v>
      </c>
      <c r="H25" s="15" t="s">
        <v>90</v>
      </c>
      <c r="I25" s="31">
        <v>45873.0</v>
      </c>
      <c r="J25" s="32" t="s">
        <v>30</v>
      </c>
      <c r="K25" s="32" t="s">
        <v>30</v>
      </c>
      <c r="L25" s="32" t="s">
        <v>42</v>
      </c>
      <c r="M25" s="32" t="s">
        <v>45</v>
      </c>
      <c r="N25" s="15">
        <v>1.0</v>
      </c>
      <c r="O25" s="15">
        <v>0.0</v>
      </c>
      <c r="P25" s="15">
        <f t="array" ref="P25">if(O25="","", if(O25=9999,9999,ROUNDUP(_xlfn.XLOOKUP(J25&amp;"-"&amp;E25&amp;"-"&amp;K25,SpecCV[ID],SpecCV[factor])*O25,0)))</f>
        <v>0</v>
      </c>
      <c r="Q25" s="15">
        <f t="array" ref="Q25">if(J25="Contact plate", _xlfn.XLOOKUP(J25&amp;"-"&amp;E25&amp;"-"&amp;K25,SpecCV[ID],SpecCV[Spec]),_xlfn.XLOOKUP(J25&amp;"-"&amp;E25&amp;"-"&amp;K25,SpecCV[ID],SpecCV[Spec]))</f>
        <v>50</v>
      </c>
      <c r="R25" s="15" t="str">
        <f t="array" ref="R25">if(J25="Contact plate", _xlfn.XLOOKUP(J25&amp;"-"&amp;E25&amp;"-"&amp;K25,SpecCV[ID],SpecCV[Unit]),_xlfn.XLOOKUP(J25&amp;"-"&amp;E25&amp;"-"&amp;K25,SpecCV[ID],SpecCV[Unit]))</f>
        <v>cfu</v>
      </c>
      <c r="S25" s="42"/>
      <c r="T25" s="42"/>
      <c r="U25" s="42"/>
      <c r="V25" s="8" t="b">
        <v>0</v>
      </c>
    </row>
    <row r="26" ht="22.5" customHeight="1">
      <c r="A26" s="8"/>
      <c r="B26" s="8" t="b">
        <v>0</v>
      </c>
      <c r="C26" s="8">
        <v>10.0</v>
      </c>
      <c r="D26" s="28"/>
      <c r="E26" s="8" t="s">
        <v>28</v>
      </c>
      <c r="F26" s="15" t="s">
        <v>135</v>
      </c>
      <c r="G26" s="15" t="s">
        <v>95</v>
      </c>
      <c r="H26" s="15" t="s">
        <v>96</v>
      </c>
      <c r="I26" s="31">
        <v>45873.0</v>
      </c>
      <c r="J26" s="32" t="s">
        <v>30</v>
      </c>
      <c r="K26" s="32" t="s">
        <v>30</v>
      </c>
      <c r="L26" s="32" t="s">
        <v>42</v>
      </c>
      <c r="M26" s="32" t="s">
        <v>45</v>
      </c>
      <c r="N26" s="15">
        <v>1.0</v>
      </c>
      <c r="O26" s="15">
        <v>5.0</v>
      </c>
      <c r="P26" s="15">
        <f t="array" ref="P26">if(O26="","", if(O26=9999,9999,ROUNDUP(_xlfn.XLOOKUP(J26&amp;"-"&amp;E26&amp;"-"&amp;K26,SpecCV[ID],SpecCV[factor])*O26,0)))</f>
        <v>5</v>
      </c>
      <c r="Q26" s="15">
        <f t="array" ref="Q26">if(J26="Contact plate", _xlfn.XLOOKUP(J26&amp;"-"&amp;E26&amp;"-"&amp;K26,SpecCV[ID],SpecCV[Spec]),_xlfn.XLOOKUP(J26&amp;"-"&amp;E26&amp;"-"&amp;K26,SpecCV[ID],SpecCV[Spec]))</f>
        <v>50</v>
      </c>
      <c r="R26" s="15" t="str">
        <f t="array" ref="R26">if(J26="Contact plate", _xlfn.XLOOKUP(J26&amp;"-"&amp;E26&amp;"-"&amp;K26,SpecCV[ID],SpecCV[Unit]),_xlfn.XLOOKUP(J26&amp;"-"&amp;E26&amp;"-"&amp;K26,SpecCV[ID],SpecCV[Unit]))</f>
        <v>cfu</v>
      </c>
      <c r="S26" s="42"/>
      <c r="T26" s="42"/>
      <c r="U26" s="42"/>
      <c r="V26" s="8" t="b">
        <v>0</v>
      </c>
    </row>
    <row r="27" ht="22.5" customHeight="1">
      <c r="A27" s="8"/>
      <c r="B27" s="8" t="b">
        <v>0</v>
      </c>
      <c r="C27" s="8">
        <v>10.0</v>
      </c>
      <c r="D27" s="28"/>
      <c r="E27" s="8" t="s">
        <v>28</v>
      </c>
      <c r="F27" s="15" t="s">
        <v>135</v>
      </c>
      <c r="G27" s="15" t="s">
        <v>95</v>
      </c>
      <c r="H27" s="15" t="s">
        <v>99</v>
      </c>
      <c r="I27" s="31">
        <v>45873.0</v>
      </c>
      <c r="J27" s="32" t="s">
        <v>30</v>
      </c>
      <c r="K27" s="32" t="s">
        <v>30</v>
      </c>
      <c r="L27" s="32" t="s">
        <v>42</v>
      </c>
      <c r="M27" s="32" t="s">
        <v>45</v>
      </c>
      <c r="N27" s="15">
        <v>1.0</v>
      </c>
      <c r="O27" s="15">
        <v>0.0</v>
      </c>
      <c r="P27" s="15">
        <f t="array" ref="P27">if(O27="","", if(O27=9999,9999,ROUNDUP(_xlfn.XLOOKUP(J27&amp;"-"&amp;E27&amp;"-"&amp;K27,SpecCV[ID],SpecCV[factor])*O27,0)))</f>
        <v>0</v>
      </c>
      <c r="Q27" s="15">
        <f t="array" ref="Q27">if(J27="Contact plate", _xlfn.XLOOKUP(J27&amp;"-"&amp;E27&amp;"-"&amp;K27,SpecCV[ID],SpecCV[Spec]),_xlfn.XLOOKUP(J27&amp;"-"&amp;E27&amp;"-"&amp;K27,SpecCV[ID],SpecCV[Spec]))</f>
        <v>50</v>
      </c>
      <c r="R27" s="15" t="str">
        <f t="array" ref="R27">if(J27="Contact plate", _xlfn.XLOOKUP(J27&amp;"-"&amp;E27&amp;"-"&amp;K27,SpecCV[ID],SpecCV[Unit]),_xlfn.XLOOKUP(J27&amp;"-"&amp;E27&amp;"-"&amp;K27,SpecCV[ID],SpecCV[Unit]))</f>
        <v>cfu</v>
      </c>
      <c r="S27" s="42"/>
      <c r="T27" s="42"/>
      <c r="U27" s="42"/>
      <c r="V27" s="8" t="b">
        <v>0</v>
      </c>
    </row>
    <row r="28" ht="22.5" customHeight="1">
      <c r="A28" s="8"/>
      <c r="B28" s="8" t="b">
        <v>0</v>
      </c>
      <c r="C28" s="8">
        <v>10.0</v>
      </c>
      <c r="D28" s="28"/>
      <c r="E28" s="8" t="s">
        <v>28</v>
      </c>
      <c r="F28" s="15" t="s">
        <v>33</v>
      </c>
      <c r="G28" s="15" t="s">
        <v>162</v>
      </c>
      <c r="H28" s="15" t="s">
        <v>165</v>
      </c>
      <c r="I28" s="31">
        <v>45873.0</v>
      </c>
      <c r="J28" s="32" t="s">
        <v>30</v>
      </c>
      <c r="K28" s="32" t="s">
        <v>30</v>
      </c>
      <c r="L28" s="32" t="s">
        <v>42</v>
      </c>
      <c r="M28" s="32" t="s">
        <v>45</v>
      </c>
      <c r="N28" s="15">
        <v>1.0</v>
      </c>
      <c r="O28" s="15">
        <v>1.0</v>
      </c>
      <c r="P28" s="15">
        <f t="array" ref="P28">if(O28="","", if(O28=9999,9999,ROUNDUP(_xlfn.XLOOKUP(J28&amp;"-"&amp;E28&amp;"-"&amp;K28,SpecCV[ID],SpecCV[factor])*O28,0)))</f>
        <v>1</v>
      </c>
      <c r="Q28" s="15">
        <f t="array" ref="Q28">if(J28="Contact plate", _xlfn.XLOOKUP(J28&amp;"-"&amp;E28&amp;"-"&amp;K28,SpecCV[ID],SpecCV[Spec]),_xlfn.XLOOKUP(J28&amp;"-"&amp;E28&amp;"-"&amp;K28,SpecCV[ID],SpecCV[Spec]))</f>
        <v>50</v>
      </c>
      <c r="R28" s="15" t="str">
        <f t="array" ref="R28">if(J28="Contact plate", _xlfn.XLOOKUP(J28&amp;"-"&amp;E28&amp;"-"&amp;K28,SpecCV[ID],SpecCV[Unit]),_xlfn.XLOOKUP(J28&amp;"-"&amp;E28&amp;"-"&amp;K28,SpecCV[ID],SpecCV[Unit]))</f>
        <v>cfu</v>
      </c>
      <c r="S28" s="42"/>
      <c r="T28" s="42"/>
      <c r="U28" s="42"/>
      <c r="V28" s="8" t="b">
        <v>0</v>
      </c>
    </row>
    <row r="29" ht="22.5" customHeight="1">
      <c r="A29" s="8"/>
      <c r="B29" s="8" t="b">
        <v>0</v>
      </c>
      <c r="C29" s="8">
        <v>10.0</v>
      </c>
      <c r="D29" s="28"/>
      <c r="E29" s="8" t="s">
        <v>28</v>
      </c>
      <c r="F29" s="15" t="s">
        <v>33</v>
      </c>
      <c r="G29" s="15" t="s">
        <v>162</v>
      </c>
      <c r="H29" s="15" t="s">
        <v>168</v>
      </c>
      <c r="I29" s="31">
        <v>45873.0</v>
      </c>
      <c r="J29" s="32" t="s">
        <v>30</v>
      </c>
      <c r="K29" s="32" t="s">
        <v>30</v>
      </c>
      <c r="L29" s="32" t="s">
        <v>42</v>
      </c>
      <c r="M29" s="32" t="s">
        <v>45</v>
      </c>
      <c r="N29" s="15">
        <v>1.0</v>
      </c>
      <c r="O29" s="15">
        <v>15.0</v>
      </c>
      <c r="P29" s="15">
        <f t="array" ref="P29">if(O29="","", if(O29=9999,9999,ROUNDUP(_xlfn.XLOOKUP(J29&amp;"-"&amp;E29&amp;"-"&amp;K29,SpecCV[ID],SpecCV[factor])*O29,0)))</f>
        <v>15</v>
      </c>
      <c r="Q29" s="15">
        <f t="array" ref="Q29">if(J29="Contact plate", _xlfn.XLOOKUP(J29&amp;"-"&amp;E29&amp;"-"&amp;K29,SpecCV[ID],SpecCV[Spec]),_xlfn.XLOOKUP(J29&amp;"-"&amp;E29&amp;"-"&amp;K29,SpecCV[ID],SpecCV[Spec]))</f>
        <v>50</v>
      </c>
      <c r="R29" s="15" t="str">
        <f t="array" ref="R29">if(J29="Contact plate", _xlfn.XLOOKUP(J29&amp;"-"&amp;E29&amp;"-"&amp;K29,SpecCV[ID],SpecCV[Unit]),_xlfn.XLOOKUP(J29&amp;"-"&amp;E29&amp;"-"&amp;K29,SpecCV[ID],SpecCV[Unit]))</f>
        <v>cfu</v>
      </c>
      <c r="S29" s="42"/>
      <c r="T29" s="42"/>
      <c r="U29" s="42"/>
      <c r="V29" s="8" t="b">
        <v>0</v>
      </c>
    </row>
    <row r="30" ht="22.5" customHeight="1">
      <c r="A30" s="8"/>
      <c r="B30" s="8" t="b">
        <v>0</v>
      </c>
      <c r="C30" s="8">
        <v>10.0</v>
      </c>
      <c r="D30" s="28"/>
      <c r="E30" s="8" t="s">
        <v>28</v>
      </c>
      <c r="F30" s="15" t="s">
        <v>33</v>
      </c>
      <c r="G30" s="15" t="s">
        <v>162</v>
      </c>
      <c r="H30" s="15" t="s">
        <v>171</v>
      </c>
      <c r="I30" s="31">
        <v>45873.0</v>
      </c>
      <c r="J30" s="32" t="s">
        <v>30</v>
      </c>
      <c r="K30" s="32" t="s">
        <v>30</v>
      </c>
      <c r="L30" s="32" t="s">
        <v>42</v>
      </c>
      <c r="M30" s="32" t="s">
        <v>45</v>
      </c>
      <c r="N30" s="15">
        <v>1.0</v>
      </c>
      <c r="O30" s="15">
        <v>0.0</v>
      </c>
      <c r="P30" s="15">
        <f t="array" ref="P30">if(O30="","", if(O30=9999,9999,ROUNDUP(_xlfn.XLOOKUP(J30&amp;"-"&amp;E30&amp;"-"&amp;K30,SpecCV[ID],SpecCV[factor])*O30,0)))</f>
        <v>0</v>
      </c>
      <c r="Q30" s="15">
        <f t="array" ref="Q30">if(J30="Contact plate", _xlfn.XLOOKUP(J30&amp;"-"&amp;E30&amp;"-"&amp;K30,SpecCV[ID],SpecCV[Spec]),_xlfn.XLOOKUP(J30&amp;"-"&amp;E30&amp;"-"&amp;K30,SpecCV[ID],SpecCV[Spec]))</f>
        <v>50</v>
      </c>
      <c r="R30" s="15" t="str">
        <f t="array" ref="R30">if(J30="Contact plate", _xlfn.XLOOKUP(J30&amp;"-"&amp;E30&amp;"-"&amp;K30,SpecCV[ID],SpecCV[Unit]),_xlfn.XLOOKUP(J30&amp;"-"&amp;E30&amp;"-"&amp;K30,SpecCV[ID],SpecCV[Unit]))</f>
        <v>cfu</v>
      </c>
      <c r="S30" s="42"/>
      <c r="T30" s="42"/>
      <c r="U30" s="42"/>
      <c r="V30" s="8" t="b">
        <v>0</v>
      </c>
    </row>
    <row r="31" ht="22.5" customHeight="1">
      <c r="A31" s="8"/>
      <c r="B31" s="8" t="b">
        <v>0</v>
      </c>
      <c r="C31" s="8">
        <v>10.0</v>
      </c>
      <c r="D31" s="28"/>
      <c r="E31" s="8" t="s">
        <v>28</v>
      </c>
      <c r="F31" s="15" t="s">
        <v>135</v>
      </c>
      <c r="G31" s="15" t="s">
        <v>102</v>
      </c>
      <c r="H31" s="15" t="s">
        <v>174</v>
      </c>
      <c r="I31" s="31">
        <v>45883.0</v>
      </c>
      <c r="J31" s="32" t="s">
        <v>30</v>
      </c>
      <c r="K31" s="32" t="s">
        <v>30</v>
      </c>
      <c r="L31" s="32" t="s">
        <v>42</v>
      </c>
      <c r="M31" s="32" t="s">
        <v>45</v>
      </c>
      <c r="N31" s="15">
        <v>1.0</v>
      </c>
      <c r="O31" s="15">
        <v>0.0</v>
      </c>
      <c r="P31" s="15">
        <f t="array" ref="P31">if(O31="","", if(O31=9999,9999,ROUNDUP(_xlfn.XLOOKUP(J31&amp;"-"&amp;E31&amp;"-"&amp;K31,SpecCV[ID],SpecCV[factor])*O31,0)))</f>
        <v>0</v>
      </c>
      <c r="Q31" s="15">
        <f t="array" ref="Q31">if(J31="Contact plate", _xlfn.XLOOKUP(J31&amp;"-"&amp;E31&amp;"-"&amp;K31,SpecCV[ID],SpecCV[Spec]),_xlfn.XLOOKUP(J31&amp;"-"&amp;E31&amp;"-"&amp;K31,SpecCV[ID],SpecCV[Spec]))</f>
        <v>50</v>
      </c>
      <c r="R31" s="15" t="str">
        <f t="array" ref="R31">if(J31="Contact plate", _xlfn.XLOOKUP(J31&amp;"-"&amp;E31&amp;"-"&amp;K31,SpecCV[ID],SpecCV[Unit]),_xlfn.XLOOKUP(J31&amp;"-"&amp;E31&amp;"-"&amp;K31,SpecCV[ID],SpecCV[Unit]))</f>
        <v>cfu</v>
      </c>
      <c r="S31" s="42"/>
      <c r="T31" s="42"/>
      <c r="U31" s="42"/>
      <c r="V31" s="8" t="b">
        <v>0</v>
      </c>
    </row>
    <row r="32" ht="22.5" customHeight="1">
      <c r="A32" s="8"/>
      <c r="B32" s="8" t="b">
        <v>0</v>
      </c>
      <c r="C32" s="8">
        <v>10.0</v>
      </c>
      <c r="D32" s="28"/>
      <c r="E32" s="8" t="s">
        <v>28</v>
      </c>
      <c r="F32" s="15" t="s">
        <v>135</v>
      </c>
      <c r="G32" s="15" t="s">
        <v>102</v>
      </c>
      <c r="H32" s="15" t="s">
        <v>108</v>
      </c>
      <c r="I32" s="31">
        <v>45883.0</v>
      </c>
      <c r="J32" s="32" t="s">
        <v>30</v>
      </c>
      <c r="K32" s="32" t="s">
        <v>30</v>
      </c>
      <c r="L32" s="32" t="s">
        <v>42</v>
      </c>
      <c r="M32" s="32" t="s">
        <v>45</v>
      </c>
      <c r="N32" s="15">
        <v>1.0</v>
      </c>
      <c r="O32" s="15">
        <v>10.0</v>
      </c>
      <c r="P32" s="15">
        <f t="array" ref="P32">if(O32="","", if(O32=9999,9999,ROUNDUP(_xlfn.XLOOKUP(J32&amp;"-"&amp;E32&amp;"-"&amp;K32,SpecCV[ID],SpecCV[factor])*O32,0)))</f>
        <v>10</v>
      </c>
      <c r="Q32" s="15">
        <f t="array" ref="Q32">if(J32="Contact plate", _xlfn.XLOOKUP(J32&amp;"-"&amp;E32&amp;"-"&amp;K32,SpecCV[ID],SpecCV[Spec]),_xlfn.XLOOKUP(J32&amp;"-"&amp;E32&amp;"-"&amp;K32,SpecCV[ID],SpecCV[Spec]))</f>
        <v>50</v>
      </c>
      <c r="R32" s="15" t="str">
        <f t="array" ref="R32">if(J32="Contact plate", _xlfn.XLOOKUP(J32&amp;"-"&amp;E32&amp;"-"&amp;K32,SpecCV[ID],SpecCV[Unit]),_xlfn.XLOOKUP(J32&amp;"-"&amp;E32&amp;"-"&amp;K32,SpecCV[ID],SpecCV[Unit]))</f>
        <v>cfu</v>
      </c>
      <c r="S32" s="42"/>
      <c r="T32" s="42"/>
      <c r="U32" s="42"/>
      <c r="V32" s="8" t="b">
        <v>0</v>
      </c>
    </row>
    <row r="33" ht="22.5" customHeight="1">
      <c r="A33" s="8"/>
      <c r="B33" s="8" t="b">
        <v>0</v>
      </c>
      <c r="C33" s="8">
        <v>10.0</v>
      </c>
      <c r="D33" s="28"/>
      <c r="E33" s="8" t="s">
        <v>28</v>
      </c>
      <c r="F33" s="15" t="s">
        <v>135</v>
      </c>
      <c r="G33" s="15" t="s">
        <v>102</v>
      </c>
      <c r="H33" s="15" t="s">
        <v>105</v>
      </c>
      <c r="I33" s="31">
        <v>45883.0</v>
      </c>
      <c r="J33" s="32" t="s">
        <v>30</v>
      </c>
      <c r="K33" s="32" t="s">
        <v>30</v>
      </c>
      <c r="L33" s="32" t="s">
        <v>42</v>
      </c>
      <c r="M33" s="32" t="s">
        <v>45</v>
      </c>
      <c r="N33" s="15">
        <v>1.0</v>
      </c>
      <c r="O33" s="15">
        <v>0.0</v>
      </c>
      <c r="P33" s="15">
        <f t="array" ref="P33">if(O33="","", if(O33=9999,9999,ROUNDUP(_xlfn.XLOOKUP(J33&amp;"-"&amp;E33&amp;"-"&amp;K33,SpecCV[ID],SpecCV[factor])*O33,0)))</f>
        <v>0</v>
      </c>
      <c r="Q33" s="15">
        <f t="array" ref="Q33">if(J33="Contact plate", _xlfn.XLOOKUP(J33&amp;"-"&amp;E33&amp;"-"&amp;K33,SpecCV[ID],SpecCV[Spec]),_xlfn.XLOOKUP(J33&amp;"-"&amp;E33&amp;"-"&amp;K33,SpecCV[ID],SpecCV[Spec]))</f>
        <v>50</v>
      </c>
      <c r="R33" s="15" t="str">
        <f t="array" ref="R33">if(J33="Contact plate", _xlfn.XLOOKUP(J33&amp;"-"&amp;E33&amp;"-"&amp;K33,SpecCV[ID],SpecCV[Unit]),_xlfn.XLOOKUP(J33&amp;"-"&amp;E33&amp;"-"&amp;K33,SpecCV[ID],SpecCV[Unit]))</f>
        <v>cfu</v>
      </c>
      <c r="S33" s="42"/>
      <c r="T33" s="42"/>
      <c r="U33" s="42"/>
      <c r="V33" s="8" t="b">
        <v>0</v>
      </c>
    </row>
    <row r="34" ht="22.5" customHeight="1">
      <c r="A34" s="8"/>
      <c r="B34" s="8" t="b">
        <v>0</v>
      </c>
      <c r="C34" s="8">
        <v>10.0</v>
      </c>
      <c r="D34" s="28"/>
      <c r="E34" s="8" t="s">
        <v>28</v>
      </c>
      <c r="F34" s="15" t="s">
        <v>135</v>
      </c>
      <c r="G34" s="15" t="s">
        <v>127</v>
      </c>
      <c r="H34" s="15" t="s">
        <v>72</v>
      </c>
      <c r="I34" s="31">
        <v>45883.0</v>
      </c>
      <c r="J34" s="32" t="s">
        <v>30</v>
      </c>
      <c r="K34" s="32" t="s">
        <v>30</v>
      </c>
      <c r="L34" s="32" t="s">
        <v>42</v>
      </c>
      <c r="M34" s="32" t="s">
        <v>45</v>
      </c>
      <c r="N34" s="15">
        <v>1.0</v>
      </c>
      <c r="O34" s="15">
        <v>4.0</v>
      </c>
      <c r="P34" s="15">
        <f t="array" ref="P34">if(O34="","", if(O34=9999,9999,ROUNDUP(_xlfn.XLOOKUP(J34&amp;"-"&amp;E34&amp;"-"&amp;K34,SpecCV[ID],SpecCV[factor])*O34,0)))</f>
        <v>4</v>
      </c>
      <c r="Q34" s="15">
        <f t="array" ref="Q34">if(J34="Contact plate", _xlfn.XLOOKUP(J34&amp;"-"&amp;E34&amp;"-"&amp;K34,SpecCV[ID],SpecCV[Spec]),_xlfn.XLOOKUP(J34&amp;"-"&amp;E34&amp;"-"&amp;K34,SpecCV[ID],SpecCV[Spec]))</f>
        <v>50</v>
      </c>
      <c r="R34" s="15" t="str">
        <f t="array" ref="R34">if(J34="Contact plate", _xlfn.XLOOKUP(J34&amp;"-"&amp;E34&amp;"-"&amp;K34,SpecCV[ID],SpecCV[Unit]),_xlfn.XLOOKUP(J34&amp;"-"&amp;E34&amp;"-"&amp;K34,SpecCV[ID],SpecCV[Unit]))</f>
        <v>cfu</v>
      </c>
      <c r="S34" s="42"/>
      <c r="T34" s="42"/>
      <c r="U34" s="42"/>
      <c r="V34" s="8" t="b">
        <v>0</v>
      </c>
    </row>
    <row r="35" ht="22.5" customHeight="1">
      <c r="A35" s="8"/>
      <c r="B35" s="8" t="b">
        <v>0</v>
      </c>
      <c r="C35" s="8">
        <v>10.0</v>
      </c>
      <c r="D35" s="28"/>
      <c r="E35" s="8" t="s">
        <v>28</v>
      </c>
      <c r="F35" s="15" t="s">
        <v>135</v>
      </c>
      <c r="G35" s="15" t="s">
        <v>119</v>
      </c>
      <c r="H35" s="15" t="s">
        <v>187</v>
      </c>
      <c r="I35" s="31">
        <v>45883.0</v>
      </c>
      <c r="J35" s="32" t="s">
        <v>30</v>
      </c>
      <c r="K35" s="32" t="s">
        <v>30</v>
      </c>
      <c r="L35" s="32" t="s">
        <v>42</v>
      </c>
      <c r="M35" s="32" t="s">
        <v>45</v>
      </c>
      <c r="N35" s="15">
        <v>1.0</v>
      </c>
      <c r="O35" s="15">
        <v>2.0</v>
      </c>
      <c r="P35" s="15">
        <f t="array" ref="P35">if(O35="","", if(O35=9999,9999,ROUNDUP(_xlfn.XLOOKUP(J35&amp;"-"&amp;E35&amp;"-"&amp;K35,SpecCV[ID],SpecCV[factor])*O35,0)))</f>
        <v>2</v>
      </c>
      <c r="Q35" s="15">
        <f t="array" ref="Q35">if(J35="Contact plate", _xlfn.XLOOKUP(J35&amp;"-"&amp;E35&amp;"-"&amp;K35,SpecCV[ID],SpecCV[Spec]),_xlfn.XLOOKUP(J35&amp;"-"&amp;E35&amp;"-"&amp;K35,SpecCV[ID],SpecCV[Spec]))</f>
        <v>50</v>
      </c>
      <c r="R35" s="15" t="str">
        <f t="array" ref="R35">if(J35="Contact plate", _xlfn.XLOOKUP(J35&amp;"-"&amp;E35&amp;"-"&amp;K35,SpecCV[ID],SpecCV[Unit]),_xlfn.XLOOKUP(J35&amp;"-"&amp;E35&amp;"-"&amp;K35,SpecCV[ID],SpecCV[Unit]))</f>
        <v>cfu</v>
      </c>
      <c r="S35" s="42"/>
      <c r="T35" s="42"/>
      <c r="U35" s="42"/>
      <c r="V35" s="8" t="b">
        <v>0</v>
      </c>
    </row>
    <row r="36" ht="22.5" customHeight="1">
      <c r="A36" s="8"/>
      <c r="B36" s="8" t="b">
        <v>0</v>
      </c>
      <c r="C36" s="8">
        <v>10.0</v>
      </c>
      <c r="E36" s="8" t="s">
        <v>28</v>
      </c>
      <c r="F36" s="15" t="s">
        <v>33</v>
      </c>
      <c r="G36" s="15" t="s">
        <v>102</v>
      </c>
      <c r="H36" s="15" t="s">
        <v>111</v>
      </c>
      <c r="I36" s="31">
        <v>45883.0</v>
      </c>
      <c r="J36" s="32" t="s">
        <v>30</v>
      </c>
      <c r="K36" s="32" t="s">
        <v>30</v>
      </c>
      <c r="L36" s="32" t="s">
        <v>42</v>
      </c>
      <c r="M36" s="32" t="s">
        <v>281</v>
      </c>
      <c r="N36" s="15">
        <v>1.0</v>
      </c>
      <c r="O36" s="15">
        <v>1.0</v>
      </c>
      <c r="P36" s="15">
        <f t="array" ref="P36">if(O36="","", if(O36=9999,9999,ROUNDUP(_xlfn.XLOOKUP(J36&amp;"-"&amp;E36&amp;"-"&amp;K36,SpecCV[ID],SpecCV[factor])*O36,0)))</f>
        <v>1</v>
      </c>
      <c r="Q36" s="15">
        <f t="array" ref="Q36">if(J36="Contact plate", _xlfn.XLOOKUP(J36&amp;"-"&amp;E36&amp;"-"&amp;K36,SpecCV[ID],SpecCV[Spec]),_xlfn.XLOOKUP(J36&amp;"-"&amp;E36&amp;"-"&amp;K36,SpecCV[ID],SpecCV[Spec]))</f>
        <v>50</v>
      </c>
      <c r="R36" s="15" t="str">
        <f t="array" ref="R36">if(J36="Contact plate", _xlfn.XLOOKUP(J36&amp;"-"&amp;E36&amp;"-"&amp;K36,SpecCV[ID],SpecCV[Unit]),_xlfn.XLOOKUP(J36&amp;"-"&amp;E36&amp;"-"&amp;K36,SpecCV[ID],SpecCV[Unit]))</f>
        <v>cfu</v>
      </c>
      <c r="S36" s="42"/>
      <c r="T36" s="42"/>
      <c r="U36" s="42"/>
      <c r="V36" s="8" t="b">
        <v>0</v>
      </c>
    </row>
    <row r="37" ht="22.5" customHeight="1">
      <c r="A37" s="8"/>
      <c r="B37" s="8" t="b">
        <v>0</v>
      </c>
      <c r="C37" s="8">
        <v>10.0</v>
      </c>
      <c r="E37" s="8" t="s">
        <v>28</v>
      </c>
      <c r="F37" s="15" t="s">
        <v>33</v>
      </c>
      <c r="G37" s="15" t="s">
        <v>102</v>
      </c>
      <c r="H37" s="15" t="s">
        <v>116</v>
      </c>
      <c r="I37" s="31">
        <v>45883.0</v>
      </c>
      <c r="J37" s="32" t="s">
        <v>30</v>
      </c>
      <c r="K37" s="32" t="s">
        <v>30</v>
      </c>
      <c r="L37" s="32" t="s">
        <v>42</v>
      </c>
      <c r="M37" s="32" t="s">
        <v>281</v>
      </c>
      <c r="N37" s="15">
        <v>1.0</v>
      </c>
      <c r="O37" s="15">
        <v>1.0</v>
      </c>
      <c r="P37" s="15">
        <f t="array" ref="P37">if(O37="","", if(O37=9999,9999,ROUNDUP(_xlfn.XLOOKUP(J37&amp;"-"&amp;E37&amp;"-"&amp;K37,SpecCV[ID],SpecCV[factor])*O37,0)))</f>
        <v>1</v>
      </c>
      <c r="Q37" s="15">
        <f t="array" ref="Q37">if(J37="Contact plate", _xlfn.XLOOKUP(J37&amp;"-"&amp;E37&amp;"-"&amp;K37,SpecCV[ID],SpecCV[Spec]),_xlfn.XLOOKUP(J37&amp;"-"&amp;E37&amp;"-"&amp;K37,SpecCV[ID],SpecCV[Spec]))</f>
        <v>50</v>
      </c>
      <c r="R37" s="15" t="str">
        <f t="array" ref="R37">if(J37="Contact plate", _xlfn.XLOOKUP(J37&amp;"-"&amp;E37&amp;"-"&amp;K37,SpecCV[ID],SpecCV[Unit]),_xlfn.XLOOKUP(J37&amp;"-"&amp;E37&amp;"-"&amp;K37,SpecCV[ID],SpecCV[Unit]))</f>
        <v>cfu</v>
      </c>
      <c r="S37" s="42"/>
      <c r="T37" s="42"/>
      <c r="U37" s="42"/>
      <c r="V37" s="8" t="b">
        <v>0</v>
      </c>
    </row>
    <row r="38" ht="22.5" customHeight="1">
      <c r="A38" s="8"/>
      <c r="B38" s="8" t="b">
        <v>0</v>
      </c>
      <c r="C38" s="8">
        <v>10.0</v>
      </c>
      <c r="E38" s="8" t="s">
        <v>28</v>
      </c>
      <c r="F38" s="15" t="s">
        <v>33</v>
      </c>
      <c r="G38" s="15" t="s">
        <v>190</v>
      </c>
      <c r="H38" s="15" t="s">
        <v>191</v>
      </c>
      <c r="I38" s="31">
        <v>45888.0</v>
      </c>
      <c r="J38" s="32" t="s">
        <v>30</v>
      </c>
      <c r="K38" s="32" t="s">
        <v>30</v>
      </c>
      <c r="L38" s="32" t="s">
        <v>42</v>
      </c>
      <c r="M38" s="32" t="s">
        <v>45</v>
      </c>
      <c r="N38" s="15">
        <v>1.0</v>
      </c>
      <c r="O38" s="15">
        <v>5.0</v>
      </c>
      <c r="P38" s="15">
        <f t="array" ref="P38">if(O38="","", if(O38=9999,9999,ROUNDUP(_xlfn.XLOOKUP(J38&amp;"-"&amp;E38&amp;"-"&amp;K38,SpecCV[ID],SpecCV[factor])*O38,0)))</f>
        <v>5</v>
      </c>
      <c r="Q38" s="15">
        <f t="array" ref="Q38">if(J38="Contact plate", _xlfn.XLOOKUP(J38&amp;"-"&amp;E38&amp;"-"&amp;K38,SpecCV[ID],SpecCV[Spec]),_xlfn.XLOOKUP(J38&amp;"-"&amp;E38&amp;"-"&amp;K38,SpecCV[ID],SpecCV[Spec]))</f>
        <v>50</v>
      </c>
      <c r="R38" s="15" t="str">
        <f t="array" ref="R38">if(J38="Contact plate", _xlfn.XLOOKUP(J38&amp;"-"&amp;E38&amp;"-"&amp;K38,SpecCV[ID],SpecCV[Unit]),_xlfn.XLOOKUP(J38&amp;"-"&amp;E38&amp;"-"&amp;K38,SpecCV[ID],SpecCV[Unit]))</f>
        <v>cfu</v>
      </c>
      <c r="S38" s="42"/>
      <c r="T38" s="42"/>
      <c r="U38" s="42"/>
      <c r="V38" s="8" t="b">
        <v>0</v>
      </c>
    </row>
    <row r="39" ht="22.5" customHeight="1">
      <c r="A39" s="8"/>
      <c r="B39" s="8" t="b">
        <v>0</v>
      </c>
      <c r="C39" s="8">
        <v>10.0</v>
      </c>
      <c r="E39" s="8" t="s">
        <v>28</v>
      </c>
      <c r="F39" s="15" t="s">
        <v>33</v>
      </c>
      <c r="G39" s="15" t="s">
        <v>190</v>
      </c>
      <c r="H39" s="15" t="s">
        <v>194</v>
      </c>
      <c r="I39" s="31">
        <v>45888.0</v>
      </c>
      <c r="J39" s="32" t="s">
        <v>30</v>
      </c>
      <c r="K39" s="32" t="s">
        <v>30</v>
      </c>
      <c r="L39" s="32" t="s">
        <v>42</v>
      </c>
      <c r="M39" s="32" t="s">
        <v>45</v>
      </c>
      <c r="N39" s="15">
        <v>1.0</v>
      </c>
      <c r="O39" s="15">
        <v>3.0</v>
      </c>
      <c r="P39" s="15">
        <f t="array" ref="P39">if(O39="","", if(O39=9999,9999,ROUNDUP(_xlfn.XLOOKUP(J39&amp;"-"&amp;E39&amp;"-"&amp;K39,SpecCV[ID],SpecCV[factor])*O39,0)))</f>
        <v>3</v>
      </c>
      <c r="Q39" s="15">
        <f t="array" ref="Q39">if(J39="Contact plate", _xlfn.XLOOKUP(J39&amp;"-"&amp;E39&amp;"-"&amp;K39,SpecCV[ID],SpecCV[Spec]),_xlfn.XLOOKUP(J39&amp;"-"&amp;E39&amp;"-"&amp;K39,SpecCV[ID],SpecCV[Spec]))</f>
        <v>50</v>
      </c>
      <c r="R39" s="15" t="str">
        <f t="array" ref="R39">if(J39="Contact plate", _xlfn.XLOOKUP(J39&amp;"-"&amp;E39&amp;"-"&amp;K39,SpecCV[ID],SpecCV[Unit]),_xlfn.XLOOKUP(J39&amp;"-"&amp;E39&amp;"-"&amp;K39,SpecCV[ID],SpecCV[Unit]))</f>
        <v>cfu</v>
      </c>
      <c r="S39" s="42"/>
      <c r="T39" s="42"/>
      <c r="U39" s="42"/>
      <c r="V39" s="8" t="b">
        <v>0</v>
      </c>
    </row>
    <row r="40" ht="22.5" customHeight="1">
      <c r="A40" s="8"/>
      <c r="B40" s="8" t="b">
        <v>0</v>
      </c>
      <c r="C40" s="8">
        <v>10.0</v>
      </c>
      <c r="D40" s="28"/>
      <c r="E40" s="8" t="s">
        <v>28</v>
      </c>
      <c r="F40" s="15" t="s">
        <v>135</v>
      </c>
      <c r="G40" s="15" t="s">
        <v>162</v>
      </c>
      <c r="H40" s="15" t="s">
        <v>165</v>
      </c>
      <c r="I40" s="31">
        <v>45889.0</v>
      </c>
      <c r="J40" s="32" t="s">
        <v>30</v>
      </c>
      <c r="K40" s="32" t="s">
        <v>30</v>
      </c>
      <c r="L40" s="32" t="s">
        <v>42</v>
      </c>
      <c r="M40" s="32" t="s">
        <v>45</v>
      </c>
      <c r="N40" s="15">
        <v>1.0</v>
      </c>
      <c r="O40" s="15">
        <v>0.0</v>
      </c>
      <c r="P40" s="15">
        <f t="array" ref="P40">if(O40="","", if(O40=9999,9999,ROUNDUP(_xlfn.XLOOKUP(J40&amp;"-"&amp;E40&amp;"-"&amp;K40,SpecCV[ID],SpecCV[factor])*O40,0)))</f>
        <v>0</v>
      </c>
      <c r="Q40" s="15">
        <f t="array" ref="Q40">if(J40="Contact plate", _xlfn.XLOOKUP(J40&amp;"-"&amp;E40&amp;"-"&amp;K40,SpecCV[ID],SpecCV[Spec]),_xlfn.XLOOKUP(J40&amp;"-"&amp;E40&amp;"-"&amp;K40,SpecCV[ID],SpecCV[Spec]))</f>
        <v>50</v>
      </c>
      <c r="R40" s="15" t="str">
        <f t="array" ref="R40">if(J40="Contact plate", _xlfn.XLOOKUP(J40&amp;"-"&amp;E40&amp;"-"&amp;K40,SpecCV[ID],SpecCV[Unit]),_xlfn.XLOOKUP(J40&amp;"-"&amp;E40&amp;"-"&amp;K40,SpecCV[ID],SpecCV[Unit]))</f>
        <v>cfu</v>
      </c>
      <c r="S40" s="42"/>
      <c r="T40" s="42"/>
      <c r="U40" s="42"/>
      <c r="V40" s="8" t="b">
        <v>0</v>
      </c>
    </row>
    <row r="41" ht="22.5" customHeight="1">
      <c r="A41" s="8"/>
      <c r="B41" s="8" t="b">
        <v>0</v>
      </c>
      <c r="C41" s="8">
        <v>10.0</v>
      </c>
      <c r="D41" s="28"/>
      <c r="E41" s="8" t="s">
        <v>28</v>
      </c>
      <c r="F41" s="15" t="s">
        <v>135</v>
      </c>
      <c r="G41" s="15" t="s">
        <v>162</v>
      </c>
      <c r="H41" s="15" t="s">
        <v>168</v>
      </c>
      <c r="I41" s="31">
        <v>45889.0</v>
      </c>
      <c r="J41" s="32" t="s">
        <v>30</v>
      </c>
      <c r="K41" s="32" t="s">
        <v>30</v>
      </c>
      <c r="L41" s="32" t="s">
        <v>42</v>
      </c>
      <c r="M41" s="32" t="s">
        <v>45</v>
      </c>
      <c r="N41" s="15">
        <v>1.0</v>
      </c>
      <c r="O41" s="15">
        <v>0.0</v>
      </c>
      <c r="P41" s="15">
        <f t="array" ref="P41">if(O41="","", if(O41=9999,9999,ROUNDUP(_xlfn.XLOOKUP(J41&amp;"-"&amp;E41&amp;"-"&amp;K41,SpecCV[ID],SpecCV[factor])*O41,0)))</f>
        <v>0</v>
      </c>
      <c r="Q41" s="15">
        <f t="array" ref="Q41">if(J41="Contact plate", _xlfn.XLOOKUP(J41&amp;"-"&amp;E41&amp;"-"&amp;K41,SpecCV[ID],SpecCV[Spec]),_xlfn.XLOOKUP(J41&amp;"-"&amp;E41&amp;"-"&amp;K41,SpecCV[ID],SpecCV[Spec]))</f>
        <v>50</v>
      </c>
      <c r="R41" s="15" t="str">
        <f t="array" ref="R41">if(J41="Contact plate", _xlfn.XLOOKUP(J41&amp;"-"&amp;E41&amp;"-"&amp;K41,SpecCV[ID],SpecCV[Unit]),_xlfn.XLOOKUP(J41&amp;"-"&amp;E41&amp;"-"&amp;K41,SpecCV[ID],SpecCV[Unit]))</f>
        <v>cfu</v>
      </c>
      <c r="S41" s="42"/>
      <c r="T41" s="42"/>
      <c r="U41" s="42"/>
      <c r="V41" s="8" t="b">
        <v>0</v>
      </c>
    </row>
    <row r="42" ht="22.5" customHeight="1">
      <c r="A42" s="8"/>
      <c r="B42" s="8" t="b">
        <v>0</v>
      </c>
      <c r="C42" s="8">
        <v>10.0</v>
      </c>
      <c r="D42" s="28"/>
      <c r="E42" s="8" t="s">
        <v>28</v>
      </c>
      <c r="F42" s="15" t="s">
        <v>135</v>
      </c>
      <c r="G42" s="15" t="s">
        <v>162</v>
      </c>
      <c r="H42" s="15" t="s">
        <v>171</v>
      </c>
      <c r="I42" s="31">
        <v>45889.0</v>
      </c>
      <c r="J42" s="32" t="s">
        <v>30</v>
      </c>
      <c r="K42" s="32" t="s">
        <v>30</v>
      </c>
      <c r="L42" s="32" t="s">
        <v>42</v>
      </c>
      <c r="M42" s="32" t="s">
        <v>45</v>
      </c>
      <c r="N42" s="15">
        <v>1.0</v>
      </c>
      <c r="O42" s="15">
        <v>0.0</v>
      </c>
      <c r="P42" s="15">
        <f t="array" ref="P42">if(O42="","", if(O42=9999,9999,ROUNDUP(_xlfn.XLOOKUP(J42&amp;"-"&amp;E42&amp;"-"&amp;K42,SpecCV[ID],SpecCV[factor])*O42,0)))</f>
        <v>0</v>
      </c>
      <c r="Q42" s="15">
        <f t="array" ref="Q42">if(J42="Contact plate", _xlfn.XLOOKUP(J42&amp;"-"&amp;E42&amp;"-"&amp;K42,SpecCV[ID],SpecCV[Spec]),_xlfn.XLOOKUP(J42&amp;"-"&amp;E42&amp;"-"&amp;K42,SpecCV[ID],SpecCV[Spec]))</f>
        <v>50</v>
      </c>
      <c r="R42" s="15" t="str">
        <f t="array" ref="R42">if(J42="Contact plate", _xlfn.XLOOKUP(J42&amp;"-"&amp;E42&amp;"-"&amp;K42,SpecCV[ID],SpecCV[Unit]),_xlfn.XLOOKUP(J42&amp;"-"&amp;E42&amp;"-"&amp;K42,SpecCV[ID],SpecCV[Unit]))</f>
        <v>cfu</v>
      </c>
      <c r="S42" s="42"/>
      <c r="T42" s="42"/>
      <c r="U42" s="42"/>
      <c r="V42" s="8" t="b">
        <v>0</v>
      </c>
    </row>
    <row r="43" ht="22.5" customHeight="1">
      <c r="A43" s="8"/>
      <c r="B43" s="8" t="b">
        <v>0</v>
      </c>
      <c r="C43" s="8">
        <v>10.0</v>
      </c>
      <c r="D43" s="28"/>
      <c r="E43" s="8" t="s">
        <v>28</v>
      </c>
      <c r="F43" s="15" t="s">
        <v>135</v>
      </c>
      <c r="G43" s="15" t="s">
        <v>190</v>
      </c>
      <c r="H43" s="15" t="s">
        <v>209</v>
      </c>
      <c r="I43" s="31">
        <v>45891.0</v>
      </c>
      <c r="J43" s="32" t="s">
        <v>30</v>
      </c>
      <c r="K43" s="32" t="s">
        <v>30</v>
      </c>
      <c r="L43" s="32" t="s">
        <v>42</v>
      </c>
      <c r="M43" s="32" t="s">
        <v>45</v>
      </c>
      <c r="N43" s="15">
        <v>1.0</v>
      </c>
      <c r="O43" s="15">
        <v>0.0</v>
      </c>
      <c r="P43" s="15">
        <f t="array" ref="P43">if(O43="","", if(O43=9999,9999,ROUNDUP(_xlfn.XLOOKUP(J43&amp;"-"&amp;E43&amp;"-"&amp;K43,SpecCV[ID],SpecCV[factor])*O43,0)))</f>
        <v>0</v>
      </c>
      <c r="Q43" s="15">
        <f t="array" ref="Q43">if(J43="Contact plate", _xlfn.XLOOKUP(J43&amp;"-"&amp;E43&amp;"-"&amp;K43,SpecCV[ID],SpecCV[Spec]),_xlfn.XLOOKUP(J43&amp;"-"&amp;E43&amp;"-"&amp;K43,SpecCV[ID],SpecCV[Spec]))</f>
        <v>50</v>
      </c>
      <c r="R43" s="15" t="str">
        <f t="array" ref="R43">if(J43="Contact plate", _xlfn.XLOOKUP(J43&amp;"-"&amp;E43&amp;"-"&amp;K43,SpecCV[ID],SpecCV[Unit]),_xlfn.XLOOKUP(J43&amp;"-"&amp;E43&amp;"-"&amp;K43,SpecCV[ID],SpecCV[Unit]))</f>
        <v>cfu</v>
      </c>
      <c r="S43" s="42"/>
      <c r="T43" s="42"/>
      <c r="U43" s="42"/>
      <c r="V43" s="8" t="b">
        <v>0</v>
      </c>
    </row>
    <row r="44" ht="22.5" customHeight="1">
      <c r="A44" s="8"/>
      <c r="B44" s="8" t="b">
        <v>0</v>
      </c>
      <c r="C44" s="8">
        <v>10.0</v>
      </c>
      <c r="D44" s="28"/>
      <c r="E44" s="8" t="s">
        <v>28</v>
      </c>
      <c r="F44" s="15" t="s">
        <v>135</v>
      </c>
      <c r="G44" s="15" t="s">
        <v>190</v>
      </c>
      <c r="H44" s="15" t="s">
        <v>194</v>
      </c>
      <c r="I44" s="31">
        <v>45891.0</v>
      </c>
      <c r="J44" s="32" t="s">
        <v>30</v>
      </c>
      <c r="K44" s="32" t="s">
        <v>30</v>
      </c>
      <c r="L44" s="32" t="s">
        <v>42</v>
      </c>
      <c r="M44" s="32" t="s">
        <v>45</v>
      </c>
      <c r="N44" s="15">
        <v>1.0</v>
      </c>
      <c r="O44" s="15">
        <v>4.0</v>
      </c>
      <c r="P44" s="15">
        <f t="array" ref="P44">if(O44="","", if(O44=9999,9999,ROUNDUP(_xlfn.XLOOKUP(J44&amp;"-"&amp;E44&amp;"-"&amp;K44,SpecCV[ID],SpecCV[factor])*O44,0)))</f>
        <v>4</v>
      </c>
      <c r="Q44" s="15">
        <f t="array" ref="Q44">if(J44="Contact plate", _xlfn.XLOOKUP(J44&amp;"-"&amp;E44&amp;"-"&amp;K44,SpecCV[ID],SpecCV[Spec]),_xlfn.XLOOKUP(J44&amp;"-"&amp;E44&amp;"-"&amp;K44,SpecCV[ID],SpecCV[Spec]))</f>
        <v>50</v>
      </c>
      <c r="R44" s="15" t="str">
        <f t="array" ref="R44">if(J44="Contact plate", _xlfn.XLOOKUP(J44&amp;"-"&amp;E44&amp;"-"&amp;K44,SpecCV[ID],SpecCV[Unit]),_xlfn.XLOOKUP(J44&amp;"-"&amp;E44&amp;"-"&amp;K44,SpecCV[ID],SpecCV[Unit]))</f>
        <v>cfu</v>
      </c>
      <c r="S44" s="42"/>
      <c r="T44" s="42"/>
      <c r="U44" s="42"/>
      <c r="V44" s="8" t="b">
        <v>0</v>
      </c>
    </row>
    <row r="45" ht="22.5" customHeight="1">
      <c r="A45" s="8"/>
      <c r="B45" s="8" t="b">
        <v>0</v>
      </c>
      <c r="C45" s="8">
        <v>10.0</v>
      </c>
      <c r="D45" s="28"/>
      <c r="E45" s="8" t="s">
        <v>28</v>
      </c>
      <c r="F45" s="15" t="s">
        <v>33</v>
      </c>
      <c r="G45" s="15" t="s">
        <v>38</v>
      </c>
      <c r="H45" s="15" t="s">
        <v>39</v>
      </c>
      <c r="I45" s="31">
        <v>45901.0</v>
      </c>
      <c r="J45" s="32" t="s">
        <v>30</v>
      </c>
      <c r="K45" s="32" t="s">
        <v>30</v>
      </c>
      <c r="L45" s="32" t="s">
        <v>42</v>
      </c>
      <c r="M45" s="32" t="s">
        <v>45</v>
      </c>
      <c r="N45" s="15">
        <v>2.0</v>
      </c>
      <c r="O45" s="15">
        <v>6.0</v>
      </c>
      <c r="P45" s="15">
        <f t="array" ref="P45">if(O45="","", if(O45=9999,9999,ROUNDUP(_xlfn.XLOOKUP(J45&amp;"-"&amp;E45&amp;"-"&amp;K45,SpecCV[ID],SpecCV[factor])*O45,0)))</f>
        <v>6</v>
      </c>
      <c r="Q45" s="15">
        <f t="array" ref="Q45">if(J45="Contact plate", _xlfn.XLOOKUP(J45&amp;"-"&amp;E45&amp;"-"&amp;K45,SpecCV[ID],SpecCV[Spec]),_xlfn.XLOOKUP(J45&amp;"-"&amp;E45&amp;"-"&amp;K45,SpecCV[ID],SpecCV[Spec]))</f>
        <v>50</v>
      </c>
      <c r="R45" s="15" t="str">
        <f t="array" ref="R45">if(J45="Contact plate", _xlfn.XLOOKUP(J45&amp;"-"&amp;E45&amp;"-"&amp;K45,SpecCV[ID],SpecCV[Unit]),_xlfn.XLOOKUP(J45&amp;"-"&amp;E45&amp;"-"&amp;K45,SpecCV[ID],SpecCV[Unit]))</f>
        <v>cfu</v>
      </c>
      <c r="S45" s="42"/>
      <c r="T45" s="42"/>
      <c r="U45" s="42"/>
      <c r="V45" s="8" t="b">
        <v>0</v>
      </c>
    </row>
    <row r="46" ht="22.5" customHeight="1">
      <c r="A46" s="8"/>
      <c r="B46" s="8" t="b">
        <v>0</v>
      </c>
      <c r="C46" s="8">
        <v>10.0</v>
      </c>
      <c r="E46" s="8" t="s">
        <v>28</v>
      </c>
      <c r="F46" s="15" t="s">
        <v>33</v>
      </c>
      <c r="G46" s="15" t="s">
        <v>38</v>
      </c>
      <c r="H46" s="15" t="s">
        <v>55</v>
      </c>
      <c r="I46" s="31">
        <v>45901.0</v>
      </c>
      <c r="J46" s="32" t="s">
        <v>30</v>
      </c>
      <c r="K46" s="32" t="s">
        <v>30</v>
      </c>
      <c r="L46" s="32" t="s">
        <v>42</v>
      </c>
      <c r="M46" s="32" t="s">
        <v>45</v>
      </c>
      <c r="N46" s="15">
        <v>2.0</v>
      </c>
      <c r="O46" s="15">
        <v>3.0</v>
      </c>
      <c r="P46" s="15">
        <f t="array" ref="P46">if(O46="","", if(O46=9999,9999,ROUNDUP(_xlfn.XLOOKUP(J46&amp;"-"&amp;E46&amp;"-"&amp;K46,SpecCV[ID],SpecCV[factor])*O46,0)))</f>
        <v>3</v>
      </c>
      <c r="Q46" s="15">
        <f t="array" ref="Q46">if(J46="Contact plate", _xlfn.XLOOKUP(J46&amp;"-"&amp;E46&amp;"-"&amp;K46,SpecCV[ID],SpecCV[Spec]),_xlfn.XLOOKUP(J46&amp;"-"&amp;E46&amp;"-"&amp;K46,SpecCV[ID],SpecCV[Spec]))</f>
        <v>50</v>
      </c>
      <c r="R46" s="15" t="str">
        <f t="array" ref="R46">if(J46="Contact plate", _xlfn.XLOOKUP(J46&amp;"-"&amp;E46&amp;"-"&amp;K46,SpecCV[ID],SpecCV[Unit]),_xlfn.XLOOKUP(J46&amp;"-"&amp;E46&amp;"-"&amp;K46,SpecCV[ID],SpecCV[Unit]))</f>
        <v>cfu</v>
      </c>
      <c r="S46" s="42"/>
      <c r="T46" s="42"/>
      <c r="U46" s="42"/>
      <c r="V46" s="8" t="b">
        <v>0</v>
      </c>
    </row>
    <row r="47" ht="22.5" customHeight="1">
      <c r="A47" s="8"/>
      <c r="B47" s="8" t="b">
        <v>0</v>
      </c>
      <c r="C47" s="8">
        <v>10.0</v>
      </c>
      <c r="E47" s="8" t="s">
        <v>28</v>
      </c>
      <c r="F47" s="15" t="s">
        <v>33</v>
      </c>
      <c r="G47" s="15" t="s">
        <v>38</v>
      </c>
      <c r="H47" s="15" t="s">
        <v>72</v>
      </c>
      <c r="I47" s="31">
        <v>45901.0</v>
      </c>
      <c r="J47" s="32" t="s">
        <v>30</v>
      </c>
      <c r="K47" s="32" t="s">
        <v>30</v>
      </c>
      <c r="L47" s="32" t="s">
        <v>42</v>
      </c>
      <c r="M47" s="32" t="s">
        <v>45</v>
      </c>
      <c r="N47" s="15">
        <v>2.0</v>
      </c>
      <c r="O47" s="15">
        <v>0.0</v>
      </c>
      <c r="P47" s="15">
        <f t="array" ref="P47">if(O47="","", if(O47=9999,9999,ROUNDUP(_xlfn.XLOOKUP(J47&amp;"-"&amp;E47&amp;"-"&amp;K47,SpecCV[ID],SpecCV[factor])*O47,0)))</f>
        <v>0</v>
      </c>
      <c r="Q47" s="15">
        <f t="array" ref="Q47">if(J47="Contact plate", _xlfn.XLOOKUP(J47&amp;"-"&amp;E47&amp;"-"&amp;K47,SpecCV[ID],SpecCV[Spec]),_xlfn.XLOOKUP(J47&amp;"-"&amp;E47&amp;"-"&amp;K47,SpecCV[ID],SpecCV[Spec]))</f>
        <v>50</v>
      </c>
      <c r="R47" s="15" t="str">
        <f t="array" ref="R47">if(J47="Contact plate", _xlfn.XLOOKUP(J47&amp;"-"&amp;E47&amp;"-"&amp;K47,SpecCV[ID],SpecCV[Unit]),_xlfn.XLOOKUP(J47&amp;"-"&amp;E47&amp;"-"&amp;K47,SpecCV[ID],SpecCV[Unit]))</f>
        <v>cfu</v>
      </c>
      <c r="S47" s="42"/>
      <c r="T47" s="42"/>
      <c r="U47" s="42"/>
      <c r="V47" s="8" t="b">
        <v>0</v>
      </c>
    </row>
    <row r="48" ht="22.5" customHeight="1">
      <c r="A48" s="8"/>
      <c r="B48" s="8" t="b">
        <v>0</v>
      </c>
      <c r="C48" s="8">
        <v>10.0</v>
      </c>
      <c r="E48" s="8" t="s">
        <v>28</v>
      </c>
      <c r="F48" s="15" t="s">
        <v>33</v>
      </c>
      <c r="G48" s="15" t="s">
        <v>75</v>
      </c>
      <c r="H48" s="15" t="s">
        <v>78</v>
      </c>
      <c r="I48" s="31">
        <v>45901.0</v>
      </c>
      <c r="J48" s="32" t="s">
        <v>30</v>
      </c>
      <c r="K48" s="32" t="s">
        <v>30</v>
      </c>
      <c r="L48" s="32" t="s">
        <v>42</v>
      </c>
      <c r="M48" s="32" t="s">
        <v>45</v>
      </c>
      <c r="N48" s="15">
        <v>2.0</v>
      </c>
      <c r="O48" s="15">
        <v>0.0</v>
      </c>
      <c r="P48" s="15">
        <f t="array" ref="P48">if(O48="","", if(O48=9999,9999,ROUNDUP(_xlfn.XLOOKUP(J48&amp;"-"&amp;E48&amp;"-"&amp;K48,SpecCV[ID],SpecCV[factor])*O48,0)))</f>
        <v>0</v>
      </c>
      <c r="Q48" s="15">
        <f t="array" ref="Q48">if(J48="Contact plate", _xlfn.XLOOKUP(J48&amp;"-"&amp;E48&amp;"-"&amp;K48,SpecCV[ID],SpecCV[Spec]),_xlfn.XLOOKUP(J48&amp;"-"&amp;E48&amp;"-"&amp;K48,SpecCV[ID],SpecCV[Spec]))</f>
        <v>50</v>
      </c>
      <c r="R48" s="15" t="str">
        <f t="array" ref="R48">if(J48="Contact plate", _xlfn.XLOOKUP(J48&amp;"-"&amp;E48&amp;"-"&amp;K48,SpecCV[ID],SpecCV[Unit]),_xlfn.XLOOKUP(J48&amp;"-"&amp;E48&amp;"-"&amp;K48,SpecCV[ID],SpecCV[Unit]))</f>
        <v>cfu</v>
      </c>
      <c r="S48" s="42"/>
      <c r="T48" s="42"/>
      <c r="U48" s="42"/>
      <c r="V48" s="8" t="b">
        <v>0</v>
      </c>
    </row>
    <row r="49" ht="22.5" customHeight="1">
      <c r="A49" s="8"/>
      <c r="B49" s="8" t="b">
        <v>0</v>
      </c>
      <c r="C49" s="8">
        <v>10.0</v>
      </c>
      <c r="E49" s="8" t="s">
        <v>28</v>
      </c>
      <c r="F49" s="15" t="s">
        <v>33</v>
      </c>
      <c r="G49" s="15" t="s">
        <v>75</v>
      </c>
      <c r="H49" s="15" t="s">
        <v>81</v>
      </c>
      <c r="I49" s="31">
        <v>45901.0</v>
      </c>
      <c r="J49" s="32" t="s">
        <v>30</v>
      </c>
      <c r="K49" s="32" t="s">
        <v>30</v>
      </c>
      <c r="L49" s="32" t="s">
        <v>42</v>
      </c>
      <c r="M49" s="32" t="s">
        <v>45</v>
      </c>
      <c r="N49" s="15">
        <v>2.0</v>
      </c>
      <c r="O49" s="15">
        <v>3.0</v>
      </c>
      <c r="P49" s="15">
        <f t="array" ref="P49">if(O49="","", if(O49=9999,9999,ROUNDUP(_xlfn.XLOOKUP(J49&amp;"-"&amp;E49&amp;"-"&amp;K49,SpecCV[ID],SpecCV[factor])*O49,0)))</f>
        <v>3</v>
      </c>
      <c r="Q49" s="15">
        <f t="array" ref="Q49">if(J49="Contact plate", _xlfn.XLOOKUP(J49&amp;"-"&amp;E49&amp;"-"&amp;K49,SpecCV[ID],SpecCV[Spec]),_xlfn.XLOOKUP(J49&amp;"-"&amp;E49&amp;"-"&amp;K49,SpecCV[ID],SpecCV[Spec]))</f>
        <v>50</v>
      </c>
      <c r="R49" s="15" t="str">
        <f t="array" ref="R49">if(J49="Contact plate", _xlfn.XLOOKUP(J49&amp;"-"&amp;E49&amp;"-"&amp;K49,SpecCV[ID],SpecCV[Unit]),_xlfn.XLOOKUP(J49&amp;"-"&amp;E49&amp;"-"&amp;K49,SpecCV[ID],SpecCV[Unit]))</f>
        <v>cfu</v>
      </c>
      <c r="S49" s="42"/>
      <c r="T49" s="42"/>
      <c r="U49" s="42"/>
      <c r="V49" s="8" t="b">
        <v>0</v>
      </c>
    </row>
    <row r="50" ht="22.5" customHeight="1">
      <c r="A50" s="8"/>
      <c r="B50" s="8" t="b">
        <v>0</v>
      </c>
      <c r="C50" s="8">
        <v>10.0</v>
      </c>
      <c r="E50" s="8" t="s">
        <v>28</v>
      </c>
      <c r="F50" s="15" t="s">
        <v>33</v>
      </c>
      <c r="G50" s="15" t="s">
        <v>86</v>
      </c>
      <c r="H50" s="15" t="s">
        <v>87</v>
      </c>
      <c r="I50" s="31">
        <v>45901.0</v>
      </c>
      <c r="J50" s="32" t="s">
        <v>30</v>
      </c>
      <c r="K50" s="32" t="s">
        <v>30</v>
      </c>
      <c r="L50" s="32" t="s">
        <v>42</v>
      </c>
      <c r="M50" s="32" t="s">
        <v>45</v>
      </c>
      <c r="N50" s="15">
        <v>2.0</v>
      </c>
      <c r="O50" s="15">
        <v>5.0</v>
      </c>
      <c r="P50" s="15">
        <f t="array" ref="P50">if(O50="","", if(O50=9999,9999,ROUNDUP(_xlfn.XLOOKUP(J50&amp;"-"&amp;E50&amp;"-"&amp;K50,SpecCV[ID],SpecCV[factor])*O50,0)))</f>
        <v>5</v>
      </c>
      <c r="Q50" s="15">
        <f t="array" ref="Q50">if(J50="Contact plate", _xlfn.XLOOKUP(J50&amp;"-"&amp;E50&amp;"-"&amp;K50,SpecCV[ID],SpecCV[Spec]),_xlfn.XLOOKUP(J50&amp;"-"&amp;E50&amp;"-"&amp;K50,SpecCV[ID],SpecCV[Spec]))</f>
        <v>50</v>
      </c>
      <c r="R50" s="15" t="str">
        <f t="array" ref="R50">if(J50="Contact plate", _xlfn.XLOOKUP(J50&amp;"-"&amp;E50&amp;"-"&amp;K50,SpecCV[ID],SpecCV[Unit]),_xlfn.XLOOKUP(J50&amp;"-"&amp;E50&amp;"-"&amp;K50,SpecCV[ID],SpecCV[Unit]))</f>
        <v>cfu</v>
      </c>
      <c r="S50" s="42"/>
      <c r="T50" s="42"/>
      <c r="U50" s="42"/>
      <c r="V50" s="8" t="b">
        <v>0</v>
      </c>
    </row>
    <row r="51" ht="22.5" customHeight="1">
      <c r="A51" s="8"/>
      <c r="B51" s="8" t="b">
        <v>0</v>
      </c>
      <c r="C51" s="8">
        <v>10.0</v>
      </c>
      <c r="E51" s="8" t="s">
        <v>28</v>
      </c>
      <c r="F51" s="15" t="s">
        <v>33</v>
      </c>
      <c r="G51" s="15" t="s">
        <v>86</v>
      </c>
      <c r="H51" s="15" t="s">
        <v>90</v>
      </c>
      <c r="I51" s="31">
        <v>45901.0</v>
      </c>
      <c r="J51" s="32" t="s">
        <v>30</v>
      </c>
      <c r="K51" s="32" t="s">
        <v>30</v>
      </c>
      <c r="L51" s="32" t="s">
        <v>42</v>
      </c>
      <c r="M51" s="32" t="s">
        <v>45</v>
      </c>
      <c r="N51" s="15">
        <v>2.0</v>
      </c>
      <c r="O51" s="15">
        <v>1.0</v>
      </c>
      <c r="P51" s="15">
        <f t="array" ref="P51">if(O51="","", if(O51=9999,9999,ROUNDUP(_xlfn.XLOOKUP(J51&amp;"-"&amp;E51&amp;"-"&amp;K51,SpecCV[ID],SpecCV[factor])*O51,0)))</f>
        <v>1</v>
      </c>
      <c r="Q51" s="15">
        <f t="array" ref="Q51">if(J51="Contact plate", _xlfn.XLOOKUP(J51&amp;"-"&amp;E51&amp;"-"&amp;K51,SpecCV[ID],SpecCV[Spec]),_xlfn.XLOOKUP(J51&amp;"-"&amp;E51&amp;"-"&amp;K51,SpecCV[ID],SpecCV[Spec]))</f>
        <v>50</v>
      </c>
      <c r="R51" s="15" t="str">
        <f t="array" ref="R51">if(J51="Contact plate", _xlfn.XLOOKUP(J51&amp;"-"&amp;E51&amp;"-"&amp;K51,SpecCV[ID],SpecCV[Unit]),_xlfn.XLOOKUP(J51&amp;"-"&amp;E51&amp;"-"&amp;K51,SpecCV[ID],SpecCV[Unit]))</f>
        <v>cfu</v>
      </c>
      <c r="S51" s="42"/>
      <c r="T51" s="42"/>
      <c r="U51" s="42"/>
      <c r="V51" s="8" t="b">
        <v>0</v>
      </c>
    </row>
    <row r="52" ht="22.5" customHeight="1">
      <c r="A52" s="8"/>
      <c r="B52" s="8" t="b">
        <v>0</v>
      </c>
      <c r="C52" s="8">
        <v>10.0</v>
      </c>
      <c r="E52" s="8" t="s">
        <v>28</v>
      </c>
      <c r="F52" s="15" t="s">
        <v>33</v>
      </c>
      <c r="G52" s="15" t="s">
        <v>95</v>
      </c>
      <c r="H52" s="15" t="s">
        <v>96</v>
      </c>
      <c r="I52" s="31">
        <v>45901.0</v>
      </c>
      <c r="J52" s="32" t="s">
        <v>30</v>
      </c>
      <c r="K52" s="32" t="s">
        <v>30</v>
      </c>
      <c r="L52" s="32" t="s">
        <v>42</v>
      </c>
      <c r="M52" s="32" t="s">
        <v>45</v>
      </c>
      <c r="N52" s="15">
        <v>2.0</v>
      </c>
      <c r="O52" s="15">
        <v>0.0</v>
      </c>
      <c r="P52" s="15">
        <f t="array" ref="P52">if(O52="","", if(O52=9999,9999,ROUNDUP(_xlfn.XLOOKUP(J52&amp;"-"&amp;E52&amp;"-"&amp;K52,SpecCV[ID],SpecCV[factor])*O52,0)))</f>
        <v>0</v>
      </c>
      <c r="Q52" s="15">
        <f t="array" ref="Q52">if(J52="Contact plate", _xlfn.XLOOKUP(J52&amp;"-"&amp;E52&amp;"-"&amp;K52,SpecCV[ID],SpecCV[Spec]),_xlfn.XLOOKUP(J52&amp;"-"&amp;E52&amp;"-"&amp;K52,SpecCV[ID],SpecCV[Spec]))</f>
        <v>50</v>
      </c>
      <c r="R52" s="15" t="str">
        <f t="array" ref="R52">if(J52="Contact plate", _xlfn.XLOOKUP(J52&amp;"-"&amp;E52&amp;"-"&amp;K52,SpecCV[ID],SpecCV[Unit]),_xlfn.XLOOKUP(J52&amp;"-"&amp;E52&amp;"-"&amp;K52,SpecCV[ID],SpecCV[Unit]))</f>
        <v>cfu</v>
      </c>
      <c r="S52" s="42"/>
      <c r="T52" s="42"/>
      <c r="U52" s="42"/>
      <c r="V52" s="8" t="b">
        <v>0</v>
      </c>
    </row>
    <row r="53" ht="22.5" customHeight="1">
      <c r="A53" s="8"/>
      <c r="B53" s="8" t="b">
        <v>0</v>
      </c>
      <c r="C53" s="8">
        <v>10.0</v>
      </c>
      <c r="E53" s="8" t="s">
        <v>28</v>
      </c>
      <c r="F53" s="15" t="s">
        <v>33</v>
      </c>
      <c r="G53" s="15" t="s">
        <v>95</v>
      </c>
      <c r="H53" s="15" t="s">
        <v>99</v>
      </c>
      <c r="I53" s="31">
        <v>45901.0</v>
      </c>
      <c r="J53" s="32" t="s">
        <v>30</v>
      </c>
      <c r="K53" s="32" t="s">
        <v>30</v>
      </c>
      <c r="L53" s="32" t="s">
        <v>42</v>
      </c>
      <c r="M53" s="32" t="s">
        <v>45</v>
      </c>
      <c r="N53" s="15">
        <v>2.0</v>
      </c>
      <c r="O53" s="15">
        <v>0.0</v>
      </c>
      <c r="P53" s="15">
        <f t="array" ref="P53">if(O53="","", if(O53=9999,9999,ROUNDUP(_xlfn.XLOOKUP(J53&amp;"-"&amp;E53&amp;"-"&amp;K53,SpecCV[ID],SpecCV[factor])*O53,0)))</f>
        <v>0</v>
      </c>
      <c r="Q53" s="15">
        <f t="array" ref="Q53">if(J53="Contact plate", _xlfn.XLOOKUP(J53&amp;"-"&amp;E53&amp;"-"&amp;K53,SpecCV[ID],SpecCV[Spec]),_xlfn.XLOOKUP(J53&amp;"-"&amp;E53&amp;"-"&amp;K53,SpecCV[ID],SpecCV[Spec]))</f>
        <v>50</v>
      </c>
      <c r="R53" s="15" t="str">
        <f t="array" ref="R53">if(J53="Contact plate", _xlfn.XLOOKUP(J53&amp;"-"&amp;E53&amp;"-"&amp;K53,SpecCV[ID],SpecCV[Unit]),_xlfn.XLOOKUP(J53&amp;"-"&amp;E53&amp;"-"&amp;K53,SpecCV[ID],SpecCV[Unit]))</f>
        <v>cfu</v>
      </c>
      <c r="S53" s="42"/>
      <c r="T53" s="42"/>
      <c r="U53" s="42"/>
      <c r="V53" s="8" t="b">
        <v>0</v>
      </c>
    </row>
    <row r="54" ht="22.5" customHeight="1">
      <c r="A54" s="8"/>
      <c r="B54" s="8" t="b">
        <v>0</v>
      </c>
      <c r="C54" s="8">
        <v>10.0</v>
      </c>
      <c r="D54" s="28"/>
      <c r="E54" s="8" t="s">
        <v>28</v>
      </c>
      <c r="F54" s="15" t="s">
        <v>135</v>
      </c>
      <c r="G54" s="15" t="s">
        <v>216</v>
      </c>
      <c r="H54" s="15" t="s">
        <v>217</v>
      </c>
      <c r="I54" s="31">
        <v>45902.0</v>
      </c>
      <c r="J54" s="32" t="s">
        <v>30</v>
      </c>
      <c r="K54" s="32" t="s">
        <v>30</v>
      </c>
      <c r="L54" s="32" t="s">
        <v>42</v>
      </c>
      <c r="M54" s="32" t="s">
        <v>45</v>
      </c>
      <c r="N54" s="15">
        <v>1.0</v>
      </c>
      <c r="O54" s="15">
        <v>3.0</v>
      </c>
      <c r="P54" s="15">
        <f t="array" ref="P54">if(O54="","", if(O54=9999,9999,ROUNDUP(_xlfn.XLOOKUP(J54&amp;"-"&amp;E54&amp;"-"&amp;K54,SpecCV[ID],SpecCV[factor])*O54,0)))</f>
        <v>3</v>
      </c>
      <c r="Q54" s="15">
        <f t="array" ref="Q54">if(J54="Contact plate", _xlfn.XLOOKUP(J54&amp;"-"&amp;E54&amp;"-"&amp;K54,SpecCV[ID],SpecCV[Spec]),_xlfn.XLOOKUP(J54&amp;"-"&amp;E54&amp;"-"&amp;K54,SpecCV[ID],SpecCV[Spec]))</f>
        <v>50</v>
      </c>
      <c r="R54" s="15" t="str">
        <f t="array" ref="R54">if(J54="Contact plate", _xlfn.XLOOKUP(J54&amp;"-"&amp;E54&amp;"-"&amp;K54,SpecCV[ID],SpecCV[Unit]),_xlfn.XLOOKUP(J54&amp;"-"&amp;E54&amp;"-"&amp;K54,SpecCV[ID],SpecCV[Unit]))</f>
        <v>cfu</v>
      </c>
      <c r="S54" s="42"/>
      <c r="T54" s="42"/>
      <c r="U54" s="42"/>
      <c r="V54" s="8" t="b">
        <v>0</v>
      </c>
    </row>
    <row r="55" ht="22.5" customHeight="1">
      <c r="A55" s="8"/>
      <c r="B55" s="8" t="b">
        <v>0</v>
      </c>
      <c r="C55" s="8">
        <v>10.0</v>
      </c>
      <c r="D55" s="28"/>
      <c r="E55" s="8" t="s">
        <v>28</v>
      </c>
      <c r="F55" s="15" t="s">
        <v>135</v>
      </c>
      <c r="G55" s="15" t="s">
        <v>216</v>
      </c>
      <c r="H55" s="15" t="s">
        <v>218</v>
      </c>
      <c r="I55" s="31">
        <v>45902.0</v>
      </c>
      <c r="J55" s="32" t="s">
        <v>30</v>
      </c>
      <c r="K55" s="32" t="s">
        <v>30</v>
      </c>
      <c r="L55" s="32" t="s">
        <v>42</v>
      </c>
      <c r="M55" s="32" t="s">
        <v>45</v>
      </c>
      <c r="N55" s="15">
        <v>1.0</v>
      </c>
      <c r="O55" s="15">
        <v>1.0</v>
      </c>
      <c r="P55" s="15">
        <f t="array" ref="P55">if(O55="","", if(O55=9999,9999,ROUNDUP(_xlfn.XLOOKUP(J55&amp;"-"&amp;E55&amp;"-"&amp;K55,SpecCV[ID],SpecCV[factor])*O55,0)))</f>
        <v>1</v>
      </c>
      <c r="Q55" s="15">
        <f t="array" ref="Q55">if(J55="Contact plate", _xlfn.XLOOKUP(J55&amp;"-"&amp;E55&amp;"-"&amp;K55,SpecCV[ID],SpecCV[Spec]),_xlfn.XLOOKUP(J55&amp;"-"&amp;E55&amp;"-"&amp;K55,SpecCV[ID],SpecCV[Spec]))</f>
        <v>50</v>
      </c>
      <c r="R55" s="15" t="str">
        <f t="array" ref="R55">if(J55="Contact plate", _xlfn.XLOOKUP(J55&amp;"-"&amp;E55&amp;"-"&amp;K55,SpecCV[ID],SpecCV[Unit]),_xlfn.XLOOKUP(J55&amp;"-"&amp;E55&amp;"-"&amp;K55,SpecCV[ID],SpecCV[Unit]))</f>
        <v>cfu</v>
      </c>
      <c r="S55" s="42"/>
      <c r="T55" s="42"/>
      <c r="U55" s="42"/>
      <c r="V55" s="8" t="b">
        <v>0</v>
      </c>
    </row>
    <row r="56" ht="22.5" customHeight="1">
      <c r="A56" s="8"/>
      <c r="B56" s="8" t="b">
        <v>0</v>
      </c>
      <c r="C56" s="8">
        <v>10.0</v>
      </c>
      <c r="D56" s="28"/>
      <c r="E56" s="8" t="s">
        <v>28</v>
      </c>
      <c r="F56" s="15" t="s">
        <v>135</v>
      </c>
      <c r="G56" s="15" t="s">
        <v>216</v>
      </c>
      <c r="H56" s="15" t="s">
        <v>219</v>
      </c>
      <c r="I56" s="31">
        <v>45902.0</v>
      </c>
      <c r="J56" s="32" t="s">
        <v>30</v>
      </c>
      <c r="K56" s="32" t="s">
        <v>30</v>
      </c>
      <c r="L56" s="32" t="s">
        <v>42</v>
      </c>
      <c r="M56" s="32" t="s">
        <v>45</v>
      </c>
      <c r="N56" s="15">
        <v>1.0</v>
      </c>
      <c r="O56" s="15">
        <v>0.0</v>
      </c>
      <c r="P56" s="15">
        <f t="array" ref="P56">if(O56="","", if(O56=9999,9999,ROUNDUP(_xlfn.XLOOKUP(J56&amp;"-"&amp;E56&amp;"-"&amp;K56,SpecCV[ID],SpecCV[factor])*O56,0)))</f>
        <v>0</v>
      </c>
      <c r="Q56" s="15">
        <f t="array" ref="Q56">if(J56="Contact plate", _xlfn.XLOOKUP(J56&amp;"-"&amp;E56&amp;"-"&amp;K56,SpecCV[ID],SpecCV[Spec]),_xlfn.XLOOKUP(J56&amp;"-"&amp;E56&amp;"-"&amp;K56,SpecCV[ID],SpecCV[Spec]))</f>
        <v>50</v>
      </c>
      <c r="R56" s="15" t="str">
        <f t="array" ref="R56">if(J56="Contact plate", _xlfn.XLOOKUP(J56&amp;"-"&amp;E56&amp;"-"&amp;K56,SpecCV[ID],SpecCV[Unit]),_xlfn.XLOOKUP(J56&amp;"-"&amp;E56&amp;"-"&amp;K56,SpecCV[ID],SpecCV[Unit]))</f>
        <v>cfu</v>
      </c>
      <c r="S56" s="42"/>
      <c r="T56" s="42"/>
      <c r="U56" s="42"/>
      <c r="V56" s="8" t="b">
        <v>0</v>
      </c>
    </row>
    <row r="57" ht="22.5" customHeight="1">
      <c r="A57" s="8"/>
      <c r="B57" s="8" t="b">
        <v>0</v>
      </c>
      <c r="C57" s="8">
        <v>10.0</v>
      </c>
      <c r="D57" s="28"/>
      <c r="E57" s="8" t="s">
        <v>28</v>
      </c>
      <c r="F57" s="15" t="s">
        <v>135</v>
      </c>
      <c r="G57" s="15" t="s">
        <v>162</v>
      </c>
      <c r="H57" s="15" t="s">
        <v>165</v>
      </c>
      <c r="I57" s="31">
        <v>45904.0</v>
      </c>
      <c r="J57" s="32" t="s">
        <v>30</v>
      </c>
      <c r="K57" s="32" t="s">
        <v>30</v>
      </c>
      <c r="L57" s="32" t="s">
        <v>220</v>
      </c>
      <c r="M57" s="32" t="s">
        <v>45</v>
      </c>
      <c r="N57" s="15">
        <v>1.0</v>
      </c>
      <c r="O57" s="15">
        <v>0.0</v>
      </c>
      <c r="P57" s="15">
        <f t="array" ref="P57">if(O57="","", if(O57=9999,9999,ROUNDUP(_xlfn.XLOOKUP(J57&amp;"-"&amp;E57&amp;"-"&amp;K57,SpecCV[ID],SpecCV[factor])*O57,0)))</f>
        <v>0</v>
      </c>
      <c r="Q57" s="15">
        <f t="array" ref="Q57">if(J57="Contact plate", _xlfn.XLOOKUP(J57&amp;"-"&amp;E57&amp;"-"&amp;K57,SpecCV[ID],SpecCV[Spec]),_xlfn.XLOOKUP(J57&amp;"-"&amp;E57&amp;"-"&amp;K57,SpecCV[ID],SpecCV[Spec]))</f>
        <v>50</v>
      </c>
      <c r="R57" s="15" t="str">
        <f t="array" ref="R57">if(J57="Contact plate", _xlfn.XLOOKUP(J57&amp;"-"&amp;E57&amp;"-"&amp;K57,SpecCV[ID],SpecCV[Unit]),_xlfn.XLOOKUP(J57&amp;"-"&amp;E57&amp;"-"&amp;K57,SpecCV[ID],SpecCV[Unit]))</f>
        <v>cfu</v>
      </c>
      <c r="S57" s="42"/>
      <c r="T57" s="42"/>
      <c r="U57" s="42"/>
      <c r="V57" s="8" t="b">
        <v>0</v>
      </c>
    </row>
    <row r="58" ht="22.5" customHeight="1">
      <c r="A58" s="8"/>
      <c r="B58" s="8" t="b">
        <v>0</v>
      </c>
      <c r="C58" s="8">
        <v>10.0</v>
      </c>
      <c r="D58" s="28"/>
      <c r="E58" s="8" t="s">
        <v>28</v>
      </c>
      <c r="F58" s="15" t="s">
        <v>135</v>
      </c>
      <c r="G58" s="15" t="s">
        <v>162</v>
      </c>
      <c r="H58" s="15" t="s">
        <v>168</v>
      </c>
      <c r="I58" s="31">
        <v>45904.0</v>
      </c>
      <c r="J58" s="32" t="s">
        <v>30</v>
      </c>
      <c r="K58" s="32" t="s">
        <v>30</v>
      </c>
      <c r="L58" s="32" t="s">
        <v>220</v>
      </c>
      <c r="M58" s="32" t="s">
        <v>45</v>
      </c>
      <c r="N58" s="15">
        <v>1.0</v>
      </c>
      <c r="O58" s="15">
        <v>0.0</v>
      </c>
      <c r="P58" s="15">
        <f t="array" ref="P58">if(O58="","", if(O58=9999,9999,ROUNDUP(_xlfn.XLOOKUP(J58&amp;"-"&amp;E58&amp;"-"&amp;K58,SpecCV[ID],SpecCV[factor])*O58,0)))</f>
        <v>0</v>
      </c>
      <c r="Q58" s="15">
        <f t="array" ref="Q58">if(J58="Contact plate", _xlfn.XLOOKUP(J58&amp;"-"&amp;E58&amp;"-"&amp;K58,SpecCV[ID],SpecCV[Spec]),_xlfn.XLOOKUP(J58&amp;"-"&amp;E58&amp;"-"&amp;K58,SpecCV[ID],SpecCV[Spec]))</f>
        <v>50</v>
      </c>
      <c r="R58" s="15" t="str">
        <f t="array" ref="R58">if(J58="Contact plate", _xlfn.XLOOKUP(J58&amp;"-"&amp;E58&amp;"-"&amp;K58,SpecCV[ID],SpecCV[Unit]),_xlfn.XLOOKUP(J58&amp;"-"&amp;E58&amp;"-"&amp;K58,SpecCV[ID],SpecCV[Unit]))</f>
        <v>cfu</v>
      </c>
      <c r="S58" s="42"/>
      <c r="T58" s="42"/>
      <c r="U58" s="42"/>
      <c r="V58" s="8" t="b">
        <v>0</v>
      </c>
    </row>
    <row r="59" ht="22.5" customHeight="1">
      <c r="A59" s="8"/>
      <c r="B59" s="8" t="b">
        <v>0</v>
      </c>
      <c r="C59" s="8">
        <v>10.0</v>
      </c>
      <c r="D59" s="28"/>
      <c r="E59" s="8" t="s">
        <v>28</v>
      </c>
      <c r="F59" s="15" t="s">
        <v>135</v>
      </c>
      <c r="G59" s="15" t="s">
        <v>162</v>
      </c>
      <c r="H59" s="15" t="s">
        <v>171</v>
      </c>
      <c r="I59" s="31">
        <v>45904.0</v>
      </c>
      <c r="J59" s="32" t="s">
        <v>30</v>
      </c>
      <c r="K59" s="32" t="s">
        <v>30</v>
      </c>
      <c r="L59" s="32" t="s">
        <v>220</v>
      </c>
      <c r="M59" s="32" t="s">
        <v>45</v>
      </c>
      <c r="N59" s="15">
        <v>1.0</v>
      </c>
      <c r="O59" s="15">
        <v>0.0</v>
      </c>
      <c r="P59" s="15">
        <f t="array" ref="P59">if(O59="","", if(O59=9999,9999,ROUNDUP(_xlfn.XLOOKUP(J59&amp;"-"&amp;E59&amp;"-"&amp;K59,SpecCV[ID],SpecCV[factor])*O59,0)))</f>
        <v>0</v>
      </c>
      <c r="Q59" s="15">
        <f t="array" ref="Q59">if(J59="Contact plate", _xlfn.XLOOKUP(J59&amp;"-"&amp;E59&amp;"-"&amp;K59,SpecCV[ID],SpecCV[Spec]),_xlfn.XLOOKUP(J59&amp;"-"&amp;E59&amp;"-"&amp;K59,SpecCV[ID],SpecCV[Spec]))</f>
        <v>50</v>
      </c>
      <c r="R59" s="15" t="str">
        <f t="array" ref="R59">if(J59="Contact plate", _xlfn.XLOOKUP(J59&amp;"-"&amp;E59&amp;"-"&amp;K59,SpecCV[ID],SpecCV[Unit]),_xlfn.XLOOKUP(J59&amp;"-"&amp;E59&amp;"-"&amp;K59,SpecCV[ID],SpecCV[Unit]))</f>
        <v>cfu</v>
      </c>
      <c r="S59" s="42"/>
      <c r="T59" s="42"/>
      <c r="U59" s="42"/>
      <c r="V59" s="8" t="b">
        <v>0</v>
      </c>
    </row>
    <row r="60" ht="22.5" customHeight="1">
      <c r="A60" s="8"/>
      <c r="B60" s="8" t="b">
        <v>0</v>
      </c>
      <c r="C60" s="8">
        <v>10.0</v>
      </c>
      <c r="E60" s="8" t="s">
        <v>28</v>
      </c>
      <c r="F60" s="15" t="s">
        <v>33</v>
      </c>
      <c r="G60" s="15" t="s">
        <v>102</v>
      </c>
      <c r="H60" s="15" t="s">
        <v>105</v>
      </c>
      <c r="I60" s="31">
        <v>45905.0</v>
      </c>
      <c r="J60" s="32" t="s">
        <v>30</v>
      </c>
      <c r="K60" s="32" t="s">
        <v>30</v>
      </c>
      <c r="L60" s="32" t="s">
        <v>42</v>
      </c>
      <c r="M60" s="32" t="s">
        <v>45</v>
      </c>
      <c r="N60" s="15">
        <v>2.0</v>
      </c>
      <c r="O60" s="15">
        <v>1.0</v>
      </c>
      <c r="P60" s="15">
        <f t="array" ref="P60">if(O60="","", if(O60=9999,9999,ROUNDUP(_xlfn.XLOOKUP(J60&amp;"-"&amp;E60&amp;"-"&amp;K60,SpecCV[ID],SpecCV[factor])*O60,0)))</f>
        <v>1</v>
      </c>
      <c r="Q60" s="15">
        <f t="array" ref="Q60">if(J60="Contact plate", _xlfn.XLOOKUP(J60&amp;"-"&amp;E60&amp;"-"&amp;K60,SpecCV[ID],SpecCV[Spec]),_xlfn.XLOOKUP(J60&amp;"-"&amp;E60&amp;"-"&amp;K60,SpecCV[ID],SpecCV[Spec]))</f>
        <v>50</v>
      </c>
      <c r="R60" s="15" t="str">
        <f t="array" ref="R60">if(J60="Contact plate", _xlfn.XLOOKUP(J60&amp;"-"&amp;E60&amp;"-"&amp;K60,SpecCV[ID],SpecCV[Unit]),_xlfn.XLOOKUP(J60&amp;"-"&amp;E60&amp;"-"&amp;K60,SpecCV[ID],SpecCV[Unit]))</f>
        <v>cfu</v>
      </c>
      <c r="S60" s="42"/>
      <c r="T60" s="42"/>
      <c r="U60" s="42"/>
      <c r="V60" s="8" t="b">
        <v>0</v>
      </c>
    </row>
    <row r="61" ht="22.5" customHeight="1">
      <c r="A61" s="8"/>
      <c r="B61" s="8" t="b">
        <v>0</v>
      </c>
      <c r="C61" s="8">
        <v>10.0</v>
      </c>
      <c r="E61" s="8" t="s">
        <v>28</v>
      </c>
      <c r="F61" s="15" t="s">
        <v>33</v>
      </c>
      <c r="G61" s="15" t="s">
        <v>102</v>
      </c>
      <c r="H61" s="15" t="s">
        <v>108</v>
      </c>
      <c r="I61" s="31">
        <v>45905.0</v>
      </c>
      <c r="J61" s="32" t="s">
        <v>30</v>
      </c>
      <c r="K61" s="32" t="s">
        <v>30</v>
      </c>
      <c r="L61" s="32" t="s">
        <v>42</v>
      </c>
      <c r="M61" s="32" t="s">
        <v>45</v>
      </c>
      <c r="N61" s="15">
        <v>2.0</v>
      </c>
      <c r="O61" s="15">
        <v>1.0</v>
      </c>
      <c r="P61" s="15">
        <f t="array" ref="P61">if(O61="","", if(O61=9999,9999,ROUNDUP(_xlfn.XLOOKUP(J61&amp;"-"&amp;E61&amp;"-"&amp;K61,SpecCV[ID],SpecCV[factor])*O61,0)))</f>
        <v>1</v>
      </c>
      <c r="Q61" s="15">
        <f t="array" ref="Q61">if(J61="Contact plate", _xlfn.XLOOKUP(J61&amp;"-"&amp;E61&amp;"-"&amp;K61,SpecCV[ID],SpecCV[Spec]),_xlfn.XLOOKUP(J61&amp;"-"&amp;E61&amp;"-"&amp;K61,SpecCV[ID],SpecCV[Spec]))</f>
        <v>50</v>
      </c>
      <c r="R61" s="15" t="str">
        <f t="array" ref="R61">if(J61="Contact plate", _xlfn.XLOOKUP(J61&amp;"-"&amp;E61&amp;"-"&amp;K61,SpecCV[ID],SpecCV[Unit]),_xlfn.XLOOKUP(J61&amp;"-"&amp;E61&amp;"-"&amp;K61,SpecCV[ID],SpecCV[Unit]))</f>
        <v>cfu</v>
      </c>
      <c r="S61" s="42"/>
      <c r="T61" s="42"/>
      <c r="U61" s="42"/>
      <c r="V61" s="8" t="b">
        <v>0</v>
      </c>
    </row>
    <row r="62" ht="22.5" customHeight="1">
      <c r="A62" s="8"/>
      <c r="B62" s="8" t="b">
        <v>0</v>
      </c>
      <c r="C62" s="8">
        <v>10.0</v>
      </c>
      <c r="E62" s="8" t="s">
        <v>28</v>
      </c>
      <c r="F62" s="15" t="s">
        <v>33</v>
      </c>
      <c r="G62" s="15" t="s">
        <v>102</v>
      </c>
      <c r="H62" s="15" t="s">
        <v>111</v>
      </c>
      <c r="I62" s="31">
        <v>45905.0</v>
      </c>
      <c r="J62" s="32" t="s">
        <v>30</v>
      </c>
      <c r="K62" s="32" t="s">
        <v>30</v>
      </c>
      <c r="L62" s="32" t="s">
        <v>42</v>
      </c>
      <c r="M62" s="32" t="s">
        <v>45</v>
      </c>
      <c r="N62" s="15">
        <v>2.0</v>
      </c>
      <c r="O62" s="15">
        <v>0.0</v>
      </c>
      <c r="P62" s="15">
        <f t="array" ref="P62">if(O62="","", if(O62=9999,9999,ROUNDUP(_xlfn.XLOOKUP(J62&amp;"-"&amp;E62&amp;"-"&amp;K62,SpecCV[ID],SpecCV[factor])*O62,0)))</f>
        <v>0</v>
      </c>
      <c r="Q62" s="15">
        <f t="array" ref="Q62">if(J62="Contact plate", _xlfn.XLOOKUP(J62&amp;"-"&amp;E62&amp;"-"&amp;K62,SpecCV[ID],SpecCV[Spec]),_xlfn.XLOOKUP(J62&amp;"-"&amp;E62&amp;"-"&amp;K62,SpecCV[ID],SpecCV[Spec]))</f>
        <v>50</v>
      </c>
      <c r="R62" s="15" t="str">
        <f t="array" ref="R62">if(J62="Contact plate", _xlfn.XLOOKUP(J62&amp;"-"&amp;E62&amp;"-"&amp;K62,SpecCV[ID],SpecCV[Unit]),_xlfn.XLOOKUP(J62&amp;"-"&amp;E62&amp;"-"&amp;K62,SpecCV[ID],SpecCV[Unit]))</f>
        <v>cfu</v>
      </c>
      <c r="S62" s="42"/>
      <c r="T62" s="42"/>
      <c r="U62" s="42"/>
      <c r="V62" s="8" t="b">
        <v>0</v>
      </c>
    </row>
    <row r="63" ht="22.5" customHeight="1">
      <c r="A63" s="8"/>
      <c r="B63" s="8" t="b">
        <v>0</v>
      </c>
      <c r="C63" s="8">
        <v>10.0</v>
      </c>
      <c r="E63" s="8" t="s">
        <v>28</v>
      </c>
      <c r="F63" s="15" t="s">
        <v>33</v>
      </c>
      <c r="G63" s="15" t="s">
        <v>102</v>
      </c>
      <c r="H63" s="15" t="s">
        <v>116</v>
      </c>
      <c r="I63" s="31">
        <v>45905.0</v>
      </c>
      <c r="J63" s="32" t="s">
        <v>30</v>
      </c>
      <c r="K63" s="32" t="s">
        <v>30</v>
      </c>
      <c r="L63" s="32" t="s">
        <v>42</v>
      </c>
      <c r="M63" s="32" t="s">
        <v>45</v>
      </c>
      <c r="N63" s="15">
        <v>2.0</v>
      </c>
      <c r="O63" s="15">
        <v>0.0</v>
      </c>
      <c r="P63" s="15">
        <f t="array" ref="P63">if(O63="","", if(O63=9999,9999,ROUNDUP(_xlfn.XLOOKUP(J63&amp;"-"&amp;E63&amp;"-"&amp;K63,SpecCV[ID],SpecCV[factor])*O63,0)))</f>
        <v>0</v>
      </c>
      <c r="Q63" s="15">
        <f t="array" ref="Q63">if(J63="Contact plate", _xlfn.XLOOKUP(J63&amp;"-"&amp;E63&amp;"-"&amp;K63,SpecCV[ID],SpecCV[Spec]),_xlfn.XLOOKUP(J63&amp;"-"&amp;E63&amp;"-"&amp;K63,SpecCV[ID],SpecCV[Spec]))</f>
        <v>50</v>
      </c>
      <c r="R63" s="15" t="str">
        <f t="array" ref="R63">if(J63="Contact plate", _xlfn.XLOOKUP(J63&amp;"-"&amp;E63&amp;"-"&amp;K63,SpecCV[ID],SpecCV[Unit]),_xlfn.XLOOKUP(J63&amp;"-"&amp;E63&amp;"-"&amp;K63,SpecCV[ID],SpecCV[Unit]))</f>
        <v>cfu</v>
      </c>
      <c r="S63" s="42"/>
      <c r="T63" s="42"/>
      <c r="U63" s="42"/>
      <c r="V63" s="8" t="b">
        <v>0</v>
      </c>
    </row>
    <row r="64" ht="22.5" customHeight="1">
      <c r="A64" s="8"/>
      <c r="B64" s="8" t="b">
        <v>0</v>
      </c>
      <c r="C64" s="8">
        <v>10.0</v>
      </c>
      <c r="E64" s="8" t="s">
        <v>28</v>
      </c>
      <c r="F64" s="15" t="s">
        <v>33</v>
      </c>
      <c r="G64" s="15" t="s">
        <v>119</v>
      </c>
      <c r="H64" s="15" t="s">
        <v>120</v>
      </c>
      <c r="I64" s="31">
        <v>45905.0</v>
      </c>
      <c r="J64" s="32" t="s">
        <v>30</v>
      </c>
      <c r="K64" s="32" t="s">
        <v>30</v>
      </c>
      <c r="L64" s="32" t="s">
        <v>42</v>
      </c>
      <c r="M64" s="32" t="s">
        <v>45</v>
      </c>
      <c r="N64" s="15">
        <v>2.0</v>
      </c>
      <c r="O64" s="15">
        <v>385.0</v>
      </c>
      <c r="P64" s="15">
        <f t="array" ref="P64">if(O64="","", if(O64=9999,9999,ROUNDUP(_xlfn.XLOOKUP(J64&amp;"-"&amp;E64&amp;"-"&amp;K64,SpecCV[ID],SpecCV[factor])*O64,0)))</f>
        <v>385</v>
      </c>
      <c r="Q64" s="15">
        <f t="array" ref="Q64">if(J64="Contact plate", _xlfn.XLOOKUP(J64&amp;"-"&amp;E64&amp;"-"&amp;K64,SpecCV[ID],SpecCV[Spec]),_xlfn.XLOOKUP(J64&amp;"-"&amp;E64&amp;"-"&amp;K64,SpecCV[ID],SpecCV[Spec]))</f>
        <v>50</v>
      </c>
      <c r="R64" s="15" t="str">
        <f t="array" ref="R64">if(J64="Contact plate", _xlfn.XLOOKUP(J64&amp;"-"&amp;E64&amp;"-"&amp;K64,SpecCV[ID],SpecCV[Unit]),_xlfn.XLOOKUP(J64&amp;"-"&amp;E64&amp;"-"&amp;K64,SpecCV[ID],SpecCV[Unit]))</f>
        <v>cfu</v>
      </c>
      <c r="S64" s="42"/>
      <c r="T64" s="42"/>
      <c r="U64" s="42"/>
      <c r="V64" s="8" t="b">
        <v>0</v>
      </c>
    </row>
    <row r="65" ht="22.5" customHeight="1">
      <c r="A65" s="8"/>
      <c r="B65" s="8" t="b">
        <v>0</v>
      </c>
      <c r="C65" s="8">
        <v>10.0</v>
      </c>
      <c r="E65" s="8" t="s">
        <v>28</v>
      </c>
      <c r="F65" s="15" t="s">
        <v>33</v>
      </c>
      <c r="G65" s="15" t="s">
        <v>119</v>
      </c>
      <c r="H65" s="15" t="s">
        <v>123</v>
      </c>
      <c r="I65" s="31">
        <v>45905.0</v>
      </c>
      <c r="J65" s="32" t="s">
        <v>30</v>
      </c>
      <c r="K65" s="32" t="s">
        <v>30</v>
      </c>
      <c r="L65" s="32" t="s">
        <v>42</v>
      </c>
      <c r="M65" s="32" t="s">
        <v>45</v>
      </c>
      <c r="N65" s="15">
        <v>2.0</v>
      </c>
      <c r="O65" s="15">
        <v>31.0</v>
      </c>
      <c r="P65" s="15">
        <f t="array" ref="P65">if(O65="","", if(O65=9999,9999,ROUNDUP(_xlfn.XLOOKUP(J65&amp;"-"&amp;E65&amp;"-"&amp;K65,SpecCV[ID],SpecCV[factor])*O65,0)))</f>
        <v>31</v>
      </c>
      <c r="Q65" s="15">
        <f t="array" ref="Q65">if(J65="Contact plate", _xlfn.XLOOKUP(J65&amp;"-"&amp;E65&amp;"-"&amp;K65,SpecCV[ID],SpecCV[Spec]),_xlfn.XLOOKUP(J65&amp;"-"&amp;E65&amp;"-"&amp;K65,SpecCV[ID],SpecCV[Spec]))</f>
        <v>50</v>
      </c>
      <c r="R65" s="15" t="str">
        <f t="array" ref="R65">if(J65="Contact plate", _xlfn.XLOOKUP(J65&amp;"-"&amp;E65&amp;"-"&amp;K65,SpecCV[ID],SpecCV[Unit]),_xlfn.XLOOKUP(J65&amp;"-"&amp;E65&amp;"-"&amp;K65,SpecCV[ID],SpecCV[Unit]))</f>
        <v>cfu</v>
      </c>
      <c r="S65" s="42"/>
      <c r="T65" s="42"/>
      <c r="U65" s="42"/>
      <c r="V65" s="8" t="b">
        <v>0</v>
      </c>
    </row>
    <row r="66" ht="22.5" customHeight="1">
      <c r="A66" s="8"/>
      <c r="B66" s="8" t="b">
        <v>0</v>
      </c>
      <c r="C66" s="8">
        <v>10.0</v>
      </c>
      <c r="E66" s="8" t="s">
        <v>28</v>
      </c>
      <c r="F66" s="15" t="s">
        <v>33</v>
      </c>
      <c r="G66" s="15" t="s">
        <v>127</v>
      </c>
      <c r="H66" s="15" t="s">
        <v>129</v>
      </c>
      <c r="I66" s="31">
        <v>45905.0</v>
      </c>
      <c r="J66" s="32" t="s">
        <v>30</v>
      </c>
      <c r="K66" s="32" t="s">
        <v>30</v>
      </c>
      <c r="L66" s="32" t="s">
        <v>42</v>
      </c>
      <c r="M66" s="32" t="s">
        <v>45</v>
      </c>
      <c r="N66" s="15">
        <v>2.0</v>
      </c>
      <c r="O66" s="15">
        <v>0.0</v>
      </c>
      <c r="P66" s="15">
        <f t="array" ref="P66">if(O66="","", if(O66=9999,9999,ROUNDUP(_xlfn.XLOOKUP(J66&amp;"-"&amp;E66&amp;"-"&amp;K66,SpecCV[ID],SpecCV[factor])*O66,0)))</f>
        <v>0</v>
      </c>
      <c r="Q66" s="15">
        <f t="array" ref="Q66">if(J66="Contact plate", _xlfn.XLOOKUP(J66&amp;"-"&amp;E66&amp;"-"&amp;K66,SpecCV[ID],SpecCV[Spec]),_xlfn.XLOOKUP(J66&amp;"-"&amp;E66&amp;"-"&amp;K66,SpecCV[ID],SpecCV[Spec]))</f>
        <v>50</v>
      </c>
      <c r="R66" s="15" t="str">
        <f t="array" ref="R66">if(J66="Contact plate", _xlfn.XLOOKUP(J66&amp;"-"&amp;E66&amp;"-"&amp;K66,SpecCV[ID],SpecCV[Unit]),_xlfn.XLOOKUP(J66&amp;"-"&amp;E66&amp;"-"&amp;K66,SpecCV[ID],SpecCV[Unit]))</f>
        <v>cfu</v>
      </c>
      <c r="S66" s="42"/>
      <c r="T66" s="42"/>
      <c r="U66" s="42"/>
      <c r="V66" s="8" t="b">
        <v>0</v>
      </c>
    </row>
    <row r="67" ht="22.5" customHeight="1">
      <c r="A67" s="8"/>
      <c r="B67" s="8" t="b">
        <v>0</v>
      </c>
      <c r="C67" s="8">
        <v>10.0</v>
      </c>
      <c r="E67" s="8" t="s">
        <v>28</v>
      </c>
      <c r="F67" s="15" t="s">
        <v>33</v>
      </c>
      <c r="G67" s="15" t="s">
        <v>127</v>
      </c>
      <c r="H67" s="15" t="s">
        <v>132</v>
      </c>
      <c r="I67" s="31">
        <v>45905.0</v>
      </c>
      <c r="J67" s="32" t="s">
        <v>30</v>
      </c>
      <c r="K67" s="32" t="s">
        <v>30</v>
      </c>
      <c r="L67" s="32" t="s">
        <v>42</v>
      </c>
      <c r="M67" s="32" t="s">
        <v>45</v>
      </c>
      <c r="N67" s="15">
        <v>2.0</v>
      </c>
      <c r="O67" s="15">
        <v>5.0</v>
      </c>
      <c r="P67" s="15">
        <f t="array" ref="P67">if(O67="","", if(O67=9999,9999,ROUNDUP(_xlfn.XLOOKUP(J67&amp;"-"&amp;E67&amp;"-"&amp;K67,SpecCV[ID],SpecCV[factor])*O67,0)))</f>
        <v>5</v>
      </c>
      <c r="Q67" s="15">
        <f t="array" ref="Q67">if(J67="Contact plate", _xlfn.XLOOKUP(J67&amp;"-"&amp;E67&amp;"-"&amp;K67,SpecCV[ID],SpecCV[Spec]),_xlfn.XLOOKUP(J67&amp;"-"&amp;E67&amp;"-"&amp;K67,SpecCV[ID],SpecCV[Spec]))</f>
        <v>50</v>
      </c>
      <c r="R67" s="15" t="str">
        <f t="array" ref="R67">if(J67="Contact plate", _xlfn.XLOOKUP(J67&amp;"-"&amp;E67&amp;"-"&amp;K67,SpecCV[ID],SpecCV[Unit]),_xlfn.XLOOKUP(J67&amp;"-"&amp;E67&amp;"-"&amp;K67,SpecCV[ID],SpecCV[Unit]))</f>
        <v>cfu</v>
      </c>
      <c r="S67" s="42"/>
      <c r="T67" s="42"/>
      <c r="U67" s="42"/>
      <c r="V67" s="8" t="b">
        <v>0</v>
      </c>
    </row>
    <row r="68" ht="22.5" customHeight="1">
      <c r="A68" s="8"/>
      <c r="B68" s="8" t="b">
        <v>0</v>
      </c>
      <c r="C68" s="8">
        <v>10.0</v>
      </c>
      <c r="D68" s="28"/>
      <c r="E68" s="8" t="s">
        <v>28</v>
      </c>
      <c r="F68" s="15" t="s">
        <v>135</v>
      </c>
      <c r="G68" s="15" t="s">
        <v>216</v>
      </c>
      <c r="H68" s="15" t="s">
        <v>217</v>
      </c>
      <c r="I68" s="31">
        <v>45908.0</v>
      </c>
      <c r="J68" s="32" t="s">
        <v>30</v>
      </c>
      <c r="K68" s="32" t="s">
        <v>30</v>
      </c>
      <c r="L68" s="32" t="s">
        <v>220</v>
      </c>
      <c r="M68" s="32" t="s">
        <v>45</v>
      </c>
      <c r="N68" s="15">
        <v>1.0</v>
      </c>
      <c r="O68" s="15">
        <v>0.0</v>
      </c>
      <c r="P68" s="15">
        <f t="array" ref="P68">if(O68="","", if(O68=9999,9999,ROUNDUP(_xlfn.XLOOKUP(J68&amp;"-"&amp;E68&amp;"-"&amp;K68,SpecCV[ID],SpecCV[factor])*O68,0)))</f>
        <v>0</v>
      </c>
      <c r="Q68" s="15">
        <f t="array" ref="Q68">if(J68="Contact plate", _xlfn.XLOOKUP(J68&amp;"-"&amp;E68&amp;"-"&amp;K68,SpecCV[ID],SpecCV[Spec]),_xlfn.XLOOKUP(J68&amp;"-"&amp;E68&amp;"-"&amp;K68,SpecCV[ID],SpecCV[Spec]))</f>
        <v>50</v>
      </c>
      <c r="R68" s="15" t="str">
        <f t="array" ref="R68">if(J68="Contact plate", _xlfn.XLOOKUP(J68&amp;"-"&amp;E68&amp;"-"&amp;K68,SpecCV[ID],SpecCV[Unit]),_xlfn.XLOOKUP(J68&amp;"-"&amp;E68&amp;"-"&amp;K68,SpecCV[ID],SpecCV[Unit]))</f>
        <v>cfu</v>
      </c>
      <c r="S68" s="42"/>
      <c r="T68" s="42"/>
      <c r="U68" s="42"/>
      <c r="V68" s="8" t="b">
        <v>0</v>
      </c>
    </row>
    <row r="69" ht="22.5" customHeight="1">
      <c r="A69" s="8"/>
      <c r="B69" s="8" t="b">
        <v>0</v>
      </c>
      <c r="C69" s="8">
        <v>10.0</v>
      </c>
      <c r="D69" s="28"/>
      <c r="E69" s="8" t="s">
        <v>28</v>
      </c>
      <c r="F69" s="15" t="s">
        <v>135</v>
      </c>
      <c r="G69" s="15" t="s">
        <v>216</v>
      </c>
      <c r="H69" s="15" t="s">
        <v>218</v>
      </c>
      <c r="I69" s="31">
        <v>45908.0</v>
      </c>
      <c r="J69" s="32" t="s">
        <v>30</v>
      </c>
      <c r="K69" s="32" t="s">
        <v>30</v>
      </c>
      <c r="L69" s="32" t="s">
        <v>220</v>
      </c>
      <c r="M69" s="32" t="s">
        <v>45</v>
      </c>
      <c r="N69" s="15">
        <v>1.0</v>
      </c>
      <c r="O69" s="15">
        <v>1.0</v>
      </c>
      <c r="P69" s="15">
        <f t="array" ref="P69">if(O69="","", if(O69=9999,9999,ROUNDUP(_xlfn.XLOOKUP(J69&amp;"-"&amp;E69&amp;"-"&amp;K69,SpecCV[ID],SpecCV[factor])*O69,0)))</f>
        <v>1</v>
      </c>
      <c r="Q69" s="15">
        <f t="array" ref="Q69">if(J69="Contact plate", _xlfn.XLOOKUP(J69&amp;"-"&amp;E69&amp;"-"&amp;K69,SpecCV[ID],SpecCV[Spec]),_xlfn.XLOOKUP(J69&amp;"-"&amp;E69&amp;"-"&amp;K69,SpecCV[ID],SpecCV[Spec]))</f>
        <v>50</v>
      </c>
      <c r="R69" s="15" t="str">
        <f t="array" ref="R69">if(J69="Contact plate", _xlfn.XLOOKUP(J69&amp;"-"&amp;E69&amp;"-"&amp;K69,SpecCV[ID],SpecCV[Unit]),_xlfn.XLOOKUP(J69&amp;"-"&amp;E69&amp;"-"&amp;K69,SpecCV[ID],SpecCV[Unit]))</f>
        <v>cfu</v>
      </c>
      <c r="S69" s="42"/>
      <c r="T69" s="42"/>
      <c r="U69" s="42"/>
      <c r="V69" s="8" t="b">
        <v>0</v>
      </c>
    </row>
    <row r="70" ht="22.5" customHeight="1">
      <c r="A70" s="8"/>
      <c r="B70" s="8" t="b">
        <v>0</v>
      </c>
      <c r="C70" s="8">
        <v>10.0</v>
      </c>
      <c r="D70" s="28"/>
      <c r="E70" s="8" t="s">
        <v>28</v>
      </c>
      <c r="F70" s="15" t="s">
        <v>135</v>
      </c>
      <c r="G70" s="15" t="s">
        <v>216</v>
      </c>
      <c r="H70" s="15" t="s">
        <v>219</v>
      </c>
      <c r="I70" s="31">
        <v>45908.0</v>
      </c>
      <c r="J70" s="32" t="s">
        <v>30</v>
      </c>
      <c r="K70" s="32" t="s">
        <v>30</v>
      </c>
      <c r="L70" s="32" t="s">
        <v>220</v>
      </c>
      <c r="M70" s="32" t="s">
        <v>45</v>
      </c>
      <c r="N70" s="15">
        <v>1.0</v>
      </c>
      <c r="O70" s="15">
        <v>3.0</v>
      </c>
      <c r="P70" s="15">
        <f t="array" ref="P70">if(O70="","", if(O70=9999,9999,ROUNDUP(_xlfn.XLOOKUP(J70&amp;"-"&amp;E70&amp;"-"&amp;K70,SpecCV[ID],SpecCV[factor])*O70,0)))</f>
        <v>3</v>
      </c>
      <c r="Q70" s="15">
        <f t="array" ref="Q70">if(J70="Contact plate", _xlfn.XLOOKUP(J70&amp;"-"&amp;E70&amp;"-"&amp;K70,SpecCV[ID],SpecCV[Spec]),_xlfn.XLOOKUP(J70&amp;"-"&amp;E70&amp;"-"&amp;K70,SpecCV[ID],SpecCV[Spec]))</f>
        <v>50</v>
      </c>
      <c r="R70" s="15" t="str">
        <f t="array" ref="R70">if(J70="Contact plate", _xlfn.XLOOKUP(J70&amp;"-"&amp;E70&amp;"-"&amp;K70,SpecCV[ID],SpecCV[Unit]),_xlfn.XLOOKUP(J70&amp;"-"&amp;E70&amp;"-"&amp;K70,SpecCV[ID],SpecCV[Unit]))</f>
        <v>cfu</v>
      </c>
      <c r="S70" s="42"/>
      <c r="T70" s="42"/>
      <c r="U70" s="42"/>
      <c r="V70" s="8" t="b">
        <v>0</v>
      </c>
    </row>
    <row r="71" ht="22.5" customHeight="1">
      <c r="A71" s="8"/>
      <c r="B71" s="8" t="b">
        <v>0</v>
      </c>
      <c r="C71" s="8">
        <v>10.0</v>
      </c>
      <c r="D71" s="28"/>
      <c r="E71" s="8" t="s">
        <v>28</v>
      </c>
      <c r="F71" s="15" t="s">
        <v>135</v>
      </c>
      <c r="G71" s="15" t="s">
        <v>162</v>
      </c>
      <c r="H71" s="15" t="s">
        <v>165</v>
      </c>
      <c r="I71" s="31">
        <v>45911.0</v>
      </c>
      <c r="J71" s="32" t="s">
        <v>30</v>
      </c>
      <c r="K71" s="32" t="s">
        <v>30</v>
      </c>
      <c r="L71" s="32" t="s">
        <v>220</v>
      </c>
      <c r="M71" s="32" t="s">
        <v>45</v>
      </c>
      <c r="N71" s="15">
        <v>2.0</v>
      </c>
      <c r="O71" s="15">
        <v>0.0</v>
      </c>
      <c r="P71" s="15">
        <f t="array" ref="P71">if(O71="","", if(O71=9999,9999,ROUNDUP(_xlfn.XLOOKUP(J71&amp;"-"&amp;E71&amp;"-"&amp;K71,SpecCV[ID],SpecCV[factor])*O71,0)))</f>
        <v>0</v>
      </c>
      <c r="Q71" s="15">
        <f t="array" ref="Q71">if(J71="Contact plate", _xlfn.XLOOKUP(J71&amp;"-"&amp;E71&amp;"-"&amp;K71,SpecCV[ID],SpecCV[Spec]),_xlfn.XLOOKUP(J71&amp;"-"&amp;E71&amp;"-"&amp;K71,SpecCV[ID],SpecCV[Spec]))</f>
        <v>50</v>
      </c>
      <c r="R71" s="15" t="str">
        <f t="array" ref="R71">if(J71="Contact plate", _xlfn.XLOOKUP(J71&amp;"-"&amp;E71&amp;"-"&amp;K71,SpecCV[ID],SpecCV[Unit]),_xlfn.XLOOKUP(J71&amp;"-"&amp;E71&amp;"-"&amp;K71,SpecCV[ID],SpecCV[Unit]))</f>
        <v>cfu</v>
      </c>
      <c r="S71" s="42"/>
      <c r="T71" s="42"/>
      <c r="U71" s="42"/>
      <c r="V71" s="8" t="b">
        <v>0</v>
      </c>
    </row>
    <row r="72" ht="22.5" customHeight="1">
      <c r="A72" s="8"/>
      <c r="B72" s="8" t="b">
        <v>0</v>
      </c>
      <c r="C72" s="8">
        <v>10.0</v>
      </c>
      <c r="D72" s="28"/>
      <c r="E72" s="8" t="s">
        <v>28</v>
      </c>
      <c r="F72" s="15" t="s">
        <v>135</v>
      </c>
      <c r="G72" s="15" t="s">
        <v>162</v>
      </c>
      <c r="H72" s="15" t="s">
        <v>168</v>
      </c>
      <c r="I72" s="31">
        <v>45911.0</v>
      </c>
      <c r="J72" s="32" t="s">
        <v>30</v>
      </c>
      <c r="K72" s="32" t="s">
        <v>30</v>
      </c>
      <c r="L72" s="32" t="s">
        <v>220</v>
      </c>
      <c r="M72" s="32" t="s">
        <v>45</v>
      </c>
      <c r="N72" s="15">
        <v>2.0</v>
      </c>
      <c r="O72" s="15">
        <v>0.0</v>
      </c>
      <c r="P72" s="15">
        <f t="array" ref="P72">if(O72="","", if(O72=9999,9999,ROUNDUP(_xlfn.XLOOKUP(J72&amp;"-"&amp;E72&amp;"-"&amp;K72,SpecCV[ID],SpecCV[factor])*O72,0)))</f>
        <v>0</v>
      </c>
      <c r="Q72" s="15">
        <f t="array" ref="Q72">if(J72="Contact plate", _xlfn.XLOOKUP(J72&amp;"-"&amp;E72&amp;"-"&amp;K72,SpecCV[ID],SpecCV[Spec]),_xlfn.XLOOKUP(J72&amp;"-"&amp;E72&amp;"-"&amp;K72,SpecCV[ID],SpecCV[Spec]))</f>
        <v>50</v>
      </c>
      <c r="R72" s="15" t="str">
        <f t="array" ref="R72">if(J72="Contact plate", _xlfn.XLOOKUP(J72&amp;"-"&amp;E72&amp;"-"&amp;K72,SpecCV[ID],SpecCV[Unit]),_xlfn.XLOOKUP(J72&amp;"-"&amp;E72&amp;"-"&amp;K72,SpecCV[ID],SpecCV[Unit]))</f>
        <v>cfu</v>
      </c>
      <c r="S72" s="42"/>
      <c r="T72" s="42"/>
      <c r="U72" s="42"/>
      <c r="V72" s="8" t="b">
        <v>0</v>
      </c>
    </row>
    <row r="73" ht="22.5" customHeight="1">
      <c r="A73" s="8"/>
      <c r="B73" s="8" t="b">
        <v>0</v>
      </c>
      <c r="C73" s="8">
        <v>10.0</v>
      </c>
      <c r="D73" s="28"/>
      <c r="E73" s="8" t="s">
        <v>28</v>
      </c>
      <c r="F73" s="15" t="s">
        <v>135</v>
      </c>
      <c r="G73" s="15" t="s">
        <v>162</v>
      </c>
      <c r="H73" s="15" t="s">
        <v>171</v>
      </c>
      <c r="I73" s="31">
        <v>45911.0</v>
      </c>
      <c r="J73" s="32" t="s">
        <v>30</v>
      </c>
      <c r="K73" s="32" t="s">
        <v>30</v>
      </c>
      <c r="L73" s="32" t="s">
        <v>220</v>
      </c>
      <c r="M73" s="32" t="s">
        <v>45</v>
      </c>
      <c r="N73" s="15">
        <v>2.0</v>
      </c>
      <c r="O73" s="15">
        <v>1.0</v>
      </c>
      <c r="P73" s="15">
        <f t="array" ref="P73">if(O73="","", if(O73=9999,9999,ROUNDUP(_xlfn.XLOOKUP(J73&amp;"-"&amp;E73&amp;"-"&amp;K73,SpecCV[ID],SpecCV[factor])*O73,0)))</f>
        <v>1</v>
      </c>
      <c r="Q73" s="15">
        <f t="array" ref="Q73">if(J73="Contact plate", _xlfn.XLOOKUP(J73&amp;"-"&amp;E73&amp;"-"&amp;K73,SpecCV[ID],SpecCV[Spec]),_xlfn.XLOOKUP(J73&amp;"-"&amp;E73&amp;"-"&amp;K73,SpecCV[ID],SpecCV[Spec]))</f>
        <v>50</v>
      </c>
      <c r="R73" s="15" t="str">
        <f t="array" ref="R73">if(J73="Contact plate", _xlfn.XLOOKUP(J73&amp;"-"&amp;E73&amp;"-"&amp;K73,SpecCV[ID],SpecCV[Unit]),_xlfn.XLOOKUP(J73&amp;"-"&amp;E73&amp;"-"&amp;K73,SpecCV[ID],SpecCV[Unit]))</f>
        <v>cfu</v>
      </c>
      <c r="S73" s="42"/>
      <c r="T73" s="42"/>
      <c r="U73" s="42"/>
      <c r="V73" s="8" t="b">
        <v>0</v>
      </c>
    </row>
    <row r="74" ht="22.5" customHeight="1">
      <c r="A74" s="8"/>
      <c r="B74" s="8" t="b">
        <v>0</v>
      </c>
      <c r="C74" s="8">
        <v>10.0</v>
      </c>
      <c r="D74" s="28"/>
      <c r="E74" s="8" t="s">
        <v>28</v>
      </c>
      <c r="F74" s="15" t="s">
        <v>33</v>
      </c>
      <c r="G74" s="15" t="s">
        <v>162</v>
      </c>
      <c r="H74" s="15" t="s">
        <v>165</v>
      </c>
      <c r="I74" s="31">
        <v>45912.0</v>
      </c>
      <c r="J74" s="32" t="s">
        <v>30</v>
      </c>
      <c r="K74" s="32" t="s">
        <v>30</v>
      </c>
      <c r="L74" s="32" t="s">
        <v>42</v>
      </c>
      <c r="M74" s="32" t="s">
        <v>45</v>
      </c>
      <c r="N74" s="15">
        <v>2.0</v>
      </c>
      <c r="O74" s="15">
        <v>285.0</v>
      </c>
      <c r="P74" s="15">
        <f t="array" ref="P74">if(O74="","", if(O74=9999,9999,ROUNDUP(_xlfn.XLOOKUP(J74&amp;"-"&amp;E74&amp;"-"&amp;K74,SpecCV[ID],SpecCV[factor])*O74,0)))</f>
        <v>285</v>
      </c>
      <c r="Q74" s="15">
        <f t="array" ref="Q74">if(J74="Contact plate", _xlfn.XLOOKUP(J74&amp;"-"&amp;E74&amp;"-"&amp;K74,SpecCV[ID],SpecCV[Spec]),_xlfn.XLOOKUP(J74&amp;"-"&amp;E74&amp;"-"&amp;K74,SpecCV[ID],SpecCV[Spec]))</f>
        <v>50</v>
      </c>
      <c r="R74" s="15" t="str">
        <f t="array" ref="R74">if(J74="Contact plate", _xlfn.XLOOKUP(J74&amp;"-"&amp;E74&amp;"-"&amp;K74,SpecCV[ID],SpecCV[Unit]),_xlfn.XLOOKUP(J74&amp;"-"&amp;E74&amp;"-"&amp;K74,SpecCV[ID],SpecCV[Unit]))</f>
        <v>cfu</v>
      </c>
      <c r="S74" s="42"/>
      <c r="T74" s="42"/>
      <c r="U74" s="42"/>
      <c r="V74" s="8" t="b">
        <v>0</v>
      </c>
    </row>
    <row r="75" ht="22.5" customHeight="1">
      <c r="A75" s="8"/>
      <c r="B75" s="8" t="b">
        <v>0</v>
      </c>
      <c r="C75" s="8">
        <v>10.0</v>
      </c>
      <c r="D75" s="28"/>
      <c r="E75" s="8" t="s">
        <v>28</v>
      </c>
      <c r="F75" s="15" t="s">
        <v>33</v>
      </c>
      <c r="G75" s="15" t="s">
        <v>162</v>
      </c>
      <c r="H75" s="15" t="s">
        <v>168</v>
      </c>
      <c r="I75" s="31">
        <v>45912.0</v>
      </c>
      <c r="J75" s="32" t="s">
        <v>30</v>
      </c>
      <c r="K75" s="32" t="s">
        <v>30</v>
      </c>
      <c r="L75" s="32" t="s">
        <v>42</v>
      </c>
      <c r="M75" s="32" t="s">
        <v>45</v>
      </c>
      <c r="N75" s="15">
        <v>2.0</v>
      </c>
      <c r="O75" s="15">
        <v>5.0</v>
      </c>
      <c r="P75" s="15">
        <f t="array" ref="P75">if(O75="","", if(O75=9999,9999,ROUNDUP(_xlfn.XLOOKUP(J75&amp;"-"&amp;E75&amp;"-"&amp;K75,SpecCV[ID],SpecCV[factor])*O75,0)))</f>
        <v>5</v>
      </c>
      <c r="Q75" s="15">
        <f t="array" ref="Q75">if(J75="Contact plate", _xlfn.XLOOKUP(J75&amp;"-"&amp;E75&amp;"-"&amp;K75,SpecCV[ID],SpecCV[Spec]),_xlfn.XLOOKUP(J75&amp;"-"&amp;E75&amp;"-"&amp;K75,SpecCV[ID],SpecCV[Spec]))</f>
        <v>50</v>
      </c>
      <c r="R75" s="15" t="str">
        <f t="array" ref="R75">if(J75="Contact plate", _xlfn.XLOOKUP(J75&amp;"-"&amp;E75&amp;"-"&amp;K75,SpecCV[ID],SpecCV[Unit]),_xlfn.XLOOKUP(J75&amp;"-"&amp;E75&amp;"-"&amp;K75,SpecCV[ID],SpecCV[Unit]))</f>
        <v>cfu</v>
      </c>
      <c r="S75" s="42"/>
      <c r="T75" s="42"/>
      <c r="U75" s="42"/>
      <c r="V75" s="8" t="b">
        <v>0</v>
      </c>
    </row>
    <row r="76" ht="22.5" customHeight="1">
      <c r="A76" s="8"/>
      <c r="B76" s="8" t="b">
        <v>0</v>
      </c>
      <c r="C76" s="8">
        <v>10.0</v>
      </c>
      <c r="D76" s="28"/>
      <c r="E76" s="8" t="s">
        <v>28</v>
      </c>
      <c r="F76" s="15" t="s">
        <v>33</v>
      </c>
      <c r="G76" s="15" t="s">
        <v>162</v>
      </c>
      <c r="H76" s="15" t="s">
        <v>171</v>
      </c>
      <c r="I76" s="31">
        <v>45912.0</v>
      </c>
      <c r="J76" s="32" t="s">
        <v>30</v>
      </c>
      <c r="K76" s="32" t="s">
        <v>30</v>
      </c>
      <c r="L76" s="32" t="s">
        <v>42</v>
      </c>
      <c r="M76" s="32" t="s">
        <v>45</v>
      </c>
      <c r="N76" s="15">
        <v>2.0</v>
      </c>
      <c r="O76" s="15">
        <v>54.0</v>
      </c>
      <c r="P76" s="15">
        <f t="array" ref="P76">if(O76="","", if(O76=9999,9999,ROUNDUP(_xlfn.XLOOKUP(J76&amp;"-"&amp;E76&amp;"-"&amp;K76,SpecCV[ID],SpecCV[factor])*O76,0)))</f>
        <v>54</v>
      </c>
      <c r="Q76" s="15">
        <f t="array" ref="Q76">if(J76="Contact plate", _xlfn.XLOOKUP(J76&amp;"-"&amp;E76&amp;"-"&amp;K76,SpecCV[ID],SpecCV[Spec]),_xlfn.XLOOKUP(J76&amp;"-"&amp;E76&amp;"-"&amp;K76,SpecCV[ID],SpecCV[Spec]))</f>
        <v>50</v>
      </c>
      <c r="R76" s="15" t="str">
        <f t="array" ref="R76">if(J76="Contact plate", _xlfn.XLOOKUP(J76&amp;"-"&amp;E76&amp;"-"&amp;K76,SpecCV[ID],SpecCV[Unit]),_xlfn.XLOOKUP(J76&amp;"-"&amp;E76&amp;"-"&amp;K76,SpecCV[ID],SpecCV[Unit]))</f>
        <v>cfu</v>
      </c>
      <c r="S76" s="42"/>
      <c r="T76" s="42"/>
      <c r="U76" s="42"/>
      <c r="V76" s="8" t="b">
        <v>0</v>
      </c>
    </row>
    <row r="77" ht="22.5" customHeight="1">
      <c r="A77" s="8"/>
      <c r="B77" s="8" t="b">
        <v>0</v>
      </c>
      <c r="C77" s="8">
        <v>10.0</v>
      </c>
      <c r="D77" s="28"/>
      <c r="E77" s="8" t="s">
        <v>28</v>
      </c>
      <c r="F77" s="15" t="s">
        <v>135</v>
      </c>
      <c r="G77" s="15" t="s">
        <v>216</v>
      </c>
      <c r="H77" s="15" t="s">
        <v>217</v>
      </c>
      <c r="I77" s="31">
        <v>45915.0</v>
      </c>
      <c r="J77" s="32" t="s">
        <v>30</v>
      </c>
      <c r="K77" s="32" t="s">
        <v>30</v>
      </c>
      <c r="L77" s="32" t="s">
        <v>220</v>
      </c>
      <c r="M77" s="32" t="s">
        <v>45</v>
      </c>
      <c r="N77" s="15">
        <v>2.0</v>
      </c>
      <c r="O77" s="15">
        <v>1.0</v>
      </c>
      <c r="P77" s="15">
        <f t="array" ref="P77">if(O77="","", if(O77=9999,9999,ROUNDUP(_xlfn.XLOOKUP(J77&amp;"-"&amp;E77&amp;"-"&amp;K77,SpecCV[ID],SpecCV[factor])*O77,0)))</f>
        <v>1</v>
      </c>
      <c r="Q77" s="15">
        <f t="array" ref="Q77">if(J77="Contact plate", _xlfn.XLOOKUP(J77&amp;"-"&amp;E77&amp;"-"&amp;K77,SpecCV[ID],SpecCV[Spec]),_xlfn.XLOOKUP(J77&amp;"-"&amp;E77&amp;"-"&amp;K77,SpecCV[ID],SpecCV[Spec]))</f>
        <v>50</v>
      </c>
      <c r="R77" s="15" t="str">
        <f t="array" ref="R77">if(J77="Contact plate", _xlfn.XLOOKUP(J77&amp;"-"&amp;E77&amp;"-"&amp;K77,SpecCV[ID],SpecCV[Unit]),_xlfn.XLOOKUP(J77&amp;"-"&amp;E77&amp;"-"&amp;K77,SpecCV[ID],SpecCV[Unit]))</f>
        <v>cfu</v>
      </c>
      <c r="S77" s="42"/>
      <c r="T77" s="42"/>
      <c r="U77" s="42"/>
      <c r="V77" s="8" t="b">
        <v>0</v>
      </c>
    </row>
    <row r="78" ht="22.5" customHeight="1">
      <c r="A78" s="8"/>
      <c r="B78" s="8" t="b">
        <v>0</v>
      </c>
      <c r="C78" s="8">
        <v>10.0</v>
      </c>
      <c r="D78" s="28"/>
      <c r="E78" s="8" t="s">
        <v>28</v>
      </c>
      <c r="F78" s="15" t="s">
        <v>135</v>
      </c>
      <c r="G78" s="15" t="s">
        <v>216</v>
      </c>
      <c r="H78" s="15" t="s">
        <v>218</v>
      </c>
      <c r="I78" s="31">
        <v>45915.0</v>
      </c>
      <c r="J78" s="32" t="s">
        <v>30</v>
      </c>
      <c r="K78" s="32" t="s">
        <v>30</v>
      </c>
      <c r="L78" s="32" t="s">
        <v>220</v>
      </c>
      <c r="M78" s="32" t="s">
        <v>45</v>
      </c>
      <c r="N78" s="15">
        <v>2.0</v>
      </c>
      <c r="O78" s="15">
        <v>1.0</v>
      </c>
      <c r="P78" s="15">
        <f t="array" ref="P78">if(O78="","", if(O78=9999,9999,ROUNDUP(_xlfn.XLOOKUP(J78&amp;"-"&amp;E78&amp;"-"&amp;K78,SpecCV[ID],SpecCV[factor])*O78,0)))</f>
        <v>1</v>
      </c>
      <c r="Q78" s="15">
        <f t="array" ref="Q78">if(J78="Contact plate", _xlfn.XLOOKUP(J78&amp;"-"&amp;E78&amp;"-"&amp;K78,SpecCV[ID],SpecCV[Spec]),_xlfn.XLOOKUP(J78&amp;"-"&amp;E78&amp;"-"&amp;K78,SpecCV[ID],SpecCV[Spec]))</f>
        <v>50</v>
      </c>
      <c r="R78" s="15" t="str">
        <f t="array" ref="R78">if(J78="Contact plate", _xlfn.XLOOKUP(J78&amp;"-"&amp;E78&amp;"-"&amp;K78,SpecCV[ID],SpecCV[Unit]),_xlfn.XLOOKUP(J78&amp;"-"&amp;E78&amp;"-"&amp;K78,SpecCV[ID],SpecCV[Unit]))</f>
        <v>cfu</v>
      </c>
      <c r="S78" s="42"/>
      <c r="T78" s="42"/>
      <c r="U78" s="42"/>
      <c r="V78" s="8" t="b">
        <v>0</v>
      </c>
    </row>
    <row r="79" ht="22.5" customHeight="1">
      <c r="A79" s="8"/>
      <c r="B79" s="8" t="b">
        <v>0</v>
      </c>
      <c r="C79" s="8">
        <v>10.0</v>
      </c>
      <c r="D79" s="28"/>
      <c r="E79" s="8" t="s">
        <v>28</v>
      </c>
      <c r="F79" s="15" t="s">
        <v>135</v>
      </c>
      <c r="G79" s="15" t="s">
        <v>216</v>
      </c>
      <c r="H79" s="15" t="s">
        <v>219</v>
      </c>
      <c r="I79" s="31">
        <v>45915.0</v>
      </c>
      <c r="J79" s="32" t="s">
        <v>30</v>
      </c>
      <c r="K79" s="32" t="s">
        <v>30</v>
      </c>
      <c r="L79" s="32" t="s">
        <v>220</v>
      </c>
      <c r="M79" s="32" t="s">
        <v>45</v>
      </c>
      <c r="N79" s="15">
        <v>2.0</v>
      </c>
      <c r="O79" s="15">
        <v>0.0</v>
      </c>
      <c r="P79" s="15">
        <f t="array" ref="P79">if(O79="","", if(O79=9999,9999,ROUNDUP(_xlfn.XLOOKUP(J79&amp;"-"&amp;E79&amp;"-"&amp;K79,SpecCV[ID],SpecCV[factor])*O79,0)))</f>
        <v>0</v>
      </c>
      <c r="Q79" s="15">
        <f t="array" ref="Q79">if(J79="Contact plate", _xlfn.XLOOKUP(J79&amp;"-"&amp;E79&amp;"-"&amp;K79,SpecCV[ID],SpecCV[Spec]),_xlfn.XLOOKUP(J79&amp;"-"&amp;E79&amp;"-"&amp;K79,SpecCV[ID],SpecCV[Spec]))</f>
        <v>50</v>
      </c>
      <c r="R79" s="15" t="str">
        <f t="array" ref="R79">if(J79="Contact plate", _xlfn.XLOOKUP(J79&amp;"-"&amp;E79&amp;"-"&amp;K79,SpecCV[ID],SpecCV[Unit]),_xlfn.XLOOKUP(J79&amp;"-"&amp;E79&amp;"-"&amp;K79,SpecCV[ID],SpecCV[Unit]))</f>
        <v>cfu</v>
      </c>
      <c r="S79" s="42"/>
      <c r="T79" s="42"/>
      <c r="U79" s="42"/>
      <c r="V79" s="8" t="b">
        <v>0</v>
      </c>
    </row>
    <row r="80" ht="22.5" customHeight="1">
      <c r="A80" s="8"/>
      <c r="B80" s="8" t="b">
        <v>0</v>
      </c>
      <c r="C80" s="8">
        <v>10.0</v>
      </c>
      <c r="E80" s="8" t="s">
        <v>28</v>
      </c>
      <c r="F80" s="15" t="s">
        <v>33</v>
      </c>
      <c r="G80" s="15" t="s">
        <v>119</v>
      </c>
      <c r="H80" s="15" t="s">
        <v>120</v>
      </c>
      <c r="I80" s="31">
        <v>45919.0</v>
      </c>
      <c r="J80" s="32" t="s">
        <v>30</v>
      </c>
      <c r="K80" s="32" t="s">
        <v>30</v>
      </c>
      <c r="L80" s="32" t="s">
        <v>42</v>
      </c>
      <c r="M80" s="32" t="s">
        <v>281</v>
      </c>
      <c r="N80" s="15">
        <v>2.0</v>
      </c>
      <c r="O80" s="15">
        <v>0.0</v>
      </c>
      <c r="P80" s="15">
        <f t="array" ref="P80">if(O80="","", if(O80=9999,9999,ROUNDUP(_xlfn.XLOOKUP(J80&amp;"-"&amp;E80&amp;"-"&amp;K80,SpecCV[ID],SpecCV[factor])*O80,0)))</f>
        <v>0</v>
      </c>
      <c r="Q80" s="15">
        <f t="array" ref="Q80">if(J80="Contact plate", _xlfn.XLOOKUP(J80&amp;"-"&amp;E80&amp;"-"&amp;K80,SpecCV[ID],SpecCV[Spec]),_xlfn.XLOOKUP(J80&amp;"-"&amp;E80&amp;"-"&amp;K80,SpecCV[ID],SpecCV[Spec]))</f>
        <v>50</v>
      </c>
      <c r="R80" s="15" t="str">
        <f t="array" ref="R80">if(J80="Contact plate", _xlfn.XLOOKUP(J80&amp;"-"&amp;E80&amp;"-"&amp;K80,SpecCV[ID],SpecCV[Unit]),_xlfn.XLOOKUP(J80&amp;"-"&amp;E80&amp;"-"&amp;K80,SpecCV[ID],SpecCV[Unit]))</f>
        <v>cfu</v>
      </c>
      <c r="S80" s="42"/>
      <c r="T80" s="42"/>
      <c r="U80" s="42"/>
      <c r="V80" s="8" t="b">
        <v>0</v>
      </c>
    </row>
    <row r="81" ht="22.5" customHeight="1">
      <c r="A81" s="8"/>
      <c r="B81" s="8" t="b">
        <v>0</v>
      </c>
      <c r="C81" s="8">
        <v>10.0</v>
      </c>
      <c r="E81" s="8" t="s">
        <v>28</v>
      </c>
      <c r="F81" s="15" t="s">
        <v>33</v>
      </c>
      <c r="G81" s="15" t="s">
        <v>119</v>
      </c>
      <c r="H81" s="15" t="s">
        <v>123</v>
      </c>
      <c r="I81" s="31">
        <v>45919.0</v>
      </c>
      <c r="J81" s="32" t="s">
        <v>30</v>
      </c>
      <c r="K81" s="32" t="s">
        <v>30</v>
      </c>
      <c r="L81" s="32" t="s">
        <v>42</v>
      </c>
      <c r="M81" s="32" t="s">
        <v>281</v>
      </c>
      <c r="N81" s="15">
        <v>2.0</v>
      </c>
      <c r="O81" s="15">
        <v>0.0</v>
      </c>
      <c r="P81" s="15">
        <f t="array" ref="P81">if(O81="","", if(O81=9999,9999,ROUNDUP(_xlfn.XLOOKUP(J81&amp;"-"&amp;E81&amp;"-"&amp;K81,SpecCV[ID],SpecCV[factor])*O81,0)))</f>
        <v>0</v>
      </c>
      <c r="Q81" s="15">
        <f t="array" ref="Q81">if(J81="Contact plate", _xlfn.XLOOKUP(J81&amp;"-"&amp;E81&amp;"-"&amp;K81,SpecCV[ID],SpecCV[Spec]),_xlfn.XLOOKUP(J81&amp;"-"&amp;E81&amp;"-"&amp;K81,SpecCV[ID],SpecCV[Spec]))</f>
        <v>50</v>
      </c>
      <c r="R81" s="15" t="str">
        <f t="array" ref="R81">if(J81="Contact plate", _xlfn.XLOOKUP(J81&amp;"-"&amp;E81&amp;"-"&amp;K81,SpecCV[ID],SpecCV[Unit]),_xlfn.XLOOKUP(J81&amp;"-"&amp;E81&amp;"-"&amp;K81,SpecCV[ID],SpecCV[Unit]))</f>
        <v>cfu</v>
      </c>
      <c r="S81" s="42"/>
      <c r="T81" s="42"/>
      <c r="U81" s="42"/>
      <c r="V81" s="8" t="b">
        <v>0</v>
      </c>
    </row>
    <row r="82" ht="22.5" customHeight="1">
      <c r="A82" s="8"/>
      <c r="B82" s="8" t="b">
        <v>0</v>
      </c>
      <c r="C82" s="8">
        <v>10.0</v>
      </c>
      <c r="E82" s="8" t="s">
        <v>28</v>
      </c>
      <c r="F82" s="15" t="s">
        <v>33</v>
      </c>
      <c r="G82" s="15" t="s">
        <v>190</v>
      </c>
      <c r="H82" s="15" t="s">
        <v>191</v>
      </c>
      <c r="I82" s="31">
        <v>45917.0</v>
      </c>
      <c r="J82" s="32" t="s">
        <v>30</v>
      </c>
      <c r="K82" s="32" t="s">
        <v>30</v>
      </c>
      <c r="L82" s="32" t="s">
        <v>42</v>
      </c>
      <c r="M82" s="32" t="s">
        <v>45</v>
      </c>
      <c r="N82" s="15">
        <v>2.0</v>
      </c>
      <c r="O82" s="15">
        <v>2.0</v>
      </c>
      <c r="P82" s="15">
        <f t="array" ref="P82">if(O82="","", if(O82=9999,9999,ROUNDUP(_xlfn.XLOOKUP(J82&amp;"-"&amp;E82&amp;"-"&amp;K82,SpecCV[ID],SpecCV[factor])*O82,0)))</f>
        <v>2</v>
      </c>
      <c r="Q82" s="15">
        <f t="array" ref="Q82">if(J82="Contact plate", _xlfn.XLOOKUP(J82&amp;"-"&amp;E82&amp;"-"&amp;K82,SpecCV[ID],SpecCV[Spec]),_xlfn.XLOOKUP(J82&amp;"-"&amp;E82&amp;"-"&amp;K82,SpecCV[ID],SpecCV[Spec]))</f>
        <v>50</v>
      </c>
      <c r="R82" s="15" t="str">
        <f t="array" ref="R82">if(J82="Contact plate", _xlfn.XLOOKUP(J82&amp;"-"&amp;E82&amp;"-"&amp;K82,SpecCV[ID],SpecCV[Unit]),_xlfn.XLOOKUP(J82&amp;"-"&amp;E82&amp;"-"&amp;K82,SpecCV[ID],SpecCV[Unit]))</f>
        <v>cfu</v>
      </c>
      <c r="S82" s="42"/>
      <c r="T82" s="42"/>
      <c r="U82" s="42"/>
      <c r="V82" s="8" t="b">
        <v>0</v>
      </c>
    </row>
    <row r="83" ht="22.5" customHeight="1">
      <c r="A83" s="8"/>
      <c r="B83" s="8" t="b">
        <v>0</v>
      </c>
      <c r="C83" s="8">
        <v>10.0</v>
      </c>
      <c r="E83" s="8" t="s">
        <v>28</v>
      </c>
      <c r="F83" s="15" t="s">
        <v>33</v>
      </c>
      <c r="G83" s="15" t="s">
        <v>190</v>
      </c>
      <c r="H83" s="15" t="s">
        <v>194</v>
      </c>
      <c r="I83" s="31">
        <v>45917.0</v>
      </c>
      <c r="J83" s="32" t="s">
        <v>30</v>
      </c>
      <c r="K83" s="32" t="s">
        <v>30</v>
      </c>
      <c r="L83" s="32" t="s">
        <v>42</v>
      </c>
      <c r="M83" s="32" t="s">
        <v>45</v>
      </c>
      <c r="N83" s="15">
        <v>2.0</v>
      </c>
      <c r="O83" s="15">
        <v>0.0</v>
      </c>
      <c r="P83" s="15">
        <f t="array" ref="P83">if(O83="","", if(O83=9999,9999,ROUNDUP(_xlfn.XLOOKUP(J83&amp;"-"&amp;E83&amp;"-"&amp;K83,SpecCV[ID],SpecCV[factor])*O83,0)))</f>
        <v>0</v>
      </c>
      <c r="Q83" s="15">
        <f t="array" ref="Q83">if(J83="Contact plate", _xlfn.XLOOKUP(J83&amp;"-"&amp;E83&amp;"-"&amp;K83,SpecCV[ID],SpecCV[Spec]),_xlfn.XLOOKUP(J83&amp;"-"&amp;E83&amp;"-"&amp;K83,SpecCV[ID],SpecCV[Spec]))</f>
        <v>50</v>
      </c>
      <c r="R83" s="15" t="str">
        <f t="array" ref="R83">if(J83="Contact plate", _xlfn.XLOOKUP(J83&amp;"-"&amp;E83&amp;"-"&amp;K83,SpecCV[ID],SpecCV[Unit]),_xlfn.XLOOKUP(J83&amp;"-"&amp;E83&amp;"-"&amp;K83,SpecCV[ID],SpecCV[Unit]))</f>
        <v>cfu</v>
      </c>
      <c r="S83" s="42"/>
      <c r="T83" s="42"/>
      <c r="U83" s="42"/>
      <c r="V83" s="8" t="b">
        <v>0</v>
      </c>
    </row>
    <row r="84" ht="22.5" customHeight="1">
      <c r="A84" s="8"/>
      <c r="B84" s="8" t="b">
        <v>0</v>
      </c>
      <c r="C84" s="8">
        <v>10.0</v>
      </c>
      <c r="D84" s="28"/>
      <c r="E84" s="8" t="s">
        <v>28</v>
      </c>
      <c r="F84" s="15" t="s">
        <v>33</v>
      </c>
      <c r="G84" s="15" t="s">
        <v>38</v>
      </c>
      <c r="H84" s="15" t="s">
        <v>39</v>
      </c>
      <c r="I84" s="31">
        <v>45922.0</v>
      </c>
      <c r="J84" s="32" t="s">
        <v>30</v>
      </c>
      <c r="K84" s="32" t="s">
        <v>30</v>
      </c>
      <c r="L84" s="32" t="s">
        <v>42</v>
      </c>
      <c r="M84" s="32" t="s">
        <v>45</v>
      </c>
      <c r="N84" s="15">
        <v>3.0</v>
      </c>
      <c r="O84" s="15">
        <v>0.0</v>
      </c>
      <c r="P84" s="15">
        <f t="array" ref="P84">if(O84="","", if(O84=9999,9999,ROUNDUP(_xlfn.XLOOKUP(J84&amp;"-"&amp;E84&amp;"-"&amp;K84,SpecCV[ID],SpecCV[factor])*O84,0)))</f>
        <v>0</v>
      </c>
      <c r="Q84" s="15">
        <f t="array" ref="Q84">if(J84="Contact plate", _xlfn.XLOOKUP(J84&amp;"-"&amp;E84&amp;"-"&amp;K84,SpecCV[ID],SpecCV[Spec]),_xlfn.XLOOKUP(J84&amp;"-"&amp;E84&amp;"-"&amp;K84,SpecCV[ID],SpecCV[Spec]))</f>
        <v>50</v>
      </c>
      <c r="R84" s="15" t="str">
        <f t="array" ref="R84">if(J84="Contact plate", _xlfn.XLOOKUP(J84&amp;"-"&amp;E84&amp;"-"&amp;K84,SpecCV[ID],SpecCV[Unit]),_xlfn.XLOOKUP(J84&amp;"-"&amp;E84&amp;"-"&amp;K84,SpecCV[ID],SpecCV[Unit]))</f>
        <v>cfu</v>
      </c>
      <c r="S84" s="42"/>
      <c r="T84" s="42"/>
      <c r="U84" s="42"/>
      <c r="V84" s="8" t="b">
        <v>0</v>
      </c>
    </row>
    <row r="85" ht="22.5" customHeight="1">
      <c r="A85" s="8"/>
      <c r="B85" s="8" t="b">
        <v>0</v>
      </c>
      <c r="C85" s="8">
        <v>10.0</v>
      </c>
      <c r="E85" s="8" t="s">
        <v>28</v>
      </c>
      <c r="F85" s="15" t="s">
        <v>33</v>
      </c>
      <c r="G85" s="15" t="s">
        <v>38</v>
      </c>
      <c r="H85" s="15" t="s">
        <v>55</v>
      </c>
      <c r="I85" s="31">
        <v>45922.0</v>
      </c>
      <c r="J85" s="32" t="s">
        <v>30</v>
      </c>
      <c r="K85" s="32" t="s">
        <v>30</v>
      </c>
      <c r="L85" s="32" t="s">
        <v>42</v>
      </c>
      <c r="M85" s="32" t="s">
        <v>45</v>
      </c>
      <c r="N85" s="15">
        <v>3.0</v>
      </c>
      <c r="O85" s="15">
        <v>0.0</v>
      </c>
      <c r="P85" s="15">
        <f t="array" ref="P85">if(O85="","", if(O85=9999,9999,ROUNDUP(_xlfn.XLOOKUP(J85&amp;"-"&amp;E85&amp;"-"&amp;K85,SpecCV[ID],SpecCV[factor])*O85,0)))</f>
        <v>0</v>
      </c>
      <c r="Q85" s="15">
        <f t="array" ref="Q85">if(J85="Contact plate", _xlfn.XLOOKUP(J85&amp;"-"&amp;E85&amp;"-"&amp;K85,SpecCV[ID],SpecCV[Spec]),_xlfn.XLOOKUP(J85&amp;"-"&amp;E85&amp;"-"&amp;K85,SpecCV[ID],SpecCV[Spec]))</f>
        <v>50</v>
      </c>
      <c r="R85" s="15" t="str">
        <f t="array" ref="R85">if(J85="Contact plate", _xlfn.XLOOKUP(J85&amp;"-"&amp;E85&amp;"-"&amp;K85,SpecCV[ID],SpecCV[Unit]),_xlfn.XLOOKUP(J85&amp;"-"&amp;E85&amp;"-"&amp;K85,SpecCV[ID],SpecCV[Unit]))</f>
        <v>cfu</v>
      </c>
      <c r="S85" s="42"/>
      <c r="T85" s="42"/>
      <c r="U85" s="42"/>
      <c r="V85" s="8" t="b">
        <v>0</v>
      </c>
    </row>
    <row r="86" ht="22.5" customHeight="1">
      <c r="A86" s="8"/>
      <c r="B86" s="8" t="b">
        <v>0</v>
      </c>
      <c r="C86" s="8">
        <v>10.0</v>
      </c>
      <c r="E86" s="8" t="s">
        <v>28</v>
      </c>
      <c r="F86" s="15" t="s">
        <v>33</v>
      </c>
      <c r="G86" s="15" t="s">
        <v>38</v>
      </c>
      <c r="H86" s="15" t="s">
        <v>72</v>
      </c>
      <c r="I86" s="31">
        <v>45922.0</v>
      </c>
      <c r="J86" s="32" t="s">
        <v>30</v>
      </c>
      <c r="K86" s="32" t="s">
        <v>30</v>
      </c>
      <c r="L86" s="32" t="s">
        <v>42</v>
      </c>
      <c r="M86" s="32" t="s">
        <v>45</v>
      </c>
      <c r="N86" s="15">
        <v>3.0</v>
      </c>
      <c r="O86" s="15">
        <v>0.0</v>
      </c>
      <c r="P86" s="15">
        <f t="array" ref="P86">if(O86="","", if(O86=9999,9999,ROUNDUP(_xlfn.XLOOKUP(J86&amp;"-"&amp;E86&amp;"-"&amp;K86,SpecCV[ID],SpecCV[factor])*O86,0)))</f>
        <v>0</v>
      </c>
      <c r="Q86" s="15">
        <f t="array" ref="Q86">if(J86="Contact plate", _xlfn.XLOOKUP(J86&amp;"-"&amp;E86&amp;"-"&amp;K86,SpecCV[ID],SpecCV[Spec]),_xlfn.XLOOKUP(J86&amp;"-"&amp;E86&amp;"-"&amp;K86,SpecCV[ID],SpecCV[Spec]))</f>
        <v>50</v>
      </c>
      <c r="R86" s="15" t="str">
        <f t="array" ref="R86">if(J86="Contact plate", _xlfn.XLOOKUP(J86&amp;"-"&amp;E86&amp;"-"&amp;K86,SpecCV[ID],SpecCV[Unit]),_xlfn.XLOOKUP(J86&amp;"-"&amp;E86&amp;"-"&amp;K86,SpecCV[ID],SpecCV[Unit]))</f>
        <v>cfu</v>
      </c>
      <c r="S86" s="42"/>
      <c r="T86" s="42"/>
      <c r="U86" s="42"/>
      <c r="V86" s="8" t="b">
        <v>0</v>
      </c>
    </row>
    <row r="87" ht="22.5" customHeight="1">
      <c r="A87" s="8"/>
      <c r="B87" s="8" t="b">
        <v>0</v>
      </c>
      <c r="C87" s="8">
        <v>10.0</v>
      </c>
      <c r="E87" s="8" t="s">
        <v>28</v>
      </c>
      <c r="F87" s="15" t="s">
        <v>33</v>
      </c>
      <c r="G87" s="15" t="s">
        <v>75</v>
      </c>
      <c r="H87" s="15" t="s">
        <v>78</v>
      </c>
      <c r="I87" s="31">
        <v>45922.0</v>
      </c>
      <c r="J87" s="32" t="s">
        <v>30</v>
      </c>
      <c r="K87" s="32" t="s">
        <v>30</v>
      </c>
      <c r="L87" s="32" t="s">
        <v>42</v>
      </c>
      <c r="M87" s="32" t="s">
        <v>45</v>
      </c>
      <c r="N87" s="15">
        <v>3.0</v>
      </c>
      <c r="O87" s="15">
        <v>0.0</v>
      </c>
      <c r="P87" s="15">
        <f t="array" ref="P87">if(O87="","", if(O87=9999,9999,ROUNDUP(_xlfn.XLOOKUP(J87&amp;"-"&amp;E87&amp;"-"&amp;K87,SpecCV[ID],SpecCV[factor])*O87,0)))</f>
        <v>0</v>
      </c>
      <c r="Q87" s="15">
        <f t="array" ref="Q87">if(J87="Contact plate", _xlfn.XLOOKUP(J87&amp;"-"&amp;E87&amp;"-"&amp;K87,SpecCV[ID],SpecCV[Spec]),_xlfn.XLOOKUP(J87&amp;"-"&amp;E87&amp;"-"&amp;K87,SpecCV[ID],SpecCV[Spec]))</f>
        <v>50</v>
      </c>
      <c r="R87" s="15" t="str">
        <f t="array" ref="R87">if(J87="Contact plate", _xlfn.XLOOKUP(J87&amp;"-"&amp;E87&amp;"-"&amp;K87,SpecCV[ID],SpecCV[Unit]),_xlfn.XLOOKUP(J87&amp;"-"&amp;E87&amp;"-"&amp;K87,SpecCV[ID],SpecCV[Unit]))</f>
        <v>cfu</v>
      </c>
      <c r="S87" s="42"/>
      <c r="T87" s="42"/>
      <c r="U87" s="42"/>
      <c r="V87" s="8" t="b">
        <v>0</v>
      </c>
    </row>
    <row r="88" ht="22.5" customHeight="1">
      <c r="A88" s="8"/>
      <c r="B88" s="8" t="b">
        <v>0</v>
      </c>
      <c r="C88" s="8">
        <v>10.0</v>
      </c>
      <c r="E88" s="8" t="s">
        <v>28</v>
      </c>
      <c r="F88" s="15" t="s">
        <v>33</v>
      </c>
      <c r="G88" s="15" t="s">
        <v>75</v>
      </c>
      <c r="H88" s="15" t="s">
        <v>81</v>
      </c>
      <c r="I88" s="31">
        <v>45922.0</v>
      </c>
      <c r="J88" s="32" t="s">
        <v>30</v>
      </c>
      <c r="K88" s="32" t="s">
        <v>30</v>
      </c>
      <c r="L88" s="32" t="s">
        <v>42</v>
      </c>
      <c r="M88" s="32" t="s">
        <v>45</v>
      </c>
      <c r="N88" s="15">
        <v>3.0</v>
      </c>
      <c r="O88" s="15">
        <v>0.0</v>
      </c>
      <c r="P88" s="15">
        <f t="array" ref="P88">if(O88="","", if(O88=9999,9999,ROUNDUP(_xlfn.XLOOKUP(J88&amp;"-"&amp;E88&amp;"-"&amp;K88,SpecCV[ID],SpecCV[factor])*O88,0)))</f>
        <v>0</v>
      </c>
      <c r="Q88" s="15">
        <f t="array" ref="Q88">if(J88="Contact plate", _xlfn.XLOOKUP(J88&amp;"-"&amp;E88&amp;"-"&amp;K88,SpecCV[ID],SpecCV[Spec]),_xlfn.XLOOKUP(J88&amp;"-"&amp;E88&amp;"-"&amp;K88,SpecCV[ID],SpecCV[Spec]))</f>
        <v>50</v>
      </c>
      <c r="R88" s="15" t="str">
        <f t="array" ref="R88">if(J88="Contact plate", _xlfn.XLOOKUP(J88&amp;"-"&amp;E88&amp;"-"&amp;K88,SpecCV[ID],SpecCV[Unit]),_xlfn.XLOOKUP(J88&amp;"-"&amp;E88&amp;"-"&amp;K88,SpecCV[ID],SpecCV[Unit]))</f>
        <v>cfu</v>
      </c>
      <c r="S88" s="42"/>
      <c r="T88" s="42"/>
      <c r="U88" s="42"/>
      <c r="V88" s="8" t="b">
        <v>0</v>
      </c>
    </row>
    <row r="89" ht="22.5" customHeight="1">
      <c r="A89" s="8"/>
      <c r="B89" s="8" t="b">
        <v>0</v>
      </c>
      <c r="C89" s="8">
        <v>10.0</v>
      </c>
      <c r="E89" s="8" t="s">
        <v>28</v>
      </c>
      <c r="F89" s="15" t="s">
        <v>33</v>
      </c>
      <c r="G89" s="15" t="s">
        <v>86</v>
      </c>
      <c r="H89" s="15" t="s">
        <v>87</v>
      </c>
      <c r="I89" s="31">
        <v>45922.0</v>
      </c>
      <c r="J89" s="32" t="s">
        <v>30</v>
      </c>
      <c r="K89" s="32" t="s">
        <v>30</v>
      </c>
      <c r="L89" s="32" t="s">
        <v>42</v>
      </c>
      <c r="M89" s="32" t="s">
        <v>45</v>
      </c>
      <c r="N89" s="15">
        <v>3.0</v>
      </c>
      <c r="O89" s="15">
        <v>0.0</v>
      </c>
      <c r="P89" s="15">
        <f t="array" ref="P89">if(O89="","", if(O89=9999,9999,ROUNDUP(_xlfn.XLOOKUP(J89&amp;"-"&amp;E89&amp;"-"&amp;K89,SpecCV[ID],SpecCV[factor])*O89,0)))</f>
        <v>0</v>
      </c>
      <c r="Q89" s="15">
        <f t="array" ref="Q89">if(J89="Contact plate", _xlfn.XLOOKUP(J89&amp;"-"&amp;E89&amp;"-"&amp;K89,SpecCV[ID],SpecCV[Spec]),_xlfn.XLOOKUP(J89&amp;"-"&amp;E89&amp;"-"&amp;K89,SpecCV[ID],SpecCV[Spec]))</f>
        <v>50</v>
      </c>
      <c r="R89" s="15" t="str">
        <f t="array" ref="R89">if(J89="Contact plate", _xlfn.XLOOKUP(J89&amp;"-"&amp;E89&amp;"-"&amp;K89,SpecCV[ID],SpecCV[Unit]),_xlfn.XLOOKUP(J89&amp;"-"&amp;E89&amp;"-"&amp;K89,SpecCV[ID],SpecCV[Unit]))</f>
        <v>cfu</v>
      </c>
      <c r="S89" s="42"/>
      <c r="T89" s="42"/>
      <c r="U89" s="42"/>
      <c r="V89" s="8" t="b">
        <v>0</v>
      </c>
    </row>
    <row r="90" ht="22.5" customHeight="1">
      <c r="A90" s="8"/>
      <c r="B90" s="8" t="b">
        <v>0</v>
      </c>
      <c r="C90" s="8">
        <v>10.0</v>
      </c>
      <c r="E90" s="8" t="s">
        <v>28</v>
      </c>
      <c r="F90" s="15" t="s">
        <v>33</v>
      </c>
      <c r="G90" s="15" t="s">
        <v>86</v>
      </c>
      <c r="H90" s="15" t="s">
        <v>90</v>
      </c>
      <c r="I90" s="31">
        <v>45922.0</v>
      </c>
      <c r="J90" s="32" t="s">
        <v>30</v>
      </c>
      <c r="K90" s="32" t="s">
        <v>30</v>
      </c>
      <c r="L90" s="32" t="s">
        <v>42</v>
      </c>
      <c r="M90" s="32" t="s">
        <v>45</v>
      </c>
      <c r="N90" s="15">
        <v>3.0</v>
      </c>
      <c r="O90" s="15">
        <v>0.0</v>
      </c>
      <c r="P90" s="15">
        <f t="array" ref="P90">if(O90="","", if(O90=9999,9999,ROUNDUP(_xlfn.XLOOKUP(J90&amp;"-"&amp;E90&amp;"-"&amp;K90,SpecCV[ID],SpecCV[factor])*O90,0)))</f>
        <v>0</v>
      </c>
      <c r="Q90" s="15">
        <f t="array" ref="Q90">if(J90="Contact plate", _xlfn.XLOOKUP(J90&amp;"-"&amp;E90&amp;"-"&amp;K90,SpecCV[ID],SpecCV[Spec]),_xlfn.XLOOKUP(J90&amp;"-"&amp;E90&amp;"-"&amp;K90,SpecCV[ID],SpecCV[Spec]))</f>
        <v>50</v>
      </c>
      <c r="R90" s="15" t="str">
        <f t="array" ref="R90">if(J90="Contact plate", _xlfn.XLOOKUP(J90&amp;"-"&amp;E90&amp;"-"&amp;K90,SpecCV[ID],SpecCV[Unit]),_xlfn.XLOOKUP(J90&amp;"-"&amp;E90&amp;"-"&amp;K90,SpecCV[ID],SpecCV[Unit]))</f>
        <v>cfu</v>
      </c>
      <c r="S90" s="42"/>
      <c r="T90" s="42"/>
      <c r="U90" s="42"/>
      <c r="V90" s="8" t="b">
        <v>0</v>
      </c>
    </row>
    <row r="91" ht="22.5" customHeight="1">
      <c r="A91" s="8"/>
      <c r="B91" s="8" t="b">
        <v>0</v>
      </c>
      <c r="C91" s="8">
        <v>10.0</v>
      </c>
      <c r="E91" s="8" t="s">
        <v>28</v>
      </c>
      <c r="F91" s="15" t="s">
        <v>33</v>
      </c>
      <c r="G91" s="15" t="s">
        <v>95</v>
      </c>
      <c r="H91" s="15" t="s">
        <v>96</v>
      </c>
      <c r="I91" s="31">
        <v>45922.0</v>
      </c>
      <c r="J91" s="32" t="s">
        <v>30</v>
      </c>
      <c r="K91" s="32" t="s">
        <v>30</v>
      </c>
      <c r="L91" s="32" t="s">
        <v>42</v>
      </c>
      <c r="M91" s="32" t="s">
        <v>45</v>
      </c>
      <c r="N91" s="15">
        <v>3.0</v>
      </c>
      <c r="O91" s="15">
        <v>0.0</v>
      </c>
      <c r="P91" s="15">
        <f t="array" ref="P91">if(O91="","", if(O91=9999,9999,ROUNDUP(_xlfn.XLOOKUP(J91&amp;"-"&amp;E91&amp;"-"&amp;K91,SpecCV[ID],SpecCV[factor])*O91,0)))</f>
        <v>0</v>
      </c>
      <c r="Q91" s="15">
        <f t="array" ref="Q91">if(J91="Contact plate", _xlfn.XLOOKUP(J91&amp;"-"&amp;E91&amp;"-"&amp;K91,SpecCV[ID],SpecCV[Spec]),_xlfn.XLOOKUP(J91&amp;"-"&amp;E91&amp;"-"&amp;K91,SpecCV[ID],SpecCV[Spec]))</f>
        <v>50</v>
      </c>
      <c r="R91" s="15" t="str">
        <f t="array" ref="R91">if(J91="Contact plate", _xlfn.XLOOKUP(J91&amp;"-"&amp;E91&amp;"-"&amp;K91,SpecCV[ID],SpecCV[Unit]),_xlfn.XLOOKUP(J91&amp;"-"&amp;E91&amp;"-"&amp;K91,SpecCV[ID],SpecCV[Unit]))</f>
        <v>cfu</v>
      </c>
      <c r="S91" s="42"/>
      <c r="T91" s="42"/>
      <c r="U91" s="42"/>
      <c r="V91" s="8" t="b">
        <v>0</v>
      </c>
    </row>
    <row r="92" ht="22.5" customHeight="1">
      <c r="A92" s="8"/>
      <c r="B92" s="8" t="b">
        <v>0</v>
      </c>
      <c r="C92" s="8">
        <v>10.0</v>
      </c>
      <c r="E92" s="8" t="s">
        <v>28</v>
      </c>
      <c r="F92" s="15" t="s">
        <v>33</v>
      </c>
      <c r="G92" s="15" t="s">
        <v>95</v>
      </c>
      <c r="H92" s="15" t="s">
        <v>99</v>
      </c>
      <c r="I92" s="31">
        <v>45922.0</v>
      </c>
      <c r="J92" s="32" t="s">
        <v>30</v>
      </c>
      <c r="K92" s="32" t="s">
        <v>30</v>
      </c>
      <c r="L92" s="32" t="s">
        <v>42</v>
      </c>
      <c r="M92" s="32" t="s">
        <v>45</v>
      </c>
      <c r="N92" s="15">
        <v>3.0</v>
      </c>
      <c r="O92" s="15">
        <v>0.0</v>
      </c>
      <c r="P92" s="15">
        <f t="array" ref="P92">if(O92="","", if(O92=9999,9999,ROUNDUP(_xlfn.XLOOKUP(J92&amp;"-"&amp;E92&amp;"-"&amp;K92,SpecCV[ID],SpecCV[factor])*O92,0)))</f>
        <v>0</v>
      </c>
      <c r="Q92" s="15">
        <f t="array" ref="Q92">if(J92="Contact plate", _xlfn.XLOOKUP(J92&amp;"-"&amp;E92&amp;"-"&amp;K92,SpecCV[ID],SpecCV[Spec]),_xlfn.XLOOKUP(J92&amp;"-"&amp;E92&amp;"-"&amp;K92,SpecCV[ID],SpecCV[Spec]))</f>
        <v>50</v>
      </c>
      <c r="R92" s="15" t="str">
        <f t="array" ref="R92">if(J92="Contact plate", _xlfn.XLOOKUP(J92&amp;"-"&amp;E92&amp;"-"&amp;K92,SpecCV[ID],SpecCV[Unit]),_xlfn.XLOOKUP(J92&amp;"-"&amp;E92&amp;"-"&amp;K92,SpecCV[ID],SpecCV[Unit]))</f>
        <v>cfu</v>
      </c>
      <c r="S92" s="42"/>
      <c r="T92" s="42"/>
      <c r="U92" s="42"/>
      <c r="V92" s="8" t="b">
        <v>0</v>
      </c>
    </row>
    <row r="93" ht="22.5" customHeight="1">
      <c r="A93" s="8"/>
      <c r="B93" s="8" t="b">
        <v>0</v>
      </c>
      <c r="C93" s="8">
        <v>10.0</v>
      </c>
      <c r="E93" s="8" t="s">
        <v>28</v>
      </c>
      <c r="F93" s="15" t="s">
        <v>33</v>
      </c>
      <c r="G93" s="15" t="s">
        <v>221</v>
      </c>
      <c r="H93" s="15" t="s">
        <v>222</v>
      </c>
      <c r="I93" s="31">
        <v>45923.0</v>
      </c>
      <c r="J93" s="32" t="s">
        <v>30</v>
      </c>
      <c r="K93" s="32" t="s">
        <v>30</v>
      </c>
      <c r="L93" s="32" t="s">
        <v>42</v>
      </c>
      <c r="M93" s="32" t="s">
        <v>45</v>
      </c>
      <c r="N93" s="15">
        <v>1.0</v>
      </c>
      <c r="O93" s="15">
        <v>3.0</v>
      </c>
      <c r="P93" s="15">
        <f t="array" ref="P93">if(O93="","", if(O93=9999,9999,ROUNDUP(_xlfn.XLOOKUP(J93&amp;"-"&amp;E93&amp;"-"&amp;K93,SpecCV[ID],SpecCV[factor])*O93,0)))</f>
        <v>3</v>
      </c>
      <c r="Q93" s="15">
        <f t="array" ref="Q93">if(J93="Contact plate", _xlfn.XLOOKUP(J93&amp;"-"&amp;E93&amp;"-"&amp;K93,SpecCV[ID],SpecCV[Spec]),_xlfn.XLOOKUP(J93&amp;"-"&amp;E93&amp;"-"&amp;K93,SpecCV[ID],SpecCV[Spec]))</f>
        <v>50</v>
      </c>
      <c r="R93" s="15" t="str">
        <f t="array" ref="R93">if(J93="Contact plate", _xlfn.XLOOKUP(J93&amp;"-"&amp;E93&amp;"-"&amp;K93,SpecCV[ID],SpecCV[Unit]),_xlfn.XLOOKUP(J93&amp;"-"&amp;E93&amp;"-"&amp;K93,SpecCV[ID],SpecCV[Unit]))</f>
        <v>cfu</v>
      </c>
      <c r="S93" s="42"/>
      <c r="T93" s="42"/>
      <c r="U93" s="42"/>
      <c r="V93" s="8" t="b">
        <v>0</v>
      </c>
    </row>
    <row r="94" ht="22.5" customHeight="1">
      <c r="A94" s="8"/>
      <c r="B94" s="8" t="b">
        <v>0</v>
      </c>
      <c r="C94" s="8">
        <v>10.0</v>
      </c>
      <c r="E94" s="8" t="s">
        <v>28</v>
      </c>
      <c r="F94" s="15" t="s">
        <v>33</v>
      </c>
      <c r="G94" s="15" t="s">
        <v>221</v>
      </c>
      <c r="H94" s="15" t="s">
        <v>223</v>
      </c>
      <c r="I94" s="31">
        <v>45923.0</v>
      </c>
      <c r="J94" s="32" t="s">
        <v>30</v>
      </c>
      <c r="K94" s="32" t="s">
        <v>30</v>
      </c>
      <c r="L94" s="32" t="s">
        <v>42</v>
      </c>
      <c r="M94" s="32" t="s">
        <v>45</v>
      </c>
      <c r="N94" s="15">
        <v>1.0</v>
      </c>
      <c r="O94" s="15">
        <v>2.0</v>
      </c>
      <c r="P94" s="15">
        <f t="array" ref="P94">if(O94="","", if(O94=9999,9999,ROUNDUP(_xlfn.XLOOKUP(J94&amp;"-"&amp;E94&amp;"-"&amp;K94,SpecCV[ID],SpecCV[factor])*O94,0)))</f>
        <v>2</v>
      </c>
      <c r="Q94" s="15">
        <f t="array" ref="Q94">if(J94="Contact plate", _xlfn.XLOOKUP(J94&amp;"-"&amp;E94&amp;"-"&amp;K94,SpecCV[ID],SpecCV[Spec]),_xlfn.XLOOKUP(J94&amp;"-"&amp;E94&amp;"-"&amp;K94,SpecCV[ID],SpecCV[Spec]))</f>
        <v>50</v>
      </c>
      <c r="R94" s="15" t="str">
        <f t="array" ref="R94">if(J94="Contact plate", _xlfn.XLOOKUP(J94&amp;"-"&amp;E94&amp;"-"&amp;K94,SpecCV[ID],SpecCV[Unit]),_xlfn.XLOOKUP(J94&amp;"-"&amp;E94&amp;"-"&amp;K94,SpecCV[ID],SpecCV[Unit]))</f>
        <v>cfu</v>
      </c>
      <c r="S94" s="42"/>
      <c r="T94" s="42"/>
      <c r="U94" s="42"/>
      <c r="V94" s="8" t="b">
        <v>0</v>
      </c>
    </row>
    <row r="95" ht="22.5" customHeight="1">
      <c r="A95" s="8"/>
      <c r="B95" s="8" t="b">
        <v>0</v>
      </c>
      <c r="C95" s="8">
        <v>10.0</v>
      </c>
      <c r="E95" s="8" t="s">
        <v>28</v>
      </c>
      <c r="F95" s="15" t="s">
        <v>33</v>
      </c>
      <c r="G95" s="15" t="s">
        <v>221</v>
      </c>
      <c r="H95" s="15" t="s">
        <v>224</v>
      </c>
      <c r="I95" s="31">
        <v>45923.0</v>
      </c>
      <c r="J95" s="32" t="s">
        <v>30</v>
      </c>
      <c r="K95" s="32" t="s">
        <v>30</v>
      </c>
      <c r="L95" s="32" t="s">
        <v>42</v>
      </c>
      <c r="M95" s="32" t="s">
        <v>45</v>
      </c>
      <c r="N95" s="15">
        <v>1.0</v>
      </c>
      <c r="O95" s="15">
        <v>0.0</v>
      </c>
      <c r="P95" s="15">
        <f t="array" ref="P95">if(O95="","", if(O95=9999,9999,ROUNDUP(_xlfn.XLOOKUP(J95&amp;"-"&amp;E95&amp;"-"&amp;K95,SpecCV[ID],SpecCV[factor])*O95,0)))</f>
        <v>0</v>
      </c>
      <c r="Q95" s="15">
        <f t="array" ref="Q95">if(J95="Contact plate", _xlfn.XLOOKUP(J95&amp;"-"&amp;E95&amp;"-"&amp;K95,SpecCV[ID],SpecCV[Spec]),_xlfn.XLOOKUP(J95&amp;"-"&amp;E95&amp;"-"&amp;K95,SpecCV[ID],SpecCV[Spec]))</f>
        <v>50</v>
      </c>
      <c r="R95" s="15" t="str">
        <f t="array" ref="R95">if(J95="Contact plate", _xlfn.XLOOKUP(J95&amp;"-"&amp;E95&amp;"-"&amp;K95,SpecCV[ID],SpecCV[Unit]),_xlfn.XLOOKUP(J95&amp;"-"&amp;E95&amp;"-"&amp;K95,SpecCV[ID],SpecCV[Unit]))</f>
        <v>cfu</v>
      </c>
      <c r="S95" s="42"/>
      <c r="T95" s="42"/>
      <c r="U95" s="42"/>
      <c r="V95" s="8" t="b">
        <v>0</v>
      </c>
    </row>
    <row r="96" ht="22.5" customHeight="1">
      <c r="A96" s="8"/>
      <c r="B96" s="8" t="b">
        <v>0</v>
      </c>
      <c r="C96" s="8">
        <v>10.0</v>
      </c>
      <c r="E96" s="8" t="s">
        <v>28</v>
      </c>
      <c r="F96" s="15" t="s">
        <v>33</v>
      </c>
      <c r="G96" s="15" t="s">
        <v>162</v>
      </c>
      <c r="H96" s="15" t="s">
        <v>165</v>
      </c>
      <c r="I96" s="31">
        <v>45926.0</v>
      </c>
      <c r="J96" s="32" t="s">
        <v>30</v>
      </c>
      <c r="K96" s="32" t="s">
        <v>30</v>
      </c>
      <c r="L96" s="32" t="s">
        <v>42</v>
      </c>
      <c r="M96" s="32" t="s">
        <v>281</v>
      </c>
      <c r="N96" s="15">
        <v>2.0</v>
      </c>
      <c r="O96" s="15">
        <v>1.0</v>
      </c>
      <c r="P96" s="15">
        <f t="array" ref="P96">if(O96="","", if(O96=9999,9999,ROUNDUP(_xlfn.XLOOKUP(J96&amp;"-"&amp;E96&amp;"-"&amp;K96,SpecCV[ID],SpecCV[factor])*O96,0)))</f>
        <v>1</v>
      </c>
      <c r="Q96" s="15">
        <f t="array" ref="Q96">if(J96="Contact plate", _xlfn.XLOOKUP(J96&amp;"-"&amp;E96&amp;"-"&amp;K96,SpecCV[ID],SpecCV[Spec]),_xlfn.XLOOKUP(J96&amp;"-"&amp;E96&amp;"-"&amp;K96,SpecCV[ID],SpecCV[Spec]))</f>
        <v>50</v>
      </c>
      <c r="R96" s="15" t="str">
        <f t="array" ref="R96">if(J96="Contact plate", _xlfn.XLOOKUP(J96&amp;"-"&amp;E96&amp;"-"&amp;K96,SpecCV[ID],SpecCV[Unit]),_xlfn.XLOOKUP(J96&amp;"-"&amp;E96&amp;"-"&amp;K96,SpecCV[ID],SpecCV[Unit]))</f>
        <v>cfu</v>
      </c>
      <c r="S96" s="42"/>
      <c r="T96" s="42"/>
      <c r="U96" s="42"/>
      <c r="V96" s="8" t="b">
        <v>0</v>
      </c>
    </row>
    <row r="97" ht="22.5" customHeight="1">
      <c r="A97" s="8"/>
      <c r="B97" s="8" t="b">
        <v>0</v>
      </c>
      <c r="C97" s="8">
        <v>10.0</v>
      </c>
      <c r="E97" s="8" t="s">
        <v>28</v>
      </c>
      <c r="F97" s="15" t="s">
        <v>33</v>
      </c>
      <c r="G97" s="15" t="s">
        <v>162</v>
      </c>
      <c r="H97" s="15" t="s">
        <v>171</v>
      </c>
      <c r="I97" s="31">
        <v>45926.0</v>
      </c>
      <c r="J97" s="32" t="s">
        <v>30</v>
      </c>
      <c r="K97" s="32" t="s">
        <v>30</v>
      </c>
      <c r="L97" s="32" t="s">
        <v>42</v>
      </c>
      <c r="M97" s="32" t="s">
        <v>281</v>
      </c>
      <c r="N97" s="15">
        <v>2.0</v>
      </c>
      <c r="O97" s="15">
        <v>3.0</v>
      </c>
      <c r="P97" s="15">
        <f t="array" ref="P97">if(O97="","", if(O97=9999,9999,ROUNDUP(_xlfn.XLOOKUP(J97&amp;"-"&amp;E97&amp;"-"&amp;K97,SpecCV[ID],SpecCV[factor])*O97,0)))</f>
        <v>3</v>
      </c>
      <c r="Q97" s="15">
        <f t="array" ref="Q97">if(J97="Contact plate", _xlfn.XLOOKUP(J97&amp;"-"&amp;E97&amp;"-"&amp;K97,SpecCV[ID],SpecCV[Spec]),_xlfn.XLOOKUP(J97&amp;"-"&amp;E97&amp;"-"&amp;K97,SpecCV[ID],SpecCV[Spec]))</f>
        <v>50</v>
      </c>
      <c r="R97" s="15" t="str">
        <f t="array" ref="R97">if(J97="Contact plate", _xlfn.XLOOKUP(J97&amp;"-"&amp;E97&amp;"-"&amp;K97,SpecCV[ID],SpecCV[Unit]),_xlfn.XLOOKUP(J97&amp;"-"&amp;E97&amp;"-"&amp;K97,SpecCV[ID],SpecCV[Unit]))</f>
        <v>cfu</v>
      </c>
      <c r="S97" s="42"/>
      <c r="T97" s="42"/>
      <c r="U97" s="42"/>
      <c r="V97" s="8" t="b">
        <v>0</v>
      </c>
    </row>
    <row r="98" ht="22.5" customHeight="1">
      <c r="A98" s="8"/>
      <c r="B98" s="8" t="b">
        <v>0</v>
      </c>
      <c r="C98" s="8">
        <v>10.0</v>
      </c>
      <c r="D98" s="28"/>
      <c r="E98" s="8" t="s">
        <v>28</v>
      </c>
      <c r="F98" s="15" t="s">
        <v>135</v>
      </c>
      <c r="G98" s="15" t="s">
        <v>162</v>
      </c>
      <c r="H98" s="15" t="s">
        <v>165</v>
      </c>
      <c r="I98" s="31">
        <v>45929.0</v>
      </c>
      <c r="J98" s="32" t="s">
        <v>30</v>
      </c>
      <c r="K98" s="32" t="s">
        <v>30</v>
      </c>
      <c r="L98" s="32" t="s">
        <v>220</v>
      </c>
      <c r="M98" s="32" t="s">
        <v>45</v>
      </c>
      <c r="N98" s="15">
        <v>3.0</v>
      </c>
      <c r="O98" s="15">
        <v>0.0</v>
      </c>
      <c r="P98" s="15">
        <f t="array" ref="P98">if(O98="","", if(O98=9999,9999,ROUNDUP(_xlfn.XLOOKUP(J98&amp;"-"&amp;E98&amp;"-"&amp;K98,SpecCV[ID],SpecCV[factor])*O98,0)))</f>
        <v>0</v>
      </c>
      <c r="Q98" s="15">
        <f t="array" ref="Q98">if(J98="Contact plate", _xlfn.XLOOKUP(J98&amp;"-"&amp;E98&amp;"-"&amp;K98,SpecCV[ID],SpecCV[Spec]),_xlfn.XLOOKUP(J98&amp;"-"&amp;E98&amp;"-"&amp;K98,SpecCV[ID],SpecCV[Spec]))</f>
        <v>50</v>
      </c>
      <c r="R98" s="15" t="str">
        <f t="array" ref="R98">if(J98="Contact plate", _xlfn.XLOOKUP(J98&amp;"-"&amp;E98&amp;"-"&amp;K98,SpecCV[ID],SpecCV[Unit]),_xlfn.XLOOKUP(J98&amp;"-"&amp;E98&amp;"-"&amp;K98,SpecCV[ID],SpecCV[Unit]))</f>
        <v>cfu</v>
      </c>
      <c r="S98" s="42"/>
      <c r="T98" s="42"/>
      <c r="U98" s="42"/>
      <c r="V98" s="8" t="b">
        <v>0</v>
      </c>
    </row>
    <row r="99" ht="22.5" customHeight="1">
      <c r="A99" s="8"/>
      <c r="B99" s="8" t="b">
        <v>0</v>
      </c>
      <c r="C99" s="8">
        <v>10.0</v>
      </c>
      <c r="D99" s="28"/>
      <c r="E99" s="8" t="s">
        <v>28</v>
      </c>
      <c r="F99" s="15" t="s">
        <v>135</v>
      </c>
      <c r="G99" s="15" t="s">
        <v>162</v>
      </c>
      <c r="H99" s="15" t="s">
        <v>168</v>
      </c>
      <c r="I99" s="31">
        <v>45929.0</v>
      </c>
      <c r="J99" s="32" t="s">
        <v>30</v>
      </c>
      <c r="K99" s="32" t="s">
        <v>30</v>
      </c>
      <c r="L99" s="32" t="s">
        <v>220</v>
      </c>
      <c r="M99" s="32" t="s">
        <v>45</v>
      </c>
      <c r="N99" s="15">
        <v>3.0</v>
      </c>
      <c r="O99" s="15">
        <v>0.0</v>
      </c>
      <c r="P99" s="15">
        <f t="array" ref="P99">if(O99="","", if(O99=9999,9999,ROUNDUP(_xlfn.XLOOKUP(J99&amp;"-"&amp;E99&amp;"-"&amp;K99,SpecCV[ID],SpecCV[factor])*O99,0)))</f>
        <v>0</v>
      </c>
      <c r="Q99" s="15">
        <f t="array" ref="Q99">if(J99="Contact plate", _xlfn.XLOOKUP(J99&amp;"-"&amp;E99&amp;"-"&amp;K99,SpecCV[ID],SpecCV[Spec]),_xlfn.XLOOKUP(J99&amp;"-"&amp;E99&amp;"-"&amp;K99,SpecCV[ID],SpecCV[Spec]))</f>
        <v>50</v>
      </c>
      <c r="R99" s="15" t="str">
        <f t="array" ref="R99">if(J99="Contact plate", _xlfn.XLOOKUP(J99&amp;"-"&amp;E99&amp;"-"&amp;K99,SpecCV[ID],SpecCV[Unit]),_xlfn.XLOOKUP(J99&amp;"-"&amp;E99&amp;"-"&amp;K99,SpecCV[ID],SpecCV[Unit]))</f>
        <v>cfu</v>
      </c>
      <c r="S99" s="42"/>
      <c r="T99" s="42"/>
      <c r="U99" s="42"/>
      <c r="V99" s="8" t="b">
        <v>0</v>
      </c>
    </row>
    <row r="100" ht="22.5" customHeight="1">
      <c r="A100" s="8"/>
      <c r="B100" s="8" t="b">
        <v>0</v>
      </c>
      <c r="C100" s="8">
        <v>10.0</v>
      </c>
      <c r="D100" s="28"/>
      <c r="E100" s="8" t="s">
        <v>28</v>
      </c>
      <c r="F100" s="15" t="s">
        <v>135</v>
      </c>
      <c r="G100" s="15" t="s">
        <v>162</v>
      </c>
      <c r="H100" s="15" t="s">
        <v>171</v>
      </c>
      <c r="I100" s="31">
        <v>45929.0</v>
      </c>
      <c r="J100" s="32" t="s">
        <v>30</v>
      </c>
      <c r="K100" s="32" t="s">
        <v>30</v>
      </c>
      <c r="L100" s="32" t="s">
        <v>220</v>
      </c>
      <c r="M100" s="32" t="s">
        <v>45</v>
      </c>
      <c r="N100" s="15">
        <v>3.0</v>
      </c>
      <c r="O100" s="15">
        <v>0.0</v>
      </c>
      <c r="P100" s="15">
        <f t="array" ref="P100">if(O100="","", if(O100=9999,9999,ROUNDUP(_xlfn.XLOOKUP(J100&amp;"-"&amp;E100&amp;"-"&amp;K100,SpecCV[ID],SpecCV[factor])*O100,0)))</f>
        <v>0</v>
      </c>
      <c r="Q100" s="15">
        <f t="array" ref="Q100">if(J100="Contact plate", _xlfn.XLOOKUP(J100&amp;"-"&amp;E100&amp;"-"&amp;K100,SpecCV[ID],SpecCV[Spec]),_xlfn.XLOOKUP(J100&amp;"-"&amp;E100&amp;"-"&amp;K100,SpecCV[ID],SpecCV[Spec]))</f>
        <v>50</v>
      </c>
      <c r="R100" s="15" t="str">
        <f t="array" ref="R100">if(J100="Contact plate", _xlfn.XLOOKUP(J100&amp;"-"&amp;E100&amp;"-"&amp;K100,SpecCV[ID],SpecCV[Unit]),_xlfn.XLOOKUP(J100&amp;"-"&amp;E100&amp;"-"&amp;K100,SpecCV[ID],SpecCV[Unit]))</f>
        <v>cfu</v>
      </c>
      <c r="S100" s="42"/>
      <c r="T100" s="42"/>
      <c r="U100" s="42"/>
      <c r="V100" s="8" t="b">
        <v>0</v>
      </c>
    </row>
    <row r="101" ht="22.5" customHeight="1">
      <c r="A101" s="8"/>
      <c r="B101" s="8" t="b">
        <v>0</v>
      </c>
      <c r="C101" s="8">
        <v>10.0</v>
      </c>
      <c r="E101" s="8" t="s">
        <v>28</v>
      </c>
      <c r="F101" s="15" t="s">
        <v>33</v>
      </c>
      <c r="G101" s="15" t="s">
        <v>102</v>
      </c>
      <c r="H101" s="15" t="s">
        <v>105</v>
      </c>
      <c r="I101" s="31">
        <v>45929.0</v>
      </c>
      <c r="J101" s="32" t="s">
        <v>30</v>
      </c>
      <c r="K101" s="32" t="s">
        <v>30</v>
      </c>
      <c r="L101" s="32" t="s">
        <v>42</v>
      </c>
      <c r="M101" s="32" t="s">
        <v>45</v>
      </c>
      <c r="N101" s="15">
        <v>3.0</v>
      </c>
      <c r="O101" s="15">
        <v>1.0</v>
      </c>
      <c r="P101" s="15">
        <f t="array" ref="P101">if(O101="","", if(O101=9999,9999,ROUNDUP(_xlfn.XLOOKUP(J101&amp;"-"&amp;E101&amp;"-"&amp;K101,SpecCV[ID],SpecCV[factor])*O101,0)))</f>
        <v>1</v>
      </c>
      <c r="Q101" s="15">
        <f t="array" ref="Q101">if(J101="Contact plate", _xlfn.XLOOKUP(J101&amp;"-"&amp;E101&amp;"-"&amp;K101,SpecCV[ID],SpecCV[Spec]),_xlfn.XLOOKUP(J101&amp;"-"&amp;E101&amp;"-"&amp;K101,SpecCV[ID],SpecCV[Spec]))</f>
        <v>50</v>
      </c>
      <c r="R101" s="15" t="str">
        <f t="array" ref="R101">if(J101="Contact plate", _xlfn.XLOOKUP(J101&amp;"-"&amp;E101&amp;"-"&amp;K101,SpecCV[ID],SpecCV[Unit]),_xlfn.XLOOKUP(J101&amp;"-"&amp;E101&amp;"-"&amp;K101,SpecCV[ID],SpecCV[Unit]))</f>
        <v>cfu</v>
      </c>
      <c r="S101" s="42"/>
      <c r="T101" s="42"/>
      <c r="U101" s="42"/>
      <c r="V101" s="8" t="b">
        <v>0</v>
      </c>
    </row>
    <row r="102" ht="22.5" customHeight="1">
      <c r="A102" s="8"/>
      <c r="B102" s="8" t="b">
        <v>0</v>
      </c>
      <c r="C102" s="8">
        <v>10.0</v>
      </c>
      <c r="E102" s="8" t="s">
        <v>28</v>
      </c>
      <c r="F102" s="15" t="s">
        <v>33</v>
      </c>
      <c r="G102" s="15" t="s">
        <v>102</v>
      </c>
      <c r="H102" s="15" t="s">
        <v>108</v>
      </c>
      <c r="I102" s="31">
        <v>45929.0</v>
      </c>
      <c r="J102" s="32" t="s">
        <v>30</v>
      </c>
      <c r="K102" s="32" t="s">
        <v>30</v>
      </c>
      <c r="L102" s="32" t="s">
        <v>42</v>
      </c>
      <c r="M102" s="32" t="s">
        <v>45</v>
      </c>
      <c r="N102" s="15">
        <v>3.0</v>
      </c>
      <c r="O102" s="15">
        <v>2.0</v>
      </c>
      <c r="P102" s="15">
        <f t="array" ref="P102">if(O102="","", if(O102=9999,9999,ROUNDUP(_xlfn.XLOOKUP(J102&amp;"-"&amp;E102&amp;"-"&amp;K102,SpecCV[ID],SpecCV[factor])*O102,0)))</f>
        <v>2</v>
      </c>
      <c r="Q102" s="15">
        <f t="array" ref="Q102">if(J102="Contact plate", _xlfn.XLOOKUP(J102&amp;"-"&amp;E102&amp;"-"&amp;K102,SpecCV[ID],SpecCV[Spec]),_xlfn.XLOOKUP(J102&amp;"-"&amp;E102&amp;"-"&amp;K102,SpecCV[ID],SpecCV[Spec]))</f>
        <v>50</v>
      </c>
      <c r="R102" s="15" t="str">
        <f t="array" ref="R102">if(J102="Contact plate", _xlfn.XLOOKUP(J102&amp;"-"&amp;E102&amp;"-"&amp;K102,SpecCV[ID],SpecCV[Unit]),_xlfn.XLOOKUP(J102&amp;"-"&amp;E102&amp;"-"&amp;K102,SpecCV[ID],SpecCV[Unit]))</f>
        <v>cfu</v>
      </c>
      <c r="S102" s="42"/>
      <c r="T102" s="42"/>
      <c r="U102" s="42"/>
      <c r="V102" s="8" t="b">
        <v>0</v>
      </c>
    </row>
    <row r="103" ht="22.5" customHeight="1">
      <c r="A103" s="8"/>
      <c r="B103" s="8" t="b">
        <v>0</v>
      </c>
      <c r="C103" s="8">
        <v>10.0</v>
      </c>
      <c r="E103" s="8" t="s">
        <v>28</v>
      </c>
      <c r="F103" s="15" t="s">
        <v>33</v>
      </c>
      <c r="G103" s="15" t="s">
        <v>102</v>
      </c>
      <c r="H103" s="15" t="s">
        <v>111</v>
      </c>
      <c r="I103" s="31">
        <v>45929.0</v>
      </c>
      <c r="J103" s="32" t="s">
        <v>30</v>
      </c>
      <c r="K103" s="32" t="s">
        <v>30</v>
      </c>
      <c r="L103" s="32" t="s">
        <v>42</v>
      </c>
      <c r="M103" s="32" t="s">
        <v>45</v>
      </c>
      <c r="N103" s="15">
        <v>3.0</v>
      </c>
      <c r="O103" s="15">
        <v>1.0</v>
      </c>
      <c r="P103" s="15">
        <f t="array" ref="P103">if(O103="","", if(O103=9999,9999,ROUNDUP(_xlfn.XLOOKUP(J103&amp;"-"&amp;E103&amp;"-"&amp;K103,SpecCV[ID],SpecCV[factor])*O103,0)))</f>
        <v>1</v>
      </c>
      <c r="Q103" s="15">
        <f t="array" ref="Q103">if(J103="Contact plate", _xlfn.XLOOKUP(J103&amp;"-"&amp;E103&amp;"-"&amp;K103,SpecCV[ID],SpecCV[Spec]),_xlfn.XLOOKUP(J103&amp;"-"&amp;E103&amp;"-"&amp;K103,SpecCV[ID],SpecCV[Spec]))</f>
        <v>50</v>
      </c>
      <c r="R103" s="15" t="str">
        <f t="array" ref="R103">if(J103="Contact plate", _xlfn.XLOOKUP(J103&amp;"-"&amp;E103&amp;"-"&amp;K103,SpecCV[ID],SpecCV[Unit]),_xlfn.XLOOKUP(J103&amp;"-"&amp;E103&amp;"-"&amp;K103,SpecCV[ID],SpecCV[Unit]))</f>
        <v>cfu</v>
      </c>
      <c r="S103" s="42"/>
      <c r="T103" s="42"/>
      <c r="U103" s="42"/>
      <c r="V103" s="8" t="b">
        <v>0</v>
      </c>
    </row>
    <row r="104" ht="22.5" customHeight="1">
      <c r="A104" s="8"/>
      <c r="B104" s="8" t="b">
        <v>0</v>
      </c>
      <c r="C104" s="8">
        <v>10.0</v>
      </c>
      <c r="E104" s="8" t="s">
        <v>28</v>
      </c>
      <c r="F104" s="15" t="s">
        <v>33</v>
      </c>
      <c r="G104" s="15" t="s">
        <v>102</v>
      </c>
      <c r="H104" s="15" t="s">
        <v>116</v>
      </c>
      <c r="I104" s="31">
        <v>45929.0</v>
      </c>
      <c r="J104" s="32" t="s">
        <v>30</v>
      </c>
      <c r="K104" s="32" t="s">
        <v>30</v>
      </c>
      <c r="L104" s="32" t="s">
        <v>42</v>
      </c>
      <c r="M104" s="32" t="s">
        <v>45</v>
      </c>
      <c r="N104" s="15">
        <v>3.0</v>
      </c>
      <c r="O104" s="15">
        <v>2.0</v>
      </c>
      <c r="P104" s="15">
        <f t="array" ref="P104">if(O104="","", if(O104=9999,9999,ROUNDUP(_xlfn.XLOOKUP(J104&amp;"-"&amp;E104&amp;"-"&amp;K104,SpecCV[ID],SpecCV[factor])*O104,0)))</f>
        <v>2</v>
      </c>
      <c r="Q104" s="15">
        <f t="array" ref="Q104">if(J104="Contact plate", _xlfn.XLOOKUP(J104&amp;"-"&amp;E104&amp;"-"&amp;K104,SpecCV[ID],SpecCV[Spec]),_xlfn.XLOOKUP(J104&amp;"-"&amp;E104&amp;"-"&amp;K104,SpecCV[ID],SpecCV[Spec]))</f>
        <v>50</v>
      </c>
      <c r="R104" s="15" t="str">
        <f t="array" ref="R104">if(J104="Contact plate", _xlfn.XLOOKUP(J104&amp;"-"&amp;E104&amp;"-"&amp;K104,SpecCV[ID],SpecCV[Unit]),_xlfn.XLOOKUP(J104&amp;"-"&amp;E104&amp;"-"&amp;K104,SpecCV[ID],SpecCV[Unit]))</f>
        <v>cfu</v>
      </c>
      <c r="S104" s="42"/>
      <c r="T104" s="42"/>
      <c r="U104" s="42"/>
      <c r="V104" s="8" t="b">
        <v>0</v>
      </c>
    </row>
    <row r="105" ht="22.5" customHeight="1">
      <c r="A105" s="8"/>
      <c r="B105" s="8" t="b">
        <v>0</v>
      </c>
      <c r="C105" s="8">
        <v>10.0</v>
      </c>
      <c r="E105" s="8" t="s">
        <v>28</v>
      </c>
      <c r="F105" s="15" t="s">
        <v>33</v>
      </c>
      <c r="G105" s="15" t="s">
        <v>119</v>
      </c>
      <c r="H105" s="15" t="s">
        <v>120</v>
      </c>
      <c r="I105" s="31">
        <v>45929.0</v>
      </c>
      <c r="J105" s="32" t="s">
        <v>30</v>
      </c>
      <c r="K105" s="32" t="s">
        <v>30</v>
      </c>
      <c r="L105" s="32" t="s">
        <v>42</v>
      </c>
      <c r="M105" s="32" t="s">
        <v>45</v>
      </c>
      <c r="N105" s="15">
        <v>3.0</v>
      </c>
      <c r="O105" s="15">
        <v>0.0</v>
      </c>
      <c r="P105" s="15">
        <f t="array" ref="P105">if(O105="","", if(O105=9999,9999,ROUNDUP(_xlfn.XLOOKUP(J105&amp;"-"&amp;E105&amp;"-"&amp;K105,SpecCV[ID],SpecCV[factor])*O105,0)))</f>
        <v>0</v>
      </c>
      <c r="Q105" s="15">
        <f t="array" ref="Q105">if(J105="Contact plate", _xlfn.XLOOKUP(J105&amp;"-"&amp;E105&amp;"-"&amp;K105,SpecCV[ID],SpecCV[Spec]),_xlfn.XLOOKUP(J105&amp;"-"&amp;E105&amp;"-"&amp;K105,SpecCV[ID],SpecCV[Spec]))</f>
        <v>50</v>
      </c>
      <c r="R105" s="15" t="str">
        <f t="array" ref="R105">if(J105="Contact plate", _xlfn.XLOOKUP(J105&amp;"-"&amp;E105&amp;"-"&amp;K105,SpecCV[ID],SpecCV[Unit]),_xlfn.XLOOKUP(J105&amp;"-"&amp;E105&amp;"-"&amp;K105,SpecCV[ID],SpecCV[Unit]))</f>
        <v>cfu</v>
      </c>
      <c r="S105" s="42"/>
      <c r="T105" s="42"/>
      <c r="U105" s="42"/>
      <c r="V105" s="8" t="b">
        <v>0</v>
      </c>
    </row>
    <row r="106" ht="22.5" customHeight="1">
      <c r="A106" s="8"/>
      <c r="B106" s="8" t="b">
        <v>0</v>
      </c>
      <c r="C106" s="8">
        <v>10.0</v>
      </c>
      <c r="E106" s="8" t="s">
        <v>28</v>
      </c>
      <c r="F106" s="15" t="s">
        <v>33</v>
      </c>
      <c r="G106" s="15" t="s">
        <v>119</v>
      </c>
      <c r="H106" s="15" t="s">
        <v>123</v>
      </c>
      <c r="I106" s="31">
        <v>45929.0</v>
      </c>
      <c r="J106" s="32" t="s">
        <v>30</v>
      </c>
      <c r="K106" s="32" t="s">
        <v>30</v>
      </c>
      <c r="L106" s="32" t="s">
        <v>42</v>
      </c>
      <c r="M106" s="32" t="s">
        <v>45</v>
      </c>
      <c r="N106" s="15">
        <v>3.0</v>
      </c>
      <c r="O106" s="15">
        <v>0.0</v>
      </c>
      <c r="P106" s="15">
        <f t="array" ref="P106">if(O106="","", if(O106=9999,9999,ROUNDUP(_xlfn.XLOOKUP(J106&amp;"-"&amp;E106&amp;"-"&amp;K106,SpecCV[ID],SpecCV[factor])*O106,0)))</f>
        <v>0</v>
      </c>
      <c r="Q106" s="15">
        <f t="array" ref="Q106">if(J106="Contact plate", _xlfn.XLOOKUP(J106&amp;"-"&amp;E106&amp;"-"&amp;K106,SpecCV[ID],SpecCV[Spec]),_xlfn.XLOOKUP(J106&amp;"-"&amp;E106&amp;"-"&amp;K106,SpecCV[ID],SpecCV[Spec]))</f>
        <v>50</v>
      </c>
      <c r="R106" s="15" t="str">
        <f t="array" ref="R106">if(J106="Contact plate", _xlfn.XLOOKUP(J106&amp;"-"&amp;E106&amp;"-"&amp;K106,SpecCV[ID],SpecCV[Unit]),_xlfn.XLOOKUP(J106&amp;"-"&amp;E106&amp;"-"&amp;K106,SpecCV[ID],SpecCV[Unit]))</f>
        <v>cfu</v>
      </c>
      <c r="S106" s="42"/>
      <c r="T106" s="42"/>
      <c r="U106" s="42"/>
      <c r="V106" s="8" t="b">
        <v>0</v>
      </c>
    </row>
    <row r="107" ht="22.5" customHeight="1">
      <c r="A107" s="8"/>
      <c r="B107" s="8" t="b">
        <v>0</v>
      </c>
      <c r="C107" s="8">
        <v>10.0</v>
      </c>
      <c r="E107" s="8" t="s">
        <v>28</v>
      </c>
      <c r="F107" s="15" t="s">
        <v>33</v>
      </c>
      <c r="G107" s="15" t="s">
        <v>127</v>
      </c>
      <c r="H107" s="15" t="s">
        <v>129</v>
      </c>
      <c r="I107" s="31">
        <v>45929.0</v>
      </c>
      <c r="J107" s="32" t="s">
        <v>30</v>
      </c>
      <c r="K107" s="32" t="s">
        <v>30</v>
      </c>
      <c r="L107" s="32" t="s">
        <v>42</v>
      </c>
      <c r="M107" s="32" t="s">
        <v>45</v>
      </c>
      <c r="N107" s="15">
        <v>3.0</v>
      </c>
      <c r="O107" s="15">
        <v>10.0</v>
      </c>
      <c r="P107" s="15">
        <f t="array" ref="P107">if(O107="","", if(O107=9999,9999,ROUNDUP(_xlfn.XLOOKUP(J107&amp;"-"&amp;E107&amp;"-"&amp;K107,SpecCV[ID],SpecCV[factor])*O107,0)))</f>
        <v>10</v>
      </c>
      <c r="Q107" s="15">
        <f t="array" ref="Q107">if(J107="Contact plate", _xlfn.XLOOKUP(J107&amp;"-"&amp;E107&amp;"-"&amp;K107,SpecCV[ID],SpecCV[Spec]),_xlfn.XLOOKUP(J107&amp;"-"&amp;E107&amp;"-"&amp;K107,SpecCV[ID],SpecCV[Spec]))</f>
        <v>50</v>
      </c>
      <c r="R107" s="15" t="str">
        <f t="array" ref="R107">if(J107="Contact plate", _xlfn.XLOOKUP(J107&amp;"-"&amp;E107&amp;"-"&amp;K107,SpecCV[ID],SpecCV[Unit]),_xlfn.XLOOKUP(J107&amp;"-"&amp;E107&amp;"-"&amp;K107,SpecCV[ID],SpecCV[Unit]))</f>
        <v>cfu</v>
      </c>
      <c r="S107" s="42"/>
      <c r="T107" s="42"/>
      <c r="U107" s="42"/>
      <c r="V107" s="8" t="b">
        <v>0</v>
      </c>
    </row>
    <row r="108" ht="22.5" customHeight="1">
      <c r="A108" s="8"/>
      <c r="B108" s="8" t="b">
        <v>0</v>
      </c>
      <c r="C108" s="8">
        <v>10.0</v>
      </c>
      <c r="E108" s="8" t="s">
        <v>28</v>
      </c>
      <c r="F108" s="15" t="s">
        <v>33</v>
      </c>
      <c r="G108" s="15" t="s">
        <v>127</v>
      </c>
      <c r="H108" s="15" t="s">
        <v>132</v>
      </c>
      <c r="I108" s="31">
        <v>45929.0</v>
      </c>
      <c r="J108" s="32" t="s">
        <v>30</v>
      </c>
      <c r="K108" s="32" t="s">
        <v>30</v>
      </c>
      <c r="L108" s="32" t="s">
        <v>42</v>
      </c>
      <c r="M108" s="32" t="s">
        <v>45</v>
      </c>
      <c r="N108" s="15">
        <v>3.0</v>
      </c>
      <c r="O108" s="15">
        <v>8.0</v>
      </c>
      <c r="P108" s="15">
        <f t="array" ref="P108">if(O108="","", if(O108=9999,9999,ROUNDUP(_xlfn.XLOOKUP(J108&amp;"-"&amp;E108&amp;"-"&amp;K108,SpecCV[ID],SpecCV[factor])*O108,0)))</f>
        <v>8</v>
      </c>
      <c r="Q108" s="15">
        <f t="array" ref="Q108">if(J108="Contact plate", _xlfn.XLOOKUP(J108&amp;"-"&amp;E108&amp;"-"&amp;K108,SpecCV[ID],SpecCV[Spec]),_xlfn.XLOOKUP(J108&amp;"-"&amp;E108&amp;"-"&amp;K108,SpecCV[ID],SpecCV[Spec]))</f>
        <v>50</v>
      </c>
      <c r="R108" s="15" t="str">
        <f t="array" ref="R108">if(J108="Contact plate", _xlfn.XLOOKUP(J108&amp;"-"&amp;E108&amp;"-"&amp;K108,SpecCV[ID],SpecCV[Unit]),_xlfn.XLOOKUP(J108&amp;"-"&amp;E108&amp;"-"&amp;K108,SpecCV[ID],SpecCV[Unit]))</f>
        <v>cfu</v>
      </c>
      <c r="S108" s="42"/>
      <c r="T108" s="42"/>
      <c r="U108" s="42"/>
      <c r="V108" s="8" t="b">
        <v>0</v>
      </c>
    </row>
    <row r="109" ht="22.5" customHeight="1">
      <c r="A109" s="8"/>
      <c r="B109" s="8" t="b">
        <v>0</v>
      </c>
      <c r="C109" s="8">
        <v>10.0</v>
      </c>
      <c r="D109" s="28"/>
      <c r="E109" s="8" t="s">
        <v>28</v>
      </c>
      <c r="F109" s="15" t="s">
        <v>33</v>
      </c>
      <c r="G109" s="15" t="s">
        <v>162</v>
      </c>
      <c r="H109" s="15" t="s">
        <v>165</v>
      </c>
      <c r="I109" s="31">
        <v>45929.0</v>
      </c>
      <c r="J109" s="32" t="s">
        <v>30</v>
      </c>
      <c r="K109" s="32" t="s">
        <v>30</v>
      </c>
      <c r="L109" s="32" t="s">
        <v>42</v>
      </c>
      <c r="M109" s="32" t="s">
        <v>45</v>
      </c>
      <c r="N109" s="15">
        <v>3.0</v>
      </c>
      <c r="O109" s="15">
        <v>4.0</v>
      </c>
      <c r="P109" s="15">
        <f t="array" ref="P109">if(O109="","", if(O109=9999,9999,ROUNDUP(_xlfn.XLOOKUP(J109&amp;"-"&amp;E109&amp;"-"&amp;K109,SpecCV[ID],SpecCV[factor])*O109,0)))</f>
        <v>4</v>
      </c>
      <c r="Q109" s="15">
        <f t="array" ref="Q109">if(J109="Contact plate", _xlfn.XLOOKUP(J109&amp;"-"&amp;E109&amp;"-"&amp;K109,SpecCV[ID],SpecCV[Spec]),_xlfn.XLOOKUP(J109&amp;"-"&amp;E109&amp;"-"&amp;K109,SpecCV[ID],SpecCV[Spec]))</f>
        <v>50</v>
      </c>
      <c r="R109" s="15" t="str">
        <f t="array" ref="R109">if(J109="Contact plate", _xlfn.XLOOKUP(J109&amp;"-"&amp;E109&amp;"-"&amp;K109,SpecCV[ID],SpecCV[Unit]),_xlfn.XLOOKUP(J109&amp;"-"&amp;E109&amp;"-"&amp;K109,SpecCV[ID],SpecCV[Unit]))</f>
        <v>cfu</v>
      </c>
      <c r="S109" s="42"/>
      <c r="T109" s="42"/>
      <c r="U109" s="42"/>
      <c r="V109" s="8" t="b">
        <v>0</v>
      </c>
    </row>
    <row r="110" ht="22.5" customHeight="1">
      <c r="A110" s="8"/>
      <c r="B110" s="8" t="b">
        <v>0</v>
      </c>
      <c r="C110" s="8">
        <v>10.0</v>
      </c>
      <c r="D110" s="28"/>
      <c r="E110" s="8" t="s">
        <v>28</v>
      </c>
      <c r="F110" s="15" t="s">
        <v>33</v>
      </c>
      <c r="G110" s="15" t="s">
        <v>162</v>
      </c>
      <c r="H110" s="15" t="s">
        <v>168</v>
      </c>
      <c r="I110" s="31">
        <v>45929.0</v>
      </c>
      <c r="J110" s="32" t="s">
        <v>30</v>
      </c>
      <c r="K110" s="32" t="s">
        <v>30</v>
      </c>
      <c r="L110" s="32" t="s">
        <v>42</v>
      </c>
      <c r="M110" s="32" t="s">
        <v>45</v>
      </c>
      <c r="N110" s="15">
        <v>3.0</v>
      </c>
      <c r="O110" s="15">
        <v>19.0</v>
      </c>
      <c r="P110" s="15">
        <f t="array" ref="P110">if(O110="","", if(O110=9999,9999,ROUNDUP(_xlfn.XLOOKUP(J110&amp;"-"&amp;E110&amp;"-"&amp;K110,SpecCV[ID],SpecCV[factor])*O110,0)))</f>
        <v>19</v>
      </c>
      <c r="Q110" s="15">
        <f t="array" ref="Q110">if(J110="Contact plate", _xlfn.XLOOKUP(J110&amp;"-"&amp;E110&amp;"-"&amp;K110,SpecCV[ID],SpecCV[Spec]),_xlfn.XLOOKUP(J110&amp;"-"&amp;E110&amp;"-"&amp;K110,SpecCV[ID],SpecCV[Spec]))</f>
        <v>50</v>
      </c>
      <c r="R110" s="15" t="str">
        <f t="array" ref="R110">if(J110="Contact plate", _xlfn.XLOOKUP(J110&amp;"-"&amp;E110&amp;"-"&amp;K110,SpecCV[ID],SpecCV[Unit]),_xlfn.XLOOKUP(J110&amp;"-"&amp;E110&amp;"-"&amp;K110,SpecCV[ID],SpecCV[Unit]))</f>
        <v>cfu</v>
      </c>
      <c r="S110" s="42"/>
      <c r="T110" s="42"/>
      <c r="U110" s="42"/>
      <c r="V110" s="8" t="b">
        <v>0</v>
      </c>
    </row>
    <row r="111" ht="22.5" customHeight="1">
      <c r="A111" s="8"/>
      <c r="B111" s="8" t="b">
        <v>0</v>
      </c>
      <c r="C111" s="8">
        <v>10.0</v>
      </c>
      <c r="D111" s="28"/>
      <c r="E111" s="8" t="s">
        <v>28</v>
      </c>
      <c r="F111" s="15" t="s">
        <v>33</v>
      </c>
      <c r="G111" s="15" t="s">
        <v>162</v>
      </c>
      <c r="H111" s="15" t="s">
        <v>171</v>
      </c>
      <c r="I111" s="31">
        <v>45929.0</v>
      </c>
      <c r="J111" s="32" t="s">
        <v>30</v>
      </c>
      <c r="K111" s="32" t="s">
        <v>30</v>
      </c>
      <c r="L111" s="32" t="s">
        <v>42</v>
      </c>
      <c r="M111" s="32" t="s">
        <v>45</v>
      </c>
      <c r="N111" s="15">
        <v>3.0</v>
      </c>
      <c r="O111" s="15">
        <v>59.0</v>
      </c>
      <c r="P111" s="15">
        <f t="array" ref="P111">if(O111="","", if(O111=9999,9999,ROUNDUP(_xlfn.XLOOKUP(J111&amp;"-"&amp;E111&amp;"-"&amp;K111,SpecCV[ID],SpecCV[factor])*O111,0)))</f>
        <v>59</v>
      </c>
      <c r="Q111" s="15">
        <f t="array" ref="Q111">if(J111="Contact plate", _xlfn.XLOOKUP(J111&amp;"-"&amp;E111&amp;"-"&amp;K111,SpecCV[ID],SpecCV[Spec]),_xlfn.XLOOKUP(J111&amp;"-"&amp;E111&amp;"-"&amp;K111,SpecCV[ID],SpecCV[Spec]))</f>
        <v>50</v>
      </c>
      <c r="R111" s="15" t="str">
        <f t="array" ref="R111">if(J111="Contact plate", _xlfn.XLOOKUP(J111&amp;"-"&amp;E111&amp;"-"&amp;K111,SpecCV[ID],SpecCV[Unit]),_xlfn.XLOOKUP(J111&amp;"-"&amp;E111&amp;"-"&amp;K111,SpecCV[ID],SpecCV[Unit]))</f>
        <v>cfu</v>
      </c>
      <c r="S111" s="42"/>
      <c r="T111" s="42"/>
      <c r="U111" s="42"/>
      <c r="V111" s="8" t="b">
        <v>0</v>
      </c>
    </row>
    <row r="112" ht="22.5" customHeight="1">
      <c r="A112" s="8"/>
      <c r="B112" s="8" t="b">
        <v>0</v>
      </c>
      <c r="C112" s="8">
        <v>10.0</v>
      </c>
      <c r="D112" s="28"/>
      <c r="E112" s="8" t="s">
        <v>28</v>
      </c>
      <c r="F112" s="15" t="s">
        <v>135</v>
      </c>
      <c r="G112" s="15" t="s">
        <v>216</v>
      </c>
      <c r="H112" s="15" t="s">
        <v>217</v>
      </c>
      <c r="I112" s="31">
        <v>45931.0</v>
      </c>
      <c r="J112" s="32" t="s">
        <v>30</v>
      </c>
      <c r="K112" s="32" t="s">
        <v>30</v>
      </c>
      <c r="L112" s="32" t="s">
        <v>220</v>
      </c>
      <c r="M112" s="32" t="s">
        <v>45</v>
      </c>
      <c r="N112" s="15">
        <v>3.0</v>
      </c>
      <c r="O112" s="15">
        <v>1.0</v>
      </c>
      <c r="P112" s="15">
        <f t="array" ref="P112">if(O112="","", if(O112=9999,9999,ROUNDUP(_xlfn.XLOOKUP(J112&amp;"-"&amp;E112&amp;"-"&amp;K112,SpecCV[ID],SpecCV[factor])*O112,0)))</f>
        <v>1</v>
      </c>
      <c r="Q112" s="15">
        <f t="array" ref="Q112">if(J112="Contact plate", _xlfn.XLOOKUP(J112&amp;"-"&amp;E112&amp;"-"&amp;K112,SpecCV[ID],SpecCV[Spec]),_xlfn.XLOOKUP(J112&amp;"-"&amp;E112&amp;"-"&amp;K112,SpecCV[ID],SpecCV[Spec]))</f>
        <v>50</v>
      </c>
      <c r="R112" s="15" t="str">
        <f t="array" ref="R112">if(J112="Contact plate", _xlfn.XLOOKUP(J112&amp;"-"&amp;E112&amp;"-"&amp;K112,SpecCV[ID],SpecCV[Unit]),_xlfn.XLOOKUP(J112&amp;"-"&amp;E112&amp;"-"&amp;K112,SpecCV[ID],SpecCV[Unit]))</f>
        <v>cfu</v>
      </c>
      <c r="S112" s="42"/>
      <c r="T112" s="42"/>
      <c r="U112" s="42"/>
      <c r="V112" s="8" t="b">
        <v>0</v>
      </c>
    </row>
    <row r="113" ht="22.5" customHeight="1">
      <c r="A113" s="8"/>
      <c r="B113" s="8" t="b">
        <v>0</v>
      </c>
      <c r="C113" s="8">
        <v>10.0</v>
      </c>
      <c r="D113" s="28"/>
      <c r="E113" s="8" t="s">
        <v>28</v>
      </c>
      <c r="F113" s="15" t="s">
        <v>135</v>
      </c>
      <c r="G113" s="15" t="s">
        <v>216</v>
      </c>
      <c r="H113" s="15" t="s">
        <v>218</v>
      </c>
      <c r="I113" s="31">
        <v>45931.0</v>
      </c>
      <c r="J113" s="32" t="s">
        <v>30</v>
      </c>
      <c r="K113" s="32" t="s">
        <v>30</v>
      </c>
      <c r="L113" s="32" t="s">
        <v>220</v>
      </c>
      <c r="M113" s="32" t="s">
        <v>45</v>
      </c>
      <c r="N113" s="15">
        <v>3.0</v>
      </c>
      <c r="O113" s="15">
        <v>1.0</v>
      </c>
      <c r="P113" s="15">
        <f t="array" ref="P113">if(O113="","", if(O113=9999,9999,ROUNDUP(_xlfn.XLOOKUP(J113&amp;"-"&amp;E113&amp;"-"&amp;K113,SpecCV[ID],SpecCV[factor])*O113,0)))</f>
        <v>1</v>
      </c>
      <c r="Q113" s="15">
        <f t="array" ref="Q113">if(J113="Contact plate", _xlfn.XLOOKUP(J113&amp;"-"&amp;E113&amp;"-"&amp;K113,SpecCV[ID],SpecCV[Spec]),_xlfn.XLOOKUP(J113&amp;"-"&amp;E113&amp;"-"&amp;K113,SpecCV[ID],SpecCV[Spec]))</f>
        <v>50</v>
      </c>
      <c r="R113" s="15" t="str">
        <f t="array" ref="R113">if(J113="Contact plate", _xlfn.XLOOKUP(J113&amp;"-"&amp;E113&amp;"-"&amp;K113,SpecCV[ID],SpecCV[Unit]),_xlfn.XLOOKUP(J113&amp;"-"&amp;E113&amp;"-"&amp;K113,SpecCV[ID],SpecCV[Unit]))</f>
        <v>cfu</v>
      </c>
      <c r="S113" s="42"/>
      <c r="T113" s="42"/>
      <c r="U113" s="42"/>
      <c r="V113" s="8" t="b">
        <v>0</v>
      </c>
    </row>
    <row r="114" ht="22.5" customHeight="1">
      <c r="A114" s="8"/>
      <c r="B114" s="8" t="b">
        <v>0</v>
      </c>
      <c r="C114" s="8">
        <v>10.0</v>
      </c>
      <c r="D114" s="28"/>
      <c r="E114" s="8" t="s">
        <v>28</v>
      </c>
      <c r="F114" s="15" t="s">
        <v>135</v>
      </c>
      <c r="G114" s="15" t="s">
        <v>216</v>
      </c>
      <c r="H114" s="15" t="s">
        <v>219</v>
      </c>
      <c r="I114" s="31">
        <v>45931.0</v>
      </c>
      <c r="J114" s="32" t="s">
        <v>30</v>
      </c>
      <c r="K114" s="32" t="s">
        <v>30</v>
      </c>
      <c r="L114" s="32" t="s">
        <v>220</v>
      </c>
      <c r="M114" s="32" t="s">
        <v>45</v>
      </c>
      <c r="N114" s="15">
        <v>3.0</v>
      </c>
      <c r="O114" s="15">
        <v>0.0</v>
      </c>
      <c r="P114" s="15">
        <f t="array" ref="P114">if(O114="","", if(O114=9999,9999,ROUNDUP(_xlfn.XLOOKUP(J114&amp;"-"&amp;E114&amp;"-"&amp;K114,SpecCV[ID],SpecCV[factor])*O114,0)))</f>
        <v>0</v>
      </c>
      <c r="Q114" s="15">
        <f t="array" ref="Q114">if(J114="Contact plate", _xlfn.XLOOKUP(J114&amp;"-"&amp;E114&amp;"-"&amp;K114,SpecCV[ID],SpecCV[Spec]),_xlfn.XLOOKUP(J114&amp;"-"&amp;E114&amp;"-"&amp;K114,SpecCV[ID],SpecCV[Spec]))</f>
        <v>50</v>
      </c>
      <c r="R114" s="15" t="str">
        <f t="array" ref="R114">if(J114="Contact plate", _xlfn.XLOOKUP(J114&amp;"-"&amp;E114&amp;"-"&amp;K114,SpecCV[ID],SpecCV[Unit]),_xlfn.XLOOKUP(J114&amp;"-"&amp;E114&amp;"-"&amp;K114,SpecCV[ID],SpecCV[Unit]))</f>
        <v>cfu</v>
      </c>
      <c r="S114" s="42"/>
      <c r="T114" s="42"/>
      <c r="U114" s="42"/>
      <c r="V114" s="8" t="b">
        <v>0</v>
      </c>
    </row>
    <row r="115" ht="22.5" customHeight="1">
      <c r="A115" s="8"/>
      <c r="B115" s="8" t="b">
        <v>0</v>
      </c>
      <c r="C115" s="8">
        <v>10.0</v>
      </c>
      <c r="D115" s="28"/>
      <c r="E115" s="8" t="s">
        <v>28</v>
      </c>
      <c r="F115" s="15" t="s">
        <v>33</v>
      </c>
      <c r="G115" s="15" t="s">
        <v>38</v>
      </c>
      <c r="H115" s="15" t="s">
        <v>39</v>
      </c>
      <c r="I115" s="31">
        <v>45933.0</v>
      </c>
      <c r="J115" s="32" t="s">
        <v>30</v>
      </c>
      <c r="K115" s="32" t="s">
        <v>30</v>
      </c>
      <c r="L115" s="32" t="s">
        <v>220</v>
      </c>
      <c r="M115" s="32" t="s">
        <v>45</v>
      </c>
      <c r="N115" s="15">
        <v>1.0</v>
      </c>
      <c r="O115" s="15">
        <v>0.0</v>
      </c>
      <c r="P115" s="15">
        <f t="array" ref="P115">if(O115="","", if(O115=9999,9999,ROUNDUP(_xlfn.XLOOKUP(J115&amp;"-"&amp;E115&amp;"-"&amp;K115,SpecCV[ID],SpecCV[factor])*O115,0)))</f>
        <v>0</v>
      </c>
      <c r="Q115" s="15">
        <f t="array" ref="Q115">if(J115="Contact plate", _xlfn.XLOOKUP(J115&amp;"-"&amp;E115&amp;"-"&amp;K115,SpecCV[ID],SpecCV[Spec]),_xlfn.XLOOKUP(J115&amp;"-"&amp;E115&amp;"-"&amp;K115,SpecCV[ID],SpecCV[Spec]))</f>
        <v>50</v>
      </c>
      <c r="R115" s="15" t="str">
        <f t="array" ref="R115">if(J115="Contact plate", _xlfn.XLOOKUP(J115&amp;"-"&amp;E115&amp;"-"&amp;K115,SpecCV[ID],SpecCV[Unit]),_xlfn.XLOOKUP(J115&amp;"-"&amp;E115&amp;"-"&amp;K115,SpecCV[ID],SpecCV[Unit]))</f>
        <v>cfu</v>
      </c>
      <c r="S115" s="42"/>
      <c r="T115" s="42"/>
      <c r="U115" s="42"/>
      <c r="V115" s="8" t="b">
        <v>0</v>
      </c>
    </row>
    <row r="116" ht="22.5" customHeight="1">
      <c r="A116" s="8"/>
      <c r="B116" s="8" t="b">
        <v>0</v>
      </c>
      <c r="C116" s="8">
        <v>10.0</v>
      </c>
      <c r="E116" s="8" t="s">
        <v>28</v>
      </c>
      <c r="F116" s="15" t="s">
        <v>33</v>
      </c>
      <c r="G116" s="15" t="s">
        <v>38</v>
      </c>
      <c r="H116" s="15" t="s">
        <v>55</v>
      </c>
      <c r="I116" s="31">
        <v>45933.0</v>
      </c>
      <c r="J116" s="32" t="s">
        <v>30</v>
      </c>
      <c r="K116" s="32" t="s">
        <v>30</v>
      </c>
      <c r="L116" s="32" t="s">
        <v>220</v>
      </c>
      <c r="M116" s="32" t="s">
        <v>45</v>
      </c>
      <c r="N116" s="15">
        <v>1.0</v>
      </c>
      <c r="O116" s="15">
        <v>1.0</v>
      </c>
      <c r="P116" s="15">
        <f t="array" ref="P116">if(O116="","", if(O116=9999,9999,ROUNDUP(_xlfn.XLOOKUP(J116&amp;"-"&amp;E116&amp;"-"&amp;K116,SpecCV[ID],SpecCV[factor])*O116,0)))</f>
        <v>1</v>
      </c>
      <c r="Q116" s="15">
        <f t="array" ref="Q116">if(J116="Contact plate", _xlfn.XLOOKUP(J116&amp;"-"&amp;E116&amp;"-"&amp;K116,SpecCV[ID],SpecCV[Spec]),_xlfn.XLOOKUP(J116&amp;"-"&amp;E116&amp;"-"&amp;K116,SpecCV[ID],SpecCV[Spec]))</f>
        <v>50</v>
      </c>
      <c r="R116" s="15" t="str">
        <f t="array" ref="R116">if(J116="Contact plate", _xlfn.XLOOKUP(J116&amp;"-"&amp;E116&amp;"-"&amp;K116,SpecCV[ID],SpecCV[Unit]),_xlfn.XLOOKUP(J116&amp;"-"&amp;E116&amp;"-"&amp;K116,SpecCV[ID],SpecCV[Unit]))</f>
        <v>cfu</v>
      </c>
      <c r="S116" s="42"/>
      <c r="T116" s="42"/>
      <c r="U116" s="42"/>
      <c r="V116" s="8" t="b">
        <v>0</v>
      </c>
    </row>
    <row r="117" ht="22.5" customHeight="1">
      <c r="A117" s="8"/>
      <c r="B117" s="8" t="b">
        <v>0</v>
      </c>
      <c r="C117" s="8">
        <v>10.0</v>
      </c>
      <c r="E117" s="8" t="s">
        <v>28</v>
      </c>
      <c r="F117" s="15" t="s">
        <v>33</v>
      </c>
      <c r="G117" s="15" t="s">
        <v>38</v>
      </c>
      <c r="H117" s="15" t="s">
        <v>72</v>
      </c>
      <c r="I117" s="31">
        <v>45933.0</v>
      </c>
      <c r="J117" s="32" t="s">
        <v>30</v>
      </c>
      <c r="K117" s="32" t="s">
        <v>30</v>
      </c>
      <c r="L117" s="32" t="s">
        <v>220</v>
      </c>
      <c r="M117" s="32" t="s">
        <v>45</v>
      </c>
      <c r="N117" s="15">
        <v>1.0</v>
      </c>
      <c r="O117" s="15">
        <v>0.0</v>
      </c>
      <c r="P117" s="15">
        <f t="array" ref="P117">if(O117="","", if(O117=9999,9999,ROUNDUP(_xlfn.XLOOKUP(J117&amp;"-"&amp;E117&amp;"-"&amp;K117,SpecCV[ID],SpecCV[factor])*O117,0)))</f>
        <v>0</v>
      </c>
      <c r="Q117" s="15">
        <f t="array" ref="Q117">if(J117="Contact plate", _xlfn.XLOOKUP(J117&amp;"-"&amp;E117&amp;"-"&amp;K117,SpecCV[ID],SpecCV[Spec]),_xlfn.XLOOKUP(J117&amp;"-"&amp;E117&amp;"-"&amp;K117,SpecCV[ID],SpecCV[Spec]))</f>
        <v>50</v>
      </c>
      <c r="R117" s="15" t="str">
        <f t="array" ref="R117">if(J117="Contact plate", _xlfn.XLOOKUP(J117&amp;"-"&amp;E117&amp;"-"&amp;K117,SpecCV[ID],SpecCV[Unit]),_xlfn.XLOOKUP(J117&amp;"-"&amp;E117&amp;"-"&amp;K117,SpecCV[ID],SpecCV[Unit]))</f>
        <v>cfu</v>
      </c>
      <c r="S117" s="42"/>
      <c r="T117" s="42"/>
      <c r="U117" s="42"/>
      <c r="V117" s="8" t="b">
        <v>0</v>
      </c>
    </row>
    <row r="118" ht="22.5" customHeight="1">
      <c r="A118" s="8"/>
      <c r="B118" s="8" t="b">
        <v>0</v>
      </c>
      <c r="C118" s="8">
        <v>10.0</v>
      </c>
      <c r="E118" s="8" t="s">
        <v>28</v>
      </c>
      <c r="F118" s="15" t="s">
        <v>33</v>
      </c>
      <c r="G118" s="15" t="s">
        <v>75</v>
      </c>
      <c r="H118" s="15" t="s">
        <v>78</v>
      </c>
      <c r="I118" s="31">
        <v>45933.0</v>
      </c>
      <c r="J118" s="32" t="s">
        <v>30</v>
      </c>
      <c r="K118" s="32" t="s">
        <v>30</v>
      </c>
      <c r="L118" s="32" t="s">
        <v>220</v>
      </c>
      <c r="M118" s="32" t="s">
        <v>45</v>
      </c>
      <c r="N118" s="15">
        <v>1.0</v>
      </c>
      <c r="O118" s="15">
        <v>0.0</v>
      </c>
      <c r="P118" s="15">
        <f t="array" ref="P118">if(O118="","", if(O118=9999,9999,ROUNDUP(_xlfn.XLOOKUP(J118&amp;"-"&amp;E118&amp;"-"&amp;K118,SpecCV[ID],SpecCV[factor])*O118,0)))</f>
        <v>0</v>
      </c>
      <c r="Q118" s="15">
        <f t="array" ref="Q118">if(J118="Contact plate", _xlfn.XLOOKUP(J118&amp;"-"&amp;E118&amp;"-"&amp;K118,SpecCV[ID],SpecCV[Spec]),_xlfn.XLOOKUP(J118&amp;"-"&amp;E118&amp;"-"&amp;K118,SpecCV[ID],SpecCV[Spec]))</f>
        <v>50</v>
      </c>
      <c r="R118" s="15" t="str">
        <f t="array" ref="R118">if(J118="Contact plate", _xlfn.XLOOKUP(J118&amp;"-"&amp;E118&amp;"-"&amp;K118,SpecCV[ID],SpecCV[Unit]),_xlfn.XLOOKUP(J118&amp;"-"&amp;E118&amp;"-"&amp;K118,SpecCV[ID],SpecCV[Unit]))</f>
        <v>cfu</v>
      </c>
      <c r="S118" s="42"/>
      <c r="T118" s="42"/>
      <c r="U118" s="42"/>
      <c r="V118" s="8" t="b">
        <v>0</v>
      </c>
    </row>
    <row r="119" ht="22.5" customHeight="1">
      <c r="A119" s="8"/>
      <c r="B119" s="8" t="b">
        <v>0</v>
      </c>
      <c r="C119" s="8">
        <v>10.0</v>
      </c>
      <c r="E119" s="8" t="s">
        <v>28</v>
      </c>
      <c r="F119" s="15" t="s">
        <v>33</v>
      </c>
      <c r="G119" s="15" t="s">
        <v>75</v>
      </c>
      <c r="H119" s="15" t="s">
        <v>81</v>
      </c>
      <c r="I119" s="31">
        <v>45933.0</v>
      </c>
      <c r="J119" s="32" t="s">
        <v>30</v>
      </c>
      <c r="K119" s="32" t="s">
        <v>30</v>
      </c>
      <c r="L119" s="32" t="s">
        <v>220</v>
      </c>
      <c r="M119" s="32" t="s">
        <v>45</v>
      </c>
      <c r="N119" s="15">
        <v>1.0</v>
      </c>
      <c r="O119" s="15">
        <v>3.0</v>
      </c>
      <c r="P119" s="15">
        <f t="array" ref="P119">if(O119="","", if(O119=9999,9999,ROUNDUP(_xlfn.XLOOKUP(J119&amp;"-"&amp;E119&amp;"-"&amp;K119,SpecCV[ID],SpecCV[factor])*O119,0)))</f>
        <v>3</v>
      </c>
      <c r="Q119" s="15">
        <f t="array" ref="Q119">if(J119="Contact plate", _xlfn.XLOOKUP(J119&amp;"-"&amp;E119&amp;"-"&amp;K119,SpecCV[ID],SpecCV[Spec]),_xlfn.XLOOKUP(J119&amp;"-"&amp;E119&amp;"-"&amp;K119,SpecCV[ID],SpecCV[Spec]))</f>
        <v>50</v>
      </c>
      <c r="R119" s="15" t="str">
        <f t="array" ref="R119">if(J119="Contact plate", _xlfn.XLOOKUP(J119&amp;"-"&amp;E119&amp;"-"&amp;K119,SpecCV[ID],SpecCV[Unit]),_xlfn.XLOOKUP(J119&amp;"-"&amp;E119&amp;"-"&amp;K119,SpecCV[ID],SpecCV[Unit]))</f>
        <v>cfu</v>
      </c>
      <c r="S119" s="42"/>
      <c r="T119" s="42"/>
      <c r="U119" s="42"/>
      <c r="V119" s="8" t="b">
        <v>0</v>
      </c>
    </row>
    <row r="120" ht="22.5" customHeight="1">
      <c r="A120" s="8"/>
      <c r="B120" s="8" t="b">
        <v>0</v>
      </c>
      <c r="C120" s="8">
        <v>10.0</v>
      </c>
      <c r="E120" s="8" t="s">
        <v>28</v>
      </c>
      <c r="F120" s="15" t="s">
        <v>33</v>
      </c>
      <c r="G120" s="15" t="s">
        <v>86</v>
      </c>
      <c r="H120" s="15" t="s">
        <v>87</v>
      </c>
      <c r="I120" s="31">
        <v>45933.0</v>
      </c>
      <c r="J120" s="32" t="s">
        <v>30</v>
      </c>
      <c r="K120" s="32" t="s">
        <v>30</v>
      </c>
      <c r="L120" s="32" t="s">
        <v>220</v>
      </c>
      <c r="M120" s="32" t="s">
        <v>45</v>
      </c>
      <c r="N120" s="15">
        <v>1.0</v>
      </c>
      <c r="O120" s="15">
        <v>1.0</v>
      </c>
      <c r="P120" s="15">
        <f t="array" ref="P120">if(O120="","", if(O120=9999,9999,ROUNDUP(_xlfn.XLOOKUP(J120&amp;"-"&amp;E120&amp;"-"&amp;K120,SpecCV[ID],SpecCV[factor])*O120,0)))</f>
        <v>1</v>
      </c>
      <c r="Q120" s="15">
        <f t="array" ref="Q120">if(J120="Contact plate", _xlfn.XLOOKUP(J120&amp;"-"&amp;E120&amp;"-"&amp;K120,SpecCV[ID],SpecCV[Spec]),_xlfn.XLOOKUP(J120&amp;"-"&amp;E120&amp;"-"&amp;K120,SpecCV[ID],SpecCV[Spec]))</f>
        <v>50</v>
      </c>
      <c r="R120" s="15" t="str">
        <f t="array" ref="R120">if(J120="Contact plate", _xlfn.XLOOKUP(J120&amp;"-"&amp;E120&amp;"-"&amp;K120,SpecCV[ID],SpecCV[Unit]),_xlfn.XLOOKUP(J120&amp;"-"&amp;E120&amp;"-"&amp;K120,SpecCV[ID],SpecCV[Unit]))</f>
        <v>cfu</v>
      </c>
      <c r="S120" s="42"/>
      <c r="T120" s="42"/>
      <c r="U120" s="42"/>
      <c r="V120" s="8" t="b">
        <v>0</v>
      </c>
    </row>
    <row r="121" ht="22.5" customHeight="1">
      <c r="A121" s="8"/>
      <c r="B121" s="8" t="b">
        <v>0</v>
      </c>
      <c r="C121" s="8">
        <v>10.0</v>
      </c>
      <c r="E121" s="8" t="s">
        <v>28</v>
      </c>
      <c r="F121" s="15" t="s">
        <v>33</v>
      </c>
      <c r="G121" s="15" t="s">
        <v>86</v>
      </c>
      <c r="H121" s="15" t="s">
        <v>90</v>
      </c>
      <c r="I121" s="31">
        <v>45933.0</v>
      </c>
      <c r="J121" s="32" t="s">
        <v>30</v>
      </c>
      <c r="K121" s="32" t="s">
        <v>30</v>
      </c>
      <c r="L121" s="32" t="s">
        <v>220</v>
      </c>
      <c r="M121" s="32" t="s">
        <v>45</v>
      </c>
      <c r="N121" s="15">
        <v>1.0</v>
      </c>
      <c r="O121" s="15">
        <v>0.0</v>
      </c>
      <c r="P121" s="15">
        <f t="array" ref="P121">if(O121="","", if(O121=9999,9999,ROUNDUP(_xlfn.XLOOKUP(J121&amp;"-"&amp;E121&amp;"-"&amp;K121,SpecCV[ID],SpecCV[factor])*O121,0)))</f>
        <v>0</v>
      </c>
      <c r="Q121" s="15">
        <f t="array" ref="Q121">if(J121="Contact plate", _xlfn.XLOOKUP(J121&amp;"-"&amp;E121&amp;"-"&amp;K121,SpecCV[ID],SpecCV[Spec]),_xlfn.XLOOKUP(J121&amp;"-"&amp;E121&amp;"-"&amp;K121,SpecCV[ID],SpecCV[Spec]))</f>
        <v>50</v>
      </c>
      <c r="R121" s="15" t="str">
        <f t="array" ref="R121">if(J121="Contact plate", _xlfn.XLOOKUP(J121&amp;"-"&amp;E121&amp;"-"&amp;K121,SpecCV[ID],SpecCV[Unit]),_xlfn.XLOOKUP(J121&amp;"-"&amp;E121&amp;"-"&amp;K121,SpecCV[ID],SpecCV[Unit]))</f>
        <v>cfu</v>
      </c>
      <c r="S121" s="42"/>
      <c r="T121" s="42"/>
      <c r="U121" s="42"/>
      <c r="V121" s="8" t="b">
        <v>0</v>
      </c>
    </row>
    <row r="122" ht="22.5" customHeight="1">
      <c r="A122" s="8"/>
      <c r="B122" s="8" t="b">
        <v>0</v>
      </c>
      <c r="C122" s="8">
        <v>10.0</v>
      </c>
      <c r="E122" s="8" t="s">
        <v>28</v>
      </c>
      <c r="F122" s="15" t="s">
        <v>33</v>
      </c>
      <c r="G122" s="15" t="s">
        <v>95</v>
      </c>
      <c r="H122" s="15" t="s">
        <v>96</v>
      </c>
      <c r="I122" s="31">
        <v>45933.0</v>
      </c>
      <c r="J122" s="32" t="s">
        <v>30</v>
      </c>
      <c r="K122" s="32" t="s">
        <v>30</v>
      </c>
      <c r="L122" s="32" t="s">
        <v>220</v>
      </c>
      <c r="M122" s="32" t="s">
        <v>45</v>
      </c>
      <c r="N122" s="15">
        <v>1.0</v>
      </c>
      <c r="O122" s="15">
        <v>0.0</v>
      </c>
      <c r="P122" s="15">
        <f t="array" ref="P122">if(O122="","", if(O122=9999,9999,ROUNDUP(_xlfn.XLOOKUP(J122&amp;"-"&amp;E122&amp;"-"&amp;K122,SpecCV[ID],SpecCV[factor])*O122,0)))</f>
        <v>0</v>
      </c>
      <c r="Q122" s="15">
        <f t="array" ref="Q122">if(J122="Contact plate", _xlfn.XLOOKUP(J122&amp;"-"&amp;E122&amp;"-"&amp;K122,SpecCV[ID],SpecCV[Spec]),_xlfn.XLOOKUP(J122&amp;"-"&amp;E122&amp;"-"&amp;K122,SpecCV[ID],SpecCV[Spec]))</f>
        <v>50</v>
      </c>
      <c r="R122" s="15" t="str">
        <f t="array" ref="R122">if(J122="Contact plate", _xlfn.XLOOKUP(J122&amp;"-"&amp;E122&amp;"-"&amp;K122,SpecCV[ID],SpecCV[Unit]),_xlfn.XLOOKUP(J122&amp;"-"&amp;E122&amp;"-"&amp;K122,SpecCV[ID],SpecCV[Unit]))</f>
        <v>cfu</v>
      </c>
      <c r="S122" s="42"/>
      <c r="T122" s="42"/>
      <c r="U122" s="42"/>
      <c r="V122" s="8" t="b">
        <v>0</v>
      </c>
    </row>
    <row r="123" ht="22.5" customHeight="1">
      <c r="A123" s="8"/>
      <c r="B123" s="8" t="b">
        <v>0</v>
      </c>
      <c r="C123" s="8">
        <v>10.0</v>
      </c>
      <c r="E123" s="8" t="s">
        <v>28</v>
      </c>
      <c r="F123" s="15" t="s">
        <v>33</v>
      </c>
      <c r="G123" s="15" t="s">
        <v>95</v>
      </c>
      <c r="H123" s="15" t="s">
        <v>99</v>
      </c>
      <c r="I123" s="31">
        <v>45933.0</v>
      </c>
      <c r="J123" s="32" t="s">
        <v>30</v>
      </c>
      <c r="K123" s="32" t="s">
        <v>30</v>
      </c>
      <c r="L123" s="32" t="s">
        <v>220</v>
      </c>
      <c r="M123" s="32" t="s">
        <v>45</v>
      </c>
      <c r="N123" s="15">
        <v>1.0</v>
      </c>
      <c r="O123" s="15">
        <v>1.0</v>
      </c>
      <c r="P123" s="15">
        <f t="array" ref="P123">if(O123="","", if(O123=9999,9999,ROUNDUP(_xlfn.XLOOKUP(J123&amp;"-"&amp;E123&amp;"-"&amp;K123,SpecCV[ID],SpecCV[factor])*O123,0)))</f>
        <v>1</v>
      </c>
      <c r="Q123" s="15">
        <f t="array" ref="Q123">if(J123="Contact plate", _xlfn.XLOOKUP(J123&amp;"-"&amp;E123&amp;"-"&amp;K123,SpecCV[ID],SpecCV[Spec]),_xlfn.XLOOKUP(J123&amp;"-"&amp;E123&amp;"-"&amp;K123,SpecCV[ID],SpecCV[Spec]))</f>
        <v>50</v>
      </c>
      <c r="R123" s="15" t="str">
        <f t="array" ref="R123">if(J123="Contact plate", _xlfn.XLOOKUP(J123&amp;"-"&amp;E123&amp;"-"&amp;K123,SpecCV[ID],SpecCV[Unit]),_xlfn.XLOOKUP(J123&amp;"-"&amp;E123&amp;"-"&amp;K123,SpecCV[ID],SpecCV[Unit]))</f>
        <v>cfu</v>
      </c>
      <c r="S123" s="42"/>
      <c r="T123" s="42"/>
      <c r="U123" s="42"/>
      <c r="V123" s="8" t="b">
        <v>0</v>
      </c>
    </row>
    <row r="124" ht="22.5" customHeight="1">
      <c r="A124" s="8"/>
      <c r="B124" s="8" t="b">
        <v>0</v>
      </c>
      <c r="C124" s="8">
        <v>10.0</v>
      </c>
      <c r="E124" s="8" t="s">
        <v>28</v>
      </c>
      <c r="F124" s="15" t="s">
        <v>33</v>
      </c>
      <c r="G124" s="15" t="s">
        <v>190</v>
      </c>
      <c r="H124" s="15" t="s">
        <v>191</v>
      </c>
      <c r="I124" s="31">
        <v>45940.0</v>
      </c>
      <c r="J124" s="32" t="s">
        <v>30</v>
      </c>
      <c r="K124" s="32" t="s">
        <v>30</v>
      </c>
      <c r="L124" s="32" t="s">
        <v>42</v>
      </c>
      <c r="M124" s="32" t="s">
        <v>45</v>
      </c>
      <c r="N124" s="15">
        <v>3.0</v>
      </c>
      <c r="O124" s="15">
        <v>9.0</v>
      </c>
      <c r="P124" s="15">
        <f t="array" ref="P124">if(O124="","", if(O124=9999,9999,ROUNDUP(_xlfn.XLOOKUP(J124&amp;"-"&amp;E124&amp;"-"&amp;K124,SpecCV[ID],SpecCV[factor])*O124,0)))</f>
        <v>9</v>
      </c>
      <c r="Q124" s="15">
        <f t="array" ref="Q124">if(J124="Contact plate", _xlfn.XLOOKUP(J124&amp;"-"&amp;E124&amp;"-"&amp;K124,SpecCV[ID],SpecCV[Spec]),_xlfn.XLOOKUP(J124&amp;"-"&amp;E124&amp;"-"&amp;K124,SpecCV[ID],SpecCV[Spec]))</f>
        <v>50</v>
      </c>
      <c r="R124" s="15" t="str">
        <f t="array" ref="R124">if(J124="Contact plate", _xlfn.XLOOKUP(J124&amp;"-"&amp;E124&amp;"-"&amp;K124,SpecCV[ID],SpecCV[Unit]),_xlfn.XLOOKUP(J124&amp;"-"&amp;E124&amp;"-"&amp;K124,SpecCV[ID],SpecCV[Unit]))</f>
        <v>cfu</v>
      </c>
      <c r="S124" s="42"/>
      <c r="T124" s="42"/>
      <c r="U124" s="42"/>
      <c r="V124" s="8" t="b">
        <v>0</v>
      </c>
    </row>
    <row r="125" ht="22.5" customHeight="1">
      <c r="A125" s="8"/>
      <c r="B125" s="8" t="b">
        <v>0</v>
      </c>
      <c r="C125" s="8">
        <v>10.0</v>
      </c>
      <c r="E125" s="8" t="s">
        <v>28</v>
      </c>
      <c r="F125" s="15" t="s">
        <v>33</v>
      </c>
      <c r="G125" s="15" t="s">
        <v>190</v>
      </c>
      <c r="H125" s="15" t="s">
        <v>194</v>
      </c>
      <c r="I125" s="31">
        <v>45940.0</v>
      </c>
      <c r="J125" s="32" t="s">
        <v>30</v>
      </c>
      <c r="K125" s="32" t="s">
        <v>30</v>
      </c>
      <c r="L125" s="32" t="s">
        <v>42</v>
      </c>
      <c r="M125" s="32" t="s">
        <v>45</v>
      </c>
      <c r="N125" s="15">
        <v>3.0</v>
      </c>
      <c r="O125" s="15">
        <v>6.0</v>
      </c>
      <c r="P125" s="15">
        <f t="array" ref="P125">if(O125="","", if(O125=9999,9999,ROUNDUP(_xlfn.XLOOKUP(J125&amp;"-"&amp;E125&amp;"-"&amp;K125,SpecCV[ID],SpecCV[factor])*O125,0)))</f>
        <v>6</v>
      </c>
      <c r="Q125" s="15">
        <f t="array" ref="Q125">if(J125="Contact plate", _xlfn.XLOOKUP(J125&amp;"-"&amp;E125&amp;"-"&amp;K125,SpecCV[ID],SpecCV[Spec]),_xlfn.XLOOKUP(J125&amp;"-"&amp;E125&amp;"-"&amp;K125,SpecCV[ID],SpecCV[Spec]))</f>
        <v>50</v>
      </c>
      <c r="R125" s="15" t="str">
        <f t="array" ref="R125">if(J125="Contact plate", _xlfn.XLOOKUP(J125&amp;"-"&amp;E125&amp;"-"&amp;K125,SpecCV[ID],SpecCV[Unit]),_xlfn.XLOOKUP(J125&amp;"-"&amp;E125&amp;"-"&amp;K125,SpecCV[ID],SpecCV[Unit]))</f>
        <v>cfu</v>
      </c>
      <c r="S125" s="42"/>
      <c r="T125" s="42"/>
      <c r="U125" s="42"/>
      <c r="V125" s="8" t="b">
        <v>0</v>
      </c>
    </row>
    <row r="126" ht="22.5" customHeight="1">
      <c r="A126" s="8"/>
      <c r="B126" s="8" t="b">
        <v>0</v>
      </c>
      <c r="C126" s="8">
        <v>10.0</v>
      </c>
      <c r="D126" s="28"/>
      <c r="E126" s="8" t="s">
        <v>28</v>
      </c>
      <c r="F126" s="15" t="s">
        <v>135</v>
      </c>
      <c r="G126" s="15" t="s">
        <v>38</v>
      </c>
      <c r="H126" s="15" t="s">
        <v>138</v>
      </c>
      <c r="I126" s="31">
        <v>45933.0</v>
      </c>
      <c r="J126" s="32" t="s">
        <v>30</v>
      </c>
      <c r="K126" s="32" t="s">
        <v>30</v>
      </c>
      <c r="L126" s="32" t="s">
        <v>42</v>
      </c>
      <c r="M126" s="32" t="s">
        <v>45</v>
      </c>
      <c r="N126" s="15">
        <v>2.0</v>
      </c>
      <c r="O126" s="15">
        <v>2.0</v>
      </c>
      <c r="P126" s="15">
        <f t="array" ref="P126">if(O126="","", if(O126=9999,9999,ROUNDUP(_xlfn.XLOOKUP(J126&amp;"-"&amp;E126&amp;"-"&amp;K126,SpecCV[ID],SpecCV[factor])*O126,0)))</f>
        <v>2</v>
      </c>
      <c r="Q126" s="15">
        <f t="array" ref="Q126">if(J126="Contact plate", _xlfn.XLOOKUP(J126&amp;"-"&amp;E126&amp;"-"&amp;K126,SpecCV[ID],SpecCV[Spec]),_xlfn.XLOOKUP(J126&amp;"-"&amp;E126&amp;"-"&amp;K126,SpecCV[ID],SpecCV[Spec]))</f>
        <v>50</v>
      </c>
      <c r="R126" s="15" t="str">
        <f t="array" ref="R126">if(J126="Contact plate", _xlfn.XLOOKUP(J126&amp;"-"&amp;E126&amp;"-"&amp;K126,SpecCV[ID],SpecCV[Unit]),_xlfn.XLOOKUP(J126&amp;"-"&amp;E126&amp;"-"&amp;K126,SpecCV[ID],SpecCV[Unit]))</f>
        <v>cfu</v>
      </c>
      <c r="S126" s="42"/>
      <c r="T126" s="42"/>
      <c r="U126" s="42"/>
      <c r="V126" s="8" t="b">
        <v>0</v>
      </c>
    </row>
    <row r="127" ht="22.5" customHeight="1">
      <c r="A127" s="8"/>
      <c r="B127" s="8" t="b">
        <v>0</v>
      </c>
      <c r="C127" s="8">
        <v>10.0</v>
      </c>
      <c r="D127" s="28"/>
      <c r="E127" s="8" t="s">
        <v>28</v>
      </c>
      <c r="F127" s="15" t="s">
        <v>135</v>
      </c>
      <c r="G127" s="15" t="s">
        <v>38</v>
      </c>
      <c r="H127" s="15" t="s">
        <v>55</v>
      </c>
      <c r="I127" s="31">
        <v>45933.0</v>
      </c>
      <c r="J127" s="32" t="s">
        <v>30</v>
      </c>
      <c r="K127" s="32" t="s">
        <v>30</v>
      </c>
      <c r="L127" s="32" t="s">
        <v>42</v>
      </c>
      <c r="M127" s="32" t="s">
        <v>45</v>
      </c>
      <c r="N127" s="15">
        <v>2.0</v>
      </c>
      <c r="O127" s="15">
        <v>13.0</v>
      </c>
      <c r="P127" s="15">
        <f t="array" ref="P127">if(O127="","", if(O127=9999,9999,ROUNDUP(_xlfn.XLOOKUP(J127&amp;"-"&amp;E127&amp;"-"&amp;K127,SpecCV[ID],SpecCV[factor])*O127,0)))</f>
        <v>13</v>
      </c>
      <c r="Q127" s="15">
        <f t="array" ref="Q127">if(J127="Contact plate", _xlfn.XLOOKUP(J127&amp;"-"&amp;E127&amp;"-"&amp;K127,SpecCV[ID],SpecCV[Spec]),_xlfn.XLOOKUP(J127&amp;"-"&amp;E127&amp;"-"&amp;K127,SpecCV[ID],SpecCV[Spec]))</f>
        <v>50</v>
      </c>
      <c r="R127" s="15" t="str">
        <f t="array" ref="R127">if(J127="Contact plate", _xlfn.XLOOKUP(J127&amp;"-"&amp;E127&amp;"-"&amp;K127,SpecCV[ID],SpecCV[Unit]),_xlfn.XLOOKUP(J127&amp;"-"&amp;E127&amp;"-"&amp;K127,SpecCV[ID],SpecCV[Unit]))</f>
        <v>cfu</v>
      </c>
      <c r="S127" s="42"/>
      <c r="T127" s="42"/>
      <c r="U127" s="42"/>
      <c r="V127" s="8" t="b">
        <v>0</v>
      </c>
    </row>
    <row r="128" ht="22.5" customHeight="1">
      <c r="A128" s="8"/>
      <c r="B128" s="8" t="b">
        <v>0</v>
      </c>
      <c r="C128" s="8">
        <v>10.0</v>
      </c>
      <c r="D128" s="28"/>
      <c r="E128" s="8" t="s">
        <v>28</v>
      </c>
      <c r="F128" s="15" t="s">
        <v>135</v>
      </c>
      <c r="G128" s="15" t="s">
        <v>38</v>
      </c>
      <c r="H128" s="15" t="s">
        <v>72</v>
      </c>
      <c r="I128" s="31">
        <v>45933.0</v>
      </c>
      <c r="J128" s="32" t="s">
        <v>30</v>
      </c>
      <c r="K128" s="32" t="s">
        <v>30</v>
      </c>
      <c r="L128" s="32" t="s">
        <v>42</v>
      </c>
      <c r="M128" s="32" t="s">
        <v>45</v>
      </c>
      <c r="N128" s="15">
        <v>2.0</v>
      </c>
      <c r="O128" s="15">
        <v>6.0</v>
      </c>
      <c r="P128" s="15">
        <f t="array" ref="P128">if(O128="","", if(O128=9999,9999,ROUNDUP(_xlfn.XLOOKUP(J128&amp;"-"&amp;E128&amp;"-"&amp;K128,SpecCV[ID],SpecCV[factor])*O128,0)))</f>
        <v>6</v>
      </c>
      <c r="Q128" s="15">
        <f t="array" ref="Q128">if(J128="Contact plate", _xlfn.XLOOKUP(J128&amp;"-"&amp;E128&amp;"-"&amp;K128,SpecCV[ID],SpecCV[Spec]),_xlfn.XLOOKUP(J128&amp;"-"&amp;E128&amp;"-"&amp;K128,SpecCV[ID],SpecCV[Spec]))</f>
        <v>50</v>
      </c>
      <c r="R128" s="15" t="str">
        <f t="array" ref="R128">if(J128="Contact plate", _xlfn.XLOOKUP(J128&amp;"-"&amp;E128&amp;"-"&amp;K128,SpecCV[ID],SpecCV[Unit]),_xlfn.XLOOKUP(J128&amp;"-"&amp;E128&amp;"-"&amp;K128,SpecCV[ID],SpecCV[Unit]))</f>
        <v>cfu</v>
      </c>
      <c r="S128" s="42"/>
      <c r="T128" s="42"/>
      <c r="U128" s="42"/>
      <c r="V128" s="8" t="b">
        <v>0</v>
      </c>
    </row>
    <row r="129" ht="22.5" customHeight="1">
      <c r="A129" s="8"/>
      <c r="B129" s="8" t="b">
        <v>0</v>
      </c>
      <c r="C129" s="8">
        <v>10.0</v>
      </c>
      <c r="D129" s="28"/>
      <c r="E129" s="8" t="s">
        <v>28</v>
      </c>
      <c r="F129" s="15" t="s">
        <v>135</v>
      </c>
      <c r="G129" s="15" t="s">
        <v>75</v>
      </c>
      <c r="H129" s="15" t="s">
        <v>146</v>
      </c>
      <c r="I129" s="31">
        <v>45933.0</v>
      </c>
      <c r="J129" s="32" t="s">
        <v>30</v>
      </c>
      <c r="K129" s="32" t="s">
        <v>30</v>
      </c>
      <c r="L129" s="32" t="s">
        <v>42</v>
      </c>
      <c r="M129" s="32" t="s">
        <v>45</v>
      </c>
      <c r="N129" s="15">
        <v>2.0</v>
      </c>
      <c r="O129" s="15">
        <v>2.0</v>
      </c>
      <c r="P129" s="15">
        <f t="array" ref="P129">if(O129="","", if(O129=9999,9999,ROUNDUP(_xlfn.XLOOKUP(J129&amp;"-"&amp;E129&amp;"-"&amp;K129,SpecCV[ID],SpecCV[factor])*O129,0)))</f>
        <v>2</v>
      </c>
      <c r="Q129" s="15">
        <f t="array" ref="Q129">if(J129="Contact plate", _xlfn.XLOOKUP(J129&amp;"-"&amp;E129&amp;"-"&amp;K129,SpecCV[ID],SpecCV[Spec]),_xlfn.XLOOKUP(J129&amp;"-"&amp;E129&amp;"-"&amp;K129,SpecCV[ID],SpecCV[Spec]))</f>
        <v>50</v>
      </c>
      <c r="R129" s="15" t="str">
        <f t="array" ref="R129">if(J129="Contact plate", _xlfn.XLOOKUP(J129&amp;"-"&amp;E129&amp;"-"&amp;K129,SpecCV[ID],SpecCV[Unit]),_xlfn.XLOOKUP(J129&amp;"-"&amp;E129&amp;"-"&amp;K129,SpecCV[ID],SpecCV[Unit]))</f>
        <v>cfu</v>
      </c>
      <c r="S129" s="42"/>
      <c r="T129" s="42"/>
      <c r="U129" s="42"/>
      <c r="V129" s="8" t="b">
        <v>0</v>
      </c>
    </row>
    <row r="130" ht="22.5" customHeight="1">
      <c r="A130" s="8"/>
      <c r="B130" s="8" t="b">
        <v>0</v>
      </c>
      <c r="C130" s="8">
        <v>10.0</v>
      </c>
      <c r="D130" s="28"/>
      <c r="E130" s="8" t="s">
        <v>28</v>
      </c>
      <c r="F130" s="15" t="s">
        <v>135</v>
      </c>
      <c r="G130" s="15" t="s">
        <v>75</v>
      </c>
      <c r="H130" s="15" t="s">
        <v>81</v>
      </c>
      <c r="I130" s="31">
        <v>45933.0</v>
      </c>
      <c r="J130" s="32" t="s">
        <v>30</v>
      </c>
      <c r="K130" s="32" t="s">
        <v>30</v>
      </c>
      <c r="L130" s="32" t="s">
        <v>42</v>
      </c>
      <c r="M130" s="32" t="s">
        <v>45</v>
      </c>
      <c r="N130" s="15">
        <v>2.0</v>
      </c>
      <c r="O130" s="15">
        <v>3.0</v>
      </c>
      <c r="P130" s="15">
        <f t="array" ref="P130">if(O130="","", if(O130=9999,9999,ROUNDUP(_xlfn.XLOOKUP(J130&amp;"-"&amp;E130&amp;"-"&amp;K130,SpecCV[ID],SpecCV[factor])*O130,0)))</f>
        <v>3</v>
      </c>
      <c r="Q130" s="15">
        <f t="array" ref="Q130">if(J130="Contact plate", _xlfn.XLOOKUP(J130&amp;"-"&amp;E130&amp;"-"&amp;K130,SpecCV[ID],SpecCV[Spec]),_xlfn.XLOOKUP(J130&amp;"-"&amp;E130&amp;"-"&amp;K130,SpecCV[ID],SpecCV[Spec]))</f>
        <v>50</v>
      </c>
      <c r="R130" s="15" t="str">
        <f t="array" ref="R130">if(J130="Contact plate", _xlfn.XLOOKUP(J130&amp;"-"&amp;E130&amp;"-"&amp;K130,SpecCV[ID],SpecCV[Unit]),_xlfn.XLOOKUP(J130&amp;"-"&amp;E130&amp;"-"&amp;K130,SpecCV[ID],SpecCV[Unit]))</f>
        <v>cfu</v>
      </c>
      <c r="S130" s="42"/>
      <c r="T130" s="42"/>
      <c r="U130" s="42"/>
      <c r="V130" s="8" t="b">
        <v>0</v>
      </c>
    </row>
    <row r="131" ht="22.5" customHeight="1">
      <c r="A131" s="8"/>
      <c r="B131" s="8" t="b">
        <v>0</v>
      </c>
      <c r="C131" s="8">
        <v>10.0</v>
      </c>
      <c r="D131" s="28"/>
      <c r="E131" s="8" t="s">
        <v>28</v>
      </c>
      <c r="F131" s="15" t="s">
        <v>135</v>
      </c>
      <c r="G131" s="15" t="s">
        <v>86</v>
      </c>
      <c r="H131" s="15" t="s">
        <v>87</v>
      </c>
      <c r="I131" s="31">
        <v>45933.0</v>
      </c>
      <c r="J131" s="32" t="s">
        <v>30</v>
      </c>
      <c r="K131" s="32" t="s">
        <v>30</v>
      </c>
      <c r="L131" s="32" t="s">
        <v>42</v>
      </c>
      <c r="M131" s="32" t="s">
        <v>45</v>
      </c>
      <c r="N131" s="15">
        <v>2.0</v>
      </c>
      <c r="O131" s="15">
        <v>12.0</v>
      </c>
      <c r="P131" s="15">
        <f t="array" ref="P131">if(O131="","", if(O131=9999,9999,ROUNDUP(_xlfn.XLOOKUP(J131&amp;"-"&amp;E131&amp;"-"&amp;K131,SpecCV[ID],SpecCV[factor])*O131,0)))</f>
        <v>12</v>
      </c>
      <c r="Q131" s="15">
        <f t="array" ref="Q131">if(J131="Contact plate", _xlfn.XLOOKUP(J131&amp;"-"&amp;E131&amp;"-"&amp;K131,SpecCV[ID],SpecCV[Spec]),_xlfn.XLOOKUP(J131&amp;"-"&amp;E131&amp;"-"&amp;K131,SpecCV[ID],SpecCV[Spec]))</f>
        <v>50</v>
      </c>
      <c r="R131" s="15" t="str">
        <f t="array" ref="R131">if(J131="Contact plate", _xlfn.XLOOKUP(J131&amp;"-"&amp;E131&amp;"-"&amp;K131,SpecCV[ID],SpecCV[Unit]),_xlfn.XLOOKUP(J131&amp;"-"&amp;E131&amp;"-"&amp;K131,SpecCV[ID],SpecCV[Unit]))</f>
        <v>cfu</v>
      </c>
      <c r="S131" s="42"/>
      <c r="T131" s="42"/>
      <c r="U131" s="42"/>
      <c r="V131" s="8" t="b">
        <v>0</v>
      </c>
    </row>
    <row r="132" ht="22.5" customHeight="1">
      <c r="A132" s="8"/>
      <c r="B132" s="8" t="b">
        <v>0</v>
      </c>
      <c r="C132" s="8">
        <v>10.0</v>
      </c>
      <c r="D132" s="28"/>
      <c r="E132" s="8" t="s">
        <v>28</v>
      </c>
      <c r="F132" s="15" t="s">
        <v>135</v>
      </c>
      <c r="G132" s="15" t="s">
        <v>86</v>
      </c>
      <c r="H132" s="15" t="s">
        <v>90</v>
      </c>
      <c r="I132" s="31">
        <v>45933.0</v>
      </c>
      <c r="J132" s="32" t="s">
        <v>30</v>
      </c>
      <c r="K132" s="32" t="s">
        <v>30</v>
      </c>
      <c r="L132" s="32" t="s">
        <v>42</v>
      </c>
      <c r="M132" s="32" t="s">
        <v>45</v>
      </c>
      <c r="N132" s="15">
        <v>2.0</v>
      </c>
      <c r="O132" s="15">
        <v>2.0</v>
      </c>
      <c r="P132" s="15">
        <f t="array" ref="P132">if(O132="","", if(O132=9999,9999,ROUNDUP(_xlfn.XLOOKUP(J132&amp;"-"&amp;E132&amp;"-"&amp;K132,SpecCV[ID],SpecCV[factor])*O132,0)))</f>
        <v>2</v>
      </c>
      <c r="Q132" s="15">
        <f t="array" ref="Q132">if(J132="Contact plate", _xlfn.XLOOKUP(J132&amp;"-"&amp;E132&amp;"-"&amp;K132,SpecCV[ID],SpecCV[Spec]),_xlfn.XLOOKUP(J132&amp;"-"&amp;E132&amp;"-"&amp;K132,SpecCV[ID],SpecCV[Spec]))</f>
        <v>50</v>
      </c>
      <c r="R132" s="15" t="str">
        <f t="array" ref="R132">if(J132="Contact plate", _xlfn.XLOOKUP(J132&amp;"-"&amp;E132&amp;"-"&amp;K132,SpecCV[ID],SpecCV[Unit]),_xlfn.XLOOKUP(J132&amp;"-"&amp;E132&amp;"-"&amp;K132,SpecCV[ID],SpecCV[Unit]))</f>
        <v>cfu</v>
      </c>
      <c r="S132" s="42"/>
      <c r="T132" s="42"/>
      <c r="U132" s="42"/>
      <c r="V132" s="8" t="b">
        <v>0</v>
      </c>
    </row>
    <row r="133" ht="22.5" customHeight="1">
      <c r="A133" s="8"/>
      <c r="B133" s="8" t="b">
        <v>0</v>
      </c>
      <c r="C133" s="8">
        <v>10.0</v>
      </c>
      <c r="D133" s="28"/>
      <c r="E133" s="8" t="s">
        <v>28</v>
      </c>
      <c r="F133" s="15" t="s">
        <v>135</v>
      </c>
      <c r="G133" s="15" t="s">
        <v>95</v>
      </c>
      <c r="H133" s="15" t="s">
        <v>96</v>
      </c>
      <c r="I133" s="31">
        <v>45933.0</v>
      </c>
      <c r="J133" s="32" t="s">
        <v>30</v>
      </c>
      <c r="K133" s="32" t="s">
        <v>30</v>
      </c>
      <c r="L133" s="32" t="s">
        <v>42</v>
      </c>
      <c r="M133" s="32" t="s">
        <v>45</v>
      </c>
      <c r="N133" s="15">
        <v>2.0</v>
      </c>
      <c r="O133" s="15">
        <v>5.0</v>
      </c>
      <c r="P133" s="15">
        <f t="array" ref="P133">if(O133="","", if(O133=9999,9999,ROUNDUP(_xlfn.XLOOKUP(J133&amp;"-"&amp;E133&amp;"-"&amp;K133,SpecCV[ID],SpecCV[factor])*O133,0)))</f>
        <v>5</v>
      </c>
      <c r="Q133" s="15">
        <f t="array" ref="Q133">if(J133="Contact plate", _xlfn.XLOOKUP(J133&amp;"-"&amp;E133&amp;"-"&amp;K133,SpecCV[ID],SpecCV[Spec]),_xlfn.XLOOKUP(J133&amp;"-"&amp;E133&amp;"-"&amp;K133,SpecCV[ID],SpecCV[Spec]))</f>
        <v>50</v>
      </c>
      <c r="R133" s="15" t="str">
        <f t="array" ref="R133">if(J133="Contact plate", _xlfn.XLOOKUP(J133&amp;"-"&amp;E133&amp;"-"&amp;K133,SpecCV[ID],SpecCV[Unit]),_xlfn.XLOOKUP(J133&amp;"-"&amp;E133&amp;"-"&amp;K133,SpecCV[ID],SpecCV[Unit]))</f>
        <v>cfu</v>
      </c>
      <c r="S133" s="42"/>
      <c r="T133" s="42"/>
      <c r="U133" s="42"/>
      <c r="V133" s="8" t="b">
        <v>0</v>
      </c>
    </row>
    <row r="134" ht="22.5" customHeight="1">
      <c r="A134" s="8"/>
      <c r="B134" s="8" t="b">
        <v>0</v>
      </c>
      <c r="C134" s="8">
        <v>10.0</v>
      </c>
      <c r="D134" s="28"/>
      <c r="E134" s="8" t="s">
        <v>28</v>
      </c>
      <c r="F134" s="15" t="s">
        <v>135</v>
      </c>
      <c r="G134" s="15" t="s">
        <v>95</v>
      </c>
      <c r="H134" s="15" t="s">
        <v>99</v>
      </c>
      <c r="I134" s="31">
        <v>45933.0</v>
      </c>
      <c r="J134" s="32" t="s">
        <v>30</v>
      </c>
      <c r="K134" s="32" t="s">
        <v>30</v>
      </c>
      <c r="L134" s="32" t="s">
        <v>42</v>
      </c>
      <c r="M134" s="32" t="s">
        <v>45</v>
      </c>
      <c r="N134" s="15">
        <v>2.0</v>
      </c>
      <c r="O134" s="15">
        <v>8.0</v>
      </c>
      <c r="P134" s="15">
        <f t="array" ref="P134">if(O134="","", if(O134=9999,9999,ROUNDUP(_xlfn.XLOOKUP(J134&amp;"-"&amp;E134&amp;"-"&amp;K134,SpecCV[ID],SpecCV[factor])*O134,0)))</f>
        <v>8</v>
      </c>
      <c r="Q134" s="15">
        <f t="array" ref="Q134">if(J134="Contact plate", _xlfn.XLOOKUP(J134&amp;"-"&amp;E134&amp;"-"&amp;K134,SpecCV[ID],SpecCV[Spec]),_xlfn.XLOOKUP(J134&amp;"-"&amp;E134&amp;"-"&amp;K134,SpecCV[ID],SpecCV[Spec]))</f>
        <v>50</v>
      </c>
      <c r="R134" s="15" t="str">
        <f t="array" ref="R134">if(J134="Contact plate", _xlfn.XLOOKUP(J134&amp;"-"&amp;E134&amp;"-"&amp;K134,SpecCV[ID],SpecCV[Unit]),_xlfn.XLOOKUP(J134&amp;"-"&amp;E134&amp;"-"&amp;K134,SpecCV[ID],SpecCV[Unit]))</f>
        <v>cfu</v>
      </c>
      <c r="S134" s="42"/>
      <c r="T134" s="42"/>
      <c r="U134" s="42"/>
      <c r="V134" s="8" t="b">
        <v>0</v>
      </c>
    </row>
    <row r="135" ht="22.5" customHeight="1">
      <c r="A135" s="8"/>
      <c r="B135" s="8" t="b">
        <v>0</v>
      </c>
      <c r="C135" s="8">
        <v>10.0</v>
      </c>
      <c r="D135" s="28"/>
      <c r="E135" s="8" t="s">
        <v>28</v>
      </c>
      <c r="F135" s="15" t="s">
        <v>135</v>
      </c>
      <c r="G135" s="15" t="s">
        <v>102</v>
      </c>
      <c r="H135" s="15" t="s">
        <v>174</v>
      </c>
      <c r="I135" s="31">
        <v>45945.0</v>
      </c>
      <c r="J135" s="32" t="s">
        <v>30</v>
      </c>
      <c r="K135" s="32" t="s">
        <v>30</v>
      </c>
      <c r="L135" s="32" t="s">
        <v>42</v>
      </c>
      <c r="M135" s="32" t="s">
        <v>45</v>
      </c>
      <c r="N135" s="15">
        <v>2.0</v>
      </c>
      <c r="O135" s="15">
        <v>0.0</v>
      </c>
      <c r="P135" s="15">
        <f t="array" ref="P135">if(O135="","", if(O135=9999,9999,ROUNDUP(_xlfn.XLOOKUP(J135&amp;"-"&amp;E135&amp;"-"&amp;K135,SpecCV[ID],SpecCV[factor])*O135,0)))</f>
        <v>0</v>
      </c>
      <c r="Q135" s="15">
        <f t="array" ref="Q135">if(J135="Contact plate", _xlfn.XLOOKUP(J135&amp;"-"&amp;E135&amp;"-"&amp;K135,SpecCV[ID],SpecCV[Spec]),_xlfn.XLOOKUP(J135&amp;"-"&amp;E135&amp;"-"&amp;K135,SpecCV[ID],SpecCV[Spec]))</f>
        <v>50</v>
      </c>
      <c r="R135" s="15" t="str">
        <f t="array" ref="R135">if(J135="Contact plate", _xlfn.XLOOKUP(J135&amp;"-"&amp;E135&amp;"-"&amp;K135,SpecCV[ID],SpecCV[Unit]),_xlfn.XLOOKUP(J135&amp;"-"&amp;E135&amp;"-"&amp;K135,SpecCV[ID],SpecCV[Unit]))</f>
        <v>cfu</v>
      </c>
      <c r="S135" s="42"/>
      <c r="T135" s="42"/>
      <c r="U135" s="42"/>
      <c r="V135" s="8" t="b">
        <v>0</v>
      </c>
    </row>
    <row r="136" ht="22.5" customHeight="1">
      <c r="A136" s="8"/>
      <c r="B136" s="8" t="b">
        <v>0</v>
      </c>
      <c r="C136" s="8">
        <v>10.0</v>
      </c>
      <c r="D136" s="28"/>
      <c r="E136" s="8" t="s">
        <v>28</v>
      </c>
      <c r="F136" s="15" t="s">
        <v>135</v>
      </c>
      <c r="G136" s="15" t="s">
        <v>102</v>
      </c>
      <c r="H136" s="15" t="s">
        <v>108</v>
      </c>
      <c r="I136" s="31">
        <v>45945.0</v>
      </c>
      <c r="J136" s="32" t="s">
        <v>30</v>
      </c>
      <c r="K136" s="32" t="s">
        <v>30</v>
      </c>
      <c r="L136" s="32" t="s">
        <v>42</v>
      </c>
      <c r="M136" s="32" t="s">
        <v>45</v>
      </c>
      <c r="N136" s="15">
        <v>2.0</v>
      </c>
      <c r="O136" s="15">
        <v>36.0</v>
      </c>
      <c r="P136" s="15">
        <f t="array" ref="P136">if(O136="","", if(O136=9999,9999,ROUNDUP(_xlfn.XLOOKUP(J136&amp;"-"&amp;E136&amp;"-"&amp;K136,SpecCV[ID],SpecCV[factor])*O136,0)))</f>
        <v>36</v>
      </c>
      <c r="Q136" s="15">
        <f t="array" ref="Q136">if(J136="Contact plate", _xlfn.XLOOKUP(J136&amp;"-"&amp;E136&amp;"-"&amp;K136,SpecCV[ID],SpecCV[Spec]),_xlfn.XLOOKUP(J136&amp;"-"&amp;E136&amp;"-"&amp;K136,SpecCV[ID],SpecCV[Spec]))</f>
        <v>50</v>
      </c>
      <c r="R136" s="15" t="str">
        <f t="array" ref="R136">if(J136="Contact plate", _xlfn.XLOOKUP(J136&amp;"-"&amp;E136&amp;"-"&amp;K136,SpecCV[ID],SpecCV[Unit]),_xlfn.XLOOKUP(J136&amp;"-"&amp;E136&amp;"-"&amp;K136,SpecCV[ID],SpecCV[Unit]))</f>
        <v>cfu</v>
      </c>
      <c r="S136" s="42"/>
      <c r="T136" s="42"/>
      <c r="U136" s="42"/>
      <c r="V136" s="8" t="b">
        <v>0</v>
      </c>
    </row>
    <row r="137" ht="22.5" customHeight="1">
      <c r="A137" s="8"/>
      <c r="B137" s="8" t="b">
        <v>0</v>
      </c>
      <c r="C137" s="8">
        <v>10.0</v>
      </c>
      <c r="D137" s="28"/>
      <c r="E137" s="8" t="s">
        <v>28</v>
      </c>
      <c r="F137" s="15" t="s">
        <v>135</v>
      </c>
      <c r="G137" s="15" t="s">
        <v>102</v>
      </c>
      <c r="H137" s="15" t="s">
        <v>105</v>
      </c>
      <c r="I137" s="31">
        <v>45945.0</v>
      </c>
      <c r="J137" s="32" t="s">
        <v>30</v>
      </c>
      <c r="K137" s="32" t="s">
        <v>30</v>
      </c>
      <c r="L137" s="32" t="s">
        <v>42</v>
      </c>
      <c r="M137" s="32" t="s">
        <v>45</v>
      </c>
      <c r="N137" s="15">
        <v>2.0</v>
      </c>
      <c r="O137" s="15">
        <v>21.0</v>
      </c>
      <c r="P137" s="15">
        <f t="array" ref="P137">if(O137="","", if(O137=9999,9999,ROUNDUP(_xlfn.XLOOKUP(J137&amp;"-"&amp;E137&amp;"-"&amp;K137,SpecCV[ID],SpecCV[factor])*O137,0)))</f>
        <v>21</v>
      </c>
      <c r="Q137" s="15">
        <f t="array" ref="Q137">if(J137="Contact plate", _xlfn.XLOOKUP(J137&amp;"-"&amp;E137&amp;"-"&amp;K137,SpecCV[ID],SpecCV[Spec]),_xlfn.XLOOKUP(J137&amp;"-"&amp;E137&amp;"-"&amp;K137,SpecCV[ID],SpecCV[Spec]))</f>
        <v>50</v>
      </c>
      <c r="R137" s="15" t="str">
        <f t="array" ref="R137">if(J137="Contact plate", _xlfn.XLOOKUP(J137&amp;"-"&amp;E137&amp;"-"&amp;K137,SpecCV[ID],SpecCV[Unit]),_xlfn.XLOOKUP(J137&amp;"-"&amp;E137&amp;"-"&amp;K137,SpecCV[ID],SpecCV[Unit]))</f>
        <v>cfu</v>
      </c>
      <c r="S137" s="42"/>
      <c r="T137" s="42"/>
      <c r="U137" s="42"/>
      <c r="V137" s="8" t="b">
        <v>0</v>
      </c>
    </row>
    <row r="138" ht="22.5" customHeight="1">
      <c r="A138" s="8"/>
      <c r="B138" s="8" t="b">
        <v>0</v>
      </c>
      <c r="C138" s="8">
        <v>10.0</v>
      </c>
      <c r="D138" s="28"/>
      <c r="E138" s="8" t="s">
        <v>28</v>
      </c>
      <c r="F138" s="15" t="s">
        <v>135</v>
      </c>
      <c r="G138" s="15" t="s">
        <v>127</v>
      </c>
      <c r="H138" s="15" t="s">
        <v>72</v>
      </c>
      <c r="I138" s="31">
        <v>45945.0</v>
      </c>
      <c r="J138" s="32" t="s">
        <v>30</v>
      </c>
      <c r="K138" s="32" t="s">
        <v>30</v>
      </c>
      <c r="L138" s="32" t="s">
        <v>42</v>
      </c>
      <c r="M138" s="32" t="s">
        <v>45</v>
      </c>
      <c r="N138" s="15">
        <v>2.0</v>
      </c>
      <c r="O138" s="15">
        <v>7.0</v>
      </c>
      <c r="P138" s="15">
        <f t="array" ref="P138">if(O138="","", if(O138=9999,9999,ROUNDUP(_xlfn.XLOOKUP(J138&amp;"-"&amp;E138&amp;"-"&amp;K138,SpecCV[ID],SpecCV[factor])*O138,0)))</f>
        <v>7</v>
      </c>
      <c r="Q138" s="15">
        <f t="array" ref="Q138">if(J138="Contact plate", _xlfn.XLOOKUP(J138&amp;"-"&amp;E138&amp;"-"&amp;K138,SpecCV[ID],SpecCV[Spec]),_xlfn.XLOOKUP(J138&amp;"-"&amp;E138&amp;"-"&amp;K138,SpecCV[ID],SpecCV[Spec]))</f>
        <v>50</v>
      </c>
      <c r="R138" s="15" t="str">
        <f t="array" ref="R138">if(J138="Contact plate", _xlfn.XLOOKUP(J138&amp;"-"&amp;E138&amp;"-"&amp;K138,SpecCV[ID],SpecCV[Unit]),_xlfn.XLOOKUP(J138&amp;"-"&amp;E138&amp;"-"&amp;K138,SpecCV[ID],SpecCV[Unit]))</f>
        <v>cfu</v>
      </c>
      <c r="S138" s="42"/>
      <c r="T138" s="42"/>
      <c r="U138" s="42"/>
      <c r="V138" s="8" t="b">
        <v>0</v>
      </c>
    </row>
    <row r="139" ht="22.5" customHeight="1">
      <c r="A139" s="8"/>
      <c r="B139" s="8" t="b">
        <v>0</v>
      </c>
      <c r="C139" s="8">
        <v>10.0</v>
      </c>
      <c r="D139" s="28"/>
      <c r="E139" s="8" t="s">
        <v>28</v>
      </c>
      <c r="F139" s="15" t="s">
        <v>135</v>
      </c>
      <c r="G139" s="15" t="s">
        <v>119</v>
      </c>
      <c r="H139" s="15" t="s">
        <v>187</v>
      </c>
      <c r="I139" s="31">
        <v>45945.0</v>
      </c>
      <c r="J139" s="32" t="s">
        <v>30</v>
      </c>
      <c r="K139" s="32" t="s">
        <v>30</v>
      </c>
      <c r="L139" s="32" t="s">
        <v>42</v>
      </c>
      <c r="M139" s="32" t="s">
        <v>45</v>
      </c>
      <c r="N139" s="15">
        <v>2.0</v>
      </c>
      <c r="O139" s="15">
        <v>2.0</v>
      </c>
      <c r="P139" s="15">
        <f t="array" ref="P139">if(O139="","", if(O139=9999,9999,ROUNDUP(_xlfn.XLOOKUP(J139&amp;"-"&amp;E139&amp;"-"&amp;K139,SpecCV[ID],SpecCV[factor])*O139,0)))</f>
        <v>2</v>
      </c>
      <c r="Q139" s="15">
        <f t="array" ref="Q139">if(J139="Contact plate", _xlfn.XLOOKUP(J139&amp;"-"&amp;E139&amp;"-"&amp;K139,SpecCV[ID],SpecCV[Spec]),_xlfn.XLOOKUP(J139&amp;"-"&amp;E139&amp;"-"&amp;K139,SpecCV[ID],SpecCV[Spec]))</f>
        <v>50</v>
      </c>
      <c r="R139" s="15" t="str">
        <f t="array" ref="R139">if(J139="Contact plate", _xlfn.XLOOKUP(J139&amp;"-"&amp;E139&amp;"-"&amp;K139,SpecCV[ID],SpecCV[Unit]),_xlfn.XLOOKUP(J139&amp;"-"&amp;E139&amp;"-"&amp;K139,SpecCV[ID],SpecCV[Unit]))</f>
        <v>cfu</v>
      </c>
      <c r="S139" s="42"/>
      <c r="T139" s="42"/>
      <c r="U139" s="42"/>
      <c r="V139" s="8" t="b">
        <v>0</v>
      </c>
    </row>
    <row r="140" ht="22.5" customHeight="1">
      <c r="A140" s="8"/>
      <c r="B140" s="8" t="b">
        <v>0</v>
      </c>
      <c r="C140" s="8">
        <v>10.0</v>
      </c>
      <c r="D140" s="28"/>
      <c r="E140" s="8" t="s">
        <v>28</v>
      </c>
      <c r="F140" s="15" t="s">
        <v>33</v>
      </c>
      <c r="G140" s="15" t="s">
        <v>162</v>
      </c>
      <c r="H140" s="15" t="s">
        <v>171</v>
      </c>
      <c r="I140" s="31">
        <v>45945.0</v>
      </c>
      <c r="J140" s="32" t="s">
        <v>30</v>
      </c>
      <c r="K140" s="32" t="s">
        <v>30</v>
      </c>
      <c r="L140" s="32" t="s">
        <v>42</v>
      </c>
      <c r="M140" s="32" t="s">
        <v>281</v>
      </c>
      <c r="N140" s="15">
        <v>3.0</v>
      </c>
      <c r="O140" s="15">
        <v>3.0</v>
      </c>
      <c r="P140" s="15">
        <f t="array" ref="P140">if(O140="","", if(O140=9999,9999,ROUNDUP(_xlfn.XLOOKUP(J140&amp;"-"&amp;E140&amp;"-"&amp;K140,SpecCV[ID],SpecCV[factor])*O140,0)))</f>
        <v>3</v>
      </c>
      <c r="Q140" s="15">
        <f t="array" ref="Q140">if(J140="Contact plate", _xlfn.XLOOKUP(J140&amp;"-"&amp;E140&amp;"-"&amp;K140,SpecCV[ID],SpecCV[Spec]),_xlfn.XLOOKUP(J140&amp;"-"&amp;E140&amp;"-"&amp;K140,SpecCV[ID],SpecCV[Spec]))</f>
        <v>50</v>
      </c>
      <c r="R140" s="15" t="str">
        <f t="array" ref="R140">if(J140="Contact plate", _xlfn.XLOOKUP(J140&amp;"-"&amp;E140&amp;"-"&amp;K140,SpecCV[ID],SpecCV[Unit]),_xlfn.XLOOKUP(J140&amp;"-"&amp;E140&amp;"-"&amp;K140,SpecCV[ID],SpecCV[Unit]))</f>
        <v>cfu</v>
      </c>
      <c r="S140" s="42"/>
      <c r="T140" s="42"/>
      <c r="U140" s="42"/>
      <c r="V140" s="8" t="b">
        <v>0</v>
      </c>
    </row>
    <row r="141" ht="22.5" customHeight="1">
      <c r="A141" s="8"/>
      <c r="B141" s="8" t="b">
        <v>0</v>
      </c>
      <c r="C141" s="8">
        <v>10.0</v>
      </c>
      <c r="D141" s="28"/>
      <c r="E141" s="8" t="s">
        <v>28</v>
      </c>
      <c r="F141" s="15" t="s">
        <v>33</v>
      </c>
      <c r="G141" s="15" t="s">
        <v>38</v>
      </c>
      <c r="H141" s="15" t="s">
        <v>39</v>
      </c>
      <c r="I141" s="31">
        <v>45954.0</v>
      </c>
      <c r="J141" s="32" t="s">
        <v>30</v>
      </c>
      <c r="K141" s="32" t="s">
        <v>30</v>
      </c>
      <c r="L141" s="32" t="s">
        <v>220</v>
      </c>
      <c r="M141" s="32" t="s">
        <v>45</v>
      </c>
      <c r="N141" s="15">
        <v>2.0</v>
      </c>
      <c r="O141" s="15">
        <v>1.0</v>
      </c>
      <c r="P141" s="15">
        <f t="array" ref="P141">if(O141="","", if(O141=9999,9999,ROUNDUP(_xlfn.XLOOKUP(J141&amp;"-"&amp;E141&amp;"-"&amp;K141,SpecCV[ID],SpecCV[factor])*O141,0)))</f>
        <v>1</v>
      </c>
      <c r="Q141" s="15">
        <f t="array" ref="Q141">if(J141="Contact plate", _xlfn.XLOOKUP(J141&amp;"-"&amp;E141&amp;"-"&amp;K141,SpecCV[ID],SpecCV[Spec]),_xlfn.XLOOKUP(J141&amp;"-"&amp;E141&amp;"-"&amp;K141,SpecCV[ID],SpecCV[Spec]))</f>
        <v>50</v>
      </c>
      <c r="R141" s="15" t="str">
        <f t="array" ref="R141">if(J141="Contact plate", _xlfn.XLOOKUP(J141&amp;"-"&amp;E141&amp;"-"&amp;K141,SpecCV[ID],SpecCV[Unit]),_xlfn.XLOOKUP(J141&amp;"-"&amp;E141&amp;"-"&amp;K141,SpecCV[ID],SpecCV[Unit]))</f>
        <v>cfu</v>
      </c>
      <c r="S141" s="42"/>
      <c r="T141" s="42"/>
      <c r="U141" s="42"/>
      <c r="V141" s="8" t="b">
        <v>0</v>
      </c>
    </row>
    <row r="142" ht="22.5" customHeight="1">
      <c r="A142" s="8"/>
      <c r="B142" s="8" t="b">
        <v>0</v>
      </c>
      <c r="C142" s="8">
        <v>10.0</v>
      </c>
      <c r="E142" s="8" t="s">
        <v>28</v>
      </c>
      <c r="F142" s="15" t="s">
        <v>33</v>
      </c>
      <c r="G142" s="15" t="s">
        <v>38</v>
      </c>
      <c r="H142" s="15" t="s">
        <v>55</v>
      </c>
      <c r="I142" s="31">
        <v>45954.0</v>
      </c>
      <c r="J142" s="32" t="s">
        <v>30</v>
      </c>
      <c r="K142" s="32" t="s">
        <v>30</v>
      </c>
      <c r="L142" s="32" t="s">
        <v>220</v>
      </c>
      <c r="M142" s="32" t="s">
        <v>45</v>
      </c>
      <c r="N142" s="15">
        <v>2.0</v>
      </c>
      <c r="O142" s="15">
        <v>1.0</v>
      </c>
      <c r="P142" s="15">
        <f t="array" ref="P142">if(O142="","", if(O142=9999,9999,ROUNDUP(_xlfn.XLOOKUP(J142&amp;"-"&amp;E142&amp;"-"&amp;K142,SpecCV[ID],SpecCV[factor])*O142,0)))</f>
        <v>1</v>
      </c>
      <c r="Q142" s="15">
        <f t="array" ref="Q142">if(J142="Contact plate", _xlfn.XLOOKUP(J142&amp;"-"&amp;E142&amp;"-"&amp;K142,SpecCV[ID],SpecCV[Spec]),_xlfn.XLOOKUP(J142&amp;"-"&amp;E142&amp;"-"&amp;K142,SpecCV[ID],SpecCV[Spec]))</f>
        <v>50</v>
      </c>
      <c r="R142" s="15" t="str">
        <f t="array" ref="R142">if(J142="Contact plate", _xlfn.XLOOKUP(J142&amp;"-"&amp;E142&amp;"-"&amp;K142,SpecCV[ID],SpecCV[Unit]),_xlfn.XLOOKUP(J142&amp;"-"&amp;E142&amp;"-"&amp;K142,SpecCV[ID],SpecCV[Unit]))</f>
        <v>cfu</v>
      </c>
      <c r="S142" s="42"/>
      <c r="T142" s="42"/>
      <c r="U142" s="42"/>
      <c r="V142" s="8" t="b">
        <v>0</v>
      </c>
    </row>
    <row r="143" ht="22.5" customHeight="1">
      <c r="A143" s="8"/>
      <c r="B143" s="8" t="b">
        <v>0</v>
      </c>
      <c r="C143" s="8">
        <v>10.0</v>
      </c>
      <c r="E143" s="8" t="s">
        <v>28</v>
      </c>
      <c r="F143" s="15" t="s">
        <v>33</v>
      </c>
      <c r="G143" s="15" t="s">
        <v>38</v>
      </c>
      <c r="H143" s="15" t="s">
        <v>72</v>
      </c>
      <c r="I143" s="31">
        <v>45954.0</v>
      </c>
      <c r="J143" s="32" t="s">
        <v>30</v>
      </c>
      <c r="K143" s="32" t="s">
        <v>30</v>
      </c>
      <c r="L143" s="32" t="s">
        <v>220</v>
      </c>
      <c r="M143" s="32" t="s">
        <v>45</v>
      </c>
      <c r="N143" s="15">
        <v>2.0</v>
      </c>
      <c r="O143" s="15">
        <v>6.0</v>
      </c>
      <c r="P143" s="15">
        <f t="array" ref="P143">if(O143="","", if(O143=9999,9999,ROUNDUP(_xlfn.XLOOKUP(J143&amp;"-"&amp;E143&amp;"-"&amp;K143,SpecCV[ID],SpecCV[factor])*O143,0)))</f>
        <v>6</v>
      </c>
      <c r="Q143" s="15">
        <f t="array" ref="Q143">if(J143="Contact plate", _xlfn.XLOOKUP(J143&amp;"-"&amp;E143&amp;"-"&amp;K143,SpecCV[ID],SpecCV[Spec]),_xlfn.XLOOKUP(J143&amp;"-"&amp;E143&amp;"-"&amp;K143,SpecCV[ID],SpecCV[Spec]))</f>
        <v>50</v>
      </c>
      <c r="R143" s="15" t="str">
        <f t="array" ref="R143">if(J143="Contact plate", _xlfn.XLOOKUP(J143&amp;"-"&amp;E143&amp;"-"&amp;K143,SpecCV[ID],SpecCV[Unit]),_xlfn.XLOOKUP(J143&amp;"-"&amp;E143&amp;"-"&amp;K143,SpecCV[ID],SpecCV[Unit]))</f>
        <v>cfu</v>
      </c>
      <c r="S143" s="42"/>
      <c r="T143" s="42"/>
      <c r="U143" s="42"/>
      <c r="V143" s="8" t="b">
        <v>0</v>
      </c>
    </row>
    <row r="144" ht="22.5" customHeight="1">
      <c r="A144" s="8"/>
      <c r="B144" s="8" t="b">
        <v>0</v>
      </c>
      <c r="C144" s="8">
        <v>10.0</v>
      </c>
      <c r="E144" s="8" t="s">
        <v>28</v>
      </c>
      <c r="F144" s="15" t="s">
        <v>33</v>
      </c>
      <c r="G144" s="15" t="s">
        <v>75</v>
      </c>
      <c r="H144" s="15" t="s">
        <v>78</v>
      </c>
      <c r="I144" s="31">
        <v>45954.0</v>
      </c>
      <c r="J144" s="32" t="s">
        <v>30</v>
      </c>
      <c r="K144" s="32" t="s">
        <v>30</v>
      </c>
      <c r="L144" s="32" t="s">
        <v>220</v>
      </c>
      <c r="M144" s="32" t="s">
        <v>45</v>
      </c>
      <c r="N144" s="15">
        <v>2.0</v>
      </c>
      <c r="O144" s="15">
        <v>0.0</v>
      </c>
      <c r="P144" s="15">
        <f t="array" ref="P144">if(O144="","", if(O144=9999,9999,ROUNDUP(_xlfn.XLOOKUP(J144&amp;"-"&amp;E144&amp;"-"&amp;K144,SpecCV[ID],SpecCV[factor])*O144,0)))</f>
        <v>0</v>
      </c>
      <c r="Q144" s="15">
        <f t="array" ref="Q144">if(J144="Contact plate", _xlfn.XLOOKUP(J144&amp;"-"&amp;E144&amp;"-"&amp;K144,SpecCV[ID],SpecCV[Spec]),_xlfn.XLOOKUP(J144&amp;"-"&amp;E144&amp;"-"&amp;K144,SpecCV[ID],SpecCV[Spec]))</f>
        <v>50</v>
      </c>
      <c r="R144" s="15" t="str">
        <f t="array" ref="R144">if(J144="Contact plate", _xlfn.XLOOKUP(J144&amp;"-"&amp;E144&amp;"-"&amp;K144,SpecCV[ID],SpecCV[Unit]),_xlfn.XLOOKUP(J144&amp;"-"&amp;E144&amp;"-"&amp;K144,SpecCV[ID],SpecCV[Unit]))</f>
        <v>cfu</v>
      </c>
      <c r="S144" s="42"/>
      <c r="T144" s="42"/>
      <c r="U144" s="42"/>
      <c r="V144" s="8" t="b">
        <v>0</v>
      </c>
    </row>
    <row r="145" ht="22.5" customHeight="1">
      <c r="A145" s="8"/>
      <c r="B145" s="8" t="b">
        <v>0</v>
      </c>
      <c r="C145" s="8">
        <v>10.0</v>
      </c>
      <c r="E145" s="8" t="s">
        <v>28</v>
      </c>
      <c r="F145" s="15" t="s">
        <v>33</v>
      </c>
      <c r="G145" s="15" t="s">
        <v>75</v>
      </c>
      <c r="H145" s="15" t="s">
        <v>81</v>
      </c>
      <c r="I145" s="31">
        <v>45954.0</v>
      </c>
      <c r="J145" s="32" t="s">
        <v>30</v>
      </c>
      <c r="K145" s="32" t="s">
        <v>30</v>
      </c>
      <c r="L145" s="32" t="s">
        <v>220</v>
      </c>
      <c r="M145" s="32" t="s">
        <v>45</v>
      </c>
      <c r="N145" s="15">
        <v>2.0</v>
      </c>
      <c r="O145" s="15">
        <v>0.0</v>
      </c>
      <c r="P145" s="15">
        <f t="array" ref="P145">if(O145="","", if(O145=9999,9999,ROUNDUP(_xlfn.XLOOKUP(J145&amp;"-"&amp;E145&amp;"-"&amp;K145,SpecCV[ID],SpecCV[factor])*O145,0)))</f>
        <v>0</v>
      </c>
      <c r="Q145" s="15">
        <f t="array" ref="Q145">if(J145="Contact plate", _xlfn.XLOOKUP(J145&amp;"-"&amp;E145&amp;"-"&amp;K145,SpecCV[ID],SpecCV[Spec]),_xlfn.XLOOKUP(J145&amp;"-"&amp;E145&amp;"-"&amp;K145,SpecCV[ID],SpecCV[Spec]))</f>
        <v>50</v>
      </c>
      <c r="R145" s="15" t="str">
        <f t="array" ref="R145">if(J145="Contact plate", _xlfn.XLOOKUP(J145&amp;"-"&amp;E145&amp;"-"&amp;K145,SpecCV[ID],SpecCV[Unit]),_xlfn.XLOOKUP(J145&amp;"-"&amp;E145&amp;"-"&amp;K145,SpecCV[ID],SpecCV[Unit]))</f>
        <v>cfu</v>
      </c>
      <c r="S145" s="42"/>
      <c r="T145" s="42"/>
      <c r="U145" s="42"/>
      <c r="V145" s="8" t="b">
        <v>0</v>
      </c>
    </row>
    <row r="146" ht="22.5" customHeight="1">
      <c r="A146" s="8"/>
      <c r="B146" s="8" t="b">
        <v>0</v>
      </c>
      <c r="C146" s="8">
        <v>10.0</v>
      </c>
      <c r="E146" s="8" t="s">
        <v>28</v>
      </c>
      <c r="F146" s="15" t="s">
        <v>33</v>
      </c>
      <c r="G146" s="15" t="s">
        <v>86</v>
      </c>
      <c r="H146" s="15" t="s">
        <v>87</v>
      </c>
      <c r="I146" s="31">
        <v>45954.0</v>
      </c>
      <c r="J146" s="32" t="s">
        <v>30</v>
      </c>
      <c r="K146" s="32" t="s">
        <v>30</v>
      </c>
      <c r="L146" s="32" t="s">
        <v>220</v>
      </c>
      <c r="M146" s="32" t="s">
        <v>45</v>
      </c>
      <c r="N146" s="15">
        <v>2.0</v>
      </c>
      <c r="O146" s="15">
        <v>7.0</v>
      </c>
      <c r="P146" s="15">
        <f t="array" ref="P146">if(O146="","", if(O146=9999,9999,ROUNDUP(_xlfn.XLOOKUP(J146&amp;"-"&amp;E146&amp;"-"&amp;K146,SpecCV[ID],SpecCV[factor])*O146,0)))</f>
        <v>7</v>
      </c>
      <c r="Q146" s="15">
        <f t="array" ref="Q146">if(J146="Contact plate", _xlfn.XLOOKUP(J146&amp;"-"&amp;E146&amp;"-"&amp;K146,SpecCV[ID],SpecCV[Spec]),_xlfn.XLOOKUP(J146&amp;"-"&amp;E146&amp;"-"&amp;K146,SpecCV[ID],SpecCV[Spec]))</f>
        <v>50</v>
      </c>
      <c r="R146" s="15" t="str">
        <f t="array" ref="R146">if(J146="Contact plate", _xlfn.XLOOKUP(J146&amp;"-"&amp;E146&amp;"-"&amp;K146,SpecCV[ID],SpecCV[Unit]),_xlfn.XLOOKUP(J146&amp;"-"&amp;E146&amp;"-"&amp;K146,SpecCV[ID],SpecCV[Unit]))</f>
        <v>cfu</v>
      </c>
      <c r="S146" s="42"/>
      <c r="T146" s="42"/>
      <c r="U146" s="42"/>
      <c r="V146" s="8" t="b">
        <v>0</v>
      </c>
    </row>
    <row r="147" ht="22.5" customHeight="1">
      <c r="A147" s="8"/>
      <c r="B147" s="8" t="b">
        <v>0</v>
      </c>
      <c r="C147" s="8">
        <v>10.0</v>
      </c>
      <c r="E147" s="8" t="s">
        <v>28</v>
      </c>
      <c r="F147" s="15" t="s">
        <v>33</v>
      </c>
      <c r="G147" s="15" t="s">
        <v>86</v>
      </c>
      <c r="H147" s="15" t="s">
        <v>90</v>
      </c>
      <c r="I147" s="31">
        <v>45954.0</v>
      </c>
      <c r="J147" s="32" t="s">
        <v>30</v>
      </c>
      <c r="K147" s="32" t="s">
        <v>30</v>
      </c>
      <c r="L147" s="32" t="s">
        <v>220</v>
      </c>
      <c r="M147" s="32" t="s">
        <v>45</v>
      </c>
      <c r="N147" s="15">
        <v>2.0</v>
      </c>
      <c r="O147" s="15">
        <v>1.0</v>
      </c>
      <c r="P147" s="15">
        <f t="array" ref="P147">if(O147="","", if(O147=9999,9999,ROUNDUP(_xlfn.XLOOKUP(J147&amp;"-"&amp;E147&amp;"-"&amp;K147,SpecCV[ID],SpecCV[factor])*O147,0)))</f>
        <v>1</v>
      </c>
      <c r="Q147" s="15">
        <f t="array" ref="Q147">if(J147="Contact plate", _xlfn.XLOOKUP(J147&amp;"-"&amp;E147&amp;"-"&amp;K147,SpecCV[ID],SpecCV[Spec]),_xlfn.XLOOKUP(J147&amp;"-"&amp;E147&amp;"-"&amp;K147,SpecCV[ID],SpecCV[Spec]))</f>
        <v>50</v>
      </c>
      <c r="R147" s="15" t="str">
        <f t="array" ref="R147">if(J147="Contact plate", _xlfn.XLOOKUP(J147&amp;"-"&amp;E147&amp;"-"&amp;K147,SpecCV[ID],SpecCV[Unit]),_xlfn.XLOOKUP(J147&amp;"-"&amp;E147&amp;"-"&amp;K147,SpecCV[ID],SpecCV[Unit]))</f>
        <v>cfu</v>
      </c>
      <c r="S147" s="42"/>
      <c r="T147" s="42"/>
      <c r="U147" s="42"/>
      <c r="V147" s="8" t="b">
        <v>0</v>
      </c>
    </row>
    <row r="148" ht="22.5" customHeight="1">
      <c r="A148" s="8"/>
      <c r="B148" s="8" t="b">
        <v>0</v>
      </c>
      <c r="C148" s="8">
        <v>10.0</v>
      </c>
      <c r="E148" s="8" t="s">
        <v>28</v>
      </c>
      <c r="F148" s="15" t="s">
        <v>33</v>
      </c>
      <c r="G148" s="15" t="s">
        <v>95</v>
      </c>
      <c r="H148" s="15" t="s">
        <v>96</v>
      </c>
      <c r="I148" s="31">
        <v>45954.0</v>
      </c>
      <c r="J148" s="32" t="s">
        <v>30</v>
      </c>
      <c r="K148" s="32" t="s">
        <v>30</v>
      </c>
      <c r="L148" s="32" t="s">
        <v>220</v>
      </c>
      <c r="M148" s="32" t="s">
        <v>45</v>
      </c>
      <c r="N148" s="15">
        <v>2.0</v>
      </c>
      <c r="O148" s="15">
        <v>0.0</v>
      </c>
      <c r="P148" s="15">
        <f t="array" ref="P148">if(O148="","", if(O148=9999,9999,ROUNDUP(_xlfn.XLOOKUP(J148&amp;"-"&amp;E148&amp;"-"&amp;K148,SpecCV[ID],SpecCV[factor])*O148,0)))</f>
        <v>0</v>
      </c>
      <c r="Q148" s="15">
        <f t="array" ref="Q148">if(J148="Contact plate", _xlfn.XLOOKUP(J148&amp;"-"&amp;E148&amp;"-"&amp;K148,SpecCV[ID],SpecCV[Spec]),_xlfn.XLOOKUP(J148&amp;"-"&amp;E148&amp;"-"&amp;K148,SpecCV[ID],SpecCV[Spec]))</f>
        <v>50</v>
      </c>
      <c r="R148" s="15" t="str">
        <f t="array" ref="R148">if(J148="Contact plate", _xlfn.XLOOKUP(J148&amp;"-"&amp;E148&amp;"-"&amp;K148,SpecCV[ID],SpecCV[Unit]),_xlfn.XLOOKUP(J148&amp;"-"&amp;E148&amp;"-"&amp;K148,SpecCV[ID],SpecCV[Unit]))</f>
        <v>cfu</v>
      </c>
      <c r="S148" s="42"/>
      <c r="T148" s="42"/>
      <c r="U148" s="42"/>
      <c r="V148" s="8" t="b">
        <v>0</v>
      </c>
    </row>
    <row r="149" ht="22.5" customHeight="1">
      <c r="A149" s="8"/>
      <c r="B149" s="8" t="b">
        <v>0</v>
      </c>
      <c r="C149" s="8">
        <v>10.0</v>
      </c>
      <c r="E149" s="8" t="s">
        <v>28</v>
      </c>
      <c r="F149" s="15" t="s">
        <v>33</v>
      </c>
      <c r="G149" s="15" t="s">
        <v>95</v>
      </c>
      <c r="H149" s="15" t="s">
        <v>99</v>
      </c>
      <c r="I149" s="31">
        <v>45954.0</v>
      </c>
      <c r="J149" s="32" t="s">
        <v>30</v>
      </c>
      <c r="K149" s="32" t="s">
        <v>30</v>
      </c>
      <c r="L149" s="32" t="s">
        <v>220</v>
      </c>
      <c r="M149" s="32" t="s">
        <v>45</v>
      </c>
      <c r="N149" s="15">
        <v>2.0</v>
      </c>
      <c r="O149" s="15">
        <v>1.0</v>
      </c>
      <c r="P149" s="15">
        <f t="array" ref="P149">if(O149="","", if(O149=9999,9999,ROUNDUP(_xlfn.XLOOKUP(J149&amp;"-"&amp;E149&amp;"-"&amp;K149,SpecCV[ID],SpecCV[factor])*O149,0)))</f>
        <v>1</v>
      </c>
      <c r="Q149" s="15">
        <f t="array" ref="Q149">if(J149="Contact plate", _xlfn.XLOOKUP(J149&amp;"-"&amp;E149&amp;"-"&amp;K149,SpecCV[ID],SpecCV[Spec]),_xlfn.XLOOKUP(J149&amp;"-"&amp;E149&amp;"-"&amp;K149,SpecCV[ID],SpecCV[Spec]))</f>
        <v>50</v>
      </c>
      <c r="R149" s="15" t="str">
        <f t="array" ref="R149">if(J149="Contact plate", _xlfn.XLOOKUP(J149&amp;"-"&amp;E149&amp;"-"&amp;K149,SpecCV[ID],SpecCV[Unit]),_xlfn.XLOOKUP(J149&amp;"-"&amp;E149&amp;"-"&amp;K149,SpecCV[ID],SpecCV[Unit]))</f>
        <v>cfu</v>
      </c>
      <c r="S149" s="42"/>
      <c r="T149" s="42"/>
      <c r="U149" s="42"/>
      <c r="V149" s="8" t="b">
        <v>0</v>
      </c>
    </row>
    <row r="150" ht="22.5" customHeight="1">
      <c r="A150" s="8"/>
      <c r="B150" s="8" t="b">
        <v>0</v>
      </c>
      <c r="C150" s="8">
        <v>10.0</v>
      </c>
      <c r="D150" s="28"/>
      <c r="E150" s="8" t="s">
        <v>28</v>
      </c>
      <c r="F150" s="15" t="s">
        <v>135</v>
      </c>
      <c r="G150" s="15" t="s">
        <v>190</v>
      </c>
      <c r="H150" s="15" t="s">
        <v>209</v>
      </c>
      <c r="I150" s="31">
        <v>45958.0</v>
      </c>
      <c r="J150" s="32" t="s">
        <v>30</v>
      </c>
      <c r="K150" s="32" t="s">
        <v>30</v>
      </c>
      <c r="L150" s="32" t="s">
        <v>42</v>
      </c>
      <c r="M150" s="32" t="s">
        <v>45</v>
      </c>
      <c r="N150" s="15">
        <v>2.0</v>
      </c>
      <c r="O150" s="15">
        <v>16.0</v>
      </c>
      <c r="P150" s="15">
        <f t="array" ref="P150">if(O150="","", if(O150=9999,9999,ROUNDUP(_xlfn.XLOOKUP(J150&amp;"-"&amp;E150&amp;"-"&amp;K150,SpecCV[ID],SpecCV[factor])*O150,0)))</f>
        <v>16</v>
      </c>
      <c r="Q150" s="15">
        <f t="array" ref="Q150">if(J150="Contact plate", _xlfn.XLOOKUP(J150&amp;"-"&amp;E150&amp;"-"&amp;K150,SpecCV[ID],SpecCV[Spec]),_xlfn.XLOOKUP(J150&amp;"-"&amp;E150&amp;"-"&amp;K150,SpecCV[ID],SpecCV[Spec]))</f>
        <v>50</v>
      </c>
      <c r="R150" s="15" t="str">
        <f t="array" ref="R150">if(J150="Contact plate", _xlfn.XLOOKUP(J150&amp;"-"&amp;E150&amp;"-"&amp;K150,SpecCV[ID],SpecCV[Unit]),_xlfn.XLOOKUP(J150&amp;"-"&amp;E150&amp;"-"&amp;K150,SpecCV[ID],SpecCV[Unit]))</f>
        <v>cfu</v>
      </c>
      <c r="S150" s="42"/>
      <c r="T150" s="42"/>
      <c r="U150" s="42"/>
      <c r="V150" s="8" t="b">
        <v>0</v>
      </c>
    </row>
    <row r="151" ht="22.5" customHeight="1">
      <c r="A151" s="61"/>
      <c r="B151" s="61" t="b">
        <v>0</v>
      </c>
      <c r="C151" s="61">
        <v>10.0</v>
      </c>
      <c r="D151" s="62"/>
      <c r="E151" s="8" t="s">
        <v>28</v>
      </c>
      <c r="F151" s="63" t="s">
        <v>135</v>
      </c>
      <c r="G151" s="63" t="s">
        <v>190</v>
      </c>
      <c r="H151" s="63" t="s">
        <v>194</v>
      </c>
      <c r="I151" s="64">
        <v>45958.0</v>
      </c>
      <c r="J151" s="65" t="s">
        <v>30</v>
      </c>
      <c r="K151" s="32" t="s">
        <v>30</v>
      </c>
      <c r="L151" s="32" t="s">
        <v>42</v>
      </c>
      <c r="M151" s="65" t="s">
        <v>45</v>
      </c>
      <c r="N151" s="63">
        <v>2.0</v>
      </c>
      <c r="O151" s="63">
        <v>9999.0</v>
      </c>
      <c r="P151" s="63">
        <f t="array" ref="P151">if(O151="","", if(O151=9999,9999,ROUNDUP(_xlfn.XLOOKUP(J151&amp;"-"&amp;E151&amp;"-"&amp;K151,SpecCV[ID],SpecCV[factor])*O151,0)))</f>
        <v>9999</v>
      </c>
      <c r="Q151" s="63">
        <f t="array" ref="Q151">if(J151="Contact plate", _xlfn.XLOOKUP(J151&amp;"-"&amp;E151&amp;"-"&amp;K151,SpecCV[ID],SpecCV[Spec]),_xlfn.XLOOKUP(J151&amp;"-"&amp;E151&amp;"-"&amp;K151,SpecCV[ID],SpecCV[Spec]))</f>
        <v>50</v>
      </c>
      <c r="R151" s="15" t="str">
        <f t="array" ref="R151">if(J151="Contact plate", _xlfn.XLOOKUP(J151&amp;"-"&amp;E151&amp;"-"&amp;K151,SpecCV[ID],SpecCV[Unit]),_xlfn.XLOOKUP(J151&amp;"-"&amp;E151&amp;"-"&amp;K151,SpecCV[ID],SpecCV[Unit]))</f>
        <v>cfu</v>
      </c>
      <c r="S151" s="42"/>
      <c r="T151" s="42"/>
      <c r="U151" s="42"/>
      <c r="V151" s="8" t="b">
        <v>0</v>
      </c>
    </row>
    <row r="152" ht="22.5" customHeight="1">
      <c r="A152" s="8"/>
      <c r="B152" s="8" t="b">
        <v>0</v>
      </c>
      <c r="C152" s="8">
        <v>10.0</v>
      </c>
      <c r="D152" s="28"/>
      <c r="E152" s="8" t="s">
        <v>28</v>
      </c>
      <c r="F152" s="15" t="s">
        <v>135</v>
      </c>
      <c r="G152" s="15" t="s">
        <v>162</v>
      </c>
      <c r="H152" s="15" t="s">
        <v>165</v>
      </c>
      <c r="I152" s="31">
        <v>45958.0</v>
      </c>
      <c r="J152" s="32" t="s">
        <v>30</v>
      </c>
      <c r="K152" s="32" t="s">
        <v>30</v>
      </c>
      <c r="L152" s="32" t="s">
        <v>42</v>
      </c>
      <c r="M152" s="32" t="s">
        <v>45</v>
      </c>
      <c r="N152" s="15">
        <v>2.0</v>
      </c>
      <c r="O152" s="15">
        <v>0.0</v>
      </c>
      <c r="P152" s="15">
        <f t="array" ref="P152">if(O152="","", if(O152=9999,9999,ROUNDUP(_xlfn.XLOOKUP(J152&amp;"-"&amp;E152&amp;"-"&amp;K152,SpecCV[ID],SpecCV[factor])*O152,0)))</f>
        <v>0</v>
      </c>
      <c r="Q152" s="15">
        <f t="array" ref="Q152">if(J152="Contact plate", _xlfn.XLOOKUP(J152&amp;"-"&amp;E152&amp;"-"&amp;K152,SpecCV[ID],SpecCV[Spec]),_xlfn.XLOOKUP(J152&amp;"-"&amp;E152&amp;"-"&amp;K152,SpecCV[ID],SpecCV[Spec]))</f>
        <v>50</v>
      </c>
      <c r="R152" s="15" t="str">
        <f t="array" ref="R152">if(J152="Contact plate", _xlfn.XLOOKUP(J152&amp;"-"&amp;E152&amp;"-"&amp;K152,SpecCV[ID],SpecCV[Unit]),_xlfn.XLOOKUP(J152&amp;"-"&amp;E152&amp;"-"&amp;K152,SpecCV[ID],SpecCV[Unit]))</f>
        <v>cfu</v>
      </c>
      <c r="S152" s="42"/>
      <c r="T152" s="42"/>
      <c r="U152" s="42"/>
      <c r="V152" s="8" t="b">
        <v>0</v>
      </c>
    </row>
    <row r="153" ht="22.5" customHeight="1">
      <c r="A153" s="8"/>
      <c r="B153" s="8" t="b">
        <v>0</v>
      </c>
      <c r="C153" s="8">
        <v>10.0</v>
      </c>
      <c r="D153" s="28"/>
      <c r="E153" s="8" t="s">
        <v>28</v>
      </c>
      <c r="F153" s="15" t="s">
        <v>135</v>
      </c>
      <c r="G153" s="15" t="s">
        <v>162</v>
      </c>
      <c r="H153" s="15" t="s">
        <v>168</v>
      </c>
      <c r="I153" s="31">
        <v>45958.0</v>
      </c>
      <c r="J153" s="32" t="s">
        <v>30</v>
      </c>
      <c r="K153" s="32" t="s">
        <v>30</v>
      </c>
      <c r="L153" s="32" t="s">
        <v>42</v>
      </c>
      <c r="M153" s="32" t="s">
        <v>45</v>
      </c>
      <c r="N153" s="15">
        <v>2.0</v>
      </c>
      <c r="O153" s="15">
        <v>0.0</v>
      </c>
      <c r="P153" s="15">
        <f t="array" ref="P153">if(O153="","", if(O153=9999,9999,ROUNDUP(_xlfn.XLOOKUP(J153&amp;"-"&amp;E153&amp;"-"&amp;K153,SpecCV[ID],SpecCV[factor])*O153,0)))</f>
        <v>0</v>
      </c>
      <c r="Q153" s="15">
        <f t="array" ref="Q153">if(J153="Contact plate", _xlfn.XLOOKUP(J153&amp;"-"&amp;E153&amp;"-"&amp;K153,SpecCV[ID],SpecCV[Spec]),_xlfn.XLOOKUP(J153&amp;"-"&amp;E153&amp;"-"&amp;K153,SpecCV[ID],SpecCV[Spec]))</f>
        <v>50</v>
      </c>
      <c r="R153" s="15" t="str">
        <f t="array" ref="R153">if(J153="Contact plate", _xlfn.XLOOKUP(J153&amp;"-"&amp;E153&amp;"-"&amp;K153,SpecCV[ID],SpecCV[Unit]),_xlfn.XLOOKUP(J153&amp;"-"&amp;E153&amp;"-"&amp;K153,SpecCV[ID],SpecCV[Unit]))</f>
        <v>cfu</v>
      </c>
      <c r="S153" s="42"/>
      <c r="T153" s="42"/>
      <c r="U153" s="42"/>
      <c r="V153" s="8" t="b">
        <v>0</v>
      </c>
    </row>
    <row r="154" ht="22.5" customHeight="1">
      <c r="A154" s="61"/>
      <c r="B154" s="61" t="b">
        <v>0</v>
      </c>
      <c r="C154" s="61">
        <v>10.0</v>
      </c>
      <c r="D154" s="62"/>
      <c r="E154" s="8" t="s">
        <v>28</v>
      </c>
      <c r="F154" s="63" t="s">
        <v>135</v>
      </c>
      <c r="G154" s="63" t="s">
        <v>162</v>
      </c>
      <c r="H154" s="63" t="s">
        <v>171</v>
      </c>
      <c r="I154" s="64">
        <v>45958.0</v>
      </c>
      <c r="J154" s="65" t="s">
        <v>30</v>
      </c>
      <c r="K154" s="32" t="s">
        <v>30</v>
      </c>
      <c r="L154" s="32" t="s">
        <v>42</v>
      </c>
      <c r="M154" s="65" t="s">
        <v>45</v>
      </c>
      <c r="N154" s="63">
        <v>2.0</v>
      </c>
      <c r="O154" s="63">
        <v>9999.0</v>
      </c>
      <c r="P154" s="63">
        <f t="array" ref="P154">if(O154="","", if(O154=9999,9999,ROUNDUP(_xlfn.XLOOKUP(J154&amp;"-"&amp;E154&amp;"-"&amp;K154,SpecCV[ID],SpecCV[factor])*O154,0)))</f>
        <v>9999</v>
      </c>
      <c r="Q154" s="63">
        <f t="array" ref="Q154">if(J154="Contact plate", _xlfn.XLOOKUP(J154&amp;"-"&amp;E154&amp;"-"&amp;K154,SpecCV[ID],SpecCV[Spec]),_xlfn.XLOOKUP(J154&amp;"-"&amp;E154&amp;"-"&amp;K154,SpecCV[ID],SpecCV[Spec]))</f>
        <v>50</v>
      </c>
      <c r="R154" s="15" t="str">
        <f t="array" ref="R154">if(J154="Contact plate", _xlfn.XLOOKUP(J154&amp;"-"&amp;E154&amp;"-"&amp;K154,SpecCV[ID],SpecCV[Unit]),_xlfn.XLOOKUP(J154&amp;"-"&amp;E154&amp;"-"&amp;K154,SpecCV[ID],SpecCV[Unit]))</f>
        <v>cfu</v>
      </c>
      <c r="S154" s="42"/>
      <c r="T154" s="42"/>
      <c r="U154" s="42"/>
      <c r="V154" s="8" t="b">
        <v>0</v>
      </c>
    </row>
    <row r="155" ht="22.5" customHeight="1">
      <c r="A155" s="8"/>
      <c r="B155" s="8" t="b">
        <v>0</v>
      </c>
      <c r="C155" s="8">
        <v>10.0</v>
      </c>
      <c r="E155" s="8" t="s">
        <v>28</v>
      </c>
      <c r="F155" s="15" t="s">
        <v>33</v>
      </c>
      <c r="G155" s="15" t="s">
        <v>221</v>
      </c>
      <c r="H155" s="15" t="s">
        <v>222</v>
      </c>
      <c r="I155" s="31">
        <v>45936.0</v>
      </c>
      <c r="J155" s="32" t="s">
        <v>30</v>
      </c>
      <c r="K155" s="32" t="s">
        <v>30</v>
      </c>
      <c r="L155" s="32" t="s">
        <v>42</v>
      </c>
      <c r="M155" s="32" t="s">
        <v>45</v>
      </c>
      <c r="N155" s="15">
        <v>2.0</v>
      </c>
      <c r="O155" s="15">
        <v>5.0</v>
      </c>
      <c r="P155" s="15">
        <f t="array" ref="P155">if(O155="","", if(O155=9999,9999,ROUNDUP(_xlfn.XLOOKUP(J155&amp;"-"&amp;E155&amp;"-"&amp;K155,SpecCV[ID],SpecCV[factor])*O155,0)))</f>
        <v>5</v>
      </c>
      <c r="Q155" s="15">
        <f t="array" ref="Q155">if(J155="Contact plate", _xlfn.XLOOKUP(J155&amp;"-"&amp;E155&amp;"-"&amp;K155,SpecCV[ID],SpecCV[Spec]),_xlfn.XLOOKUP(J155&amp;"-"&amp;E155&amp;"-"&amp;K155,SpecCV[ID],SpecCV[Spec]))</f>
        <v>50</v>
      </c>
      <c r="R155" s="15" t="str">
        <f t="array" ref="R155">if(J155="Contact plate", _xlfn.XLOOKUP(J155&amp;"-"&amp;E155&amp;"-"&amp;K155,SpecCV[ID],SpecCV[Unit]),_xlfn.XLOOKUP(J155&amp;"-"&amp;E155&amp;"-"&amp;K155,SpecCV[ID],SpecCV[Unit]))</f>
        <v>cfu</v>
      </c>
      <c r="S155" s="42"/>
      <c r="T155" s="42"/>
      <c r="U155" s="42"/>
      <c r="V155" s="8" t="b">
        <v>0</v>
      </c>
    </row>
    <row r="156" ht="22.5" customHeight="1">
      <c r="A156" s="8"/>
      <c r="B156" s="8" t="b">
        <v>0</v>
      </c>
      <c r="C156" s="8">
        <v>10.0</v>
      </c>
      <c r="E156" s="8" t="s">
        <v>28</v>
      </c>
      <c r="F156" s="15" t="s">
        <v>33</v>
      </c>
      <c r="G156" s="15" t="s">
        <v>221</v>
      </c>
      <c r="H156" s="15" t="s">
        <v>223</v>
      </c>
      <c r="I156" s="31">
        <v>45936.0</v>
      </c>
      <c r="J156" s="32" t="s">
        <v>30</v>
      </c>
      <c r="K156" s="32" t="s">
        <v>30</v>
      </c>
      <c r="L156" s="32" t="s">
        <v>42</v>
      </c>
      <c r="M156" s="32" t="s">
        <v>45</v>
      </c>
      <c r="N156" s="15">
        <v>2.0</v>
      </c>
      <c r="O156" s="15">
        <v>2.0</v>
      </c>
      <c r="P156" s="15">
        <f t="array" ref="P156">if(O156="","", if(O156=9999,9999,ROUNDUP(_xlfn.XLOOKUP(J156&amp;"-"&amp;E156&amp;"-"&amp;K156,SpecCV[ID],SpecCV[factor])*O156,0)))</f>
        <v>2</v>
      </c>
      <c r="Q156" s="15">
        <f t="array" ref="Q156">if(J156="Contact plate", _xlfn.XLOOKUP(J156&amp;"-"&amp;E156&amp;"-"&amp;K156,SpecCV[ID],SpecCV[Spec]),_xlfn.XLOOKUP(J156&amp;"-"&amp;E156&amp;"-"&amp;K156,SpecCV[ID],SpecCV[Spec]))</f>
        <v>50</v>
      </c>
      <c r="R156" s="15" t="str">
        <f t="array" ref="R156">if(J156="Contact plate", _xlfn.XLOOKUP(J156&amp;"-"&amp;E156&amp;"-"&amp;K156,SpecCV[ID],SpecCV[Unit]),_xlfn.XLOOKUP(J156&amp;"-"&amp;E156&amp;"-"&amp;K156,SpecCV[ID],SpecCV[Unit]))</f>
        <v>cfu</v>
      </c>
      <c r="S156" s="42"/>
      <c r="T156" s="42"/>
      <c r="U156" s="42"/>
      <c r="V156" s="8" t="b">
        <v>0</v>
      </c>
    </row>
    <row r="157" ht="22.5" customHeight="1">
      <c r="A157" s="8"/>
      <c r="B157" s="8" t="b">
        <v>0</v>
      </c>
      <c r="C157" s="8">
        <v>10.0</v>
      </c>
      <c r="E157" s="8" t="s">
        <v>28</v>
      </c>
      <c r="F157" s="15" t="s">
        <v>33</v>
      </c>
      <c r="G157" s="15" t="s">
        <v>221</v>
      </c>
      <c r="H157" s="15" t="s">
        <v>224</v>
      </c>
      <c r="I157" s="31">
        <v>45936.0</v>
      </c>
      <c r="J157" s="32" t="s">
        <v>30</v>
      </c>
      <c r="K157" s="32" t="s">
        <v>30</v>
      </c>
      <c r="L157" s="32" t="s">
        <v>42</v>
      </c>
      <c r="M157" s="32" t="s">
        <v>45</v>
      </c>
      <c r="N157" s="15">
        <v>2.0</v>
      </c>
      <c r="O157" s="15">
        <v>2.0</v>
      </c>
      <c r="P157" s="15">
        <f t="array" ref="P157">if(O157="","", if(O157=9999,9999,ROUNDUP(_xlfn.XLOOKUP(J157&amp;"-"&amp;E157&amp;"-"&amp;K157,SpecCV[ID],SpecCV[factor])*O157,0)))</f>
        <v>2</v>
      </c>
      <c r="Q157" s="15">
        <f t="array" ref="Q157">if(J157="Contact plate", _xlfn.XLOOKUP(J157&amp;"-"&amp;E157&amp;"-"&amp;K157,SpecCV[ID],SpecCV[Spec]),_xlfn.XLOOKUP(J157&amp;"-"&amp;E157&amp;"-"&amp;K157,SpecCV[ID],SpecCV[Spec]))</f>
        <v>50</v>
      </c>
      <c r="R157" s="15" t="str">
        <f t="array" ref="R157">if(J157="Contact plate", _xlfn.XLOOKUP(J157&amp;"-"&amp;E157&amp;"-"&amp;K157,SpecCV[ID],SpecCV[Unit]),_xlfn.XLOOKUP(J157&amp;"-"&amp;E157&amp;"-"&amp;K157,SpecCV[ID],SpecCV[Unit]))</f>
        <v>cfu</v>
      </c>
      <c r="S157" s="42"/>
      <c r="T157" s="42"/>
      <c r="U157" s="42"/>
      <c r="V157" s="8" t="b">
        <v>0</v>
      </c>
    </row>
    <row r="158" ht="22.5" customHeight="1">
      <c r="A158" s="8"/>
      <c r="B158" s="8" t="b">
        <v>0</v>
      </c>
      <c r="C158" s="8">
        <v>10.0</v>
      </c>
      <c r="D158" s="28"/>
      <c r="E158" s="8" t="s">
        <v>28</v>
      </c>
      <c r="F158" s="15" t="s">
        <v>135</v>
      </c>
      <c r="G158" s="15" t="s">
        <v>38</v>
      </c>
      <c r="H158" s="15" t="s">
        <v>138</v>
      </c>
      <c r="I158" s="31">
        <v>45972.0</v>
      </c>
      <c r="J158" s="32" t="s">
        <v>30</v>
      </c>
      <c r="K158" s="32" t="s">
        <v>30</v>
      </c>
      <c r="L158" s="32" t="s">
        <v>42</v>
      </c>
      <c r="M158" s="32" t="s">
        <v>45</v>
      </c>
      <c r="N158" s="15">
        <v>3.0</v>
      </c>
      <c r="O158" s="15">
        <v>5.0</v>
      </c>
      <c r="P158" s="15">
        <f t="array" ref="P158">if(O158="","", if(O158=9999,9999,ROUNDUP(_xlfn.XLOOKUP(J158&amp;"-"&amp;E158&amp;"-"&amp;K158,SpecCV[ID],SpecCV[factor])*O158,0)))</f>
        <v>5</v>
      </c>
      <c r="Q158" s="15">
        <f t="array" ref="Q158">if(J158="Contact plate", _xlfn.XLOOKUP(J158&amp;"-"&amp;E158&amp;"-"&amp;K158,SpecCV[ID],SpecCV[Spec]),_xlfn.XLOOKUP(J158&amp;"-"&amp;E158&amp;"-"&amp;K158,SpecCV[ID],SpecCV[Spec]))</f>
        <v>50</v>
      </c>
      <c r="R158" s="15" t="str">
        <f t="array" ref="R158">if(J158="Contact plate", _xlfn.XLOOKUP(J158&amp;"-"&amp;E158&amp;"-"&amp;K158,SpecCV[ID],SpecCV[Unit]),_xlfn.XLOOKUP(J158&amp;"-"&amp;E158&amp;"-"&amp;K158,SpecCV[ID],SpecCV[Unit]))</f>
        <v>cfu</v>
      </c>
      <c r="S158" s="42"/>
      <c r="T158" s="42"/>
      <c r="U158" s="42"/>
      <c r="V158" s="8" t="b">
        <v>0</v>
      </c>
    </row>
    <row r="159" ht="22.5" customHeight="1">
      <c r="A159" s="8"/>
      <c r="B159" s="8" t="b">
        <v>0</v>
      </c>
      <c r="C159" s="8">
        <v>10.0</v>
      </c>
      <c r="D159" s="28"/>
      <c r="E159" s="8" t="s">
        <v>28</v>
      </c>
      <c r="F159" s="15" t="s">
        <v>135</v>
      </c>
      <c r="G159" s="15" t="s">
        <v>38</v>
      </c>
      <c r="H159" s="15" t="s">
        <v>55</v>
      </c>
      <c r="I159" s="31">
        <v>45972.0</v>
      </c>
      <c r="J159" s="32" t="s">
        <v>30</v>
      </c>
      <c r="K159" s="32" t="s">
        <v>30</v>
      </c>
      <c r="L159" s="32" t="s">
        <v>42</v>
      </c>
      <c r="M159" s="32" t="s">
        <v>45</v>
      </c>
      <c r="N159" s="15">
        <v>3.0</v>
      </c>
      <c r="O159" s="15">
        <v>69.0</v>
      </c>
      <c r="P159" s="15">
        <f t="array" ref="P159">if(O159="","", if(O159=9999,9999,ROUNDUP(_xlfn.XLOOKUP(J159&amp;"-"&amp;E159&amp;"-"&amp;K159,SpecCV[ID],SpecCV[factor])*O159,0)))</f>
        <v>69</v>
      </c>
      <c r="Q159" s="15">
        <f t="array" ref="Q159">if(J159="Contact plate", _xlfn.XLOOKUP(J159&amp;"-"&amp;E159&amp;"-"&amp;K159,SpecCV[ID],SpecCV[Spec]),_xlfn.XLOOKUP(J159&amp;"-"&amp;E159&amp;"-"&amp;K159,SpecCV[ID],SpecCV[Spec]))</f>
        <v>50</v>
      </c>
      <c r="R159" s="15" t="str">
        <f t="array" ref="R159">if(J159="Contact plate", _xlfn.XLOOKUP(J159&amp;"-"&amp;E159&amp;"-"&amp;K159,SpecCV[ID],SpecCV[Unit]),_xlfn.XLOOKUP(J159&amp;"-"&amp;E159&amp;"-"&amp;K159,SpecCV[ID],SpecCV[Unit]))</f>
        <v>cfu</v>
      </c>
      <c r="S159" s="42"/>
      <c r="T159" s="42"/>
      <c r="U159" s="42"/>
      <c r="V159" s="8" t="b">
        <v>0</v>
      </c>
    </row>
    <row r="160" ht="22.5" customHeight="1">
      <c r="A160" s="8"/>
      <c r="B160" s="8" t="b">
        <v>0</v>
      </c>
      <c r="C160" s="8">
        <v>10.0</v>
      </c>
      <c r="D160" s="28"/>
      <c r="E160" s="8" t="s">
        <v>28</v>
      </c>
      <c r="F160" s="15" t="s">
        <v>135</v>
      </c>
      <c r="G160" s="15" t="s">
        <v>38</v>
      </c>
      <c r="H160" s="15" t="s">
        <v>72</v>
      </c>
      <c r="I160" s="31">
        <v>45972.0</v>
      </c>
      <c r="J160" s="32" t="s">
        <v>30</v>
      </c>
      <c r="K160" s="32" t="s">
        <v>30</v>
      </c>
      <c r="L160" s="32" t="s">
        <v>42</v>
      </c>
      <c r="M160" s="32" t="s">
        <v>45</v>
      </c>
      <c r="N160" s="15">
        <v>3.0</v>
      </c>
      <c r="O160" s="15">
        <v>10.0</v>
      </c>
      <c r="P160" s="15">
        <f t="array" ref="P160">if(O160="","", if(O160=9999,9999,ROUNDUP(_xlfn.XLOOKUP(J160&amp;"-"&amp;E160&amp;"-"&amp;K160,SpecCV[ID],SpecCV[factor])*O160,0)))</f>
        <v>10</v>
      </c>
      <c r="Q160" s="15">
        <f t="array" ref="Q160">if(J160="Contact plate", _xlfn.XLOOKUP(J160&amp;"-"&amp;E160&amp;"-"&amp;K160,SpecCV[ID],SpecCV[Spec]),_xlfn.XLOOKUP(J160&amp;"-"&amp;E160&amp;"-"&amp;K160,SpecCV[ID],SpecCV[Spec]))</f>
        <v>50</v>
      </c>
      <c r="R160" s="15" t="str">
        <f t="array" ref="R160">if(J160="Contact plate", _xlfn.XLOOKUP(J160&amp;"-"&amp;E160&amp;"-"&amp;K160,SpecCV[ID],SpecCV[Unit]),_xlfn.XLOOKUP(J160&amp;"-"&amp;E160&amp;"-"&amp;K160,SpecCV[ID],SpecCV[Unit]))</f>
        <v>cfu</v>
      </c>
      <c r="S160" s="42"/>
      <c r="T160" s="42"/>
      <c r="U160" s="42"/>
      <c r="V160" s="8" t="b">
        <v>0</v>
      </c>
    </row>
    <row r="161" ht="22.5" customHeight="1">
      <c r="A161" s="8"/>
      <c r="B161" s="8" t="b">
        <v>0</v>
      </c>
      <c r="C161" s="8">
        <v>10.0</v>
      </c>
      <c r="D161" s="28"/>
      <c r="E161" s="8" t="s">
        <v>28</v>
      </c>
      <c r="F161" s="15" t="s">
        <v>135</v>
      </c>
      <c r="G161" s="15" t="s">
        <v>75</v>
      </c>
      <c r="H161" s="15" t="s">
        <v>146</v>
      </c>
      <c r="I161" s="31">
        <v>45972.0</v>
      </c>
      <c r="J161" s="32" t="s">
        <v>30</v>
      </c>
      <c r="K161" s="32" t="s">
        <v>30</v>
      </c>
      <c r="L161" s="32" t="s">
        <v>42</v>
      </c>
      <c r="M161" s="32" t="s">
        <v>45</v>
      </c>
      <c r="N161" s="15">
        <v>3.0</v>
      </c>
      <c r="O161" s="15">
        <v>35.0</v>
      </c>
      <c r="P161" s="15">
        <f t="array" ref="P161">if(O161="","", if(O161=9999,9999,ROUNDUP(_xlfn.XLOOKUP(J161&amp;"-"&amp;E161&amp;"-"&amp;K161,SpecCV[ID],SpecCV[factor])*O161,0)))</f>
        <v>35</v>
      </c>
      <c r="Q161" s="15">
        <f t="array" ref="Q161">if(J161="Contact plate", _xlfn.XLOOKUP(J161&amp;"-"&amp;E161&amp;"-"&amp;K161,SpecCV[ID],SpecCV[Spec]),_xlfn.XLOOKUP(J161&amp;"-"&amp;E161&amp;"-"&amp;K161,SpecCV[ID],SpecCV[Spec]))</f>
        <v>50</v>
      </c>
      <c r="R161" s="15" t="str">
        <f t="array" ref="R161">if(J161="Contact plate", _xlfn.XLOOKUP(J161&amp;"-"&amp;E161&amp;"-"&amp;K161,SpecCV[ID],SpecCV[Unit]),_xlfn.XLOOKUP(J161&amp;"-"&amp;E161&amp;"-"&amp;K161,SpecCV[ID],SpecCV[Unit]))</f>
        <v>cfu</v>
      </c>
      <c r="S161" s="42"/>
      <c r="T161" s="42"/>
      <c r="U161" s="42"/>
      <c r="V161" s="8" t="b">
        <v>0</v>
      </c>
    </row>
    <row r="162" ht="22.5" customHeight="1">
      <c r="A162" s="8"/>
      <c r="B162" s="8" t="b">
        <v>0</v>
      </c>
      <c r="C162" s="8">
        <v>10.0</v>
      </c>
      <c r="D162" s="28"/>
      <c r="E162" s="8" t="s">
        <v>28</v>
      </c>
      <c r="F162" s="15" t="s">
        <v>135</v>
      </c>
      <c r="G162" s="15" t="s">
        <v>75</v>
      </c>
      <c r="H162" s="15" t="s">
        <v>81</v>
      </c>
      <c r="I162" s="31">
        <v>45972.0</v>
      </c>
      <c r="J162" s="32" t="s">
        <v>30</v>
      </c>
      <c r="K162" s="32" t="s">
        <v>30</v>
      </c>
      <c r="L162" s="32" t="s">
        <v>42</v>
      </c>
      <c r="M162" s="32" t="s">
        <v>45</v>
      </c>
      <c r="N162" s="15">
        <v>3.0</v>
      </c>
      <c r="O162" s="15">
        <v>1.0</v>
      </c>
      <c r="P162" s="15">
        <f t="array" ref="P162">if(O162="","", if(O162=9999,9999,ROUNDUP(_xlfn.XLOOKUP(J162&amp;"-"&amp;E162&amp;"-"&amp;K162,SpecCV[ID],SpecCV[factor])*O162,0)))</f>
        <v>1</v>
      </c>
      <c r="Q162" s="15">
        <f t="array" ref="Q162">if(J162="Contact plate", _xlfn.XLOOKUP(J162&amp;"-"&amp;E162&amp;"-"&amp;K162,SpecCV[ID],SpecCV[Spec]),_xlfn.XLOOKUP(J162&amp;"-"&amp;E162&amp;"-"&amp;K162,SpecCV[ID],SpecCV[Spec]))</f>
        <v>50</v>
      </c>
      <c r="R162" s="15" t="str">
        <f t="array" ref="R162">if(J162="Contact plate", _xlfn.XLOOKUP(J162&amp;"-"&amp;E162&amp;"-"&amp;K162,SpecCV[ID],SpecCV[Unit]),_xlfn.XLOOKUP(J162&amp;"-"&amp;E162&amp;"-"&amp;K162,SpecCV[ID],SpecCV[Unit]))</f>
        <v>cfu</v>
      </c>
      <c r="S162" s="42"/>
      <c r="T162" s="42"/>
      <c r="U162" s="42"/>
      <c r="V162" s="8" t="b">
        <v>0</v>
      </c>
    </row>
    <row r="163" ht="22.5" customHeight="1">
      <c r="A163" s="8"/>
      <c r="B163" s="8" t="b">
        <v>0</v>
      </c>
      <c r="C163" s="8">
        <v>10.0</v>
      </c>
      <c r="D163" s="28"/>
      <c r="E163" s="8" t="s">
        <v>28</v>
      </c>
      <c r="F163" s="15" t="s">
        <v>135</v>
      </c>
      <c r="G163" s="15" t="s">
        <v>86</v>
      </c>
      <c r="H163" s="15" t="s">
        <v>87</v>
      </c>
      <c r="I163" s="31">
        <v>45972.0</v>
      </c>
      <c r="J163" s="32" t="s">
        <v>30</v>
      </c>
      <c r="K163" s="32" t="s">
        <v>30</v>
      </c>
      <c r="L163" s="32" t="s">
        <v>42</v>
      </c>
      <c r="M163" s="32" t="s">
        <v>45</v>
      </c>
      <c r="N163" s="15">
        <v>3.0</v>
      </c>
      <c r="O163" s="15">
        <v>4.0</v>
      </c>
      <c r="P163" s="15">
        <f t="array" ref="P163">if(O163="","", if(O163=9999,9999,ROUNDUP(_xlfn.XLOOKUP(J163&amp;"-"&amp;E163&amp;"-"&amp;K163,SpecCV[ID],SpecCV[factor])*O163,0)))</f>
        <v>4</v>
      </c>
      <c r="Q163" s="15">
        <f t="array" ref="Q163">if(J163="Contact plate", _xlfn.XLOOKUP(J163&amp;"-"&amp;E163&amp;"-"&amp;K163,SpecCV[ID],SpecCV[Spec]),_xlfn.XLOOKUP(J163&amp;"-"&amp;E163&amp;"-"&amp;K163,SpecCV[ID],SpecCV[Spec]))</f>
        <v>50</v>
      </c>
      <c r="R163" s="15" t="str">
        <f t="array" ref="R163">if(J163="Contact plate", _xlfn.XLOOKUP(J163&amp;"-"&amp;E163&amp;"-"&amp;K163,SpecCV[ID],SpecCV[Unit]),_xlfn.XLOOKUP(J163&amp;"-"&amp;E163&amp;"-"&amp;K163,SpecCV[ID],SpecCV[Unit]))</f>
        <v>cfu</v>
      </c>
      <c r="S163" s="42"/>
      <c r="T163" s="42"/>
      <c r="U163" s="42"/>
      <c r="V163" s="8" t="b">
        <v>0</v>
      </c>
    </row>
    <row r="164" ht="22.5" customHeight="1">
      <c r="A164" s="8"/>
      <c r="B164" s="8" t="b">
        <v>0</v>
      </c>
      <c r="C164" s="8">
        <v>10.0</v>
      </c>
      <c r="D164" s="28"/>
      <c r="E164" s="8" t="s">
        <v>28</v>
      </c>
      <c r="F164" s="15" t="s">
        <v>135</v>
      </c>
      <c r="G164" s="15" t="s">
        <v>86</v>
      </c>
      <c r="H164" s="15" t="s">
        <v>90</v>
      </c>
      <c r="I164" s="31">
        <v>45972.0</v>
      </c>
      <c r="J164" s="32" t="s">
        <v>30</v>
      </c>
      <c r="K164" s="32" t="s">
        <v>30</v>
      </c>
      <c r="L164" s="32" t="s">
        <v>42</v>
      </c>
      <c r="M164" s="32" t="s">
        <v>45</v>
      </c>
      <c r="N164" s="15">
        <v>3.0</v>
      </c>
      <c r="O164" s="15">
        <v>2.0</v>
      </c>
      <c r="P164" s="15">
        <f t="array" ref="P164">if(O164="","", if(O164=9999,9999,ROUNDUP(_xlfn.XLOOKUP(J164&amp;"-"&amp;E164&amp;"-"&amp;K164,SpecCV[ID],SpecCV[factor])*O164,0)))</f>
        <v>2</v>
      </c>
      <c r="Q164" s="15">
        <f t="array" ref="Q164">if(J164="Contact plate", _xlfn.XLOOKUP(J164&amp;"-"&amp;E164&amp;"-"&amp;K164,SpecCV[ID],SpecCV[Spec]),_xlfn.XLOOKUP(J164&amp;"-"&amp;E164&amp;"-"&amp;K164,SpecCV[ID],SpecCV[Spec]))</f>
        <v>50</v>
      </c>
      <c r="R164" s="15" t="str">
        <f t="array" ref="R164">if(J164="Contact plate", _xlfn.XLOOKUP(J164&amp;"-"&amp;E164&amp;"-"&amp;K164,SpecCV[ID],SpecCV[Unit]),_xlfn.XLOOKUP(J164&amp;"-"&amp;E164&amp;"-"&amp;K164,SpecCV[ID],SpecCV[Unit]))</f>
        <v>cfu</v>
      </c>
      <c r="S164" s="42"/>
      <c r="T164" s="42"/>
      <c r="U164" s="42"/>
      <c r="V164" s="8" t="b">
        <v>0</v>
      </c>
    </row>
    <row r="165" ht="22.5" customHeight="1">
      <c r="A165" s="8"/>
      <c r="B165" s="8" t="b">
        <v>0</v>
      </c>
      <c r="C165" s="8">
        <v>10.0</v>
      </c>
      <c r="D165" s="28"/>
      <c r="E165" s="8" t="s">
        <v>28</v>
      </c>
      <c r="F165" s="15" t="s">
        <v>135</v>
      </c>
      <c r="G165" s="15" t="s">
        <v>95</v>
      </c>
      <c r="H165" s="15" t="s">
        <v>96</v>
      </c>
      <c r="I165" s="31">
        <v>45972.0</v>
      </c>
      <c r="J165" s="32" t="s">
        <v>30</v>
      </c>
      <c r="K165" s="32" t="s">
        <v>30</v>
      </c>
      <c r="L165" s="32" t="s">
        <v>42</v>
      </c>
      <c r="M165" s="32" t="s">
        <v>45</v>
      </c>
      <c r="N165" s="15">
        <v>3.0</v>
      </c>
      <c r="O165" s="15">
        <v>5.0</v>
      </c>
      <c r="P165" s="15">
        <f t="array" ref="P165">if(O165="","", if(O165=9999,9999,ROUNDUP(_xlfn.XLOOKUP(J165&amp;"-"&amp;E165&amp;"-"&amp;K165,SpecCV[ID],SpecCV[factor])*O165,0)))</f>
        <v>5</v>
      </c>
      <c r="Q165" s="15">
        <f t="array" ref="Q165">if(J165="Contact plate", _xlfn.XLOOKUP(J165&amp;"-"&amp;E165&amp;"-"&amp;K165,SpecCV[ID],SpecCV[Spec]),_xlfn.XLOOKUP(J165&amp;"-"&amp;E165&amp;"-"&amp;K165,SpecCV[ID],SpecCV[Spec]))</f>
        <v>50</v>
      </c>
      <c r="R165" s="15" t="str">
        <f t="array" ref="R165">if(J165="Contact plate", _xlfn.XLOOKUP(J165&amp;"-"&amp;E165&amp;"-"&amp;K165,SpecCV[ID],SpecCV[Unit]),_xlfn.XLOOKUP(J165&amp;"-"&amp;E165&amp;"-"&amp;K165,SpecCV[ID],SpecCV[Unit]))</f>
        <v>cfu</v>
      </c>
      <c r="S165" s="42"/>
      <c r="T165" s="42"/>
      <c r="U165" s="42"/>
      <c r="V165" s="8" t="b">
        <v>0</v>
      </c>
      <c r="Y165" s="19" t="s">
        <v>290</v>
      </c>
    </row>
    <row r="166" ht="22.5" customHeight="1">
      <c r="A166" s="8"/>
      <c r="B166" s="8" t="b">
        <v>0</v>
      </c>
      <c r="C166" s="8">
        <v>10.0</v>
      </c>
      <c r="D166" s="28"/>
      <c r="E166" s="8" t="s">
        <v>28</v>
      </c>
      <c r="F166" s="15" t="s">
        <v>135</v>
      </c>
      <c r="G166" s="15" t="s">
        <v>95</v>
      </c>
      <c r="H166" s="15" t="s">
        <v>99</v>
      </c>
      <c r="I166" s="31">
        <v>45972.0</v>
      </c>
      <c r="J166" s="32" t="s">
        <v>30</v>
      </c>
      <c r="K166" s="32" t="s">
        <v>30</v>
      </c>
      <c r="L166" s="32" t="s">
        <v>42</v>
      </c>
      <c r="M166" s="32" t="s">
        <v>45</v>
      </c>
      <c r="N166" s="15">
        <v>3.0</v>
      </c>
      <c r="O166" s="15">
        <v>3.0</v>
      </c>
      <c r="P166" s="15">
        <f t="array" ref="P166">if(O166="","", if(O166=9999,9999,ROUNDUP(_xlfn.XLOOKUP(J166&amp;"-"&amp;E166&amp;"-"&amp;K166,SpecCV[ID],SpecCV[factor])*O166,0)))</f>
        <v>3</v>
      </c>
      <c r="Q166" s="15">
        <f t="array" ref="Q166">if(J166="Contact plate", _xlfn.XLOOKUP(J166&amp;"-"&amp;E166&amp;"-"&amp;K166,SpecCV[ID],SpecCV[Spec]),_xlfn.XLOOKUP(J166&amp;"-"&amp;E166&amp;"-"&amp;K166,SpecCV[ID],SpecCV[Spec]))</f>
        <v>50</v>
      </c>
      <c r="R166" s="15" t="str">
        <f t="array" ref="R166">if(J166="Contact plate", _xlfn.XLOOKUP(J166&amp;"-"&amp;E166&amp;"-"&amp;K166,SpecCV[ID],SpecCV[Unit]),_xlfn.XLOOKUP(J166&amp;"-"&amp;E166&amp;"-"&amp;K166,SpecCV[ID],SpecCV[Unit]))</f>
        <v>cfu</v>
      </c>
      <c r="S166" s="42"/>
      <c r="T166" s="42"/>
      <c r="U166" s="42"/>
      <c r="V166" s="8" t="b">
        <v>0</v>
      </c>
    </row>
    <row r="167" ht="22.5" customHeight="1">
      <c r="A167" s="8"/>
      <c r="B167" s="8" t="b">
        <v>0</v>
      </c>
      <c r="C167" s="8">
        <v>10.0</v>
      </c>
      <c r="D167" s="28"/>
      <c r="E167" s="8" t="s">
        <v>28</v>
      </c>
      <c r="F167" s="15" t="s">
        <v>135</v>
      </c>
      <c r="G167" s="15" t="s">
        <v>102</v>
      </c>
      <c r="H167" s="15" t="s">
        <v>174</v>
      </c>
      <c r="I167" s="31">
        <v>45981.0</v>
      </c>
      <c r="J167" s="32" t="s">
        <v>30</v>
      </c>
      <c r="K167" s="32" t="s">
        <v>30</v>
      </c>
      <c r="L167" s="32" t="s">
        <v>42</v>
      </c>
      <c r="M167" s="32" t="s">
        <v>45</v>
      </c>
      <c r="N167" s="15">
        <v>3.0</v>
      </c>
      <c r="O167" s="15">
        <v>0.0</v>
      </c>
      <c r="P167" s="15">
        <f t="array" ref="P167">if(O167="","", if(O167=9999,9999,ROUNDUP(_xlfn.XLOOKUP(J167&amp;"-"&amp;E167&amp;"-"&amp;K167,SpecCV[ID],SpecCV[factor])*O167,0)))</f>
        <v>0</v>
      </c>
      <c r="Q167" s="15">
        <f t="array" ref="Q167">if(J167="Contact plate", _xlfn.XLOOKUP(J167&amp;"-"&amp;E167&amp;"-"&amp;K167,SpecCV[ID],SpecCV[Spec]),_xlfn.XLOOKUP(J167&amp;"-"&amp;E167&amp;"-"&amp;K167,SpecCV[ID],SpecCV[Spec]))</f>
        <v>50</v>
      </c>
      <c r="R167" s="15" t="str">
        <f t="array" ref="R167">if(J167="Contact plate", _xlfn.XLOOKUP(J167&amp;"-"&amp;E167&amp;"-"&amp;K167,SpecCV[ID],SpecCV[Unit]),_xlfn.XLOOKUP(J167&amp;"-"&amp;E167&amp;"-"&amp;K167,SpecCV[ID],SpecCV[Unit]))</f>
        <v>cfu</v>
      </c>
      <c r="S167" s="42"/>
      <c r="T167" s="42"/>
      <c r="U167" s="42"/>
      <c r="V167" s="8" t="b">
        <v>0</v>
      </c>
    </row>
    <row r="168" ht="22.5" customHeight="1">
      <c r="A168" s="8"/>
      <c r="B168" s="8" t="b">
        <v>0</v>
      </c>
      <c r="C168" s="8">
        <v>10.0</v>
      </c>
      <c r="D168" s="28"/>
      <c r="E168" s="8" t="s">
        <v>28</v>
      </c>
      <c r="F168" s="15" t="s">
        <v>135</v>
      </c>
      <c r="G168" s="15" t="s">
        <v>102</v>
      </c>
      <c r="H168" s="15" t="s">
        <v>108</v>
      </c>
      <c r="I168" s="31">
        <v>45981.0</v>
      </c>
      <c r="J168" s="32" t="s">
        <v>30</v>
      </c>
      <c r="K168" s="32" t="s">
        <v>30</v>
      </c>
      <c r="L168" s="32" t="s">
        <v>42</v>
      </c>
      <c r="M168" s="32" t="s">
        <v>45</v>
      </c>
      <c r="N168" s="15">
        <v>3.0</v>
      </c>
      <c r="O168" s="15">
        <v>0.0</v>
      </c>
      <c r="P168" s="15">
        <f t="array" ref="P168">if(O168="","", if(O168=9999,9999,ROUNDUP(_xlfn.XLOOKUP(J168&amp;"-"&amp;E168&amp;"-"&amp;K168,SpecCV[ID],SpecCV[factor])*O168,0)))</f>
        <v>0</v>
      </c>
      <c r="Q168" s="15">
        <f t="array" ref="Q168">if(J168="Contact plate", _xlfn.XLOOKUP(J168&amp;"-"&amp;E168&amp;"-"&amp;K168,SpecCV[ID],SpecCV[Spec]),_xlfn.XLOOKUP(J168&amp;"-"&amp;E168&amp;"-"&amp;K168,SpecCV[ID],SpecCV[Spec]))</f>
        <v>50</v>
      </c>
      <c r="R168" s="15" t="str">
        <f t="array" ref="R168">if(J168="Contact plate", _xlfn.XLOOKUP(J168&amp;"-"&amp;E168&amp;"-"&amp;K168,SpecCV[ID],SpecCV[Unit]),_xlfn.XLOOKUP(J168&amp;"-"&amp;E168&amp;"-"&amp;K168,SpecCV[ID],SpecCV[Unit]))</f>
        <v>cfu</v>
      </c>
      <c r="S168" s="42"/>
      <c r="T168" s="42"/>
      <c r="U168" s="42"/>
      <c r="V168" s="8" t="b">
        <v>0</v>
      </c>
    </row>
    <row r="169" ht="22.5" customHeight="1">
      <c r="A169" s="8"/>
      <c r="B169" s="8" t="b">
        <v>0</v>
      </c>
      <c r="C169" s="8">
        <v>10.0</v>
      </c>
      <c r="D169" s="28"/>
      <c r="E169" s="8" t="s">
        <v>28</v>
      </c>
      <c r="F169" s="15" t="s">
        <v>135</v>
      </c>
      <c r="G169" s="15" t="s">
        <v>102</v>
      </c>
      <c r="H169" s="15" t="s">
        <v>105</v>
      </c>
      <c r="I169" s="31">
        <v>45981.0</v>
      </c>
      <c r="J169" s="32" t="s">
        <v>30</v>
      </c>
      <c r="K169" s="32" t="s">
        <v>30</v>
      </c>
      <c r="L169" s="32" t="s">
        <v>42</v>
      </c>
      <c r="M169" s="32" t="s">
        <v>45</v>
      </c>
      <c r="N169" s="15">
        <v>3.0</v>
      </c>
      <c r="O169" s="15">
        <v>1.0</v>
      </c>
      <c r="P169" s="15">
        <f t="array" ref="P169">if(O169="","", if(O169=9999,9999,ROUNDUP(_xlfn.XLOOKUP(J169&amp;"-"&amp;E169&amp;"-"&amp;K169,SpecCV[ID],SpecCV[factor])*O169,0)))</f>
        <v>1</v>
      </c>
      <c r="Q169" s="15">
        <f t="array" ref="Q169">if(J169="Contact plate", _xlfn.XLOOKUP(J169&amp;"-"&amp;E169&amp;"-"&amp;K169,SpecCV[ID],SpecCV[Spec]),_xlfn.XLOOKUP(J169&amp;"-"&amp;E169&amp;"-"&amp;K169,SpecCV[ID],SpecCV[Spec]))</f>
        <v>50</v>
      </c>
      <c r="R169" s="15" t="str">
        <f t="array" ref="R169">if(J169="Contact plate", _xlfn.XLOOKUP(J169&amp;"-"&amp;E169&amp;"-"&amp;K169,SpecCV[ID],SpecCV[Unit]),_xlfn.XLOOKUP(J169&amp;"-"&amp;E169&amp;"-"&amp;K169,SpecCV[ID],SpecCV[Unit]))</f>
        <v>cfu</v>
      </c>
      <c r="S169" s="42"/>
      <c r="T169" s="42"/>
      <c r="U169" s="42"/>
      <c r="V169" s="8" t="b">
        <v>0</v>
      </c>
    </row>
    <row r="170" ht="22.5" customHeight="1">
      <c r="A170" s="8"/>
      <c r="B170" s="8" t="b">
        <v>0</v>
      </c>
      <c r="C170" s="8">
        <v>10.0</v>
      </c>
      <c r="D170" s="28"/>
      <c r="E170" s="8" t="s">
        <v>28</v>
      </c>
      <c r="F170" s="15" t="s">
        <v>135</v>
      </c>
      <c r="G170" s="15" t="s">
        <v>127</v>
      </c>
      <c r="H170" s="15" t="s">
        <v>72</v>
      </c>
      <c r="I170" s="31">
        <v>45981.0</v>
      </c>
      <c r="J170" s="32" t="s">
        <v>30</v>
      </c>
      <c r="K170" s="32" t="s">
        <v>30</v>
      </c>
      <c r="L170" s="32" t="s">
        <v>42</v>
      </c>
      <c r="M170" s="32" t="s">
        <v>45</v>
      </c>
      <c r="N170" s="15">
        <v>3.0</v>
      </c>
      <c r="O170" s="15">
        <v>0.0</v>
      </c>
      <c r="P170" s="15">
        <f t="array" ref="P170">if(O170="","", if(O170=9999,9999,ROUNDUP(_xlfn.XLOOKUP(J170&amp;"-"&amp;E170&amp;"-"&amp;K170,SpecCV[ID],SpecCV[factor])*O170,0)))</f>
        <v>0</v>
      </c>
      <c r="Q170" s="15">
        <f t="array" ref="Q170">if(J170="Contact plate", _xlfn.XLOOKUP(J170&amp;"-"&amp;E170&amp;"-"&amp;K170,SpecCV[ID],SpecCV[Spec]),_xlfn.XLOOKUP(J170&amp;"-"&amp;E170&amp;"-"&amp;K170,SpecCV[ID],SpecCV[Spec]))</f>
        <v>50</v>
      </c>
      <c r="R170" s="15" t="str">
        <f t="array" ref="R170">if(J170="Contact plate", _xlfn.XLOOKUP(J170&amp;"-"&amp;E170&amp;"-"&amp;K170,SpecCV[ID],SpecCV[Unit]),_xlfn.XLOOKUP(J170&amp;"-"&amp;E170&amp;"-"&amp;K170,SpecCV[ID],SpecCV[Unit]))</f>
        <v>cfu</v>
      </c>
      <c r="S170" s="42"/>
      <c r="T170" s="42"/>
      <c r="U170" s="42"/>
      <c r="V170" s="8" t="b">
        <v>0</v>
      </c>
      <c r="W170" s="15" t="s">
        <v>291</v>
      </c>
      <c r="X170" s="15"/>
    </row>
    <row r="171" ht="22.5" customHeight="1">
      <c r="A171" s="8"/>
      <c r="B171" s="8" t="b">
        <v>0</v>
      </c>
      <c r="C171" s="8">
        <v>10.0</v>
      </c>
      <c r="D171" s="28"/>
      <c r="E171" s="8" t="s">
        <v>28</v>
      </c>
      <c r="F171" s="15" t="s">
        <v>135</v>
      </c>
      <c r="G171" s="15" t="s">
        <v>119</v>
      </c>
      <c r="H171" s="15" t="s">
        <v>187</v>
      </c>
      <c r="I171" s="31">
        <v>45981.0</v>
      </c>
      <c r="J171" s="32" t="s">
        <v>30</v>
      </c>
      <c r="K171" s="32" t="s">
        <v>30</v>
      </c>
      <c r="L171" s="32" t="s">
        <v>42</v>
      </c>
      <c r="M171" s="32" t="s">
        <v>45</v>
      </c>
      <c r="N171" s="15">
        <v>3.0</v>
      </c>
      <c r="O171" s="15">
        <v>0.0</v>
      </c>
      <c r="P171" s="15">
        <f t="array" ref="P171">if(O171="","", if(O171=9999,9999,ROUNDUP(_xlfn.XLOOKUP(J171&amp;"-"&amp;E171&amp;"-"&amp;K171,SpecCV[ID],SpecCV[factor])*O171,0)))</f>
        <v>0</v>
      </c>
      <c r="Q171" s="15">
        <f t="array" ref="Q171">if(J171="Contact plate", _xlfn.XLOOKUP(J171&amp;"-"&amp;E171&amp;"-"&amp;K171,SpecCV[ID],SpecCV[Spec]),_xlfn.XLOOKUP(J171&amp;"-"&amp;E171&amp;"-"&amp;K171,SpecCV[ID],SpecCV[Spec]))</f>
        <v>50</v>
      </c>
      <c r="R171" s="15" t="str">
        <f t="array" ref="R171">if(J171="Contact plate", _xlfn.XLOOKUP(J171&amp;"-"&amp;E171&amp;"-"&amp;K171,SpecCV[ID],SpecCV[Unit]),_xlfn.XLOOKUP(J171&amp;"-"&amp;E171&amp;"-"&amp;K171,SpecCV[ID],SpecCV[Unit]))</f>
        <v>cfu</v>
      </c>
      <c r="S171" s="42"/>
      <c r="T171" s="42"/>
      <c r="U171" s="42"/>
      <c r="V171" s="8" t="b">
        <v>0</v>
      </c>
    </row>
    <row r="172" ht="22.5" customHeight="1">
      <c r="A172" s="8"/>
      <c r="B172" s="8" t="b">
        <v>0</v>
      </c>
      <c r="C172" s="8">
        <v>10.0</v>
      </c>
      <c r="E172" s="8" t="s">
        <v>28</v>
      </c>
      <c r="F172" s="15" t="s">
        <v>33</v>
      </c>
      <c r="G172" s="15" t="s">
        <v>221</v>
      </c>
      <c r="H172" s="15" t="s">
        <v>222</v>
      </c>
      <c r="I172" s="31">
        <v>45982.0</v>
      </c>
      <c r="J172" s="32" t="s">
        <v>30</v>
      </c>
      <c r="K172" s="32" t="s">
        <v>30</v>
      </c>
      <c r="L172" s="32" t="s">
        <v>42</v>
      </c>
      <c r="M172" s="32" t="s">
        <v>45</v>
      </c>
      <c r="N172" s="15">
        <v>3.0</v>
      </c>
      <c r="O172" s="15">
        <v>0.0</v>
      </c>
      <c r="P172" s="15">
        <f t="array" ref="P172">if(O172="","", if(O172=9999,9999,ROUNDUP(_xlfn.XLOOKUP(J172&amp;"-"&amp;E172&amp;"-"&amp;K172,SpecCV[ID],SpecCV[factor])*O172,0)))</f>
        <v>0</v>
      </c>
      <c r="Q172" s="15">
        <f t="array" ref="Q172">if(J172="Contact plate", _xlfn.XLOOKUP(J172&amp;"-"&amp;E172&amp;"-"&amp;K172,SpecCV[ID],SpecCV[Spec]),_xlfn.XLOOKUP(J172&amp;"-"&amp;E172&amp;"-"&amp;K172,SpecCV[ID],SpecCV[Spec]))</f>
        <v>50</v>
      </c>
      <c r="R172" s="15" t="str">
        <f t="array" ref="R172">if(J172="Contact plate", _xlfn.XLOOKUP(J172&amp;"-"&amp;E172&amp;"-"&amp;K172,SpecCV[ID],SpecCV[Unit]),_xlfn.XLOOKUP(J172&amp;"-"&amp;E172&amp;"-"&amp;K172,SpecCV[ID],SpecCV[Unit]))</f>
        <v>cfu</v>
      </c>
      <c r="S172" s="42"/>
      <c r="T172" s="42"/>
      <c r="U172" s="42"/>
      <c r="V172" s="8" t="b">
        <v>0</v>
      </c>
    </row>
    <row r="173" ht="22.5" customHeight="1">
      <c r="A173" s="8"/>
      <c r="B173" s="8" t="b">
        <v>0</v>
      </c>
      <c r="C173" s="8">
        <v>10.0</v>
      </c>
      <c r="E173" s="8" t="s">
        <v>28</v>
      </c>
      <c r="F173" s="15" t="s">
        <v>33</v>
      </c>
      <c r="G173" s="15" t="s">
        <v>221</v>
      </c>
      <c r="H173" s="15" t="s">
        <v>223</v>
      </c>
      <c r="I173" s="31">
        <v>45982.0</v>
      </c>
      <c r="J173" s="32" t="s">
        <v>30</v>
      </c>
      <c r="K173" s="32" t="s">
        <v>30</v>
      </c>
      <c r="L173" s="32" t="s">
        <v>42</v>
      </c>
      <c r="M173" s="32" t="s">
        <v>45</v>
      </c>
      <c r="N173" s="15">
        <v>3.0</v>
      </c>
      <c r="O173" s="15">
        <v>2.0</v>
      </c>
      <c r="P173" s="15">
        <f t="array" ref="P173">if(O173="","", if(O173=9999,9999,ROUNDUP(_xlfn.XLOOKUP(J173&amp;"-"&amp;E173&amp;"-"&amp;K173,SpecCV[ID],SpecCV[factor])*O173,0)))</f>
        <v>2</v>
      </c>
      <c r="Q173" s="15">
        <f t="array" ref="Q173">if(J173="Contact plate", _xlfn.XLOOKUP(J173&amp;"-"&amp;E173&amp;"-"&amp;K173,SpecCV[ID],SpecCV[Spec]),_xlfn.XLOOKUP(J173&amp;"-"&amp;E173&amp;"-"&amp;K173,SpecCV[ID],SpecCV[Spec]))</f>
        <v>50</v>
      </c>
      <c r="R173" s="15" t="str">
        <f t="array" ref="R173">if(J173="Contact plate", _xlfn.XLOOKUP(J173&amp;"-"&amp;E173&amp;"-"&amp;K173,SpecCV[ID],SpecCV[Unit]),_xlfn.XLOOKUP(J173&amp;"-"&amp;E173&amp;"-"&amp;K173,SpecCV[ID],SpecCV[Unit]))</f>
        <v>cfu</v>
      </c>
      <c r="S173" s="42"/>
      <c r="T173" s="42"/>
      <c r="U173" s="42"/>
      <c r="V173" s="8" t="b">
        <v>0</v>
      </c>
    </row>
    <row r="174" ht="22.5" customHeight="1">
      <c r="A174" s="8"/>
      <c r="B174" s="8" t="b">
        <v>0</v>
      </c>
      <c r="C174" s="8">
        <v>10.0</v>
      </c>
      <c r="E174" s="8" t="s">
        <v>28</v>
      </c>
      <c r="F174" s="15" t="s">
        <v>33</v>
      </c>
      <c r="G174" s="15" t="s">
        <v>221</v>
      </c>
      <c r="H174" s="15" t="s">
        <v>224</v>
      </c>
      <c r="I174" s="31">
        <v>45982.0</v>
      </c>
      <c r="J174" s="32" t="s">
        <v>30</v>
      </c>
      <c r="K174" s="32" t="s">
        <v>30</v>
      </c>
      <c r="L174" s="32" t="s">
        <v>42</v>
      </c>
      <c r="M174" s="32" t="s">
        <v>45</v>
      </c>
      <c r="N174" s="15">
        <v>3.0</v>
      </c>
      <c r="O174" s="15">
        <v>5.0</v>
      </c>
      <c r="P174" s="15">
        <f t="array" ref="P174">if(O174="","", if(O174=9999,9999,ROUNDUP(_xlfn.XLOOKUP(J174&amp;"-"&amp;E174&amp;"-"&amp;K174,SpecCV[ID],SpecCV[factor])*O174,0)))</f>
        <v>5</v>
      </c>
      <c r="Q174" s="15">
        <f t="array" ref="Q174">if(J174="Contact plate", _xlfn.XLOOKUP(J174&amp;"-"&amp;E174&amp;"-"&amp;K174,SpecCV[ID],SpecCV[Spec]),_xlfn.XLOOKUP(J174&amp;"-"&amp;E174&amp;"-"&amp;K174,SpecCV[ID],SpecCV[Spec]))</f>
        <v>50</v>
      </c>
      <c r="R174" s="15" t="str">
        <f t="array" ref="R174">if(J174="Contact plate", _xlfn.XLOOKUP(J174&amp;"-"&amp;E174&amp;"-"&amp;K174,SpecCV[ID],SpecCV[Unit]),_xlfn.XLOOKUP(J174&amp;"-"&amp;E174&amp;"-"&amp;K174,SpecCV[ID],SpecCV[Unit]))</f>
        <v>cfu</v>
      </c>
      <c r="S174" s="42"/>
      <c r="T174" s="42"/>
      <c r="U174" s="42"/>
      <c r="V174" s="8" t="b">
        <v>0</v>
      </c>
    </row>
    <row r="175" ht="22.5" customHeight="1">
      <c r="A175" s="8"/>
      <c r="B175" s="8" t="b">
        <v>0</v>
      </c>
      <c r="C175" s="8">
        <v>10.0</v>
      </c>
      <c r="D175" s="28"/>
      <c r="E175" s="8" t="s">
        <v>28</v>
      </c>
      <c r="F175" s="15" t="s">
        <v>135</v>
      </c>
      <c r="G175" s="15" t="s">
        <v>38</v>
      </c>
      <c r="H175" s="15" t="s">
        <v>55</v>
      </c>
      <c r="I175" s="31">
        <v>45981.0</v>
      </c>
      <c r="J175" s="32" t="s">
        <v>30</v>
      </c>
      <c r="K175" s="32" t="s">
        <v>30</v>
      </c>
      <c r="L175" s="32" t="s">
        <v>42</v>
      </c>
      <c r="M175" s="32" t="s">
        <v>281</v>
      </c>
      <c r="N175" s="15">
        <v>3.0</v>
      </c>
      <c r="O175" s="15">
        <v>0.0</v>
      </c>
      <c r="P175" s="15">
        <f t="array" ref="P175">if(O175="","", if(O175=9999,9999,ROUNDUP(_xlfn.XLOOKUP(J175&amp;"-"&amp;E175&amp;"-"&amp;K175,SpecCV[ID],SpecCV[factor])*O175,0)))</f>
        <v>0</v>
      </c>
      <c r="Q175" s="15">
        <f t="array" ref="Q175">if(J175="Contact plate", _xlfn.XLOOKUP(J175&amp;"-"&amp;E175&amp;"-"&amp;K175,SpecCV[ID],SpecCV[Spec]),_xlfn.XLOOKUP(J175&amp;"-"&amp;E175&amp;"-"&amp;K175,SpecCV[ID],SpecCV[Spec]))</f>
        <v>50</v>
      </c>
      <c r="R175" s="15" t="str">
        <f t="array" ref="R175">if(J175="Contact plate", _xlfn.XLOOKUP(J175&amp;"-"&amp;E175&amp;"-"&amp;K175,SpecCV[ID],SpecCV[Unit]),_xlfn.XLOOKUP(J175&amp;"-"&amp;E175&amp;"-"&amp;K175,SpecCV[ID],SpecCV[Unit]))</f>
        <v>cfu</v>
      </c>
      <c r="S175" s="42"/>
      <c r="T175" s="42"/>
      <c r="U175" s="42"/>
      <c r="V175" s="8" t="b">
        <v>0</v>
      </c>
    </row>
    <row r="176" ht="22.5" customHeight="1">
      <c r="A176" s="8"/>
      <c r="B176" s="8" t="b">
        <v>0</v>
      </c>
      <c r="C176" s="8">
        <v>10.0</v>
      </c>
      <c r="D176" s="28"/>
      <c r="E176" s="8" t="s">
        <v>28</v>
      </c>
      <c r="F176" s="15" t="s">
        <v>135</v>
      </c>
      <c r="G176" s="15" t="s">
        <v>162</v>
      </c>
      <c r="H176" s="15" t="s">
        <v>165</v>
      </c>
      <c r="I176" s="31">
        <v>45988.0</v>
      </c>
      <c r="J176" s="32" t="s">
        <v>30</v>
      </c>
      <c r="K176" s="32" t="s">
        <v>30</v>
      </c>
      <c r="L176" s="32" t="s">
        <v>42</v>
      </c>
      <c r="M176" s="32" t="s">
        <v>45</v>
      </c>
      <c r="N176" s="15">
        <v>3.0</v>
      </c>
      <c r="O176" s="15">
        <v>0.0</v>
      </c>
      <c r="P176" s="15">
        <f t="array" ref="P176">if(O176="","", if(O176=9999,9999,ROUNDUP(_xlfn.XLOOKUP(J176&amp;"-"&amp;E176&amp;"-"&amp;K176,SpecCV[ID],SpecCV[factor])*O176,0)))</f>
        <v>0</v>
      </c>
      <c r="Q176" s="15">
        <f t="array" ref="Q176">if(J176="Contact plate", _xlfn.XLOOKUP(J176&amp;"-"&amp;E176&amp;"-"&amp;K176,SpecCV[ID],SpecCV[Spec]),_xlfn.XLOOKUP(J176&amp;"-"&amp;E176&amp;"-"&amp;K176,SpecCV[ID],SpecCV[Spec]))</f>
        <v>50</v>
      </c>
      <c r="R176" s="15" t="str">
        <f t="array" ref="R176">if(J176="Contact plate", _xlfn.XLOOKUP(J176&amp;"-"&amp;E176&amp;"-"&amp;K176,SpecCV[ID],SpecCV[Unit]),_xlfn.XLOOKUP(J176&amp;"-"&amp;E176&amp;"-"&amp;K176,SpecCV[ID],SpecCV[Unit]))</f>
        <v>cfu</v>
      </c>
      <c r="S176" s="42"/>
      <c r="T176" s="42"/>
      <c r="U176" s="42"/>
      <c r="V176" s="8" t="b">
        <v>0</v>
      </c>
    </row>
    <row r="177" ht="22.5" customHeight="1">
      <c r="A177" s="8"/>
      <c r="B177" s="8" t="b">
        <v>0</v>
      </c>
      <c r="C177" s="8">
        <v>10.0</v>
      </c>
      <c r="D177" s="28"/>
      <c r="E177" s="8" t="s">
        <v>28</v>
      </c>
      <c r="F177" s="15" t="s">
        <v>135</v>
      </c>
      <c r="G177" s="15" t="s">
        <v>162</v>
      </c>
      <c r="H177" s="15" t="s">
        <v>168</v>
      </c>
      <c r="I177" s="31">
        <v>45988.0</v>
      </c>
      <c r="J177" s="32" t="s">
        <v>30</v>
      </c>
      <c r="K177" s="32" t="s">
        <v>30</v>
      </c>
      <c r="L177" s="32" t="s">
        <v>42</v>
      </c>
      <c r="M177" s="32" t="s">
        <v>45</v>
      </c>
      <c r="N177" s="15">
        <v>3.0</v>
      </c>
      <c r="O177" s="15">
        <v>0.0</v>
      </c>
      <c r="P177" s="15">
        <f t="array" ref="P177">if(O177="","", if(O177=9999,9999,ROUNDUP(_xlfn.XLOOKUP(J177&amp;"-"&amp;E177&amp;"-"&amp;K177,SpecCV[ID],SpecCV[factor])*O177,0)))</f>
        <v>0</v>
      </c>
      <c r="Q177" s="15">
        <f t="array" ref="Q177">if(J177="Contact plate", _xlfn.XLOOKUP(J177&amp;"-"&amp;E177&amp;"-"&amp;K177,SpecCV[ID],SpecCV[Spec]),_xlfn.XLOOKUP(J177&amp;"-"&amp;E177&amp;"-"&amp;K177,SpecCV[ID],SpecCV[Spec]))</f>
        <v>50</v>
      </c>
      <c r="R177" s="15" t="str">
        <f t="array" ref="R177">if(J177="Contact plate", _xlfn.XLOOKUP(J177&amp;"-"&amp;E177&amp;"-"&amp;K177,SpecCV[ID],SpecCV[Unit]),_xlfn.XLOOKUP(J177&amp;"-"&amp;E177&amp;"-"&amp;K177,SpecCV[ID],SpecCV[Unit]))</f>
        <v>cfu</v>
      </c>
      <c r="S177" s="42"/>
      <c r="T177" s="42"/>
      <c r="U177" s="42"/>
      <c r="V177" s="8" t="b">
        <v>0</v>
      </c>
    </row>
    <row r="178" ht="22.5" customHeight="1">
      <c r="A178" s="8"/>
      <c r="B178" s="8" t="b">
        <v>0</v>
      </c>
      <c r="C178" s="8">
        <v>10.0</v>
      </c>
      <c r="D178" s="28"/>
      <c r="E178" s="8" t="s">
        <v>28</v>
      </c>
      <c r="F178" s="15" t="s">
        <v>135</v>
      </c>
      <c r="G178" s="15" t="s">
        <v>162</v>
      </c>
      <c r="H178" s="15" t="s">
        <v>171</v>
      </c>
      <c r="I178" s="31">
        <v>45988.0</v>
      </c>
      <c r="J178" s="32" t="s">
        <v>30</v>
      </c>
      <c r="K178" s="32" t="s">
        <v>30</v>
      </c>
      <c r="L178" s="32" t="s">
        <v>42</v>
      </c>
      <c r="M178" s="32" t="s">
        <v>45</v>
      </c>
      <c r="N178" s="15">
        <v>3.0</v>
      </c>
      <c r="O178" s="15">
        <v>10.0</v>
      </c>
      <c r="P178" s="15">
        <f t="array" ref="P178">if(O178="","", if(O178=9999,9999,ROUNDUP(_xlfn.XLOOKUP(J178&amp;"-"&amp;E178&amp;"-"&amp;K178,SpecCV[ID],SpecCV[factor])*O178,0)))</f>
        <v>10</v>
      </c>
      <c r="Q178" s="15">
        <f t="array" ref="Q178">if(J178="Contact plate", _xlfn.XLOOKUP(J178&amp;"-"&amp;E178&amp;"-"&amp;K178,SpecCV[ID],SpecCV[Spec]),_xlfn.XLOOKUP(J178&amp;"-"&amp;E178&amp;"-"&amp;K178,SpecCV[ID],SpecCV[Spec]))</f>
        <v>50</v>
      </c>
      <c r="R178" s="15" t="str">
        <f t="array" ref="R178">if(J178="Contact plate", _xlfn.XLOOKUP(J178&amp;"-"&amp;E178&amp;"-"&amp;K178,SpecCV[ID],SpecCV[Unit]),_xlfn.XLOOKUP(J178&amp;"-"&amp;E178&amp;"-"&amp;K178,SpecCV[ID],SpecCV[Unit]))</f>
        <v>cfu</v>
      </c>
      <c r="S178" s="42"/>
      <c r="T178" s="42"/>
      <c r="U178" s="42"/>
      <c r="V178" s="8" t="b">
        <v>0</v>
      </c>
    </row>
    <row r="179" ht="22.5" customHeight="1">
      <c r="A179" s="8"/>
      <c r="B179" s="8" t="b">
        <v>0</v>
      </c>
      <c r="C179" s="8">
        <v>10.0</v>
      </c>
      <c r="D179" s="28"/>
      <c r="E179" s="8" t="s">
        <v>28</v>
      </c>
      <c r="F179" s="15" t="s">
        <v>135</v>
      </c>
      <c r="G179" s="15" t="s">
        <v>190</v>
      </c>
      <c r="H179" s="15" t="s">
        <v>209</v>
      </c>
      <c r="I179" s="31">
        <v>45958.0</v>
      </c>
      <c r="J179" s="32" t="s">
        <v>30</v>
      </c>
      <c r="K179" s="32" t="s">
        <v>30</v>
      </c>
      <c r="L179" s="32" t="s">
        <v>42</v>
      </c>
      <c r="M179" s="32" t="s">
        <v>45</v>
      </c>
      <c r="N179" s="15">
        <v>3.0</v>
      </c>
      <c r="O179" s="15">
        <v>16.0</v>
      </c>
      <c r="P179" s="15">
        <f t="array" ref="P179">if(O179="","", if(O179=9999,9999,ROUNDUP(_xlfn.XLOOKUP(J179&amp;"-"&amp;E179&amp;"-"&amp;K179,SpecCV[ID],SpecCV[factor])*O179,0)))</f>
        <v>16</v>
      </c>
      <c r="Q179" s="15">
        <f t="array" ref="Q179">if(J179="Contact plate", _xlfn.XLOOKUP(J179&amp;"-"&amp;E179&amp;"-"&amp;K179,SpecCV[ID],SpecCV[Spec]),_xlfn.XLOOKUP(J179&amp;"-"&amp;E179&amp;"-"&amp;K179,SpecCV[ID],SpecCV[Spec]))</f>
        <v>50</v>
      </c>
      <c r="R179" s="15" t="str">
        <f t="array" ref="R179">if(J179="Contact plate", _xlfn.XLOOKUP(J179&amp;"-"&amp;E179&amp;"-"&amp;K179,SpecCV[ID],SpecCV[Unit]),_xlfn.XLOOKUP(J179&amp;"-"&amp;E179&amp;"-"&amp;K179,SpecCV[ID],SpecCV[Unit]))</f>
        <v>cfu</v>
      </c>
      <c r="S179" s="42"/>
      <c r="T179" s="42"/>
      <c r="U179" s="42"/>
      <c r="V179" s="8" t="b">
        <v>0</v>
      </c>
    </row>
    <row r="180" ht="22.5" customHeight="1">
      <c r="A180" s="8"/>
      <c r="B180" s="8" t="b">
        <v>0</v>
      </c>
      <c r="C180" s="8">
        <v>10.0</v>
      </c>
      <c r="D180" s="28"/>
      <c r="E180" s="8" t="s">
        <v>28</v>
      </c>
      <c r="F180" s="15" t="s">
        <v>135</v>
      </c>
      <c r="G180" s="15" t="s">
        <v>190</v>
      </c>
      <c r="H180" s="15" t="s">
        <v>194</v>
      </c>
      <c r="I180" s="31">
        <v>45958.0</v>
      </c>
      <c r="J180" s="32" t="s">
        <v>30</v>
      </c>
      <c r="K180" s="32" t="s">
        <v>30</v>
      </c>
      <c r="L180" s="32" t="s">
        <v>42</v>
      </c>
      <c r="M180" s="32" t="s">
        <v>45</v>
      </c>
      <c r="N180" s="15">
        <v>3.0</v>
      </c>
      <c r="O180" s="15">
        <v>9999.0</v>
      </c>
      <c r="P180" s="15">
        <f t="array" ref="P180">if(O180="","", if(O180=9999,9999,ROUNDUP(_xlfn.XLOOKUP(J180&amp;"-"&amp;E180&amp;"-"&amp;K180,SpecCV[ID],SpecCV[factor])*O180,0)))</f>
        <v>9999</v>
      </c>
      <c r="Q180" s="15">
        <f t="array" ref="Q180">if(J180="Contact plate", _xlfn.XLOOKUP(J180&amp;"-"&amp;E180&amp;"-"&amp;K180,SpecCV[ID],SpecCV[Spec]),_xlfn.XLOOKUP(J180&amp;"-"&amp;E180&amp;"-"&amp;K180,SpecCV[ID],SpecCV[Spec]))</f>
        <v>50</v>
      </c>
      <c r="R180" s="15" t="str">
        <f t="array" ref="R180">if(J180="Contact plate", _xlfn.XLOOKUP(J180&amp;"-"&amp;E180&amp;"-"&amp;K180,SpecCV[ID],SpecCV[Unit]),_xlfn.XLOOKUP(J180&amp;"-"&amp;E180&amp;"-"&amp;K180,SpecCV[ID],SpecCV[Unit]))</f>
        <v>cfu</v>
      </c>
      <c r="S180" s="42"/>
      <c r="T180" s="42"/>
      <c r="U180" s="42"/>
      <c r="V180" s="8" t="b">
        <v>0</v>
      </c>
    </row>
    <row r="181" ht="22.5" customHeight="1">
      <c r="A181" s="8"/>
      <c r="B181" s="8" t="b">
        <v>0</v>
      </c>
      <c r="C181" s="8">
        <v>10.0</v>
      </c>
      <c r="D181" s="28"/>
      <c r="E181" s="8" t="s">
        <v>28</v>
      </c>
      <c r="F181" s="15" t="s">
        <v>135</v>
      </c>
      <c r="G181" s="15" t="s">
        <v>190</v>
      </c>
      <c r="H181" s="15" t="s">
        <v>194</v>
      </c>
      <c r="I181" s="31">
        <v>45973.0</v>
      </c>
      <c r="J181" s="32" t="s">
        <v>30</v>
      </c>
      <c r="K181" s="32" t="s">
        <v>30</v>
      </c>
      <c r="L181" s="32" t="s">
        <v>42</v>
      </c>
      <c r="M181" s="32" t="s">
        <v>281</v>
      </c>
      <c r="N181" s="15">
        <v>3.0</v>
      </c>
      <c r="O181" s="15">
        <v>2.0</v>
      </c>
      <c r="P181" s="15">
        <f t="array" ref="P181">if(O181="","", if(O181=9999,9999,ROUNDUP(_xlfn.XLOOKUP(J181&amp;"-"&amp;E181&amp;"-"&amp;K181,SpecCV[ID],SpecCV[factor])*O181,0)))</f>
        <v>2</v>
      </c>
      <c r="Q181" s="15">
        <f t="array" ref="Q181">if(J181="Contact plate", _xlfn.XLOOKUP(J181&amp;"-"&amp;E181&amp;"-"&amp;K181,SpecCV[ID],SpecCV[Spec]),_xlfn.XLOOKUP(J181&amp;"-"&amp;E181&amp;"-"&amp;K181,SpecCV[ID],SpecCV[Spec]))</f>
        <v>50</v>
      </c>
      <c r="R181" s="15" t="str">
        <f t="array" ref="R181">if(J181="Contact plate", _xlfn.XLOOKUP(J181&amp;"-"&amp;E181&amp;"-"&amp;K181,SpecCV[ID],SpecCV[Unit]),_xlfn.XLOOKUP(J181&amp;"-"&amp;E181&amp;"-"&amp;K181,SpecCV[ID],SpecCV[Unit]))</f>
        <v>cfu</v>
      </c>
      <c r="S181" s="42"/>
      <c r="T181" s="42"/>
      <c r="U181" s="42"/>
      <c r="V181" s="8" t="b">
        <v>0</v>
      </c>
    </row>
    <row r="182" ht="22.5" customHeight="1">
      <c r="A182" s="8"/>
      <c r="B182" s="8" t="b">
        <v>0</v>
      </c>
      <c r="C182" s="8">
        <v>10.0</v>
      </c>
      <c r="D182" s="28"/>
      <c r="E182" s="8" t="s">
        <v>28</v>
      </c>
      <c r="F182" s="15" t="s">
        <v>135</v>
      </c>
      <c r="G182" s="15" t="s">
        <v>216</v>
      </c>
      <c r="H182" s="15" t="s">
        <v>217</v>
      </c>
      <c r="I182" s="31">
        <v>45973.0</v>
      </c>
      <c r="J182" s="32" t="s">
        <v>30</v>
      </c>
      <c r="K182" s="32" t="s">
        <v>30</v>
      </c>
      <c r="L182" s="32" t="s">
        <v>42</v>
      </c>
      <c r="M182" s="32" t="s">
        <v>45</v>
      </c>
      <c r="N182" s="15">
        <v>2.0</v>
      </c>
      <c r="O182" s="15">
        <v>8.0</v>
      </c>
      <c r="P182" s="15">
        <f t="array" ref="P182">if(O182="","", if(O182=9999,9999,ROUNDUP(_xlfn.XLOOKUP(J182&amp;"-"&amp;E182&amp;"-"&amp;K182,SpecCV[ID],SpecCV[factor])*O182,0)))</f>
        <v>8</v>
      </c>
      <c r="Q182" s="15">
        <f t="array" ref="Q182">if(J182="Contact plate", _xlfn.XLOOKUP(J182&amp;"-"&amp;E182&amp;"-"&amp;K182,SpecCV[ID],SpecCV[Spec]),_xlfn.XLOOKUP(J182&amp;"-"&amp;E182&amp;"-"&amp;K182,SpecCV[ID],SpecCV[Spec]))</f>
        <v>50</v>
      </c>
      <c r="R182" s="15" t="str">
        <f t="array" ref="R182">if(J182="Contact plate", _xlfn.XLOOKUP(J182&amp;"-"&amp;E182&amp;"-"&amp;K182,SpecCV[ID],SpecCV[Unit]),_xlfn.XLOOKUP(J182&amp;"-"&amp;E182&amp;"-"&amp;K182,SpecCV[ID],SpecCV[Unit]))</f>
        <v>cfu</v>
      </c>
      <c r="S182" s="42"/>
      <c r="T182" s="42"/>
      <c r="U182" s="42"/>
      <c r="V182" s="8" t="b">
        <v>0</v>
      </c>
    </row>
    <row r="183" ht="22.5" customHeight="1">
      <c r="A183" s="8"/>
      <c r="B183" s="8" t="b">
        <v>0</v>
      </c>
      <c r="C183" s="8">
        <v>10.0</v>
      </c>
      <c r="D183" s="28"/>
      <c r="E183" s="8" t="s">
        <v>28</v>
      </c>
      <c r="F183" s="15" t="s">
        <v>135</v>
      </c>
      <c r="G183" s="15" t="s">
        <v>216</v>
      </c>
      <c r="H183" s="15" t="s">
        <v>218</v>
      </c>
      <c r="I183" s="31">
        <v>45973.0</v>
      </c>
      <c r="J183" s="32" t="s">
        <v>30</v>
      </c>
      <c r="K183" s="32" t="s">
        <v>30</v>
      </c>
      <c r="L183" s="32" t="s">
        <v>42</v>
      </c>
      <c r="M183" s="32" t="s">
        <v>45</v>
      </c>
      <c r="N183" s="15">
        <v>2.0</v>
      </c>
      <c r="O183" s="15">
        <v>10.0</v>
      </c>
      <c r="P183" s="15">
        <f t="array" ref="P183">if(O183="","", if(O183=9999,9999,ROUNDUP(_xlfn.XLOOKUP(J183&amp;"-"&amp;E183&amp;"-"&amp;K183,SpecCV[ID],SpecCV[factor])*O183,0)))</f>
        <v>10</v>
      </c>
      <c r="Q183" s="15">
        <f t="array" ref="Q183">if(J183="Contact plate", _xlfn.XLOOKUP(J183&amp;"-"&amp;E183&amp;"-"&amp;K183,SpecCV[ID],SpecCV[Spec]),_xlfn.XLOOKUP(J183&amp;"-"&amp;E183&amp;"-"&amp;K183,SpecCV[ID],SpecCV[Spec]))</f>
        <v>50</v>
      </c>
      <c r="R183" s="15" t="str">
        <f t="array" ref="R183">if(J183="Contact plate", _xlfn.XLOOKUP(J183&amp;"-"&amp;E183&amp;"-"&amp;K183,SpecCV[ID],SpecCV[Unit]),_xlfn.XLOOKUP(J183&amp;"-"&amp;E183&amp;"-"&amp;K183,SpecCV[ID],SpecCV[Unit]))</f>
        <v>cfu</v>
      </c>
      <c r="S183" s="42"/>
      <c r="T183" s="42"/>
      <c r="U183" s="42"/>
      <c r="V183" s="8" t="b">
        <v>0</v>
      </c>
    </row>
    <row r="184" ht="22.5" customHeight="1">
      <c r="A184" s="8"/>
      <c r="B184" s="8" t="b">
        <v>0</v>
      </c>
      <c r="C184" s="8">
        <v>10.0</v>
      </c>
      <c r="D184" s="28"/>
      <c r="E184" s="8" t="s">
        <v>28</v>
      </c>
      <c r="F184" s="15" t="s">
        <v>135</v>
      </c>
      <c r="G184" s="15" t="s">
        <v>216</v>
      </c>
      <c r="H184" s="15" t="s">
        <v>219</v>
      </c>
      <c r="I184" s="31">
        <v>45973.0</v>
      </c>
      <c r="J184" s="32" t="s">
        <v>30</v>
      </c>
      <c r="K184" s="32" t="s">
        <v>30</v>
      </c>
      <c r="L184" s="32" t="s">
        <v>42</v>
      </c>
      <c r="M184" s="32" t="s">
        <v>45</v>
      </c>
      <c r="N184" s="15">
        <v>2.0</v>
      </c>
      <c r="O184" s="15">
        <v>1.0</v>
      </c>
      <c r="P184" s="15">
        <f t="array" ref="P184">if(O184="","", if(O184=9999,9999,ROUNDUP(_xlfn.XLOOKUP(J184&amp;"-"&amp;E184&amp;"-"&amp;K184,SpecCV[ID],SpecCV[factor])*O184,0)))</f>
        <v>1</v>
      </c>
      <c r="Q184" s="15">
        <f t="array" ref="Q184">if(J184="Contact plate", _xlfn.XLOOKUP(J184&amp;"-"&amp;E184&amp;"-"&amp;K184,SpecCV[ID],SpecCV[Spec]),_xlfn.XLOOKUP(J184&amp;"-"&amp;E184&amp;"-"&amp;K184,SpecCV[ID],SpecCV[Spec]))</f>
        <v>50</v>
      </c>
      <c r="R184" s="15" t="str">
        <f t="array" ref="R184">if(J184="Contact plate", _xlfn.XLOOKUP(J184&amp;"-"&amp;E184&amp;"-"&amp;K184,SpecCV[ID],SpecCV[Unit]),_xlfn.XLOOKUP(J184&amp;"-"&amp;E184&amp;"-"&amp;K184,SpecCV[ID],SpecCV[Unit]))</f>
        <v>cfu</v>
      </c>
      <c r="S184" s="42"/>
      <c r="T184" s="42"/>
      <c r="U184" s="42"/>
      <c r="V184" s="8" t="b">
        <v>0</v>
      </c>
    </row>
    <row r="185" ht="22.5" customHeight="1">
      <c r="A185" s="8"/>
      <c r="B185" s="8" t="b">
        <v>0</v>
      </c>
      <c r="C185" s="8">
        <v>10.0</v>
      </c>
      <c r="D185" s="28"/>
      <c r="E185" s="8" t="s">
        <v>28</v>
      </c>
      <c r="F185" s="15" t="s">
        <v>135</v>
      </c>
      <c r="G185" s="15" t="s">
        <v>216</v>
      </c>
      <c r="H185" s="15" t="s">
        <v>217</v>
      </c>
      <c r="I185" s="31">
        <v>45973.0</v>
      </c>
      <c r="J185" s="32" t="s">
        <v>30</v>
      </c>
      <c r="K185" s="32" t="s">
        <v>30</v>
      </c>
      <c r="L185" s="32" t="s">
        <v>42</v>
      </c>
      <c r="M185" s="32" t="s">
        <v>45</v>
      </c>
      <c r="N185" s="15">
        <v>3.0</v>
      </c>
      <c r="O185" s="15">
        <v>9.0</v>
      </c>
      <c r="P185" s="15">
        <f t="array" ref="P185">if(O185="","", if(O185=9999,9999,ROUNDUP(_xlfn.XLOOKUP(J185&amp;"-"&amp;E185&amp;"-"&amp;K185,SpecCV[ID],SpecCV[factor])*O185,0)))</f>
        <v>9</v>
      </c>
      <c r="Q185" s="15">
        <f t="array" ref="Q185">if(J185="Contact plate", _xlfn.XLOOKUP(J185&amp;"-"&amp;E185&amp;"-"&amp;K185,SpecCV[ID],SpecCV[Spec]),_xlfn.XLOOKUP(J185&amp;"-"&amp;E185&amp;"-"&amp;K185,SpecCV[ID],SpecCV[Spec]))</f>
        <v>50</v>
      </c>
      <c r="R185" s="15" t="str">
        <f t="array" ref="R185">if(J185="Contact plate", _xlfn.XLOOKUP(J185&amp;"-"&amp;E185&amp;"-"&amp;K185,SpecCV[ID],SpecCV[Unit]),_xlfn.XLOOKUP(J185&amp;"-"&amp;E185&amp;"-"&amp;K185,SpecCV[ID],SpecCV[Unit]))</f>
        <v>cfu</v>
      </c>
      <c r="S185" s="42"/>
      <c r="T185" s="42"/>
      <c r="U185" s="42"/>
      <c r="V185" s="8" t="b">
        <v>0</v>
      </c>
    </row>
    <row r="186" ht="22.5" customHeight="1">
      <c r="A186" s="8"/>
      <c r="B186" s="8" t="b">
        <v>0</v>
      </c>
      <c r="C186" s="8">
        <v>10.0</v>
      </c>
      <c r="D186" s="28"/>
      <c r="E186" s="8" t="s">
        <v>28</v>
      </c>
      <c r="F186" s="15" t="s">
        <v>135</v>
      </c>
      <c r="G186" s="15" t="s">
        <v>216</v>
      </c>
      <c r="H186" s="15" t="s">
        <v>218</v>
      </c>
      <c r="I186" s="31">
        <v>45973.0</v>
      </c>
      <c r="J186" s="32" t="s">
        <v>30</v>
      </c>
      <c r="K186" s="32" t="s">
        <v>30</v>
      </c>
      <c r="L186" s="32" t="s">
        <v>42</v>
      </c>
      <c r="M186" s="32" t="s">
        <v>45</v>
      </c>
      <c r="N186" s="15">
        <v>3.0</v>
      </c>
      <c r="O186" s="15">
        <v>16.0</v>
      </c>
      <c r="P186" s="15">
        <f t="array" ref="P186">if(O186="","", if(O186=9999,9999,ROUNDUP(_xlfn.XLOOKUP(J186&amp;"-"&amp;E186&amp;"-"&amp;K186,SpecCV[ID],SpecCV[factor])*O186,0)))</f>
        <v>16</v>
      </c>
      <c r="Q186" s="15">
        <f t="array" ref="Q186">if(J186="Contact plate", _xlfn.XLOOKUP(J186&amp;"-"&amp;E186&amp;"-"&amp;K186,SpecCV[ID],SpecCV[Spec]),_xlfn.XLOOKUP(J186&amp;"-"&amp;E186&amp;"-"&amp;K186,SpecCV[ID],SpecCV[Spec]))</f>
        <v>50</v>
      </c>
      <c r="R186" s="15" t="str">
        <f t="array" ref="R186">if(J186="Contact plate", _xlfn.XLOOKUP(J186&amp;"-"&amp;E186&amp;"-"&amp;K186,SpecCV[ID],SpecCV[Unit]),_xlfn.XLOOKUP(J186&amp;"-"&amp;E186&amp;"-"&amp;K186,SpecCV[ID],SpecCV[Unit]))</f>
        <v>cfu</v>
      </c>
      <c r="S186" s="42"/>
      <c r="T186" s="42"/>
      <c r="U186" s="42"/>
      <c r="V186" s="8" t="b">
        <v>0</v>
      </c>
    </row>
    <row r="187" ht="22.5" customHeight="1">
      <c r="A187" s="8"/>
      <c r="B187" s="8" t="b">
        <v>0</v>
      </c>
      <c r="C187" s="8">
        <v>10.0</v>
      </c>
      <c r="D187" s="28"/>
      <c r="E187" s="8" t="s">
        <v>28</v>
      </c>
      <c r="F187" s="15" t="s">
        <v>135</v>
      </c>
      <c r="G187" s="15" t="s">
        <v>216</v>
      </c>
      <c r="H187" s="15" t="s">
        <v>219</v>
      </c>
      <c r="I187" s="31">
        <v>45973.0</v>
      </c>
      <c r="J187" s="32" t="s">
        <v>30</v>
      </c>
      <c r="K187" s="32" t="s">
        <v>30</v>
      </c>
      <c r="L187" s="32" t="s">
        <v>42</v>
      </c>
      <c r="M187" s="32" t="s">
        <v>45</v>
      </c>
      <c r="N187" s="15">
        <v>3.0</v>
      </c>
      <c r="O187" s="15">
        <v>16.0</v>
      </c>
      <c r="P187" s="15">
        <f t="array" ref="P187">if(O187="","", if(O187=9999,9999,ROUNDUP(_xlfn.XLOOKUP(J187&amp;"-"&amp;E187&amp;"-"&amp;K187,SpecCV[ID],SpecCV[factor])*O187,0)))</f>
        <v>16</v>
      </c>
      <c r="Q187" s="15">
        <f t="array" ref="Q187">if(J187="Contact plate", _xlfn.XLOOKUP(J187&amp;"-"&amp;E187&amp;"-"&amp;K187,SpecCV[ID],SpecCV[Spec]),_xlfn.XLOOKUP(J187&amp;"-"&amp;E187&amp;"-"&amp;K187,SpecCV[ID],SpecCV[Spec]))</f>
        <v>50</v>
      </c>
      <c r="R187" s="15" t="str">
        <f t="array" ref="R187">if(J187="Contact plate", _xlfn.XLOOKUP(J187&amp;"-"&amp;E187&amp;"-"&amp;K187,SpecCV[ID],SpecCV[Unit]),_xlfn.XLOOKUP(J187&amp;"-"&amp;E187&amp;"-"&amp;K187,SpecCV[ID],SpecCV[Unit]))</f>
        <v>cfu</v>
      </c>
      <c r="S187" s="42"/>
      <c r="T187" s="42"/>
      <c r="U187" s="42"/>
      <c r="V187" s="8" t="b">
        <v>0</v>
      </c>
    </row>
    <row r="188" ht="22.5" customHeight="1">
      <c r="A188" s="8"/>
      <c r="B188" s="8" t="b">
        <v>0</v>
      </c>
      <c r="C188" s="8">
        <v>10.0</v>
      </c>
      <c r="E188" s="8" t="s">
        <v>28</v>
      </c>
      <c r="F188" s="15" t="s">
        <v>33</v>
      </c>
      <c r="G188" s="15" t="s">
        <v>102</v>
      </c>
      <c r="H188" s="15" t="s">
        <v>105</v>
      </c>
      <c r="I188" s="31">
        <v>45986.0</v>
      </c>
      <c r="J188" s="32" t="s">
        <v>30</v>
      </c>
      <c r="K188" s="32" t="s">
        <v>30</v>
      </c>
      <c r="L188" s="66" t="s">
        <v>220</v>
      </c>
      <c r="M188" s="66" t="s">
        <v>45</v>
      </c>
      <c r="N188" s="24">
        <v>1.0</v>
      </c>
      <c r="O188" s="24">
        <v>12.0</v>
      </c>
      <c r="P188" s="24">
        <f t="array" ref="P188">if(O188="","", if(O188=9999,9999,ROUNDUP(_xlfn.XLOOKUP(J188&amp;"-"&amp;E188&amp;"-"&amp;K188,SpecCV[ID],SpecCV[factor])*O188,0)))</f>
        <v>12</v>
      </c>
      <c r="Q188" s="15">
        <f t="array" ref="Q188">if(J188="Contact plate", _xlfn.XLOOKUP(J188&amp;"-"&amp;E188&amp;"-"&amp;K188,SpecCV[ID],SpecCV[Spec]),_xlfn.XLOOKUP(J188&amp;"-"&amp;E188&amp;"-"&amp;K188,SpecCV[ID],SpecCV[Spec]))</f>
        <v>50</v>
      </c>
      <c r="R188" s="15" t="str">
        <f t="array" ref="R188">if(J188="Contact plate", _xlfn.XLOOKUP(J188&amp;"-"&amp;E188&amp;"-"&amp;K188,SpecCV[ID],SpecCV[Unit]),_xlfn.XLOOKUP(J188&amp;"-"&amp;E188&amp;"-"&amp;K188,SpecCV[ID],SpecCV[Unit]))</f>
        <v>cfu</v>
      </c>
      <c r="S188" s="67"/>
      <c r="T188" s="67"/>
      <c r="U188" s="67"/>
      <c r="V188" s="68" t="b">
        <v>0</v>
      </c>
      <c r="W188" s="69"/>
      <c r="X188" s="69"/>
    </row>
    <row r="189" ht="22.5" customHeight="1">
      <c r="A189" s="8"/>
      <c r="B189" s="8" t="b">
        <v>0</v>
      </c>
      <c r="C189" s="8">
        <v>10.0</v>
      </c>
      <c r="E189" s="8" t="s">
        <v>28</v>
      </c>
      <c r="F189" s="15" t="s">
        <v>33</v>
      </c>
      <c r="G189" s="15" t="s">
        <v>102</v>
      </c>
      <c r="H189" s="15" t="s">
        <v>108</v>
      </c>
      <c r="I189" s="31">
        <v>45986.0</v>
      </c>
      <c r="J189" s="32" t="s">
        <v>30</v>
      </c>
      <c r="K189" s="32" t="s">
        <v>30</v>
      </c>
      <c r="L189" s="66" t="s">
        <v>220</v>
      </c>
      <c r="M189" s="66" t="s">
        <v>45</v>
      </c>
      <c r="N189" s="24">
        <v>1.0</v>
      </c>
      <c r="O189" s="24">
        <v>8.0</v>
      </c>
      <c r="P189" s="24">
        <f t="array" ref="P189">if(O189="","", if(O189=9999,9999,ROUNDUP(_xlfn.XLOOKUP(J189&amp;"-"&amp;E189&amp;"-"&amp;K189,SpecCV[ID],SpecCV[factor])*O189,0)))</f>
        <v>8</v>
      </c>
      <c r="Q189" s="15">
        <f t="array" ref="Q189">if(J189="Contact plate", _xlfn.XLOOKUP(J189&amp;"-"&amp;E189&amp;"-"&amp;K189,SpecCV[ID],SpecCV[Spec]),_xlfn.XLOOKUP(J189&amp;"-"&amp;E189&amp;"-"&amp;K189,SpecCV[ID],SpecCV[Spec]))</f>
        <v>50</v>
      </c>
      <c r="R189" s="15" t="str">
        <f t="array" ref="R189">if(J189="Contact plate", _xlfn.XLOOKUP(J189&amp;"-"&amp;E189&amp;"-"&amp;K189,SpecCV[ID],SpecCV[Unit]),_xlfn.XLOOKUP(J189&amp;"-"&amp;E189&amp;"-"&amp;K189,SpecCV[ID],SpecCV[Unit]))</f>
        <v>cfu</v>
      </c>
      <c r="S189" s="67"/>
      <c r="T189" s="67"/>
      <c r="U189" s="67"/>
      <c r="V189" s="68" t="b">
        <v>0</v>
      </c>
      <c r="W189" s="69"/>
      <c r="X189" s="69"/>
    </row>
    <row r="190" ht="22.5" customHeight="1">
      <c r="A190" s="8"/>
      <c r="B190" s="8" t="b">
        <v>0</v>
      </c>
      <c r="C190" s="8">
        <v>10.0</v>
      </c>
      <c r="E190" s="8" t="s">
        <v>28</v>
      </c>
      <c r="F190" s="15" t="s">
        <v>33</v>
      </c>
      <c r="G190" s="15" t="s">
        <v>102</v>
      </c>
      <c r="H190" s="15" t="s">
        <v>111</v>
      </c>
      <c r="I190" s="31">
        <v>45986.0</v>
      </c>
      <c r="J190" s="32" t="s">
        <v>30</v>
      </c>
      <c r="K190" s="32" t="s">
        <v>30</v>
      </c>
      <c r="L190" s="66" t="s">
        <v>220</v>
      </c>
      <c r="M190" s="66" t="s">
        <v>45</v>
      </c>
      <c r="N190" s="24">
        <v>1.0</v>
      </c>
      <c r="O190" s="24">
        <v>4.0</v>
      </c>
      <c r="P190" s="24">
        <f t="array" ref="P190">if(O190="","", if(O190=9999,9999,ROUNDUP(_xlfn.XLOOKUP(J190&amp;"-"&amp;E190&amp;"-"&amp;K190,SpecCV[ID],SpecCV[factor])*O190,0)))</f>
        <v>4</v>
      </c>
      <c r="Q190" s="15">
        <f t="array" ref="Q190">if(J190="Contact plate", _xlfn.XLOOKUP(J190&amp;"-"&amp;E190&amp;"-"&amp;K190,SpecCV[ID],SpecCV[Spec]),_xlfn.XLOOKUP(J190&amp;"-"&amp;E190&amp;"-"&amp;K190,SpecCV[ID],SpecCV[Spec]))</f>
        <v>50</v>
      </c>
      <c r="R190" s="15" t="str">
        <f t="array" ref="R190">if(J190="Contact plate", _xlfn.XLOOKUP(J190&amp;"-"&amp;E190&amp;"-"&amp;K190,SpecCV[ID],SpecCV[Unit]),_xlfn.XLOOKUP(J190&amp;"-"&amp;E190&amp;"-"&amp;K190,SpecCV[ID],SpecCV[Unit]))</f>
        <v>cfu</v>
      </c>
      <c r="S190" s="67"/>
      <c r="T190" s="67"/>
      <c r="U190" s="67"/>
      <c r="V190" s="68" t="b">
        <v>0</v>
      </c>
      <c r="W190" s="69"/>
      <c r="X190" s="69"/>
    </row>
    <row r="191" ht="22.5" customHeight="1">
      <c r="A191" s="8"/>
      <c r="B191" s="8" t="b">
        <v>0</v>
      </c>
      <c r="C191" s="8">
        <v>10.0</v>
      </c>
      <c r="E191" s="8" t="s">
        <v>28</v>
      </c>
      <c r="F191" s="15" t="s">
        <v>33</v>
      </c>
      <c r="G191" s="15" t="s">
        <v>102</v>
      </c>
      <c r="H191" s="15" t="s">
        <v>116</v>
      </c>
      <c r="I191" s="31">
        <v>45986.0</v>
      </c>
      <c r="J191" s="32" t="s">
        <v>30</v>
      </c>
      <c r="K191" s="32" t="s">
        <v>30</v>
      </c>
      <c r="L191" s="66" t="s">
        <v>220</v>
      </c>
      <c r="M191" s="66" t="s">
        <v>45</v>
      </c>
      <c r="N191" s="24">
        <v>1.0</v>
      </c>
      <c r="O191" s="24">
        <v>6.0</v>
      </c>
      <c r="P191" s="24">
        <f t="array" ref="P191">if(O191="","", if(O191=9999,9999,ROUNDUP(_xlfn.XLOOKUP(J191&amp;"-"&amp;E191&amp;"-"&amp;K191,SpecCV[ID],SpecCV[factor])*O191,0)))</f>
        <v>6</v>
      </c>
      <c r="Q191" s="15">
        <f t="array" ref="Q191">if(J191="Contact plate", _xlfn.XLOOKUP(J191&amp;"-"&amp;E191&amp;"-"&amp;K191,SpecCV[ID],SpecCV[Spec]),_xlfn.XLOOKUP(J191&amp;"-"&amp;E191&amp;"-"&amp;K191,SpecCV[ID],SpecCV[Spec]))</f>
        <v>50</v>
      </c>
      <c r="R191" s="15" t="str">
        <f t="array" ref="R191">if(J191="Contact plate", _xlfn.XLOOKUP(J191&amp;"-"&amp;E191&amp;"-"&amp;K191,SpecCV[ID],SpecCV[Unit]),_xlfn.XLOOKUP(J191&amp;"-"&amp;E191&amp;"-"&amp;K191,SpecCV[ID],SpecCV[Unit]))</f>
        <v>cfu</v>
      </c>
      <c r="S191" s="67"/>
      <c r="T191" s="67"/>
      <c r="U191" s="67"/>
      <c r="V191" s="68" t="b">
        <v>0</v>
      </c>
      <c r="W191" s="69"/>
      <c r="X191" s="69"/>
    </row>
    <row r="192" ht="22.5" customHeight="1">
      <c r="A192" s="8"/>
      <c r="B192" s="8" t="b">
        <v>0</v>
      </c>
      <c r="C192" s="8">
        <v>10.0</v>
      </c>
      <c r="E192" s="8" t="s">
        <v>28</v>
      </c>
      <c r="F192" s="15" t="s">
        <v>33</v>
      </c>
      <c r="G192" s="15" t="s">
        <v>119</v>
      </c>
      <c r="H192" s="15" t="s">
        <v>120</v>
      </c>
      <c r="I192" s="31">
        <v>45986.0</v>
      </c>
      <c r="J192" s="32" t="s">
        <v>30</v>
      </c>
      <c r="K192" s="32" t="s">
        <v>30</v>
      </c>
      <c r="L192" s="66" t="s">
        <v>220</v>
      </c>
      <c r="M192" s="66" t="s">
        <v>45</v>
      </c>
      <c r="N192" s="24">
        <v>1.0</v>
      </c>
      <c r="O192" s="24">
        <v>1.0</v>
      </c>
      <c r="P192" s="24">
        <f t="array" ref="P192">if(O192="","", if(O192=9999,9999,ROUNDUP(_xlfn.XLOOKUP(J192&amp;"-"&amp;E192&amp;"-"&amp;K192,SpecCV[ID],SpecCV[factor])*O192,0)))</f>
        <v>1</v>
      </c>
      <c r="Q192" s="15">
        <f t="array" ref="Q192">if(J192="Contact plate", _xlfn.XLOOKUP(J192&amp;"-"&amp;E192&amp;"-"&amp;K192,SpecCV[ID],SpecCV[Spec]),_xlfn.XLOOKUP(J192&amp;"-"&amp;E192&amp;"-"&amp;K192,SpecCV[ID],SpecCV[Spec]))</f>
        <v>50</v>
      </c>
      <c r="R192" s="15" t="str">
        <f t="array" ref="R192">if(J192="Contact plate", _xlfn.XLOOKUP(J192&amp;"-"&amp;E192&amp;"-"&amp;K192,SpecCV[ID],SpecCV[Unit]),_xlfn.XLOOKUP(J192&amp;"-"&amp;E192&amp;"-"&amp;K192,SpecCV[ID],SpecCV[Unit]))</f>
        <v>cfu</v>
      </c>
      <c r="S192" s="67"/>
      <c r="T192" s="67"/>
      <c r="U192" s="67"/>
      <c r="V192" s="68" t="b">
        <v>0</v>
      </c>
      <c r="W192" s="69"/>
      <c r="X192" s="69"/>
    </row>
    <row r="193" ht="22.5" customHeight="1">
      <c r="A193" s="8"/>
      <c r="B193" s="8" t="b">
        <v>0</v>
      </c>
      <c r="C193" s="8">
        <v>10.0</v>
      </c>
      <c r="E193" s="8" t="s">
        <v>28</v>
      </c>
      <c r="F193" s="15" t="s">
        <v>33</v>
      </c>
      <c r="G193" s="15" t="s">
        <v>119</v>
      </c>
      <c r="H193" s="15" t="s">
        <v>123</v>
      </c>
      <c r="I193" s="31">
        <v>45986.0</v>
      </c>
      <c r="J193" s="32" t="s">
        <v>30</v>
      </c>
      <c r="K193" s="32" t="s">
        <v>30</v>
      </c>
      <c r="L193" s="66" t="s">
        <v>220</v>
      </c>
      <c r="M193" s="66" t="s">
        <v>45</v>
      </c>
      <c r="N193" s="24">
        <v>1.0</v>
      </c>
      <c r="O193" s="24">
        <v>3.0</v>
      </c>
      <c r="P193" s="24">
        <f t="array" ref="P193">if(O193="","", if(O193=9999,9999,ROUNDUP(_xlfn.XLOOKUP(J193&amp;"-"&amp;E193&amp;"-"&amp;K193,SpecCV[ID],SpecCV[factor])*O193,0)))</f>
        <v>3</v>
      </c>
      <c r="Q193" s="15">
        <f t="array" ref="Q193">if(J193="Contact plate", _xlfn.XLOOKUP(J193&amp;"-"&amp;E193&amp;"-"&amp;K193,SpecCV[ID],SpecCV[Spec]),_xlfn.XLOOKUP(J193&amp;"-"&amp;E193&amp;"-"&amp;K193,SpecCV[ID],SpecCV[Spec]))</f>
        <v>50</v>
      </c>
      <c r="R193" s="15" t="str">
        <f t="array" ref="R193">if(J193="Contact plate", _xlfn.XLOOKUP(J193&amp;"-"&amp;E193&amp;"-"&amp;K193,SpecCV[ID],SpecCV[Unit]),_xlfn.XLOOKUP(J193&amp;"-"&amp;E193&amp;"-"&amp;K193,SpecCV[ID],SpecCV[Unit]))</f>
        <v>cfu</v>
      </c>
      <c r="S193" s="67"/>
      <c r="T193" s="67"/>
      <c r="U193" s="67"/>
      <c r="V193" s="68" t="b">
        <v>0</v>
      </c>
      <c r="W193" s="69"/>
      <c r="X193" s="69"/>
    </row>
    <row r="194" ht="22.5" customHeight="1">
      <c r="A194" s="8"/>
      <c r="B194" s="8" t="b">
        <v>0</v>
      </c>
      <c r="C194" s="8">
        <v>10.0</v>
      </c>
      <c r="E194" s="8" t="s">
        <v>28</v>
      </c>
      <c r="F194" s="15" t="s">
        <v>33</v>
      </c>
      <c r="G194" s="15" t="s">
        <v>127</v>
      </c>
      <c r="H194" s="15" t="s">
        <v>129</v>
      </c>
      <c r="I194" s="31">
        <v>45986.0</v>
      </c>
      <c r="J194" s="32" t="s">
        <v>30</v>
      </c>
      <c r="K194" s="32" t="s">
        <v>30</v>
      </c>
      <c r="L194" s="66" t="s">
        <v>220</v>
      </c>
      <c r="M194" s="66" t="s">
        <v>45</v>
      </c>
      <c r="N194" s="24">
        <v>1.0</v>
      </c>
      <c r="O194" s="24">
        <v>4.0</v>
      </c>
      <c r="P194" s="24">
        <f t="array" ref="P194">if(O194="","", if(O194=9999,9999,ROUNDUP(_xlfn.XLOOKUP(J194&amp;"-"&amp;E194&amp;"-"&amp;K194,SpecCV[ID],SpecCV[factor])*O194,0)))</f>
        <v>4</v>
      </c>
      <c r="Q194" s="15">
        <f t="array" ref="Q194">if(J194="Contact plate", _xlfn.XLOOKUP(J194&amp;"-"&amp;E194&amp;"-"&amp;K194,SpecCV[ID],SpecCV[Spec]),_xlfn.XLOOKUP(J194&amp;"-"&amp;E194&amp;"-"&amp;K194,SpecCV[ID],SpecCV[Spec]))</f>
        <v>50</v>
      </c>
      <c r="R194" s="15" t="str">
        <f t="array" ref="R194">if(J194="Contact plate", _xlfn.XLOOKUP(J194&amp;"-"&amp;E194&amp;"-"&amp;K194,SpecCV[ID],SpecCV[Unit]),_xlfn.XLOOKUP(J194&amp;"-"&amp;E194&amp;"-"&amp;K194,SpecCV[ID],SpecCV[Unit]))</f>
        <v>cfu</v>
      </c>
      <c r="S194" s="67"/>
      <c r="T194" s="67"/>
      <c r="U194" s="67"/>
      <c r="V194" s="68" t="b">
        <v>0</v>
      </c>
      <c r="W194" s="69"/>
      <c r="X194" s="69"/>
    </row>
    <row r="195" ht="22.5" customHeight="1">
      <c r="A195" s="8"/>
      <c r="B195" s="8" t="b">
        <v>0</v>
      </c>
      <c r="C195" s="8">
        <v>10.0</v>
      </c>
      <c r="E195" s="8" t="s">
        <v>28</v>
      </c>
      <c r="F195" s="15" t="s">
        <v>33</v>
      </c>
      <c r="G195" s="15" t="s">
        <v>127</v>
      </c>
      <c r="H195" s="15" t="s">
        <v>132</v>
      </c>
      <c r="I195" s="31">
        <v>45986.0</v>
      </c>
      <c r="J195" s="32" t="s">
        <v>30</v>
      </c>
      <c r="K195" s="32" t="s">
        <v>30</v>
      </c>
      <c r="L195" s="66" t="s">
        <v>220</v>
      </c>
      <c r="M195" s="66" t="s">
        <v>45</v>
      </c>
      <c r="N195" s="24">
        <v>1.0</v>
      </c>
      <c r="O195" s="24">
        <v>6.0</v>
      </c>
      <c r="P195" s="24">
        <f t="array" ref="P195">if(O195="","", if(O195=9999,9999,ROUNDUP(_xlfn.XLOOKUP(J195&amp;"-"&amp;E195&amp;"-"&amp;K195,SpecCV[ID],SpecCV[factor])*O195,0)))</f>
        <v>6</v>
      </c>
      <c r="Q195" s="15">
        <f t="array" ref="Q195">if(J195="Contact plate", _xlfn.XLOOKUP(J195&amp;"-"&amp;E195&amp;"-"&amp;K195,SpecCV[ID],SpecCV[Spec]),_xlfn.XLOOKUP(J195&amp;"-"&amp;E195&amp;"-"&amp;K195,SpecCV[ID],SpecCV[Spec]))</f>
        <v>50</v>
      </c>
      <c r="R195" s="15" t="str">
        <f t="array" ref="R195">if(J195="Contact plate", _xlfn.XLOOKUP(J195&amp;"-"&amp;E195&amp;"-"&amp;K195,SpecCV[ID],SpecCV[Unit]),_xlfn.XLOOKUP(J195&amp;"-"&amp;E195&amp;"-"&amp;K195,SpecCV[ID],SpecCV[Unit]))</f>
        <v>cfu</v>
      </c>
      <c r="S195" s="67"/>
      <c r="T195" s="67"/>
      <c r="U195" s="67"/>
      <c r="V195" s="68" t="b">
        <v>0</v>
      </c>
      <c r="W195" s="69"/>
      <c r="X195" s="69"/>
    </row>
    <row r="196" ht="22.5" customHeight="1">
      <c r="A196" s="68"/>
      <c r="B196" s="68" t="b">
        <v>0</v>
      </c>
      <c r="C196" s="68">
        <v>16.0</v>
      </c>
      <c r="D196" s="70"/>
      <c r="E196" s="8" t="s">
        <v>28</v>
      </c>
      <c r="F196" s="24" t="s">
        <v>225</v>
      </c>
      <c r="G196" s="24" t="s">
        <v>226</v>
      </c>
      <c r="H196" s="24" t="s">
        <v>227</v>
      </c>
      <c r="I196" s="31">
        <v>46077.0</v>
      </c>
      <c r="J196" s="32" t="s">
        <v>30</v>
      </c>
      <c r="K196" s="32" t="s">
        <v>30</v>
      </c>
      <c r="L196" s="66" t="s">
        <v>42</v>
      </c>
      <c r="M196" s="66" t="s">
        <v>45</v>
      </c>
      <c r="N196" s="24">
        <v>1.0</v>
      </c>
      <c r="O196" s="24">
        <v>106.0</v>
      </c>
      <c r="P196" s="24">
        <f t="array" ref="P196">if(O196="","", if(O196=9999,9999,ROUNDUP(_xlfn.XLOOKUP(J196&amp;"-"&amp;E196&amp;"-"&amp;K196,SpecCV[ID],SpecCV[factor])*O196,0)))</f>
        <v>106</v>
      </c>
      <c r="Q196" s="15">
        <f t="array" ref="Q196">if(J196="Contact plate", _xlfn.XLOOKUP(J196&amp;"-"&amp;E196&amp;"-"&amp;K196,SpecCV[ID],SpecCV[Spec]),_xlfn.XLOOKUP(J196&amp;"-"&amp;E196&amp;"-"&amp;K196,SpecCV[ID],SpecCV[Spec]))</f>
        <v>50</v>
      </c>
      <c r="R196" s="15" t="str">
        <f t="array" ref="R196">if(J196="Contact plate", _xlfn.XLOOKUP(J196&amp;"-"&amp;E196&amp;"-"&amp;K196,SpecCV[ID],SpecCV[Unit]),_xlfn.XLOOKUP(J196&amp;"-"&amp;E196&amp;"-"&amp;K196,SpecCV[ID],SpecCV[Unit]))</f>
        <v>cfu</v>
      </c>
      <c r="S196" s="67"/>
      <c r="T196" s="67"/>
      <c r="U196" s="67"/>
      <c r="V196" s="68" t="b">
        <v>0</v>
      </c>
      <c r="W196" s="24" t="s">
        <v>292</v>
      </c>
      <c r="X196" s="24"/>
    </row>
    <row r="197" ht="22.5" customHeight="1">
      <c r="A197" s="68"/>
      <c r="B197" s="68" t="b">
        <v>0</v>
      </c>
      <c r="C197" s="68">
        <v>16.0</v>
      </c>
      <c r="D197" s="70"/>
      <c r="E197" s="8" t="s">
        <v>28</v>
      </c>
      <c r="F197" s="24" t="s">
        <v>225</v>
      </c>
      <c r="G197" s="24" t="s">
        <v>226</v>
      </c>
      <c r="H197" s="24" t="s">
        <v>228</v>
      </c>
      <c r="I197" s="31">
        <v>46077.0</v>
      </c>
      <c r="J197" s="32" t="s">
        <v>30</v>
      </c>
      <c r="K197" s="32" t="s">
        <v>30</v>
      </c>
      <c r="L197" s="66" t="s">
        <v>42</v>
      </c>
      <c r="M197" s="66" t="s">
        <v>45</v>
      </c>
      <c r="N197" s="24">
        <v>1.0</v>
      </c>
      <c r="O197" s="24">
        <v>0.0</v>
      </c>
      <c r="P197" s="24">
        <f t="array" ref="P197">if(O197="","", if(O197=9999,9999,ROUNDUP(_xlfn.XLOOKUP(J197&amp;"-"&amp;E197&amp;"-"&amp;K197,SpecCV[ID],SpecCV[factor])*O197,0)))</f>
        <v>0</v>
      </c>
      <c r="Q197" s="15">
        <f t="array" ref="Q197">if(J197="Contact plate", _xlfn.XLOOKUP(J197&amp;"-"&amp;E197&amp;"-"&amp;K197,SpecCV[ID],SpecCV[Spec]),_xlfn.XLOOKUP(J197&amp;"-"&amp;E197&amp;"-"&amp;K197,SpecCV[ID],SpecCV[Spec]))</f>
        <v>50</v>
      </c>
      <c r="R197" s="15" t="str">
        <f t="array" ref="R197">if(J197="Contact plate", _xlfn.XLOOKUP(J197&amp;"-"&amp;E197&amp;"-"&amp;K197,SpecCV[ID],SpecCV[Unit]),_xlfn.XLOOKUP(J197&amp;"-"&amp;E197&amp;"-"&amp;K197,SpecCV[ID],SpecCV[Unit]))</f>
        <v>cfu</v>
      </c>
      <c r="S197" s="67"/>
      <c r="T197" s="67"/>
      <c r="U197" s="67"/>
      <c r="V197" s="68" t="b">
        <v>0</v>
      </c>
      <c r="W197" s="69"/>
      <c r="X197" s="69"/>
    </row>
    <row r="198" ht="22.5" customHeight="1">
      <c r="A198" s="68"/>
      <c r="B198" s="68" t="b">
        <v>0</v>
      </c>
      <c r="C198" s="68">
        <v>16.0</v>
      </c>
      <c r="D198" s="70"/>
      <c r="E198" s="8" t="s">
        <v>28</v>
      </c>
      <c r="F198" s="24" t="s">
        <v>225</v>
      </c>
      <c r="G198" s="24" t="s">
        <v>216</v>
      </c>
      <c r="H198" s="24" t="s">
        <v>229</v>
      </c>
      <c r="I198" s="31">
        <v>46077.0</v>
      </c>
      <c r="J198" s="32" t="s">
        <v>47</v>
      </c>
      <c r="K198" s="66" t="s">
        <v>48</v>
      </c>
      <c r="L198" s="66" t="s">
        <v>42</v>
      </c>
      <c r="M198" s="66" t="s">
        <v>45</v>
      </c>
      <c r="N198" s="24">
        <v>1.0</v>
      </c>
      <c r="O198" s="24">
        <v>9999.0</v>
      </c>
      <c r="P198" s="24">
        <f t="array" ref="P198">if(O198="","", if(O198=9999,9999,ROUNDUP(_xlfn.XLOOKUP(J198&amp;"-"&amp;E198&amp;"-"&amp;K198,SpecCV[ID],SpecCV[factor])*O198,0)))</f>
        <v>9999</v>
      </c>
      <c r="Q198" s="24">
        <f t="array" ref="Q198">if(J198="Contact plate", _xlfn.XLOOKUP(J198&amp;"-"&amp;E198&amp;"-"&amp;K198,SpecCV[ID],SpecCV[Spec]),_xlfn.XLOOKUP(J198&amp;"-"&amp;E198&amp;"-"&amp;K198,SpecCV[ID],SpecCV[Spec]))</f>
        <v>100</v>
      </c>
      <c r="R198" s="15" t="str">
        <f t="array" ref="R198">if(J198="Contact plate", _xlfn.XLOOKUP(J198&amp;"-"&amp;E198&amp;"-"&amp;K198,SpecCV[ID],SpecCV[Unit]),_xlfn.XLOOKUP(J198&amp;"-"&amp;E198&amp;"-"&amp;K198,SpecCV[ID],SpecCV[Unit]))</f>
        <v>cfu/ml</v>
      </c>
      <c r="S198" s="67"/>
      <c r="T198" s="67"/>
      <c r="U198" s="67"/>
      <c r="V198" s="68" t="b">
        <v>0</v>
      </c>
      <c r="W198" s="69"/>
      <c r="X198" s="69"/>
    </row>
    <row r="199" ht="22.5" customHeight="1">
      <c r="A199" s="68"/>
      <c r="B199" s="68" t="b">
        <v>0</v>
      </c>
      <c r="C199" s="68">
        <v>16.0</v>
      </c>
      <c r="D199" s="70"/>
      <c r="E199" s="8" t="s">
        <v>28</v>
      </c>
      <c r="F199" s="24" t="s">
        <v>225</v>
      </c>
      <c r="G199" s="24" t="s">
        <v>216</v>
      </c>
      <c r="H199" s="24" t="s">
        <v>230</v>
      </c>
      <c r="I199" s="31">
        <v>46077.0</v>
      </c>
      <c r="J199" s="32" t="s">
        <v>47</v>
      </c>
      <c r="K199" s="66" t="s">
        <v>48</v>
      </c>
      <c r="L199" s="66" t="s">
        <v>42</v>
      </c>
      <c r="M199" s="66" t="s">
        <v>45</v>
      </c>
      <c r="N199" s="24">
        <v>1.0</v>
      </c>
      <c r="O199" s="24">
        <v>9999.0</v>
      </c>
      <c r="P199" s="24">
        <f t="array" ref="P199">if(O199="","", if(O199=9999,9999,ROUNDUP(_xlfn.XLOOKUP(J199&amp;"-"&amp;E199&amp;"-"&amp;K199,SpecCV[ID],SpecCV[factor])*O199,0)))</f>
        <v>9999</v>
      </c>
      <c r="Q199" s="24">
        <f t="array" ref="Q199">if(J199="Contact plate", _xlfn.XLOOKUP(J199&amp;"-"&amp;E199&amp;"-"&amp;K199,SpecCV[ID],SpecCV[Spec]),_xlfn.XLOOKUP(J199&amp;"-"&amp;E199&amp;"-"&amp;K199,SpecCV[ID],SpecCV[Spec]))</f>
        <v>100</v>
      </c>
      <c r="R199" s="15" t="str">
        <f t="array" ref="R199">if(J199="Contact plate", _xlfn.XLOOKUP(J199&amp;"-"&amp;E199&amp;"-"&amp;K199,SpecCV[ID],SpecCV[Unit]),_xlfn.XLOOKUP(J199&amp;"-"&amp;E199&amp;"-"&amp;K199,SpecCV[ID],SpecCV[Unit]))</f>
        <v>cfu/ml</v>
      </c>
      <c r="S199" s="67"/>
      <c r="T199" s="67"/>
      <c r="U199" s="67"/>
      <c r="V199" s="68" t="b">
        <v>0</v>
      </c>
      <c r="W199" s="69"/>
      <c r="X199" s="69"/>
    </row>
    <row r="200" ht="22.5" customHeight="1">
      <c r="A200" s="68"/>
      <c r="B200" s="68" t="b">
        <v>0</v>
      </c>
      <c r="C200" s="68">
        <v>16.0</v>
      </c>
      <c r="D200" s="70"/>
      <c r="E200" s="68" t="s">
        <v>43</v>
      </c>
      <c r="F200" s="24" t="s">
        <v>231</v>
      </c>
      <c r="G200" s="24" t="s">
        <v>232</v>
      </c>
      <c r="H200" s="24" t="s">
        <v>233</v>
      </c>
      <c r="I200" s="31">
        <v>46083.0</v>
      </c>
      <c r="J200" s="32" t="s">
        <v>52</v>
      </c>
      <c r="K200" s="66" t="s">
        <v>50</v>
      </c>
      <c r="L200" s="66" t="s">
        <v>42</v>
      </c>
      <c r="M200" s="66" t="s">
        <v>45</v>
      </c>
      <c r="N200" s="24">
        <v>1.0</v>
      </c>
      <c r="O200" s="24">
        <v>304.0</v>
      </c>
      <c r="P200" s="24">
        <f t="array" ref="P200">if(O200="","", if(O200=9999,9999,ROUNDUP(_xlfn.XLOOKUP(J200&amp;"-"&amp;E200&amp;"-"&amp;K200,SpecCV[ID],SpecCV[factor])*O200,0)))</f>
        <v>304</v>
      </c>
      <c r="Q200" s="24">
        <f t="array" ref="Q200">if(J200="Contact plate", _xlfn.XLOOKUP(J200&amp;"-"&amp;E200&amp;"-"&amp;K200,SpecCV[ID],SpecCV[Spec]),_xlfn.XLOOKUP(J200&amp;"-"&amp;E200&amp;"-"&amp;K200,SpecCV[ID],SpecCV[Spec]))</f>
        <v>10</v>
      </c>
      <c r="R200" s="15" t="str">
        <f t="array" ref="R200">if(J200="Contact plate", _xlfn.XLOOKUP(J200&amp;"-"&amp;E200&amp;"-"&amp;K200,SpecCV[ID],SpecCV[Unit]),_xlfn.XLOOKUP(J200&amp;"-"&amp;E200&amp;"-"&amp;K200,SpecCV[ID],SpecCV[Unit]))</f>
        <v>cfu/100ml</v>
      </c>
      <c r="S200" s="67"/>
      <c r="T200" s="67"/>
      <c r="U200" s="67"/>
      <c r="V200" s="68" t="b">
        <v>0</v>
      </c>
      <c r="W200" s="69"/>
      <c r="X200" s="69"/>
    </row>
    <row r="201" ht="22.5" customHeight="1">
      <c r="A201" s="68"/>
      <c r="B201" s="68" t="b">
        <v>0</v>
      </c>
      <c r="C201" s="68">
        <v>16.0</v>
      </c>
      <c r="D201" s="70"/>
      <c r="E201" s="68" t="s">
        <v>37</v>
      </c>
      <c r="F201" s="24" t="s">
        <v>231</v>
      </c>
      <c r="G201" s="24" t="s">
        <v>234</v>
      </c>
      <c r="H201" s="24" t="s">
        <v>235</v>
      </c>
      <c r="I201" s="31">
        <v>46083.0</v>
      </c>
      <c r="J201" s="32" t="s">
        <v>52</v>
      </c>
      <c r="K201" s="66" t="s">
        <v>50</v>
      </c>
      <c r="L201" s="66" t="s">
        <v>42</v>
      </c>
      <c r="M201" s="66" t="s">
        <v>45</v>
      </c>
      <c r="N201" s="24">
        <v>1.0</v>
      </c>
      <c r="O201" s="24">
        <v>134.0</v>
      </c>
      <c r="P201" s="24">
        <f t="array" ref="P201">if(O201="","", if(O201=9999,9999,ROUNDUP(_xlfn.XLOOKUP(J201&amp;"-"&amp;E201&amp;"-"&amp;K201,SpecCV[ID],SpecCV[factor])*O201,0)))</f>
        <v>134</v>
      </c>
      <c r="Q201" s="24">
        <f t="array" ref="Q201">if(J201="Contact plate", _xlfn.XLOOKUP(J201&amp;"-"&amp;E201&amp;"-"&amp;K201,SpecCV[ID],SpecCV[Spec]),_xlfn.XLOOKUP(J201&amp;"-"&amp;E201&amp;"-"&amp;K201,SpecCV[ID],SpecCV[Spec]))</f>
        <v>10</v>
      </c>
      <c r="R201" s="15" t="str">
        <f t="array" ref="R201">if(J201="Contact plate", _xlfn.XLOOKUP(J201&amp;"-"&amp;E201&amp;"-"&amp;K201,SpecCV[ID],SpecCV[Unit]),_xlfn.XLOOKUP(J201&amp;"-"&amp;E201&amp;"-"&amp;K201,SpecCV[ID],SpecCV[Unit]))</f>
        <v>cfu/100ml</v>
      </c>
      <c r="S201" s="67"/>
      <c r="T201" s="67"/>
      <c r="U201" s="67"/>
      <c r="V201" s="68" t="b">
        <v>0</v>
      </c>
      <c r="W201" s="69"/>
      <c r="X201" s="69"/>
    </row>
    <row r="202" ht="22.5" customHeight="1">
      <c r="A202" s="68"/>
      <c r="B202" s="68" t="b">
        <v>0</v>
      </c>
      <c r="C202" s="68">
        <v>16.0</v>
      </c>
      <c r="D202" s="70"/>
      <c r="E202" s="68" t="s">
        <v>37</v>
      </c>
      <c r="F202" s="24" t="s">
        <v>231</v>
      </c>
      <c r="G202" s="24" t="s">
        <v>234</v>
      </c>
      <c r="H202" s="24" t="s">
        <v>236</v>
      </c>
      <c r="I202" s="31">
        <v>46083.0</v>
      </c>
      <c r="J202" s="32" t="s">
        <v>52</v>
      </c>
      <c r="K202" s="66" t="s">
        <v>50</v>
      </c>
      <c r="L202" s="66" t="s">
        <v>42</v>
      </c>
      <c r="M202" s="66" t="s">
        <v>45</v>
      </c>
      <c r="N202" s="24">
        <v>1.0</v>
      </c>
      <c r="O202" s="24">
        <v>127.0</v>
      </c>
      <c r="P202" s="24">
        <f t="array" ref="P202">if(O202="","", if(O202=9999,9999,ROUNDUP(_xlfn.XLOOKUP(J202&amp;"-"&amp;E202&amp;"-"&amp;K202,SpecCV[ID],SpecCV[factor])*O202,0)))</f>
        <v>127</v>
      </c>
      <c r="Q202" s="24">
        <f t="array" ref="Q202">if(J202="Contact plate", _xlfn.XLOOKUP(J202&amp;"-"&amp;E202&amp;"-"&amp;K202,SpecCV[ID],SpecCV[Spec]),_xlfn.XLOOKUP(J202&amp;"-"&amp;E202&amp;"-"&amp;K202,SpecCV[ID],SpecCV[Spec]))</f>
        <v>10</v>
      </c>
      <c r="R202" s="15" t="str">
        <f t="array" ref="R202">if(J202="Contact plate", _xlfn.XLOOKUP(J202&amp;"-"&amp;E202&amp;"-"&amp;K202,SpecCV[ID],SpecCV[Unit]),_xlfn.XLOOKUP(J202&amp;"-"&amp;E202&amp;"-"&amp;K202,SpecCV[ID],SpecCV[Unit]))</f>
        <v>cfu/100ml</v>
      </c>
      <c r="S202" s="67"/>
      <c r="T202" s="67"/>
      <c r="U202" s="67"/>
      <c r="V202" s="68" t="b">
        <v>0</v>
      </c>
      <c r="W202" s="69"/>
      <c r="X202" s="69"/>
    </row>
    <row r="203" ht="22.5" customHeight="1">
      <c r="A203" s="68"/>
      <c r="B203" s="68" t="b">
        <v>0</v>
      </c>
      <c r="C203" s="68">
        <v>16.0</v>
      </c>
      <c r="D203" s="70"/>
      <c r="E203" s="68" t="s">
        <v>37</v>
      </c>
      <c r="F203" s="24" t="s">
        <v>231</v>
      </c>
      <c r="G203" s="24" t="s">
        <v>234</v>
      </c>
      <c r="H203" s="24" t="s">
        <v>237</v>
      </c>
      <c r="I203" s="31">
        <v>46083.0</v>
      </c>
      <c r="J203" s="32" t="s">
        <v>52</v>
      </c>
      <c r="K203" s="66" t="s">
        <v>50</v>
      </c>
      <c r="L203" s="66" t="s">
        <v>42</v>
      </c>
      <c r="M203" s="66" t="s">
        <v>45</v>
      </c>
      <c r="N203" s="24">
        <v>1.0</v>
      </c>
      <c r="O203" s="24">
        <v>132.0</v>
      </c>
      <c r="P203" s="24">
        <f t="array" ref="P203">if(O203="","", if(O203=9999,9999,ROUNDUP(_xlfn.XLOOKUP(J203&amp;"-"&amp;E203&amp;"-"&amp;K203,SpecCV[ID],SpecCV[factor])*O203,0)))</f>
        <v>132</v>
      </c>
      <c r="Q203" s="24">
        <f t="array" ref="Q203">if(J203="Contact plate", _xlfn.XLOOKUP(J203&amp;"-"&amp;E203&amp;"-"&amp;K203,SpecCV[ID],SpecCV[Spec]),_xlfn.XLOOKUP(J203&amp;"-"&amp;E203&amp;"-"&amp;K203,SpecCV[ID],SpecCV[Spec]))</f>
        <v>10</v>
      </c>
      <c r="R203" s="15" t="str">
        <f t="array" ref="R203">if(J203="Contact plate", _xlfn.XLOOKUP(J203&amp;"-"&amp;E203&amp;"-"&amp;K203,SpecCV[ID],SpecCV[Unit]),_xlfn.XLOOKUP(J203&amp;"-"&amp;E203&amp;"-"&amp;K203,SpecCV[ID],SpecCV[Unit]))</f>
        <v>cfu/100ml</v>
      </c>
      <c r="S203" s="67"/>
      <c r="T203" s="67"/>
      <c r="U203" s="67"/>
      <c r="V203" s="68" t="b">
        <v>0</v>
      </c>
      <c r="W203" s="69"/>
      <c r="X203" s="69"/>
    </row>
    <row r="204" ht="22.5" customHeight="1">
      <c r="A204" s="68"/>
      <c r="B204" s="68" t="b">
        <v>0</v>
      </c>
      <c r="C204" s="68">
        <v>16.0</v>
      </c>
      <c r="D204" s="70"/>
      <c r="E204" s="68" t="s">
        <v>37</v>
      </c>
      <c r="F204" s="24" t="s">
        <v>231</v>
      </c>
      <c r="G204" s="24" t="s">
        <v>234</v>
      </c>
      <c r="H204" s="24" t="s">
        <v>238</v>
      </c>
      <c r="I204" s="31">
        <v>46083.0</v>
      </c>
      <c r="J204" s="32" t="s">
        <v>52</v>
      </c>
      <c r="K204" s="66" t="s">
        <v>50</v>
      </c>
      <c r="L204" s="66" t="s">
        <v>42</v>
      </c>
      <c r="M204" s="66" t="s">
        <v>45</v>
      </c>
      <c r="N204" s="24">
        <v>1.0</v>
      </c>
      <c r="O204" s="24">
        <v>140.0</v>
      </c>
      <c r="P204" s="24">
        <f t="array" ref="P204">if(O204="","", if(O204=9999,9999,ROUNDUP(_xlfn.XLOOKUP(J204&amp;"-"&amp;E204&amp;"-"&amp;K204,SpecCV[ID],SpecCV[factor])*O204,0)))</f>
        <v>140</v>
      </c>
      <c r="Q204" s="24">
        <f t="array" ref="Q204">if(J204="Contact plate", _xlfn.XLOOKUP(J204&amp;"-"&amp;E204&amp;"-"&amp;K204,SpecCV[ID],SpecCV[Spec]),_xlfn.XLOOKUP(J204&amp;"-"&amp;E204&amp;"-"&amp;K204,SpecCV[ID],SpecCV[Spec]))</f>
        <v>10</v>
      </c>
      <c r="R204" s="15" t="str">
        <f t="array" ref="R204">if(J204="Contact plate", _xlfn.XLOOKUP(J204&amp;"-"&amp;E204&amp;"-"&amp;K204,SpecCV[ID],SpecCV[Unit]),_xlfn.XLOOKUP(J204&amp;"-"&amp;E204&amp;"-"&amp;K204,SpecCV[ID],SpecCV[Unit]))</f>
        <v>cfu/100ml</v>
      </c>
      <c r="S204" s="67"/>
      <c r="T204" s="67"/>
      <c r="U204" s="67"/>
      <c r="V204" s="68" t="b">
        <v>0</v>
      </c>
      <c r="W204" s="69"/>
      <c r="X204" s="69"/>
    </row>
    <row r="205" ht="22.5" customHeight="1">
      <c r="A205" s="68"/>
      <c r="B205" s="68" t="b">
        <v>0</v>
      </c>
      <c r="C205" s="68">
        <v>16.0</v>
      </c>
      <c r="D205" s="70"/>
      <c r="E205" s="68" t="s">
        <v>37</v>
      </c>
      <c r="F205" s="24" t="s">
        <v>231</v>
      </c>
      <c r="G205" s="24" t="s">
        <v>234</v>
      </c>
      <c r="H205" s="24" t="s">
        <v>239</v>
      </c>
      <c r="I205" s="31">
        <v>46083.0</v>
      </c>
      <c r="J205" s="32" t="s">
        <v>52</v>
      </c>
      <c r="K205" s="66" t="s">
        <v>50</v>
      </c>
      <c r="L205" s="66" t="s">
        <v>42</v>
      </c>
      <c r="M205" s="66" t="s">
        <v>45</v>
      </c>
      <c r="N205" s="24">
        <v>1.0</v>
      </c>
      <c r="O205" s="24">
        <v>146.0</v>
      </c>
      <c r="P205" s="24">
        <f t="array" ref="P205">if(O205="","", if(O205=9999,9999,ROUNDUP(_xlfn.XLOOKUP(J205&amp;"-"&amp;E205&amp;"-"&amp;K205,SpecCV[ID],SpecCV[factor])*O205,0)))</f>
        <v>146</v>
      </c>
      <c r="Q205" s="24">
        <f t="array" ref="Q205">if(J205="Contact plate", _xlfn.XLOOKUP(J205&amp;"-"&amp;E205&amp;"-"&amp;K205,SpecCV[ID],SpecCV[Spec]),_xlfn.XLOOKUP(J205&amp;"-"&amp;E205&amp;"-"&amp;K205,SpecCV[ID],SpecCV[Spec]))</f>
        <v>10</v>
      </c>
      <c r="R205" s="15" t="str">
        <f t="array" ref="R205">if(J205="Contact plate", _xlfn.XLOOKUP(J205&amp;"-"&amp;E205&amp;"-"&amp;K205,SpecCV[ID],SpecCV[Unit]),_xlfn.XLOOKUP(J205&amp;"-"&amp;E205&amp;"-"&amp;K205,SpecCV[ID],SpecCV[Unit]))</f>
        <v>cfu/100ml</v>
      </c>
      <c r="S205" s="67"/>
      <c r="T205" s="67"/>
      <c r="U205" s="67"/>
      <c r="V205" s="68" t="b">
        <v>0</v>
      </c>
      <c r="W205" s="69"/>
      <c r="X205" s="69"/>
    </row>
    <row r="206" ht="22.5" customHeight="1">
      <c r="A206" s="68"/>
      <c r="B206" s="68" t="b">
        <v>0</v>
      </c>
      <c r="C206" s="68">
        <v>16.0</v>
      </c>
      <c r="D206" s="70"/>
      <c r="E206" s="68" t="s">
        <v>37</v>
      </c>
      <c r="F206" s="24" t="s">
        <v>231</v>
      </c>
      <c r="G206" s="24" t="s">
        <v>234</v>
      </c>
      <c r="H206" s="24" t="s">
        <v>240</v>
      </c>
      <c r="I206" s="31">
        <v>46083.0</v>
      </c>
      <c r="J206" s="32" t="s">
        <v>52</v>
      </c>
      <c r="K206" s="66" t="s">
        <v>50</v>
      </c>
      <c r="L206" s="66" t="s">
        <v>42</v>
      </c>
      <c r="M206" s="66" t="s">
        <v>45</v>
      </c>
      <c r="N206" s="24">
        <v>1.0</v>
      </c>
      <c r="O206" s="24">
        <v>134.0</v>
      </c>
      <c r="P206" s="24">
        <f t="array" ref="P206">if(O206="","", if(O206=9999,9999,ROUNDUP(_xlfn.XLOOKUP(J206&amp;"-"&amp;E206&amp;"-"&amp;K206,SpecCV[ID],SpecCV[factor])*O206,0)))</f>
        <v>134</v>
      </c>
      <c r="Q206" s="24">
        <f t="array" ref="Q206">if(J206="Contact plate", _xlfn.XLOOKUP(J206&amp;"-"&amp;E206&amp;"-"&amp;K206,SpecCV[ID],SpecCV[Spec]),_xlfn.XLOOKUP(J206&amp;"-"&amp;E206&amp;"-"&amp;K206,SpecCV[ID],SpecCV[Spec]))</f>
        <v>10</v>
      </c>
      <c r="R206" s="15" t="str">
        <f t="array" ref="R206">if(J206="Contact plate", _xlfn.XLOOKUP(J206&amp;"-"&amp;E206&amp;"-"&amp;K206,SpecCV[ID],SpecCV[Unit]),_xlfn.XLOOKUP(J206&amp;"-"&amp;E206&amp;"-"&amp;K206,SpecCV[ID],SpecCV[Unit]))</f>
        <v>cfu/100ml</v>
      </c>
      <c r="S206" s="67"/>
      <c r="T206" s="67"/>
      <c r="U206" s="67"/>
      <c r="V206" s="68" t="b">
        <v>0</v>
      </c>
      <c r="W206" s="69"/>
      <c r="X206" s="69"/>
    </row>
    <row r="207" ht="22.5" customHeight="1">
      <c r="A207" s="68"/>
      <c r="B207" s="68" t="b">
        <v>0</v>
      </c>
      <c r="C207" s="68">
        <v>16.0</v>
      </c>
      <c r="D207" s="70"/>
      <c r="E207" s="68" t="s">
        <v>37</v>
      </c>
      <c r="F207" s="24" t="s">
        <v>231</v>
      </c>
      <c r="G207" s="24" t="s">
        <v>241</v>
      </c>
      <c r="H207" s="24" t="s">
        <v>242</v>
      </c>
      <c r="I207" s="31">
        <v>46083.0</v>
      </c>
      <c r="J207" s="32" t="s">
        <v>30</v>
      </c>
      <c r="K207" s="66" t="s">
        <v>30</v>
      </c>
      <c r="L207" s="66" t="s">
        <v>42</v>
      </c>
      <c r="M207" s="66" t="s">
        <v>45</v>
      </c>
      <c r="N207" s="24">
        <v>1.0</v>
      </c>
      <c r="O207" s="24">
        <v>3.0</v>
      </c>
      <c r="P207" s="24">
        <v>3.0</v>
      </c>
      <c r="Q207" s="24">
        <f t="array" ref="Q207">if(J207="Contact plate", _xlfn.XLOOKUP(J207&amp;"-"&amp;E207&amp;"-"&amp;K207,SpecCV[ID],SpecCV[Spec]),_xlfn.XLOOKUP(J207&amp;"-"&amp;E207&amp;"-"&amp;K207,SpecCV[ID],SpecCV[Spec]))</f>
        <v>0</v>
      </c>
      <c r="R207" s="15" t="str">
        <f t="array" ref="R207">if(J207="Contact plate", _xlfn.XLOOKUP(J207&amp;"-"&amp;E207&amp;"-"&amp;K207,SpecCV[ID],SpecCV[Unit]),_xlfn.XLOOKUP(J207&amp;"-"&amp;E207&amp;"-"&amp;K207,SpecCV[ID],SpecCV[Unit]))</f>
        <v>cfu</v>
      </c>
      <c r="S207" s="67"/>
      <c r="T207" s="67"/>
      <c r="U207" s="67"/>
      <c r="V207" s="68" t="b">
        <v>0</v>
      </c>
      <c r="W207" s="69"/>
      <c r="X207" s="69"/>
    </row>
    <row r="208" ht="22.5" customHeight="1">
      <c r="A208" s="68"/>
      <c r="B208" s="68" t="b">
        <v>0</v>
      </c>
      <c r="C208" s="68">
        <v>16.0</v>
      </c>
      <c r="D208" s="70"/>
      <c r="E208" s="68" t="s">
        <v>37</v>
      </c>
      <c r="F208" s="24" t="s">
        <v>231</v>
      </c>
      <c r="G208" s="24" t="s">
        <v>241</v>
      </c>
      <c r="H208" s="24" t="s">
        <v>243</v>
      </c>
      <c r="I208" s="31">
        <v>46083.0</v>
      </c>
      <c r="J208" s="32" t="s">
        <v>30</v>
      </c>
      <c r="K208" s="66" t="s">
        <v>30</v>
      </c>
      <c r="L208" s="66" t="s">
        <v>42</v>
      </c>
      <c r="M208" s="66" t="s">
        <v>45</v>
      </c>
      <c r="N208" s="24">
        <v>1.0</v>
      </c>
      <c r="O208" s="24">
        <v>4.0</v>
      </c>
      <c r="P208" s="24">
        <f t="array" ref="P208">if(O208="","", if(O208=9999,9999,ROUNDUP(_xlfn.XLOOKUP(J208&amp;"-"&amp;E208&amp;"-"&amp;K208,SpecCV[ID],SpecCV[factor])*O208,0)))</f>
        <v>4</v>
      </c>
      <c r="Q208" s="24">
        <f t="array" ref="Q208">if(J208="Contact plate", _xlfn.XLOOKUP(J208&amp;"-"&amp;E208&amp;"-"&amp;K208,SpecCV[ID],SpecCV[Spec]),_xlfn.XLOOKUP(J208&amp;"-"&amp;E208&amp;"-"&amp;K208,SpecCV[ID],SpecCV[Spec]))</f>
        <v>0</v>
      </c>
      <c r="R208" s="15" t="str">
        <f t="array" ref="R208">if(J208="Contact plate", _xlfn.XLOOKUP(J208&amp;"-"&amp;E208&amp;"-"&amp;K208,SpecCV[ID],SpecCV[Unit]),_xlfn.XLOOKUP(J208&amp;"-"&amp;E208&amp;"-"&amp;K208,SpecCV[ID],SpecCV[Unit]))</f>
        <v>cfu</v>
      </c>
      <c r="S208" s="67"/>
      <c r="T208" s="67"/>
      <c r="U208" s="67"/>
      <c r="V208" s="68" t="b">
        <v>0</v>
      </c>
      <c r="W208" s="69"/>
      <c r="X208" s="69"/>
    </row>
    <row r="209" ht="22.5" customHeight="1">
      <c r="A209" s="68"/>
      <c r="B209" s="68" t="b">
        <v>0</v>
      </c>
      <c r="C209" s="68">
        <v>16.0</v>
      </c>
      <c r="D209" s="70"/>
      <c r="E209" s="8" t="s">
        <v>28</v>
      </c>
      <c r="F209" s="24" t="s">
        <v>244</v>
      </c>
      <c r="G209" s="24" t="s">
        <v>245</v>
      </c>
      <c r="H209" s="24" t="s">
        <v>246</v>
      </c>
      <c r="I209" s="31">
        <v>46085.0</v>
      </c>
      <c r="J209" s="32" t="s">
        <v>47</v>
      </c>
      <c r="K209" s="66" t="s">
        <v>50</v>
      </c>
      <c r="L209" s="66" t="s">
        <v>42</v>
      </c>
      <c r="M209" s="66" t="s">
        <v>45</v>
      </c>
      <c r="N209" s="24">
        <v>1.0</v>
      </c>
      <c r="O209" s="24">
        <v>528.0</v>
      </c>
      <c r="P209" s="24">
        <f t="array" ref="P209">if(O209="","", if(O209=9999,9999,ROUNDUP(_xlfn.XLOOKUP(J209&amp;"-"&amp;E209&amp;"-"&amp;K209,SpecCV[ID],SpecCV[factor])*O209,0)))</f>
        <v>6</v>
      </c>
      <c r="Q209" s="24">
        <f t="array" ref="Q209">if(J209="Contact plate", _xlfn.XLOOKUP(J209&amp;"-"&amp;E209&amp;"-"&amp;K209,SpecCV[ID],SpecCV[Spec]),_xlfn.XLOOKUP(J209&amp;"-"&amp;E209&amp;"-"&amp;K209,SpecCV[ID],SpecCV[Spec]))</f>
        <v>100</v>
      </c>
      <c r="R209" s="15" t="str">
        <f t="array" ref="R209">if(J209="Contact plate", _xlfn.XLOOKUP(J209&amp;"-"&amp;E209&amp;"-"&amp;K209,SpecCV[ID],SpecCV[Unit]),_xlfn.XLOOKUP(J209&amp;"-"&amp;E209&amp;"-"&amp;K209,SpecCV[ID],SpecCV[Unit]))</f>
        <v>cfu/ml</v>
      </c>
      <c r="S209" s="67"/>
      <c r="T209" s="67"/>
      <c r="U209" s="67"/>
      <c r="V209" s="68" t="b">
        <v>0</v>
      </c>
      <c r="W209" s="69"/>
      <c r="X209" s="69"/>
    </row>
    <row r="210" ht="22.5" customHeight="1">
      <c r="A210" s="68"/>
      <c r="B210" s="68" t="b">
        <v>0</v>
      </c>
      <c r="C210" s="68">
        <v>16.0</v>
      </c>
      <c r="D210" s="70"/>
      <c r="E210" s="8" t="s">
        <v>28</v>
      </c>
      <c r="F210" s="24" t="s">
        <v>225</v>
      </c>
      <c r="G210" s="24" t="s">
        <v>226</v>
      </c>
      <c r="H210" s="24" t="s">
        <v>227</v>
      </c>
      <c r="I210" s="31">
        <v>46086.0</v>
      </c>
      <c r="J210" s="32" t="s">
        <v>30</v>
      </c>
      <c r="K210" s="66" t="s">
        <v>30</v>
      </c>
      <c r="L210" s="66" t="s">
        <v>42</v>
      </c>
      <c r="M210" s="66" t="s">
        <v>281</v>
      </c>
      <c r="N210" s="24">
        <v>1.0</v>
      </c>
      <c r="O210" s="24">
        <v>0.0</v>
      </c>
      <c r="P210" s="24">
        <f t="array" ref="P210">if(O210="","", if(O210=9999,9999,ROUNDUP(_xlfn.XLOOKUP(J210&amp;"-"&amp;E210&amp;"-"&amp;K210,SpecCV[ID],SpecCV[factor])*O210,0)))</f>
        <v>0</v>
      </c>
      <c r="Q210" s="24">
        <f t="array" ref="Q210">if(J210="Contact plate", _xlfn.XLOOKUP(J210&amp;"-"&amp;E210&amp;"-"&amp;K210,SpecCV[ID],SpecCV[Spec]),_xlfn.XLOOKUP(J210&amp;"-"&amp;E210&amp;"-"&amp;K210,SpecCV[ID],SpecCV[Spec]))</f>
        <v>50</v>
      </c>
      <c r="R210" s="15" t="str">
        <f t="array" ref="R210">if(J210="Contact plate", _xlfn.XLOOKUP(J210&amp;"-"&amp;E210&amp;"-"&amp;K210,SpecCV[ID],SpecCV[Unit]),_xlfn.XLOOKUP(J210&amp;"-"&amp;E210&amp;"-"&amp;K210,SpecCV[ID],SpecCV[Unit]))</f>
        <v>cfu</v>
      </c>
      <c r="S210" s="67"/>
      <c r="T210" s="67"/>
      <c r="U210" s="67"/>
      <c r="V210" s="68" t="b">
        <v>0</v>
      </c>
      <c r="W210" s="69"/>
      <c r="X210" s="69"/>
    </row>
    <row r="211" ht="22.5" customHeight="1">
      <c r="A211" s="68"/>
      <c r="B211" s="68" t="b">
        <v>0</v>
      </c>
      <c r="C211" s="68">
        <v>16.0</v>
      </c>
      <c r="D211" s="70"/>
      <c r="E211" s="8" t="s">
        <v>28</v>
      </c>
      <c r="F211" s="24" t="s">
        <v>225</v>
      </c>
      <c r="G211" s="24" t="s">
        <v>226</v>
      </c>
      <c r="H211" s="24" t="s">
        <v>228</v>
      </c>
      <c r="I211" s="31">
        <v>46086.0</v>
      </c>
      <c r="J211" s="32" t="s">
        <v>30</v>
      </c>
      <c r="K211" s="66" t="s">
        <v>30</v>
      </c>
      <c r="L211" s="66" t="s">
        <v>42</v>
      </c>
      <c r="M211" s="66" t="s">
        <v>281</v>
      </c>
      <c r="N211" s="24">
        <v>1.0</v>
      </c>
      <c r="O211" s="24">
        <v>2.0</v>
      </c>
      <c r="P211" s="24">
        <f t="array" ref="P211">if(O211="","", if(O211=9999,9999,ROUNDUP(_xlfn.XLOOKUP(J211&amp;"-"&amp;E211&amp;"-"&amp;K211,SpecCV[ID],SpecCV[factor])*O211,0)))</f>
        <v>2</v>
      </c>
      <c r="Q211" s="24">
        <f t="array" ref="Q211">if(J211="Contact plate", _xlfn.XLOOKUP(J211&amp;"-"&amp;E211&amp;"-"&amp;K211,SpecCV[ID],SpecCV[Spec]),_xlfn.XLOOKUP(J211&amp;"-"&amp;E211&amp;"-"&amp;K211,SpecCV[ID],SpecCV[Spec]))</f>
        <v>50</v>
      </c>
      <c r="R211" s="15" t="str">
        <f t="array" ref="R211">if(J211="Contact plate", _xlfn.XLOOKUP(J211&amp;"-"&amp;E211&amp;"-"&amp;K211,SpecCV[ID],SpecCV[Unit]),_xlfn.XLOOKUP(J211&amp;"-"&amp;E211&amp;"-"&amp;K211,SpecCV[ID],SpecCV[Unit]))</f>
        <v>cfu</v>
      </c>
      <c r="S211" s="67"/>
      <c r="T211" s="67"/>
      <c r="U211" s="67"/>
      <c r="V211" s="68" t="b">
        <v>0</v>
      </c>
      <c r="W211" s="69"/>
      <c r="X211" s="69"/>
    </row>
    <row r="212" ht="22.5" customHeight="1">
      <c r="A212" s="68"/>
      <c r="B212" s="68" t="b">
        <v>0</v>
      </c>
      <c r="C212" s="68">
        <v>16.0</v>
      </c>
      <c r="D212" s="70"/>
      <c r="E212" s="8" t="s">
        <v>28</v>
      </c>
      <c r="F212" s="24" t="s">
        <v>225</v>
      </c>
      <c r="G212" s="24" t="s">
        <v>216</v>
      </c>
      <c r="H212" s="24" t="s">
        <v>229</v>
      </c>
      <c r="I212" s="31">
        <v>46086.0</v>
      </c>
      <c r="J212" s="32" t="s">
        <v>47</v>
      </c>
      <c r="K212" s="66" t="s">
        <v>50</v>
      </c>
      <c r="L212" s="66" t="s">
        <v>42</v>
      </c>
      <c r="M212" s="66" t="s">
        <v>281</v>
      </c>
      <c r="N212" s="24">
        <v>1.0</v>
      </c>
      <c r="O212" s="24">
        <v>42.0</v>
      </c>
      <c r="P212" s="24">
        <f t="array" ref="P212">if(O212="","", if(O212=9999,9999,ROUNDUP(_xlfn.XLOOKUP(J212&amp;"-"&amp;E212&amp;"-"&amp;K212,SpecCV[ID],SpecCV[factor])*O212,0)))</f>
        <v>1</v>
      </c>
      <c r="Q212" s="24">
        <f t="array" ref="Q212">if(J212="Contact plate", _xlfn.XLOOKUP(J212&amp;"-"&amp;E212&amp;"-"&amp;K212,SpecCV[ID],SpecCV[Spec]),_xlfn.XLOOKUP(J212&amp;"-"&amp;E212&amp;"-"&amp;K212,SpecCV[ID],SpecCV[Spec]))</f>
        <v>100</v>
      </c>
      <c r="R212" s="15" t="str">
        <f t="array" ref="R212">if(J212="Contact plate", _xlfn.XLOOKUP(J212&amp;"-"&amp;E212&amp;"-"&amp;K212,SpecCV[ID],SpecCV[Unit]),_xlfn.XLOOKUP(J212&amp;"-"&amp;E212&amp;"-"&amp;K212,SpecCV[ID],SpecCV[Unit]))</f>
        <v>cfu/ml</v>
      </c>
      <c r="S212" s="67"/>
      <c r="T212" s="67"/>
      <c r="U212" s="67"/>
      <c r="V212" s="68" t="b">
        <v>0</v>
      </c>
      <c r="W212" s="69"/>
      <c r="X212" s="69"/>
    </row>
    <row r="213" ht="22.5" customHeight="1">
      <c r="A213" s="68"/>
      <c r="B213" s="68" t="b">
        <v>0</v>
      </c>
      <c r="C213" s="68">
        <v>16.0</v>
      </c>
      <c r="D213" s="70"/>
      <c r="E213" s="8" t="s">
        <v>28</v>
      </c>
      <c r="F213" s="24" t="s">
        <v>225</v>
      </c>
      <c r="G213" s="24" t="s">
        <v>216</v>
      </c>
      <c r="H213" s="24" t="s">
        <v>230</v>
      </c>
      <c r="I213" s="31">
        <v>46086.0</v>
      </c>
      <c r="J213" s="32" t="s">
        <v>47</v>
      </c>
      <c r="K213" s="66" t="s">
        <v>50</v>
      </c>
      <c r="L213" s="66" t="s">
        <v>42</v>
      </c>
      <c r="M213" s="66" t="s">
        <v>281</v>
      </c>
      <c r="N213" s="24">
        <v>1.0</v>
      </c>
      <c r="O213" s="24">
        <v>94.0</v>
      </c>
      <c r="P213" s="24">
        <f t="array" ref="P213">if(O213="","", if(O213=9999,9999,ROUNDUP(_xlfn.XLOOKUP(J213&amp;"-"&amp;E213&amp;"-"&amp;K213,SpecCV[ID],SpecCV[factor])*O213,0)))</f>
        <v>1</v>
      </c>
      <c r="Q213" s="24">
        <f t="array" ref="Q213">if(J213="Contact plate", _xlfn.XLOOKUP(J213&amp;"-"&amp;E213&amp;"-"&amp;K213,SpecCV[ID],SpecCV[Spec]),_xlfn.XLOOKUP(J213&amp;"-"&amp;E213&amp;"-"&amp;K213,SpecCV[ID],SpecCV[Spec]))</f>
        <v>100</v>
      </c>
      <c r="R213" s="15" t="str">
        <f t="array" ref="R213">if(J213="Contact plate", _xlfn.XLOOKUP(J213&amp;"-"&amp;E213&amp;"-"&amp;K213,SpecCV[ID],SpecCV[Unit]),_xlfn.XLOOKUP(J213&amp;"-"&amp;E213&amp;"-"&amp;K213,SpecCV[ID],SpecCV[Unit]))</f>
        <v>cfu/ml</v>
      </c>
      <c r="S213" s="67"/>
      <c r="T213" s="67"/>
      <c r="U213" s="67"/>
      <c r="V213" s="68" t="b">
        <v>0</v>
      </c>
      <c r="W213" s="69"/>
      <c r="X213" s="69"/>
    </row>
    <row r="214" ht="22.5" customHeight="1">
      <c r="A214" s="68"/>
      <c r="B214" s="68" t="b">
        <v>0</v>
      </c>
      <c r="C214" s="68">
        <v>16.0</v>
      </c>
      <c r="D214" s="70"/>
      <c r="E214" s="68" t="s">
        <v>37</v>
      </c>
      <c r="F214" s="24" t="s">
        <v>231</v>
      </c>
      <c r="G214" s="24" t="s">
        <v>234</v>
      </c>
      <c r="H214" s="24" t="s">
        <v>235</v>
      </c>
      <c r="I214" s="71">
        <v>46092.0</v>
      </c>
      <c r="J214" s="66" t="s">
        <v>52</v>
      </c>
      <c r="K214" s="66" t="s">
        <v>50</v>
      </c>
      <c r="L214" s="66" t="s">
        <v>42</v>
      </c>
      <c r="M214" s="66" t="s">
        <v>281</v>
      </c>
      <c r="N214" s="24"/>
      <c r="O214" s="24">
        <v>0.0</v>
      </c>
      <c r="P214" s="24">
        <f t="array" ref="P214">if(O214="","", if(O214=9999,9999,ROUNDUP(_xlfn.XLOOKUP(J214&amp;"-"&amp;E214&amp;"-"&amp;K214,SpecCV[ID],SpecCV[factor])*O214,0)))</f>
        <v>0</v>
      </c>
      <c r="Q214" s="24">
        <f t="array" ref="Q214">if(J214="Contact plate", _xlfn.XLOOKUP(J214&amp;"-"&amp;E214&amp;"-"&amp;K214,SpecCV[ID],SpecCV[Spec]),_xlfn.XLOOKUP(J214&amp;"-"&amp;E214&amp;"-"&amp;K214,SpecCV[ID],SpecCV[Spec]))</f>
        <v>10</v>
      </c>
      <c r="R214" s="24" t="str">
        <f t="array" ref="R214">if(J214="Contact plate", _xlfn.XLOOKUP(J214&amp;"-"&amp;E214&amp;"-"&amp;K214,SpecCV[ID],SpecCV[Unit]),_xlfn.XLOOKUP(J214&amp;"-"&amp;E214&amp;"-"&amp;K214,SpecCV[ID],SpecCV[Unit]))</f>
        <v>cfu/100ml</v>
      </c>
      <c r="S214" s="67"/>
      <c r="T214" s="67"/>
      <c r="U214" s="67"/>
      <c r="V214" s="68" t="b">
        <v>0</v>
      </c>
      <c r="W214" s="69"/>
      <c r="X214" s="69"/>
    </row>
    <row r="215" ht="22.5" customHeight="1">
      <c r="A215" s="68"/>
      <c r="B215" s="68" t="b">
        <v>0</v>
      </c>
      <c r="C215" s="68">
        <v>16.0</v>
      </c>
      <c r="D215" s="70"/>
      <c r="E215" s="68" t="s">
        <v>37</v>
      </c>
      <c r="F215" s="24" t="s">
        <v>231</v>
      </c>
      <c r="G215" s="24" t="s">
        <v>234</v>
      </c>
      <c r="H215" s="24" t="s">
        <v>236</v>
      </c>
      <c r="I215" s="71">
        <v>46092.0</v>
      </c>
      <c r="J215" s="66" t="s">
        <v>52</v>
      </c>
      <c r="K215" s="66" t="s">
        <v>50</v>
      </c>
      <c r="L215" s="66" t="s">
        <v>42</v>
      </c>
      <c r="M215" s="66" t="s">
        <v>281</v>
      </c>
      <c r="N215" s="24"/>
      <c r="O215" s="24">
        <v>0.0</v>
      </c>
      <c r="P215" s="24">
        <f t="array" ref="P215">if(O215="","", if(O215=9999,9999,ROUNDUP(_xlfn.XLOOKUP(J215&amp;"-"&amp;E215&amp;"-"&amp;K215,SpecCV[ID],SpecCV[factor])*O215,0)))</f>
        <v>0</v>
      </c>
      <c r="Q215" s="24">
        <f t="array" ref="Q215">if(J215="Contact plate", _xlfn.XLOOKUP(J215&amp;"-"&amp;E215&amp;"-"&amp;K215,SpecCV[ID],SpecCV[Spec]),_xlfn.XLOOKUP(J215&amp;"-"&amp;E215&amp;"-"&amp;K215,SpecCV[ID],SpecCV[Spec]))</f>
        <v>10</v>
      </c>
      <c r="R215" s="24" t="str">
        <f t="array" ref="R215">if(J215="Contact plate", _xlfn.XLOOKUP(J215&amp;"-"&amp;E215&amp;"-"&amp;K215,SpecCV[ID],SpecCV[Unit]),_xlfn.XLOOKUP(J215&amp;"-"&amp;E215&amp;"-"&amp;K215,SpecCV[ID],SpecCV[Unit]))</f>
        <v>cfu/100ml</v>
      </c>
      <c r="S215" s="67"/>
      <c r="T215" s="67"/>
      <c r="U215" s="67"/>
      <c r="V215" s="68" t="b">
        <v>0</v>
      </c>
      <c r="W215" s="69"/>
      <c r="X215" s="69"/>
    </row>
    <row r="216" ht="22.5" customHeight="1">
      <c r="A216" s="68"/>
      <c r="B216" s="68" t="b">
        <v>0</v>
      </c>
      <c r="C216" s="68">
        <v>16.0</v>
      </c>
      <c r="D216" s="70"/>
      <c r="E216" s="68" t="s">
        <v>37</v>
      </c>
      <c r="F216" s="24" t="s">
        <v>231</v>
      </c>
      <c r="G216" s="24" t="s">
        <v>234</v>
      </c>
      <c r="H216" s="24" t="s">
        <v>237</v>
      </c>
      <c r="I216" s="71">
        <v>46092.0</v>
      </c>
      <c r="J216" s="66" t="s">
        <v>52</v>
      </c>
      <c r="K216" s="66" t="s">
        <v>50</v>
      </c>
      <c r="L216" s="66" t="s">
        <v>42</v>
      </c>
      <c r="M216" s="66" t="s">
        <v>281</v>
      </c>
      <c r="N216" s="24"/>
      <c r="O216" s="24">
        <v>0.0</v>
      </c>
      <c r="P216" s="24">
        <f t="array" ref="P216">if(O216="","", if(O216=9999,9999,ROUNDUP(_xlfn.XLOOKUP(J216&amp;"-"&amp;E216&amp;"-"&amp;K216,SpecCV[ID],SpecCV[factor])*O216,0)))</f>
        <v>0</v>
      </c>
      <c r="Q216" s="24">
        <f t="array" ref="Q216">if(J216="Contact plate", _xlfn.XLOOKUP(J216&amp;"-"&amp;E216&amp;"-"&amp;K216,SpecCV[ID],SpecCV[Spec]),_xlfn.XLOOKUP(J216&amp;"-"&amp;E216&amp;"-"&amp;K216,SpecCV[ID],SpecCV[Spec]))</f>
        <v>10</v>
      </c>
      <c r="R216" s="24" t="str">
        <f t="array" ref="R216">if(J216="Contact plate", _xlfn.XLOOKUP(J216&amp;"-"&amp;E216&amp;"-"&amp;K216,SpecCV[ID],SpecCV[Unit]),_xlfn.XLOOKUP(J216&amp;"-"&amp;E216&amp;"-"&amp;K216,SpecCV[ID],SpecCV[Unit]))</f>
        <v>cfu/100ml</v>
      </c>
      <c r="S216" s="67"/>
      <c r="T216" s="67"/>
      <c r="U216" s="67"/>
      <c r="V216" s="68" t="b">
        <v>0</v>
      </c>
      <c r="W216" s="69"/>
      <c r="X216" s="69"/>
    </row>
    <row r="217" ht="22.5" customHeight="1">
      <c r="A217" s="68"/>
      <c r="B217" s="68" t="b">
        <v>0</v>
      </c>
      <c r="C217" s="68">
        <v>16.0</v>
      </c>
      <c r="D217" s="70"/>
      <c r="E217" s="68" t="s">
        <v>37</v>
      </c>
      <c r="F217" s="24" t="s">
        <v>231</v>
      </c>
      <c r="G217" s="24" t="s">
        <v>234</v>
      </c>
      <c r="H217" s="24" t="s">
        <v>238</v>
      </c>
      <c r="I217" s="71">
        <v>46092.0</v>
      </c>
      <c r="J217" s="66" t="s">
        <v>52</v>
      </c>
      <c r="K217" s="66" t="s">
        <v>50</v>
      </c>
      <c r="L217" s="66" t="s">
        <v>42</v>
      </c>
      <c r="M217" s="66" t="s">
        <v>281</v>
      </c>
      <c r="N217" s="24"/>
      <c r="O217" s="24">
        <v>0.0</v>
      </c>
      <c r="P217" s="24">
        <f t="array" ref="P217">if(O217="","", if(O217=9999,9999,ROUNDUP(_xlfn.XLOOKUP(J217&amp;"-"&amp;E217&amp;"-"&amp;K217,SpecCV[ID],SpecCV[factor])*O217,0)))</f>
        <v>0</v>
      </c>
      <c r="Q217" s="24">
        <f t="array" ref="Q217">if(J217="Contact plate", _xlfn.XLOOKUP(J217&amp;"-"&amp;E217&amp;"-"&amp;K217,SpecCV[ID],SpecCV[Spec]),_xlfn.XLOOKUP(J217&amp;"-"&amp;E217&amp;"-"&amp;K217,SpecCV[ID],SpecCV[Spec]))</f>
        <v>10</v>
      </c>
      <c r="R217" s="24" t="str">
        <f t="array" ref="R217">if(J217="Contact plate", _xlfn.XLOOKUP(J217&amp;"-"&amp;E217&amp;"-"&amp;K217,SpecCV[ID],SpecCV[Unit]),_xlfn.XLOOKUP(J217&amp;"-"&amp;E217&amp;"-"&amp;K217,SpecCV[ID],SpecCV[Unit]))</f>
        <v>cfu/100ml</v>
      </c>
      <c r="S217" s="67"/>
      <c r="T217" s="67"/>
      <c r="U217" s="67"/>
      <c r="V217" s="68" t="b">
        <v>0</v>
      </c>
      <c r="W217" s="69"/>
      <c r="X217" s="69"/>
    </row>
    <row r="218" ht="22.5" customHeight="1">
      <c r="A218" s="68"/>
      <c r="B218" s="68" t="b">
        <v>0</v>
      </c>
      <c r="C218" s="68">
        <v>16.0</v>
      </c>
      <c r="D218" s="70"/>
      <c r="E218" s="68" t="s">
        <v>37</v>
      </c>
      <c r="F218" s="24" t="s">
        <v>231</v>
      </c>
      <c r="G218" s="24" t="s">
        <v>234</v>
      </c>
      <c r="H218" s="24" t="s">
        <v>239</v>
      </c>
      <c r="I218" s="71">
        <v>46092.0</v>
      </c>
      <c r="J218" s="66" t="s">
        <v>52</v>
      </c>
      <c r="K218" s="66" t="s">
        <v>50</v>
      </c>
      <c r="L218" s="66" t="s">
        <v>42</v>
      </c>
      <c r="M218" s="66" t="s">
        <v>281</v>
      </c>
      <c r="N218" s="24"/>
      <c r="O218" s="24">
        <v>0.0</v>
      </c>
      <c r="P218" s="24">
        <f t="array" ref="P218">if(O218="","", if(O218=9999,9999,ROUNDUP(_xlfn.XLOOKUP(J218&amp;"-"&amp;E218&amp;"-"&amp;K218,SpecCV[ID],SpecCV[factor])*O218,0)))</f>
        <v>0</v>
      </c>
      <c r="Q218" s="24">
        <f t="array" ref="Q218">if(J218="Contact plate", _xlfn.XLOOKUP(J218&amp;"-"&amp;E218&amp;"-"&amp;K218,SpecCV[ID],SpecCV[Spec]),_xlfn.XLOOKUP(J218&amp;"-"&amp;E218&amp;"-"&amp;K218,SpecCV[ID],SpecCV[Spec]))</f>
        <v>10</v>
      </c>
      <c r="R218" s="24" t="str">
        <f t="array" ref="R218">if(J218="Contact plate", _xlfn.XLOOKUP(J218&amp;"-"&amp;E218&amp;"-"&amp;K218,SpecCV[ID],SpecCV[Unit]),_xlfn.XLOOKUP(J218&amp;"-"&amp;E218&amp;"-"&amp;K218,SpecCV[ID],SpecCV[Unit]))</f>
        <v>cfu/100ml</v>
      </c>
      <c r="S218" s="67"/>
      <c r="T218" s="67"/>
      <c r="U218" s="67"/>
      <c r="V218" s="68" t="b">
        <v>0</v>
      </c>
      <c r="W218" s="69"/>
      <c r="X218" s="69"/>
    </row>
    <row r="219" ht="22.5" customHeight="1">
      <c r="A219" s="68"/>
      <c r="B219" s="68" t="b">
        <v>0</v>
      </c>
      <c r="C219" s="68">
        <v>16.0</v>
      </c>
      <c r="D219" s="70"/>
      <c r="E219" s="68" t="s">
        <v>37</v>
      </c>
      <c r="F219" s="24" t="s">
        <v>231</v>
      </c>
      <c r="G219" s="24" t="s">
        <v>234</v>
      </c>
      <c r="H219" s="24" t="s">
        <v>240</v>
      </c>
      <c r="I219" s="71">
        <v>46092.0</v>
      </c>
      <c r="J219" s="66" t="s">
        <v>52</v>
      </c>
      <c r="K219" s="66" t="s">
        <v>50</v>
      </c>
      <c r="L219" s="66" t="s">
        <v>42</v>
      </c>
      <c r="M219" s="66" t="s">
        <v>281</v>
      </c>
      <c r="N219" s="24"/>
      <c r="O219" s="24">
        <v>0.0</v>
      </c>
      <c r="P219" s="24">
        <f t="array" ref="P219">if(O219="","", if(O219=9999,9999,ROUNDUP(_xlfn.XLOOKUP(J219&amp;"-"&amp;E219&amp;"-"&amp;K219,SpecCV[ID],SpecCV[factor])*O219,0)))</f>
        <v>0</v>
      </c>
      <c r="Q219" s="24">
        <f t="array" ref="Q219">if(J219="Contact plate", _xlfn.XLOOKUP(J219&amp;"-"&amp;E219&amp;"-"&amp;K219,SpecCV[ID],SpecCV[Spec]),_xlfn.XLOOKUP(J219&amp;"-"&amp;E219&amp;"-"&amp;K219,SpecCV[ID],SpecCV[Spec]))</f>
        <v>10</v>
      </c>
      <c r="R219" s="24" t="str">
        <f t="array" ref="R219">if(J219="Contact plate", _xlfn.XLOOKUP(J219&amp;"-"&amp;E219&amp;"-"&amp;K219,SpecCV[ID],SpecCV[Unit]),_xlfn.XLOOKUP(J219&amp;"-"&amp;E219&amp;"-"&amp;K219,SpecCV[ID],SpecCV[Unit]))</f>
        <v>cfu/100ml</v>
      </c>
      <c r="S219" s="67"/>
      <c r="T219" s="67"/>
      <c r="U219" s="67"/>
      <c r="V219" s="68" t="b">
        <v>0</v>
      </c>
      <c r="W219" s="69"/>
      <c r="X219" s="69"/>
    </row>
    <row r="220" ht="22.5" customHeight="1">
      <c r="A220" s="68"/>
      <c r="B220" s="68" t="b">
        <v>0</v>
      </c>
      <c r="C220" s="68">
        <v>16.0</v>
      </c>
      <c r="D220" s="70"/>
      <c r="E220" s="68" t="s">
        <v>37</v>
      </c>
      <c r="F220" s="24" t="s">
        <v>231</v>
      </c>
      <c r="G220" s="24" t="s">
        <v>241</v>
      </c>
      <c r="H220" s="24" t="s">
        <v>242</v>
      </c>
      <c r="I220" s="71">
        <v>46092.0</v>
      </c>
      <c r="J220" s="66" t="s">
        <v>30</v>
      </c>
      <c r="K220" s="66" t="s">
        <v>30</v>
      </c>
      <c r="L220" s="66" t="s">
        <v>42</v>
      </c>
      <c r="M220" s="66" t="s">
        <v>281</v>
      </c>
      <c r="N220" s="24"/>
      <c r="O220" s="24">
        <v>0.0</v>
      </c>
      <c r="P220" s="24">
        <f t="array" ref="P220">if(O220="","", if(O220=9999,9999,ROUNDUP(_xlfn.XLOOKUP(J220&amp;"-"&amp;E220&amp;"-"&amp;K220,SpecCV[ID],SpecCV[factor])*O220,0)))</f>
        <v>0</v>
      </c>
      <c r="Q220" s="24">
        <f t="array" ref="Q220">if(J220="Contact plate", _xlfn.XLOOKUP(J220&amp;"-"&amp;E220&amp;"-"&amp;K220,SpecCV[ID],SpecCV[Spec]),_xlfn.XLOOKUP(J220&amp;"-"&amp;E220&amp;"-"&amp;K220,SpecCV[ID],SpecCV[Spec]))</f>
        <v>0</v>
      </c>
      <c r="R220" s="24" t="str">
        <f t="array" ref="R220">if(J220="Contact plate", _xlfn.XLOOKUP(J220&amp;"-"&amp;E220&amp;"-"&amp;K220,SpecCV[ID],SpecCV[Unit]),_xlfn.XLOOKUP(J220&amp;"-"&amp;E220&amp;"-"&amp;K220,SpecCV[ID],SpecCV[Unit]))</f>
        <v>cfu</v>
      </c>
      <c r="S220" s="67"/>
      <c r="T220" s="67"/>
      <c r="U220" s="67"/>
      <c r="V220" s="68" t="b">
        <v>0</v>
      </c>
      <c r="W220" s="69"/>
      <c r="X220" s="69"/>
    </row>
    <row r="221" ht="22.5" customHeight="1">
      <c r="A221" s="68"/>
      <c r="B221" s="68" t="b">
        <v>0</v>
      </c>
      <c r="C221" s="68">
        <v>16.0</v>
      </c>
      <c r="D221" s="70"/>
      <c r="E221" s="68" t="s">
        <v>37</v>
      </c>
      <c r="F221" s="24" t="s">
        <v>231</v>
      </c>
      <c r="G221" s="24" t="s">
        <v>241</v>
      </c>
      <c r="H221" s="24" t="s">
        <v>243</v>
      </c>
      <c r="I221" s="71">
        <v>46092.0</v>
      </c>
      <c r="J221" s="66" t="s">
        <v>30</v>
      </c>
      <c r="K221" s="66" t="s">
        <v>30</v>
      </c>
      <c r="L221" s="66" t="s">
        <v>42</v>
      </c>
      <c r="M221" s="66" t="s">
        <v>281</v>
      </c>
      <c r="N221" s="24"/>
      <c r="O221" s="24">
        <v>0.0</v>
      </c>
      <c r="P221" s="24">
        <f t="array" ref="P221">if(O221="","", if(O221=9999,9999,ROUNDUP(_xlfn.XLOOKUP(J221&amp;"-"&amp;E221&amp;"-"&amp;K221,SpecCV[ID],SpecCV[factor])*O221,0)))</f>
        <v>0</v>
      </c>
      <c r="Q221" s="24">
        <f t="array" ref="Q221">if(J221="Contact plate", _xlfn.XLOOKUP(J221&amp;"-"&amp;E221&amp;"-"&amp;K221,SpecCV[ID],SpecCV[Spec]),_xlfn.XLOOKUP(J221&amp;"-"&amp;E221&amp;"-"&amp;K221,SpecCV[ID],SpecCV[Spec]))</f>
        <v>0</v>
      </c>
      <c r="R221" s="24" t="str">
        <f t="array" ref="R221">if(J221="Contact plate", _xlfn.XLOOKUP(J221&amp;"-"&amp;E221&amp;"-"&amp;K221,SpecCV[ID],SpecCV[Unit]),_xlfn.XLOOKUP(J221&amp;"-"&amp;E221&amp;"-"&amp;K221,SpecCV[ID],SpecCV[Unit]))</f>
        <v>cfu</v>
      </c>
      <c r="S221" s="67"/>
      <c r="T221" s="67"/>
      <c r="U221" s="67"/>
      <c r="V221" s="68" t="b">
        <v>0</v>
      </c>
      <c r="W221" s="69"/>
      <c r="X221" s="69"/>
    </row>
    <row r="222" ht="22.5" customHeight="1">
      <c r="A222" s="68"/>
      <c r="B222" s="68" t="b">
        <v>0</v>
      </c>
      <c r="C222" s="68">
        <v>12.0</v>
      </c>
      <c r="D222" s="70"/>
      <c r="E222" s="68" t="s">
        <v>28</v>
      </c>
      <c r="F222" s="24" t="s">
        <v>247</v>
      </c>
      <c r="G222" s="24" t="s">
        <v>248</v>
      </c>
      <c r="H222" s="24" t="s">
        <v>249</v>
      </c>
      <c r="I222" s="71">
        <v>46092.0</v>
      </c>
      <c r="J222" s="66" t="s">
        <v>47</v>
      </c>
      <c r="K222" s="66" t="s">
        <v>50</v>
      </c>
      <c r="L222" s="66" t="s">
        <v>42</v>
      </c>
      <c r="M222" s="66" t="s">
        <v>45</v>
      </c>
      <c r="N222" s="24">
        <v>1.0</v>
      </c>
      <c r="O222" s="24">
        <v>1284.0</v>
      </c>
      <c r="P222" s="24">
        <f t="array" ref="P222">if(O222="","", if(O222=9999,9999,ROUNDUP(_xlfn.XLOOKUP(J222&amp;"-"&amp;E222&amp;"-"&amp;K222,SpecCV[ID],SpecCV[factor])*O222,0)))</f>
        <v>13</v>
      </c>
      <c r="Q222" s="24">
        <f t="array" ref="Q222">if(J222="Contact plate", _xlfn.XLOOKUP(J222&amp;"-"&amp;E222&amp;"-"&amp;K222,SpecCV[ID],SpecCV[Spec]),_xlfn.XLOOKUP(J222&amp;"-"&amp;E222&amp;"-"&amp;K222,SpecCV[ID],SpecCV[Spec]))</f>
        <v>100</v>
      </c>
      <c r="R222" s="24" t="str">
        <f t="array" ref="R222">if(J222="Contact plate", _xlfn.XLOOKUP(J222&amp;"-"&amp;E222&amp;"-"&amp;K222,SpecCV[ID],SpecCV[Unit]),_xlfn.XLOOKUP(J222&amp;"-"&amp;E222&amp;"-"&amp;K222,SpecCV[ID],SpecCV[Unit]))</f>
        <v>cfu/ml</v>
      </c>
      <c r="S222" s="67"/>
      <c r="T222" s="67"/>
      <c r="U222" s="67"/>
      <c r="V222" s="68" t="b">
        <v>1</v>
      </c>
      <c r="W222" s="24" t="s">
        <v>293</v>
      </c>
      <c r="X222" s="24"/>
    </row>
    <row r="223" ht="22.5" customHeight="1">
      <c r="A223" s="68"/>
      <c r="B223" s="68" t="b">
        <v>0</v>
      </c>
      <c r="C223" s="68">
        <v>12.0</v>
      </c>
      <c r="D223" s="70"/>
      <c r="E223" s="68" t="s">
        <v>28</v>
      </c>
      <c r="F223" s="24" t="s">
        <v>247</v>
      </c>
      <c r="G223" s="24" t="s">
        <v>248</v>
      </c>
      <c r="H223" s="24" t="s">
        <v>250</v>
      </c>
      <c r="I223" s="71">
        <v>46092.0</v>
      </c>
      <c r="J223" s="66" t="s">
        <v>47</v>
      </c>
      <c r="K223" s="66" t="s">
        <v>50</v>
      </c>
      <c r="L223" s="66" t="s">
        <v>42</v>
      </c>
      <c r="M223" s="66" t="s">
        <v>45</v>
      </c>
      <c r="N223" s="24">
        <v>1.0</v>
      </c>
      <c r="O223" s="24">
        <v>1124.0</v>
      </c>
      <c r="P223" s="24">
        <f t="array" ref="P223">if(O223="","", if(O223=9999,9999,ROUNDUP(_xlfn.XLOOKUP(J223&amp;"-"&amp;E223&amp;"-"&amp;K223,SpecCV[ID],SpecCV[factor])*O223,0)))</f>
        <v>12</v>
      </c>
      <c r="Q223" s="24">
        <f t="array" ref="Q223">if(J223="Contact plate", _xlfn.XLOOKUP(J223&amp;"-"&amp;E223&amp;"-"&amp;K223,SpecCV[ID],SpecCV[Spec]),_xlfn.XLOOKUP(J223&amp;"-"&amp;E223&amp;"-"&amp;K223,SpecCV[ID],SpecCV[Spec]))</f>
        <v>100</v>
      </c>
      <c r="R223" s="24" t="str">
        <f t="array" ref="R223">if(J223="Contact plate", _xlfn.XLOOKUP(J223&amp;"-"&amp;E223&amp;"-"&amp;K223,SpecCV[ID],SpecCV[Unit]),_xlfn.XLOOKUP(J223&amp;"-"&amp;E223&amp;"-"&amp;K223,SpecCV[ID],SpecCV[Unit]))</f>
        <v>cfu/ml</v>
      </c>
      <c r="S223" s="67"/>
      <c r="T223" s="67"/>
      <c r="U223" s="67"/>
      <c r="V223" s="68" t="b">
        <v>1</v>
      </c>
      <c r="W223" s="24" t="s">
        <v>293</v>
      </c>
      <c r="X223" s="24"/>
    </row>
    <row r="224" ht="22.5" customHeight="1">
      <c r="A224" s="68"/>
      <c r="B224" s="68" t="b">
        <v>0</v>
      </c>
      <c r="C224" s="68">
        <v>12.0</v>
      </c>
      <c r="D224" s="70"/>
      <c r="E224" s="68" t="s">
        <v>28</v>
      </c>
      <c r="F224" s="24" t="s">
        <v>247</v>
      </c>
      <c r="G224" s="24" t="s">
        <v>248</v>
      </c>
      <c r="H224" s="24" t="s">
        <v>251</v>
      </c>
      <c r="I224" s="71">
        <v>46092.0</v>
      </c>
      <c r="J224" s="66" t="s">
        <v>47</v>
      </c>
      <c r="K224" s="66" t="s">
        <v>50</v>
      </c>
      <c r="L224" s="66" t="s">
        <v>42</v>
      </c>
      <c r="M224" s="66" t="s">
        <v>45</v>
      </c>
      <c r="N224" s="24">
        <v>1.0</v>
      </c>
      <c r="O224" s="24">
        <v>1188.0</v>
      </c>
      <c r="P224" s="24">
        <f t="array" ref="P224">if(O224="","", if(O224=9999,9999,ROUNDUP(_xlfn.XLOOKUP(J224&amp;"-"&amp;E224&amp;"-"&amp;K224,SpecCV[ID],SpecCV[factor])*O224,0)))</f>
        <v>12</v>
      </c>
      <c r="Q224" s="24">
        <f t="array" ref="Q224">if(J224="Contact plate", _xlfn.XLOOKUP(J224&amp;"-"&amp;E224&amp;"-"&amp;K224,SpecCV[ID],SpecCV[Spec]),_xlfn.XLOOKUP(J224&amp;"-"&amp;E224&amp;"-"&amp;K224,SpecCV[ID],SpecCV[Spec]))</f>
        <v>100</v>
      </c>
      <c r="R224" s="24" t="str">
        <f t="array" ref="R224">if(J224="Contact plate", _xlfn.XLOOKUP(J224&amp;"-"&amp;E224&amp;"-"&amp;K224,SpecCV[ID],SpecCV[Unit]),_xlfn.XLOOKUP(J224&amp;"-"&amp;E224&amp;"-"&amp;K224,SpecCV[ID],SpecCV[Unit]))</f>
        <v>cfu/ml</v>
      </c>
      <c r="S224" s="67"/>
      <c r="T224" s="67"/>
      <c r="U224" s="67"/>
      <c r="V224" s="68" t="b">
        <v>1</v>
      </c>
      <c r="W224" s="24" t="s">
        <v>293</v>
      </c>
      <c r="X224" s="24"/>
    </row>
    <row r="225" ht="22.5" customHeight="1">
      <c r="A225" s="68"/>
      <c r="B225" s="68" t="b">
        <v>0</v>
      </c>
      <c r="C225" s="68">
        <v>12.0</v>
      </c>
      <c r="D225" s="70"/>
      <c r="E225" s="68" t="s">
        <v>28</v>
      </c>
      <c r="F225" s="24" t="s">
        <v>247</v>
      </c>
      <c r="G225" s="24" t="s">
        <v>248</v>
      </c>
      <c r="H225" s="24" t="s">
        <v>252</v>
      </c>
      <c r="I225" s="71">
        <v>46092.0</v>
      </c>
      <c r="J225" s="66" t="s">
        <v>47</v>
      </c>
      <c r="K225" s="66" t="s">
        <v>50</v>
      </c>
      <c r="L225" s="66" t="s">
        <v>42</v>
      </c>
      <c r="M225" s="66" t="s">
        <v>45</v>
      </c>
      <c r="N225" s="24">
        <v>1.0</v>
      </c>
      <c r="O225" s="24">
        <v>896.0</v>
      </c>
      <c r="P225" s="24">
        <f t="array" ref="P225">if(O225="","", if(O225=9999,9999,ROUNDUP(_xlfn.XLOOKUP(J225&amp;"-"&amp;E225&amp;"-"&amp;K225,SpecCV[ID],SpecCV[factor])*O225,0)))</f>
        <v>9</v>
      </c>
      <c r="Q225" s="24">
        <f t="array" ref="Q225">if(J225="Contact plate", _xlfn.XLOOKUP(J225&amp;"-"&amp;E225&amp;"-"&amp;K225,SpecCV[ID],SpecCV[Spec]),_xlfn.XLOOKUP(J225&amp;"-"&amp;E225&amp;"-"&amp;K225,SpecCV[ID],SpecCV[Spec]))</f>
        <v>100</v>
      </c>
      <c r="R225" s="24" t="str">
        <f t="array" ref="R225">if(J225="Contact plate", _xlfn.XLOOKUP(J225&amp;"-"&amp;E225&amp;"-"&amp;K225,SpecCV[ID],SpecCV[Unit]),_xlfn.XLOOKUP(J225&amp;"-"&amp;E225&amp;"-"&amp;K225,SpecCV[ID],SpecCV[Unit]))</f>
        <v>cfu/ml</v>
      </c>
      <c r="S225" s="67"/>
      <c r="T225" s="67"/>
      <c r="U225" s="67"/>
      <c r="V225" s="68" t="b">
        <v>1</v>
      </c>
      <c r="W225" s="24" t="s">
        <v>293</v>
      </c>
      <c r="X225" s="24"/>
    </row>
    <row r="226" ht="22.5" customHeight="1">
      <c r="A226" s="68"/>
      <c r="B226" s="68" t="b">
        <v>0</v>
      </c>
      <c r="C226" s="68">
        <v>12.0</v>
      </c>
      <c r="D226" s="70"/>
      <c r="E226" s="68" t="s">
        <v>28</v>
      </c>
      <c r="F226" s="24" t="s">
        <v>247</v>
      </c>
      <c r="G226" s="24" t="s">
        <v>253</v>
      </c>
      <c r="H226" s="24" t="s">
        <v>253</v>
      </c>
      <c r="I226" s="71">
        <v>46092.0</v>
      </c>
      <c r="J226" s="66" t="s">
        <v>47</v>
      </c>
      <c r="K226" s="66" t="s">
        <v>50</v>
      </c>
      <c r="L226" s="66" t="s">
        <v>42</v>
      </c>
      <c r="M226" s="66" t="s">
        <v>45</v>
      </c>
      <c r="N226" s="24">
        <v>1.0</v>
      </c>
      <c r="O226" s="24">
        <v>0.0</v>
      </c>
      <c r="P226" s="24">
        <f t="array" ref="P226">if(O226="","", if(O226=9999,9999,ROUNDUP(_xlfn.XLOOKUP(J226&amp;"-"&amp;E226&amp;"-"&amp;K226,SpecCV[ID],SpecCV[factor])*O226,0)))</f>
        <v>0</v>
      </c>
      <c r="Q226" s="24">
        <f t="array" ref="Q226">if(J226="Contact plate", _xlfn.XLOOKUP(J226&amp;"-"&amp;E226&amp;"-"&amp;K226,SpecCV[ID],SpecCV[Spec]),_xlfn.XLOOKUP(J226&amp;"-"&amp;E226&amp;"-"&amp;K226,SpecCV[ID],SpecCV[Spec]))</f>
        <v>100</v>
      </c>
      <c r="R226" s="24" t="str">
        <f t="array" ref="R226">if(J226="Contact plate", _xlfn.XLOOKUP(J226&amp;"-"&amp;E226&amp;"-"&amp;K226,SpecCV[ID],SpecCV[Unit]),_xlfn.XLOOKUP(J226&amp;"-"&amp;E226&amp;"-"&amp;K226,SpecCV[ID],SpecCV[Unit]))</f>
        <v>cfu/ml</v>
      </c>
      <c r="S226" s="67"/>
      <c r="T226" s="67"/>
      <c r="U226" s="67"/>
      <c r="V226" s="68" t="b">
        <v>1</v>
      </c>
      <c r="W226" s="24" t="s">
        <v>293</v>
      </c>
      <c r="X226" s="24"/>
    </row>
    <row r="227" ht="22.5" customHeight="1">
      <c r="A227" s="68"/>
      <c r="B227" s="68" t="b">
        <v>0</v>
      </c>
      <c r="C227" s="68">
        <v>12.0</v>
      </c>
      <c r="D227" s="70"/>
      <c r="E227" s="68" t="s">
        <v>28</v>
      </c>
      <c r="F227" s="24" t="s">
        <v>247</v>
      </c>
      <c r="G227" s="24" t="s">
        <v>248</v>
      </c>
      <c r="H227" s="24" t="s">
        <v>249</v>
      </c>
      <c r="I227" s="71">
        <v>46094.0</v>
      </c>
      <c r="J227" s="66" t="s">
        <v>47</v>
      </c>
      <c r="K227" s="66" t="s">
        <v>48</v>
      </c>
      <c r="L227" s="66" t="s">
        <v>42</v>
      </c>
      <c r="M227" s="66" t="s">
        <v>45</v>
      </c>
      <c r="N227" s="24">
        <v>1.0</v>
      </c>
      <c r="O227" s="24">
        <v>6.0</v>
      </c>
      <c r="P227" s="24">
        <f t="array" ref="P227">if(O227="","", if(O227=9999,9999,ROUNDUP(_xlfn.XLOOKUP(J227&amp;"-"&amp;E227&amp;"-"&amp;K227,SpecCV[ID],SpecCV[factor])*O227,0)))</f>
        <v>6</v>
      </c>
      <c r="Q227" s="24">
        <f t="array" ref="Q227">if(J227="Contact plate", _xlfn.XLOOKUP(J227&amp;"-"&amp;E227&amp;"-"&amp;K227,SpecCV[ID],SpecCV[Spec]),_xlfn.XLOOKUP(J227&amp;"-"&amp;E227&amp;"-"&amp;K227,SpecCV[ID],SpecCV[Spec]))</f>
        <v>100</v>
      </c>
      <c r="R227" s="24" t="str">
        <f t="array" ref="R227">if(J227="Contact plate", _xlfn.XLOOKUP(J227&amp;"-"&amp;E227&amp;"-"&amp;K227,SpecCV[ID],SpecCV[Unit]),_xlfn.XLOOKUP(J227&amp;"-"&amp;E227&amp;"-"&amp;K227,SpecCV[ID],SpecCV[Unit]))</f>
        <v>cfu/ml</v>
      </c>
      <c r="S227" s="24">
        <v>1.0</v>
      </c>
      <c r="T227" s="24">
        <v>2.0</v>
      </c>
      <c r="U227" s="24">
        <v>1.0</v>
      </c>
      <c r="V227" s="68" t="b">
        <v>0</v>
      </c>
      <c r="W227" s="24"/>
      <c r="X227" s="24"/>
    </row>
    <row r="228" ht="22.5" customHeight="1">
      <c r="A228" s="68"/>
      <c r="B228" s="68" t="b">
        <v>0</v>
      </c>
      <c r="C228" s="68">
        <v>12.0</v>
      </c>
      <c r="D228" s="70"/>
      <c r="E228" s="68" t="s">
        <v>28</v>
      </c>
      <c r="F228" s="24" t="s">
        <v>247</v>
      </c>
      <c r="G228" s="24" t="s">
        <v>248</v>
      </c>
      <c r="H228" s="24" t="s">
        <v>250</v>
      </c>
      <c r="I228" s="71">
        <v>46094.0</v>
      </c>
      <c r="J228" s="66" t="s">
        <v>47</v>
      </c>
      <c r="K228" s="66" t="s">
        <v>48</v>
      </c>
      <c r="L228" s="66" t="s">
        <v>42</v>
      </c>
      <c r="M228" s="66" t="s">
        <v>45</v>
      </c>
      <c r="N228" s="24">
        <v>1.0</v>
      </c>
      <c r="O228" s="24">
        <v>3.0</v>
      </c>
      <c r="P228" s="24">
        <f t="array" ref="P228">if(O228="","", if(O228=9999,9999,ROUNDUP(_xlfn.XLOOKUP(J228&amp;"-"&amp;E228&amp;"-"&amp;K228,SpecCV[ID],SpecCV[factor])*O228,0)))</f>
        <v>3</v>
      </c>
      <c r="Q228" s="24">
        <f t="array" ref="Q228">if(J228="Contact plate", _xlfn.XLOOKUP(J228&amp;"-"&amp;E228&amp;"-"&amp;K228,SpecCV[ID],SpecCV[Spec]),_xlfn.XLOOKUP(J228&amp;"-"&amp;E228&amp;"-"&amp;K228,SpecCV[ID],SpecCV[Spec]))</f>
        <v>100</v>
      </c>
      <c r="R228" s="24" t="str">
        <f t="array" ref="R228">if(J228="Contact plate", _xlfn.XLOOKUP(J228&amp;"-"&amp;E228&amp;"-"&amp;K228,SpecCV[ID],SpecCV[Unit]),_xlfn.XLOOKUP(J228&amp;"-"&amp;E228&amp;"-"&amp;K228,SpecCV[ID],SpecCV[Unit]))</f>
        <v>cfu/ml</v>
      </c>
      <c r="S228" s="24">
        <v>1.0</v>
      </c>
      <c r="T228" s="24">
        <v>2.0</v>
      </c>
      <c r="U228" s="24">
        <v>1.0</v>
      </c>
      <c r="V228" s="68" t="b">
        <v>0</v>
      </c>
      <c r="W228" s="24"/>
      <c r="X228" s="24"/>
    </row>
    <row r="229" ht="22.5" customHeight="1">
      <c r="A229" s="68"/>
      <c r="B229" s="68" t="b">
        <v>0</v>
      </c>
      <c r="C229" s="68">
        <v>12.0</v>
      </c>
      <c r="D229" s="70"/>
      <c r="E229" s="68" t="s">
        <v>28</v>
      </c>
      <c r="F229" s="24" t="s">
        <v>247</v>
      </c>
      <c r="G229" s="24" t="s">
        <v>248</v>
      </c>
      <c r="H229" s="24" t="s">
        <v>251</v>
      </c>
      <c r="I229" s="71">
        <v>46094.0</v>
      </c>
      <c r="J229" s="66" t="s">
        <v>47</v>
      </c>
      <c r="K229" s="66" t="s">
        <v>48</v>
      </c>
      <c r="L229" s="66" t="s">
        <v>42</v>
      </c>
      <c r="M229" s="66" t="s">
        <v>45</v>
      </c>
      <c r="N229" s="24">
        <v>1.0</v>
      </c>
      <c r="O229" s="24">
        <v>1.0</v>
      </c>
      <c r="P229" s="24">
        <f t="array" ref="P229">if(O229="","", if(O229=9999,9999,ROUNDUP(_xlfn.XLOOKUP(J229&amp;"-"&amp;E229&amp;"-"&amp;K229,SpecCV[ID],SpecCV[factor])*O229,0)))</f>
        <v>1</v>
      </c>
      <c r="Q229" s="24">
        <f t="array" ref="Q229">if(J229="Contact plate", _xlfn.XLOOKUP(J229&amp;"-"&amp;E229&amp;"-"&amp;K229,SpecCV[ID],SpecCV[Spec]),_xlfn.XLOOKUP(J229&amp;"-"&amp;E229&amp;"-"&amp;K229,SpecCV[ID],SpecCV[Spec]))</f>
        <v>100</v>
      </c>
      <c r="R229" s="24" t="str">
        <f t="array" ref="R229">if(J229="Contact plate", _xlfn.XLOOKUP(J229&amp;"-"&amp;E229&amp;"-"&amp;K229,SpecCV[ID],SpecCV[Unit]),_xlfn.XLOOKUP(J229&amp;"-"&amp;E229&amp;"-"&amp;K229,SpecCV[ID],SpecCV[Unit]))</f>
        <v>cfu/ml</v>
      </c>
      <c r="S229" s="24">
        <v>1.0</v>
      </c>
      <c r="T229" s="24">
        <v>2.0</v>
      </c>
      <c r="U229" s="24">
        <v>1.0</v>
      </c>
      <c r="V229" s="68" t="b">
        <v>0</v>
      </c>
      <c r="W229" s="24"/>
      <c r="X229" s="24"/>
    </row>
    <row r="230" ht="22.5" customHeight="1">
      <c r="A230" s="68"/>
      <c r="B230" s="68" t="b">
        <v>0</v>
      </c>
      <c r="C230" s="68">
        <v>12.0</v>
      </c>
      <c r="D230" s="70"/>
      <c r="E230" s="68" t="s">
        <v>28</v>
      </c>
      <c r="F230" s="24" t="s">
        <v>247</v>
      </c>
      <c r="G230" s="24" t="s">
        <v>248</v>
      </c>
      <c r="H230" s="24" t="s">
        <v>252</v>
      </c>
      <c r="I230" s="71">
        <v>46094.0</v>
      </c>
      <c r="J230" s="66" t="s">
        <v>47</v>
      </c>
      <c r="K230" s="66" t="s">
        <v>48</v>
      </c>
      <c r="L230" s="66" t="s">
        <v>42</v>
      </c>
      <c r="M230" s="66" t="s">
        <v>45</v>
      </c>
      <c r="N230" s="24">
        <v>1.0</v>
      </c>
      <c r="O230" s="24">
        <v>0.0</v>
      </c>
      <c r="P230" s="24">
        <f t="array" ref="P230">if(O230="","", if(O230=9999,9999,ROUNDUP(_xlfn.XLOOKUP(J230&amp;"-"&amp;E230&amp;"-"&amp;K230,SpecCV[ID],SpecCV[factor])*O230,0)))</f>
        <v>0</v>
      </c>
      <c r="Q230" s="24">
        <f t="array" ref="Q230">if(J230="Contact plate", _xlfn.XLOOKUP(J230&amp;"-"&amp;E230&amp;"-"&amp;K230,SpecCV[ID],SpecCV[Spec]),_xlfn.XLOOKUP(J230&amp;"-"&amp;E230&amp;"-"&amp;K230,SpecCV[ID],SpecCV[Spec]))</f>
        <v>100</v>
      </c>
      <c r="R230" s="24" t="str">
        <f t="array" ref="R230">if(J230="Contact plate", _xlfn.XLOOKUP(J230&amp;"-"&amp;E230&amp;"-"&amp;K230,SpecCV[ID],SpecCV[Unit]),_xlfn.XLOOKUP(J230&amp;"-"&amp;E230&amp;"-"&amp;K230,SpecCV[ID],SpecCV[Unit]))</f>
        <v>cfu/ml</v>
      </c>
      <c r="S230" s="24">
        <v>1.0</v>
      </c>
      <c r="T230" s="24">
        <v>2.0</v>
      </c>
      <c r="U230" s="24">
        <v>1.0</v>
      </c>
      <c r="V230" s="68" t="b">
        <v>0</v>
      </c>
      <c r="W230" s="24"/>
      <c r="X230" s="24"/>
    </row>
    <row r="231" ht="22.5" customHeight="1">
      <c r="A231" s="68"/>
      <c r="B231" s="68" t="b">
        <v>0</v>
      </c>
      <c r="C231" s="68">
        <v>12.0</v>
      </c>
      <c r="D231" s="70"/>
      <c r="E231" s="68" t="s">
        <v>28</v>
      </c>
      <c r="F231" s="24" t="s">
        <v>247</v>
      </c>
      <c r="G231" s="24" t="s">
        <v>253</v>
      </c>
      <c r="H231" s="24" t="s">
        <v>253</v>
      </c>
      <c r="I231" s="71">
        <v>46094.0</v>
      </c>
      <c r="J231" s="66" t="s">
        <v>47</v>
      </c>
      <c r="K231" s="66" t="s">
        <v>48</v>
      </c>
      <c r="L231" s="66" t="s">
        <v>42</v>
      </c>
      <c r="M231" s="66" t="s">
        <v>45</v>
      </c>
      <c r="N231" s="24">
        <v>1.0</v>
      </c>
      <c r="O231" s="24">
        <v>0.0</v>
      </c>
      <c r="P231" s="24">
        <f t="array" ref="P231">if(O231="","", if(O231=9999,9999,ROUNDUP(_xlfn.XLOOKUP(J231&amp;"-"&amp;E231&amp;"-"&amp;K231,SpecCV[ID],SpecCV[factor])*O231,0)))</f>
        <v>0</v>
      </c>
      <c r="Q231" s="24">
        <f t="array" ref="Q231">if(J231="Contact plate", _xlfn.XLOOKUP(J231&amp;"-"&amp;E231&amp;"-"&amp;K231,SpecCV[ID],SpecCV[Spec]),_xlfn.XLOOKUP(J231&amp;"-"&amp;E231&amp;"-"&amp;K231,SpecCV[ID],SpecCV[Spec]))</f>
        <v>100</v>
      </c>
      <c r="R231" s="24" t="str">
        <f t="array" ref="R231">if(J231="Contact plate", _xlfn.XLOOKUP(J231&amp;"-"&amp;E231&amp;"-"&amp;K231,SpecCV[ID],SpecCV[Unit]),_xlfn.XLOOKUP(J231&amp;"-"&amp;E231&amp;"-"&amp;K231,SpecCV[ID],SpecCV[Unit]))</f>
        <v>cfu/ml</v>
      </c>
      <c r="S231" s="24">
        <v>1.0</v>
      </c>
      <c r="T231" s="24">
        <v>2.0</v>
      </c>
      <c r="U231" s="24">
        <v>1.0</v>
      </c>
      <c r="V231" s="68" t="b">
        <v>0</v>
      </c>
      <c r="W231" s="24"/>
      <c r="X231" s="24"/>
    </row>
    <row r="232" ht="22.5" customHeight="1">
      <c r="A232" s="68"/>
      <c r="B232" s="68" t="b">
        <v>0</v>
      </c>
      <c r="C232" s="68">
        <v>12.0</v>
      </c>
      <c r="D232" s="70"/>
      <c r="E232" s="68" t="s">
        <v>28</v>
      </c>
      <c r="F232" s="24" t="s">
        <v>247</v>
      </c>
      <c r="G232" s="24" t="s">
        <v>253</v>
      </c>
      <c r="H232" s="24" t="s">
        <v>253</v>
      </c>
      <c r="I232" s="71">
        <v>46097.0</v>
      </c>
      <c r="J232" s="66" t="s">
        <v>47</v>
      </c>
      <c r="K232" s="66" t="s">
        <v>50</v>
      </c>
      <c r="L232" s="66" t="s">
        <v>220</v>
      </c>
      <c r="M232" s="66" t="s">
        <v>45</v>
      </c>
      <c r="N232" s="24"/>
      <c r="O232" s="24">
        <v>696.0</v>
      </c>
      <c r="P232" s="24">
        <f t="array" ref="P232">if(O232="","", if(O232=9999,9999,ROUNDUP(_xlfn.XLOOKUP(J232&amp;"-"&amp;E232&amp;"-"&amp;K232,SpecCV[ID],SpecCV[factor])*O232,0)))</f>
        <v>7</v>
      </c>
      <c r="Q232" s="24">
        <f t="array" ref="Q232">if(J232="Contact plate", _xlfn.XLOOKUP(J232&amp;"-"&amp;E232&amp;"-"&amp;K232,SpecCV[ID],SpecCV[Spec]),_xlfn.XLOOKUP(J232&amp;"-"&amp;E232&amp;"-"&amp;K232,SpecCV[ID],SpecCV[Spec]))</f>
        <v>100</v>
      </c>
      <c r="R232" s="24" t="str">
        <f t="array" ref="R232">if(J232="Contact plate", _xlfn.XLOOKUP(J232&amp;"-"&amp;E232&amp;"-"&amp;K232,SpecCV[ID],SpecCV[Unit]),_xlfn.XLOOKUP(J232&amp;"-"&amp;E232&amp;"-"&amp;K232,SpecCV[ID],SpecCV[Unit]))</f>
        <v>cfu/ml</v>
      </c>
      <c r="S232" s="24"/>
      <c r="T232" s="24"/>
      <c r="U232" s="24"/>
      <c r="V232" s="68" t="b">
        <v>0</v>
      </c>
      <c r="W232" s="69"/>
      <c r="X232" s="69"/>
    </row>
    <row r="233" ht="22.5" customHeight="1">
      <c r="A233" s="68"/>
      <c r="B233" s="68" t="b">
        <v>0</v>
      </c>
      <c r="C233" s="68">
        <v>12.0</v>
      </c>
      <c r="D233" s="70"/>
      <c r="E233" s="68" t="s">
        <v>28</v>
      </c>
      <c r="F233" s="24" t="s">
        <v>247</v>
      </c>
      <c r="G233" s="24" t="s">
        <v>248</v>
      </c>
      <c r="H233" s="24" t="s">
        <v>249</v>
      </c>
      <c r="I233" s="71">
        <v>46097.0</v>
      </c>
      <c r="J233" s="66" t="s">
        <v>47</v>
      </c>
      <c r="K233" s="66" t="s">
        <v>50</v>
      </c>
      <c r="L233" s="66" t="s">
        <v>220</v>
      </c>
      <c r="M233" s="66" t="s">
        <v>45</v>
      </c>
      <c r="N233" s="24"/>
      <c r="O233" s="24">
        <v>1656.0</v>
      </c>
      <c r="P233" s="24">
        <f t="array" ref="P233">if(O233="","", if(O233=9999,9999,ROUNDUP(_xlfn.XLOOKUP(J233&amp;"-"&amp;E233&amp;"-"&amp;K233,SpecCV[ID],SpecCV[factor])*O233,0)))</f>
        <v>17</v>
      </c>
      <c r="Q233" s="24">
        <f t="array" ref="Q233">if(J233="Contact plate", _xlfn.XLOOKUP(J233&amp;"-"&amp;E233&amp;"-"&amp;K233,SpecCV[ID],SpecCV[Spec]),_xlfn.XLOOKUP(J233&amp;"-"&amp;E233&amp;"-"&amp;K233,SpecCV[ID],SpecCV[Spec]))</f>
        <v>100</v>
      </c>
      <c r="R233" s="24" t="str">
        <f t="array" ref="R233">if(J233="Contact plate", _xlfn.XLOOKUP(J233&amp;"-"&amp;E233&amp;"-"&amp;K233,SpecCV[ID],SpecCV[Unit]),_xlfn.XLOOKUP(J233&amp;"-"&amp;E233&amp;"-"&amp;K233,SpecCV[ID],SpecCV[Unit]))</f>
        <v>cfu/ml</v>
      </c>
      <c r="S233" s="24"/>
      <c r="T233" s="24"/>
      <c r="U233" s="24"/>
      <c r="V233" s="68" t="b">
        <v>0</v>
      </c>
      <c r="W233" s="69"/>
      <c r="X233" s="69"/>
    </row>
    <row r="234" ht="22.5" customHeight="1">
      <c r="A234" s="68"/>
      <c r="B234" s="68" t="b">
        <v>0</v>
      </c>
      <c r="C234" s="68">
        <v>12.0</v>
      </c>
      <c r="D234" s="70"/>
      <c r="E234" s="68" t="s">
        <v>28</v>
      </c>
      <c r="F234" s="24" t="s">
        <v>247</v>
      </c>
      <c r="G234" s="24" t="s">
        <v>248</v>
      </c>
      <c r="H234" s="24" t="s">
        <v>250</v>
      </c>
      <c r="I234" s="71">
        <v>46097.0</v>
      </c>
      <c r="J234" s="66" t="s">
        <v>47</v>
      </c>
      <c r="K234" s="66" t="s">
        <v>50</v>
      </c>
      <c r="L234" s="66" t="s">
        <v>220</v>
      </c>
      <c r="M234" s="66" t="s">
        <v>45</v>
      </c>
      <c r="N234" s="24"/>
      <c r="O234" s="24">
        <v>1160.0</v>
      </c>
      <c r="P234" s="24">
        <f t="array" ref="P234">if(O234="","", if(O234=9999,9999,ROUNDUP(_xlfn.XLOOKUP(J234&amp;"-"&amp;E234&amp;"-"&amp;K234,SpecCV[ID],SpecCV[factor])*O234,0)))</f>
        <v>12</v>
      </c>
      <c r="Q234" s="24">
        <f t="array" ref="Q234">if(J234="Contact plate", _xlfn.XLOOKUP(J234&amp;"-"&amp;E234&amp;"-"&amp;K234,SpecCV[ID],SpecCV[Spec]),_xlfn.XLOOKUP(J234&amp;"-"&amp;E234&amp;"-"&amp;K234,SpecCV[ID],SpecCV[Spec]))</f>
        <v>100</v>
      </c>
      <c r="R234" s="24" t="str">
        <f t="array" ref="R234">if(J234="Contact plate", _xlfn.XLOOKUP(J234&amp;"-"&amp;E234&amp;"-"&amp;K234,SpecCV[ID],SpecCV[Unit]),_xlfn.XLOOKUP(J234&amp;"-"&amp;E234&amp;"-"&amp;K234,SpecCV[ID],SpecCV[Unit]))</f>
        <v>cfu/ml</v>
      </c>
      <c r="S234" s="24"/>
      <c r="T234" s="24"/>
      <c r="U234" s="24"/>
      <c r="V234" s="68" t="b">
        <v>0</v>
      </c>
      <c r="W234" s="69"/>
      <c r="X234" s="69"/>
    </row>
    <row r="235" ht="22.5" customHeight="1">
      <c r="A235" s="68"/>
      <c r="B235" s="68" t="b">
        <v>0</v>
      </c>
      <c r="C235" s="68">
        <v>12.0</v>
      </c>
      <c r="D235" s="70"/>
      <c r="E235" s="68" t="s">
        <v>28</v>
      </c>
      <c r="F235" s="24" t="s">
        <v>247</v>
      </c>
      <c r="G235" s="24" t="s">
        <v>248</v>
      </c>
      <c r="H235" s="24" t="s">
        <v>251</v>
      </c>
      <c r="I235" s="71">
        <v>46097.0</v>
      </c>
      <c r="J235" s="66" t="s">
        <v>47</v>
      </c>
      <c r="K235" s="66" t="s">
        <v>50</v>
      </c>
      <c r="L235" s="66" t="s">
        <v>220</v>
      </c>
      <c r="M235" s="66" t="s">
        <v>45</v>
      </c>
      <c r="N235" s="24"/>
      <c r="O235" s="24">
        <v>1080.0</v>
      </c>
      <c r="P235" s="24">
        <f t="array" ref="P235">if(O235="","", if(O235=9999,9999,ROUNDUP(_xlfn.XLOOKUP(J235&amp;"-"&amp;E235&amp;"-"&amp;K235,SpecCV[ID],SpecCV[factor])*O235,0)))</f>
        <v>11</v>
      </c>
      <c r="Q235" s="24">
        <f t="array" ref="Q235">if(J235="Contact plate", _xlfn.XLOOKUP(J235&amp;"-"&amp;E235&amp;"-"&amp;K235,SpecCV[ID],SpecCV[Spec]),_xlfn.XLOOKUP(J235&amp;"-"&amp;E235&amp;"-"&amp;K235,SpecCV[ID],SpecCV[Spec]))</f>
        <v>100</v>
      </c>
      <c r="R235" s="24" t="str">
        <f t="array" ref="R235">if(J235="Contact plate", _xlfn.XLOOKUP(J235&amp;"-"&amp;E235&amp;"-"&amp;K235,SpecCV[ID],SpecCV[Unit]),_xlfn.XLOOKUP(J235&amp;"-"&amp;E235&amp;"-"&amp;K235,SpecCV[ID],SpecCV[Unit]))</f>
        <v>cfu/ml</v>
      </c>
      <c r="S235" s="24"/>
      <c r="T235" s="24"/>
      <c r="U235" s="24"/>
      <c r="V235" s="68" t="b">
        <v>0</v>
      </c>
      <c r="W235" s="69"/>
      <c r="X235" s="69"/>
    </row>
    <row r="236" ht="22.5" customHeight="1">
      <c r="A236" s="68"/>
      <c r="B236" s="68" t="b">
        <v>0</v>
      </c>
      <c r="C236" s="68">
        <v>12.0</v>
      </c>
      <c r="D236" s="70"/>
      <c r="E236" s="68" t="s">
        <v>28</v>
      </c>
      <c r="F236" s="24" t="s">
        <v>247</v>
      </c>
      <c r="G236" s="24" t="s">
        <v>248</v>
      </c>
      <c r="H236" s="24" t="s">
        <v>252</v>
      </c>
      <c r="I236" s="71">
        <v>46097.0</v>
      </c>
      <c r="J236" s="66" t="s">
        <v>47</v>
      </c>
      <c r="K236" s="66" t="s">
        <v>50</v>
      </c>
      <c r="L236" s="66" t="s">
        <v>220</v>
      </c>
      <c r="M236" s="66" t="s">
        <v>45</v>
      </c>
      <c r="N236" s="24"/>
      <c r="O236" s="24">
        <v>1928.0</v>
      </c>
      <c r="P236" s="24">
        <f t="array" ref="P236">if(O236="","", if(O236=9999,9999,ROUNDUP(_xlfn.XLOOKUP(J236&amp;"-"&amp;E236&amp;"-"&amp;K236,SpecCV[ID],SpecCV[factor])*O236,0)))</f>
        <v>20</v>
      </c>
      <c r="Q236" s="24">
        <f t="array" ref="Q236">if(J236="Contact plate", _xlfn.XLOOKUP(J236&amp;"-"&amp;E236&amp;"-"&amp;K236,SpecCV[ID],SpecCV[Spec]),_xlfn.XLOOKUP(J236&amp;"-"&amp;E236&amp;"-"&amp;K236,SpecCV[ID],SpecCV[Spec]))</f>
        <v>100</v>
      </c>
      <c r="R236" s="24" t="str">
        <f t="array" ref="R236">if(J236="Contact plate", _xlfn.XLOOKUP(J236&amp;"-"&amp;E236&amp;"-"&amp;K236,SpecCV[ID],SpecCV[Unit]),_xlfn.XLOOKUP(J236&amp;"-"&amp;E236&amp;"-"&amp;K236,SpecCV[ID],SpecCV[Unit]))</f>
        <v>cfu/ml</v>
      </c>
      <c r="S236" s="24"/>
      <c r="T236" s="24"/>
      <c r="U236" s="24"/>
      <c r="V236" s="68" t="b">
        <v>0</v>
      </c>
      <c r="W236" s="69"/>
      <c r="X236" s="69"/>
    </row>
    <row r="237" ht="22.5" customHeight="1">
      <c r="A237" s="68"/>
      <c r="B237" s="68" t="b">
        <v>0</v>
      </c>
      <c r="C237" s="68">
        <v>16.0</v>
      </c>
      <c r="D237" s="70"/>
      <c r="E237" s="8" t="s">
        <v>28</v>
      </c>
      <c r="F237" s="24" t="s">
        <v>225</v>
      </c>
      <c r="G237" s="24" t="s">
        <v>226</v>
      </c>
      <c r="H237" s="24" t="s">
        <v>227</v>
      </c>
      <c r="I237" s="31">
        <v>46099.0</v>
      </c>
      <c r="J237" s="32" t="s">
        <v>30</v>
      </c>
      <c r="K237" s="66" t="s">
        <v>30</v>
      </c>
      <c r="L237" s="66" t="s">
        <v>42</v>
      </c>
      <c r="M237" s="66" t="s">
        <v>45</v>
      </c>
      <c r="N237" s="24">
        <v>2.0</v>
      </c>
      <c r="O237" s="24">
        <v>0.0</v>
      </c>
      <c r="P237" s="24">
        <f t="array" ref="P237">if(O237="","", if(O237=9999,9999,ROUNDUP(_xlfn.XLOOKUP(J237&amp;"-"&amp;E237&amp;"-"&amp;K237,SpecCV[ID],SpecCV[factor])*O237,0)))</f>
        <v>0</v>
      </c>
      <c r="Q237" s="24">
        <f t="array" ref="Q237">if(J237="Contact plate", _xlfn.XLOOKUP(J237&amp;"-"&amp;E237&amp;"-"&amp;K237,SpecCV[ID],SpecCV[Spec]),_xlfn.XLOOKUP(J237&amp;"-"&amp;E237&amp;"-"&amp;K237,SpecCV[ID],SpecCV[Spec]))</f>
        <v>50</v>
      </c>
      <c r="R237" s="15" t="str">
        <f t="array" ref="R237">if(J237="Contact plate", _xlfn.XLOOKUP(J237&amp;"-"&amp;E237&amp;"-"&amp;K237,SpecCV[ID],SpecCV[Unit]),_xlfn.XLOOKUP(J237&amp;"-"&amp;E237&amp;"-"&amp;K237,SpecCV[ID],SpecCV[Unit]))</f>
        <v>cfu</v>
      </c>
      <c r="S237" s="67"/>
      <c r="T237" s="67"/>
      <c r="U237" s="67"/>
      <c r="V237" s="68" t="b">
        <v>0</v>
      </c>
      <c r="W237" s="69"/>
      <c r="X237" s="69"/>
    </row>
    <row r="238" ht="22.5" customHeight="1">
      <c r="A238" s="68"/>
      <c r="B238" s="68" t="b">
        <v>0</v>
      </c>
      <c r="C238" s="68">
        <v>16.0</v>
      </c>
      <c r="D238" s="70"/>
      <c r="E238" s="8" t="s">
        <v>28</v>
      </c>
      <c r="F238" s="24" t="s">
        <v>225</v>
      </c>
      <c r="G238" s="24" t="s">
        <v>226</v>
      </c>
      <c r="H238" s="24" t="s">
        <v>228</v>
      </c>
      <c r="I238" s="31">
        <v>46099.0</v>
      </c>
      <c r="J238" s="32" t="s">
        <v>30</v>
      </c>
      <c r="K238" s="66" t="s">
        <v>30</v>
      </c>
      <c r="L238" s="66" t="s">
        <v>42</v>
      </c>
      <c r="M238" s="66" t="s">
        <v>45</v>
      </c>
      <c r="N238" s="24">
        <v>2.0</v>
      </c>
      <c r="O238" s="24">
        <v>9999.0</v>
      </c>
      <c r="P238" s="24">
        <f t="array" ref="P238">if(O238="","", if(O238=9999,9999,ROUNDUP(_xlfn.XLOOKUP(J238&amp;"-"&amp;E238&amp;"-"&amp;K238,SpecCV[ID],SpecCV[factor])*O238,0)))</f>
        <v>9999</v>
      </c>
      <c r="Q238" s="24">
        <f t="array" ref="Q238">if(J238="Contact plate", _xlfn.XLOOKUP(J238&amp;"-"&amp;E238&amp;"-"&amp;K238,SpecCV[ID],SpecCV[Spec]),_xlfn.XLOOKUP(J238&amp;"-"&amp;E238&amp;"-"&amp;K238,SpecCV[ID],SpecCV[Spec]))</f>
        <v>50</v>
      </c>
      <c r="R238" s="15" t="str">
        <f t="array" ref="R238">if(J238="Contact plate", _xlfn.XLOOKUP(J238&amp;"-"&amp;E238&amp;"-"&amp;K238,SpecCV[ID],SpecCV[Unit]),_xlfn.XLOOKUP(J238&amp;"-"&amp;E238&amp;"-"&amp;K238,SpecCV[ID],SpecCV[Unit]))</f>
        <v>cfu</v>
      </c>
      <c r="S238" s="67"/>
      <c r="T238" s="67"/>
      <c r="U238" s="67"/>
      <c r="V238" s="68" t="b">
        <v>0</v>
      </c>
      <c r="W238" s="69"/>
      <c r="X238" s="69"/>
    </row>
    <row r="239" ht="22.5" customHeight="1">
      <c r="A239" s="68"/>
      <c r="B239" s="68" t="b">
        <v>0</v>
      </c>
      <c r="C239" s="68">
        <v>16.0</v>
      </c>
      <c r="D239" s="70"/>
      <c r="E239" s="8" t="s">
        <v>28</v>
      </c>
      <c r="F239" s="24" t="s">
        <v>225</v>
      </c>
      <c r="G239" s="24" t="s">
        <v>216</v>
      </c>
      <c r="H239" s="24" t="s">
        <v>229</v>
      </c>
      <c r="I239" s="31">
        <v>46099.0</v>
      </c>
      <c r="J239" s="32" t="s">
        <v>47</v>
      </c>
      <c r="K239" s="66" t="s">
        <v>50</v>
      </c>
      <c r="L239" s="66" t="s">
        <v>42</v>
      </c>
      <c r="M239" s="66" t="s">
        <v>45</v>
      </c>
      <c r="N239" s="24">
        <v>2.0</v>
      </c>
      <c r="O239" s="24">
        <v>820.0</v>
      </c>
      <c r="P239" s="24">
        <f t="array" ref="P239">if(O239="","", if(O239=9999,9999,ROUNDUP(_xlfn.XLOOKUP(J239&amp;"-"&amp;E239&amp;"-"&amp;K239,SpecCV[ID],SpecCV[factor])*O239,0)))</f>
        <v>9</v>
      </c>
      <c r="Q239" s="24">
        <f t="array" ref="Q239">if(J239="Contact plate", _xlfn.XLOOKUP(J239&amp;"-"&amp;E239&amp;"-"&amp;K239,SpecCV[ID],SpecCV[Spec]),_xlfn.XLOOKUP(J239&amp;"-"&amp;E239&amp;"-"&amp;K239,SpecCV[ID],SpecCV[Spec]))</f>
        <v>100</v>
      </c>
      <c r="R239" s="15" t="str">
        <f t="array" ref="R239">if(J239="Contact plate", _xlfn.XLOOKUP(J239&amp;"-"&amp;E239&amp;"-"&amp;K239,SpecCV[ID],SpecCV[Unit]),_xlfn.XLOOKUP(J239&amp;"-"&amp;E239&amp;"-"&amp;K239,SpecCV[ID],SpecCV[Unit]))</f>
        <v>cfu/ml</v>
      </c>
      <c r="S239" s="67"/>
      <c r="T239" s="67"/>
      <c r="U239" s="67"/>
      <c r="V239" s="68" t="b">
        <v>0</v>
      </c>
      <c r="W239" s="69"/>
      <c r="X239" s="69"/>
    </row>
    <row r="240" ht="22.5" customHeight="1">
      <c r="A240" s="68"/>
      <c r="B240" s="68" t="b">
        <v>0</v>
      </c>
      <c r="C240" s="68">
        <v>16.0</v>
      </c>
      <c r="D240" s="70"/>
      <c r="E240" s="8" t="s">
        <v>28</v>
      </c>
      <c r="F240" s="24" t="s">
        <v>225</v>
      </c>
      <c r="G240" s="24" t="s">
        <v>216</v>
      </c>
      <c r="H240" s="24" t="s">
        <v>230</v>
      </c>
      <c r="I240" s="31">
        <v>46099.0</v>
      </c>
      <c r="J240" s="32" t="s">
        <v>47</v>
      </c>
      <c r="K240" s="66" t="s">
        <v>50</v>
      </c>
      <c r="L240" s="66" t="s">
        <v>42</v>
      </c>
      <c r="M240" s="66" t="s">
        <v>45</v>
      </c>
      <c r="N240" s="24">
        <v>2.0</v>
      </c>
      <c r="O240" s="24">
        <v>1090.0</v>
      </c>
      <c r="P240" s="24">
        <f t="array" ref="P240">if(O240="","", if(O240=9999,9999,ROUNDUP(_xlfn.XLOOKUP(J240&amp;"-"&amp;E240&amp;"-"&amp;K240,SpecCV[ID],SpecCV[factor])*O240,0)))</f>
        <v>11</v>
      </c>
      <c r="Q240" s="24">
        <f t="array" ref="Q240">if(J240="Contact plate", _xlfn.XLOOKUP(J240&amp;"-"&amp;E240&amp;"-"&amp;K240,SpecCV[ID],SpecCV[Spec]),_xlfn.XLOOKUP(J240&amp;"-"&amp;E240&amp;"-"&amp;K240,SpecCV[ID],SpecCV[Spec]))</f>
        <v>100</v>
      </c>
      <c r="R240" s="15" t="str">
        <f t="array" ref="R240">if(J240="Contact plate", _xlfn.XLOOKUP(J240&amp;"-"&amp;E240&amp;"-"&amp;K240,SpecCV[ID],SpecCV[Unit]),_xlfn.XLOOKUP(J240&amp;"-"&amp;E240&amp;"-"&amp;K240,SpecCV[ID],SpecCV[Unit]))</f>
        <v>cfu/ml</v>
      </c>
      <c r="S240" s="67"/>
      <c r="T240" s="67"/>
      <c r="U240" s="67"/>
      <c r="V240" s="68" t="b">
        <v>0</v>
      </c>
      <c r="W240" s="69"/>
      <c r="X240" s="69"/>
    </row>
    <row r="241" ht="22.5" customHeight="1">
      <c r="A241" s="68"/>
      <c r="B241" s="68" t="b">
        <v>0</v>
      </c>
      <c r="C241" s="68">
        <v>16.0</v>
      </c>
      <c r="D241" s="70"/>
      <c r="E241" s="68" t="s">
        <v>37</v>
      </c>
      <c r="F241" s="24" t="s">
        <v>231</v>
      </c>
      <c r="G241" s="24" t="s">
        <v>234</v>
      </c>
      <c r="H241" s="24" t="s">
        <v>235</v>
      </c>
      <c r="I241" s="31">
        <v>46101.0</v>
      </c>
      <c r="J241" s="66" t="s">
        <v>52</v>
      </c>
      <c r="K241" s="66" t="s">
        <v>50</v>
      </c>
      <c r="L241" s="66" t="s">
        <v>42</v>
      </c>
      <c r="M241" s="66" t="s">
        <v>45</v>
      </c>
      <c r="N241" s="24">
        <v>2.0</v>
      </c>
      <c r="O241" s="24">
        <v>0.0</v>
      </c>
      <c r="P241" s="24">
        <f t="array" ref="P241">if(O241="","", if(O241=9999,9999,ROUNDUP(_xlfn.XLOOKUP(J241&amp;"-"&amp;E241&amp;"-"&amp;K241,SpecCV[ID],SpecCV[factor])*O241,0)))</f>
        <v>0</v>
      </c>
      <c r="Q241" s="24">
        <f t="array" ref="Q241">if(J241="Contact plate", _xlfn.XLOOKUP(J241&amp;"-"&amp;E241&amp;"-"&amp;K241,SpecCV[ID],SpecCV[Spec]),_xlfn.XLOOKUP(J241&amp;"-"&amp;E241&amp;"-"&amp;K241,SpecCV[ID],SpecCV[Spec]))</f>
        <v>10</v>
      </c>
      <c r="R241" s="15" t="str">
        <f t="array" ref="R241">if(J241="Contact plate", _xlfn.XLOOKUP(J241&amp;"-"&amp;E241&amp;"-"&amp;K241,SpecCV[ID],SpecCV[Unit]),_xlfn.XLOOKUP(J241&amp;"-"&amp;E241&amp;"-"&amp;K241,SpecCV[ID],SpecCV[Unit]))</f>
        <v>cfu/100ml</v>
      </c>
      <c r="S241" s="67"/>
      <c r="T241" s="67"/>
      <c r="U241" s="67"/>
      <c r="V241" s="68" t="b">
        <v>0</v>
      </c>
      <c r="W241" s="69"/>
      <c r="X241" s="69"/>
    </row>
    <row r="242" ht="22.5" customHeight="1">
      <c r="A242" s="68"/>
      <c r="B242" s="68" t="b">
        <v>0</v>
      </c>
      <c r="C242" s="68">
        <v>16.0</v>
      </c>
      <c r="D242" s="70"/>
      <c r="E242" s="68" t="s">
        <v>37</v>
      </c>
      <c r="F242" s="24" t="s">
        <v>231</v>
      </c>
      <c r="G242" s="24" t="s">
        <v>234</v>
      </c>
      <c r="H242" s="24" t="s">
        <v>236</v>
      </c>
      <c r="I242" s="31">
        <v>46101.0</v>
      </c>
      <c r="J242" s="66" t="s">
        <v>52</v>
      </c>
      <c r="K242" s="66" t="s">
        <v>50</v>
      </c>
      <c r="L242" s="66" t="s">
        <v>42</v>
      </c>
      <c r="M242" s="66" t="s">
        <v>45</v>
      </c>
      <c r="N242" s="24">
        <v>2.0</v>
      </c>
      <c r="O242" s="24">
        <v>0.0</v>
      </c>
      <c r="P242" s="24">
        <f t="array" ref="P242">if(O242="","", if(O242=9999,9999,ROUNDUP(_xlfn.XLOOKUP(J242&amp;"-"&amp;E242&amp;"-"&amp;K242,SpecCV[ID],SpecCV[factor])*O242,0)))</f>
        <v>0</v>
      </c>
      <c r="Q242" s="24">
        <f t="array" ref="Q242">if(J242="Contact plate", _xlfn.XLOOKUP(J242&amp;"-"&amp;E242&amp;"-"&amp;K242,SpecCV[ID],SpecCV[Spec]),_xlfn.XLOOKUP(J242&amp;"-"&amp;E242&amp;"-"&amp;K242,SpecCV[ID],SpecCV[Spec]))</f>
        <v>10</v>
      </c>
      <c r="R242" s="15" t="str">
        <f t="array" ref="R242">if(J242="Contact plate", _xlfn.XLOOKUP(J242&amp;"-"&amp;E242&amp;"-"&amp;K242,SpecCV[ID],SpecCV[Unit]),_xlfn.XLOOKUP(J242&amp;"-"&amp;E242&amp;"-"&amp;K242,SpecCV[ID],SpecCV[Unit]))</f>
        <v>cfu/100ml</v>
      </c>
      <c r="S242" s="67"/>
      <c r="T242" s="67"/>
      <c r="U242" s="67"/>
      <c r="V242" s="68" t="b">
        <v>0</v>
      </c>
      <c r="W242" s="69"/>
      <c r="X242" s="69"/>
    </row>
    <row r="243" ht="22.5" customHeight="1">
      <c r="A243" s="68"/>
      <c r="B243" s="68" t="b">
        <v>0</v>
      </c>
      <c r="C243" s="68">
        <v>16.0</v>
      </c>
      <c r="D243" s="70"/>
      <c r="E243" s="68" t="s">
        <v>37</v>
      </c>
      <c r="F243" s="24" t="s">
        <v>231</v>
      </c>
      <c r="G243" s="24" t="s">
        <v>234</v>
      </c>
      <c r="H243" s="24" t="s">
        <v>237</v>
      </c>
      <c r="I243" s="31">
        <v>46101.0</v>
      </c>
      <c r="J243" s="66" t="s">
        <v>52</v>
      </c>
      <c r="K243" s="66" t="s">
        <v>50</v>
      </c>
      <c r="L243" s="66" t="s">
        <v>42</v>
      </c>
      <c r="M243" s="66" t="s">
        <v>45</v>
      </c>
      <c r="N243" s="24">
        <v>2.0</v>
      </c>
      <c r="O243" s="24">
        <v>0.0</v>
      </c>
      <c r="P243" s="24">
        <f t="array" ref="P243">if(O243="","", if(O243=9999,9999,ROUNDUP(_xlfn.XLOOKUP(J243&amp;"-"&amp;E243&amp;"-"&amp;K243,SpecCV[ID],SpecCV[factor])*O243,0)))</f>
        <v>0</v>
      </c>
      <c r="Q243" s="24">
        <f t="array" ref="Q243">if(J243="Contact plate", _xlfn.XLOOKUP(J243&amp;"-"&amp;E243&amp;"-"&amp;K243,SpecCV[ID],SpecCV[Spec]),_xlfn.XLOOKUP(J243&amp;"-"&amp;E243&amp;"-"&amp;K243,SpecCV[ID],SpecCV[Spec]))</f>
        <v>10</v>
      </c>
      <c r="R243" s="15" t="str">
        <f t="array" ref="R243">if(J243="Contact plate", _xlfn.XLOOKUP(J243&amp;"-"&amp;E243&amp;"-"&amp;K243,SpecCV[ID],SpecCV[Unit]),_xlfn.XLOOKUP(J243&amp;"-"&amp;E243&amp;"-"&amp;K243,SpecCV[ID],SpecCV[Unit]))</f>
        <v>cfu/100ml</v>
      </c>
      <c r="S243" s="67"/>
      <c r="T243" s="67"/>
      <c r="U243" s="67"/>
      <c r="V243" s="68" t="b">
        <v>0</v>
      </c>
      <c r="W243" s="69"/>
      <c r="X243" s="69"/>
    </row>
    <row r="244" ht="22.5" customHeight="1">
      <c r="A244" s="68"/>
      <c r="B244" s="68" t="b">
        <v>0</v>
      </c>
      <c r="C244" s="68">
        <v>16.0</v>
      </c>
      <c r="D244" s="70"/>
      <c r="E244" s="68" t="s">
        <v>37</v>
      </c>
      <c r="F244" s="24" t="s">
        <v>231</v>
      </c>
      <c r="G244" s="24" t="s">
        <v>234</v>
      </c>
      <c r="H244" s="24" t="s">
        <v>238</v>
      </c>
      <c r="I244" s="31">
        <v>46101.0</v>
      </c>
      <c r="J244" s="66" t="s">
        <v>52</v>
      </c>
      <c r="K244" s="66" t="s">
        <v>50</v>
      </c>
      <c r="L244" s="66" t="s">
        <v>42</v>
      </c>
      <c r="M244" s="66" t="s">
        <v>45</v>
      </c>
      <c r="N244" s="24">
        <v>2.0</v>
      </c>
      <c r="O244" s="24">
        <v>0.0</v>
      </c>
      <c r="P244" s="24">
        <f t="array" ref="P244">if(O244="","", if(O244=9999,9999,ROUNDUP(_xlfn.XLOOKUP(J244&amp;"-"&amp;E244&amp;"-"&amp;K244,SpecCV[ID],SpecCV[factor])*O244,0)))</f>
        <v>0</v>
      </c>
      <c r="Q244" s="24">
        <f t="array" ref="Q244">if(J244="Contact plate", _xlfn.XLOOKUP(J244&amp;"-"&amp;E244&amp;"-"&amp;K244,SpecCV[ID],SpecCV[Spec]),_xlfn.XLOOKUP(J244&amp;"-"&amp;E244&amp;"-"&amp;K244,SpecCV[ID],SpecCV[Spec]))</f>
        <v>10</v>
      </c>
      <c r="R244" s="15" t="str">
        <f t="array" ref="R244">if(J244="Contact plate", _xlfn.XLOOKUP(J244&amp;"-"&amp;E244&amp;"-"&amp;K244,SpecCV[ID],SpecCV[Unit]),_xlfn.XLOOKUP(J244&amp;"-"&amp;E244&amp;"-"&amp;K244,SpecCV[ID],SpecCV[Unit]))</f>
        <v>cfu/100ml</v>
      </c>
      <c r="S244" s="67"/>
      <c r="T244" s="67"/>
      <c r="U244" s="67"/>
      <c r="V244" s="68" t="b">
        <v>0</v>
      </c>
      <c r="W244" s="69"/>
      <c r="X244" s="69"/>
    </row>
    <row r="245" ht="22.5" customHeight="1">
      <c r="A245" s="68"/>
      <c r="B245" s="68" t="b">
        <v>0</v>
      </c>
      <c r="C245" s="68">
        <v>16.0</v>
      </c>
      <c r="D245" s="70"/>
      <c r="E245" s="68" t="s">
        <v>37</v>
      </c>
      <c r="F245" s="24" t="s">
        <v>231</v>
      </c>
      <c r="G245" s="24" t="s">
        <v>234</v>
      </c>
      <c r="H245" s="24" t="s">
        <v>239</v>
      </c>
      <c r="I245" s="31">
        <v>46101.0</v>
      </c>
      <c r="J245" s="66" t="s">
        <v>52</v>
      </c>
      <c r="K245" s="66" t="s">
        <v>50</v>
      </c>
      <c r="L245" s="66" t="s">
        <v>42</v>
      </c>
      <c r="M245" s="66" t="s">
        <v>45</v>
      </c>
      <c r="N245" s="24">
        <v>2.0</v>
      </c>
      <c r="O245" s="24">
        <v>0.0</v>
      </c>
      <c r="P245" s="24">
        <f t="array" ref="P245">if(O245="","", if(O245=9999,9999,ROUNDUP(_xlfn.XLOOKUP(J245&amp;"-"&amp;E245&amp;"-"&amp;K245,SpecCV[ID],SpecCV[factor])*O245,0)))</f>
        <v>0</v>
      </c>
      <c r="Q245" s="24">
        <f t="array" ref="Q245">if(J245="Contact plate", _xlfn.XLOOKUP(J245&amp;"-"&amp;E245&amp;"-"&amp;K245,SpecCV[ID],SpecCV[Spec]),_xlfn.XLOOKUP(J245&amp;"-"&amp;E245&amp;"-"&amp;K245,SpecCV[ID],SpecCV[Spec]))</f>
        <v>10</v>
      </c>
      <c r="R245" s="15" t="str">
        <f t="array" ref="R245">if(J245="Contact plate", _xlfn.XLOOKUP(J245&amp;"-"&amp;E245&amp;"-"&amp;K245,SpecCV[ID],SpecCV[Unit]),_xlfn.XLOOKUP(J245&amp;"-"&amp;E245&amp;"-"&amp;K245,SpecCV[ID],SpecCV[Unit]))</f>
        <v>cfu/100ml</v>
      </c>
      <c r="S245" s="67"/>
      <c r="T245" s="67"/>
      <c r="U245" s="67"/>
      <c r="V245" s="68" t="b">
        <v>0</v>
      </c>
      <c r="W245" s="69"/>
      <c r="X245" s="69"/>
    </row>
    <row r="246" ht="22.5" customHeight="1">
      <c r="A246" s="68"/>
      <c r="B246" s="68" t="b">
        <v>0</v>
      </c>
      <c r="C246" s="68">
        <v>16.0</v>
      </c>
      <c r="D246" s="70"/>
      <c r="E246" s="68" t="s">
        <v>37</v>
      </c>
      <c r="F246" s="24" t="s">
        <v>231</v>
      </c>
      <c r="G246" s="24" t="s">
        <v>234</v>
      </c>
      <c r="H246" s="24" t="s">
        <v>240</v>
      </c>
      <c r="I246" s="31">
        <v>46101.0</v>
      </c>
      <c r="J246" s="66" t="s">
        <v>52</v>
      </c>
      <c r="K246" s="66" t="s">
        <v>50</v>
      </c>
      <c r="L246" s="66" t="s">
        <v>42</v>
      </c>
      <c r="M246" s="66" t="s">
        <v>45</v>
      </c>
      <c r="N246" s="24">
        <v>2.0</v>
      </c>
      <c r="O246" s="24">
        <v>1.0</v>
      </c>
      <c r="P246" s="24">
        <f t="array" ref="P246">if(O246="","", if(O246=9999,9999,ROUNDUP(_xlfn.XLOOKUP(J246&amp;"-"&amp;E246&amp;"-"&amp;K246,SpecCV[ID],SpecCV[factor])*O246,0)))</f>
        <v>1</v>
      </c>
      <c r="Q246" s="24">
        <f t="array" ref="Q246">if(J246="Contact plate", _xlfn.XLOOKUP(J246&amp;"-"&amp;E246&amp;"-"&amp;K246,SpecCV[ID],SpecCV[Spec]),_xlfn.XLOOKUP(J246&amp;"-"&amp;E246&amp;"-"&amp;K246,SpecCV[ID],SpecCV[Spec]))</f>
        <v>10</v>
      </c>
      <c r="R246" s="15" t="str">
        <f t="array" ref="R246">if(J246="Contact plate", _xlfn.XLOOKUP(J246&amp;"-"&amp;E246&amp;"-"&amp;K246,SpecCV[ID],SpecCV[Unit]),_xlfn.XLOOKUP(J246&amp;"-"&amp;E246&amp;"-"&amp;K246,SpecCV[ID],SpecCV[Unit]))</f>
        <v>cfu/100ml</v>
      </c>
      <c r="S246" s="67"/>
      <c r="T246" s="67"/>
      <c r="U246" s="67"/>
      <c r="V246" s="68" t="b">
        <v>0</v>
      </c>
      <c r="W246" s="69"/>
      <c r="X246" s="69"/>
    </row>
    <row r="247" ht="22.5" customHeight="1">
      <c r="A247" s="68"/>
      <c r="B247" s="68" t="b">
        <v>0</v>
      </c>
      <c r="C247" s="68">
        <v>16.0</v>
      </c>
      <c r="D247" s="70"/>
      <c r="E247" s="68" t="s">
        <v>37</v>
      </c>
      <c r="F247" s="24" t="s">
        <v>231</v>
      </c>
      <c r="G247" s="24" t="s">
        <v>241</v>
      </c>
      <c r="H247" s="24" t="s">
        <v>242</v>
      </c>
      <c r="I247" s="31">
        <v>46101.0</v>
      </c>
      <c r="J247" s="32" t="s">
        <v>30</v>
      </c>
      <c r="K247" s="66" t="s">
        <v>30</v>
      </c>
      <c r="L247" s="66" t="s">
        <v>42</v>
      </c>
      <c r="M247" s="66" t="s">
        <v>45</v>
      </c>
      <c r="N247" s="24">
        <v>2.0</v>
      </c>
      <c r="O247" s="24">
        <v>0.0</v>
      </c>
      <c r="P247" s="24">
        <f t="array" ref="P247">if(O247="","", if(O247=9999,9999,ROUNDUP(_xlfn.XLOOKUP(J247&amp;"-"&amp;E247&amp;"-"&amp;K247,SpecCV[ID],SpecCV[factor])*O247,0)))</f>
        <v>0</v>
      </c>
      <c r="Q247" s="24">
        <f t="array" ref="Q247">if(J247="Contact plate", _xlfn.XLOOKUP(J247&amp;"-"&amp;E247&amp;"-"&amp;K247,SpecCV[ID],SpecCV[Spec]),_xlfn.XLOOKUP(J247&amp;"-"&amp;E247&amp;"-"&amp;K247,SpecCV[ID],SpecCV[Spec]))</f>
        <v>0</v>
      </c>
      <c r="R247" s="15" t="str">
        <f t="array" ref="R247">if(J247="Contact plate", _xlfn.XLOOKUP(J247&amp;"-"&amp;E247&amp;"-"&amp;K247,SpecCV[ID],SpecCV[Unit]),_xlfn.XLOOKUP(J247&amp;"-"&amp;E247&amp;"-"&amp;K247,SpecCV[ID],SpecCV[Unit]))</f>
        <v>cfu</v>
      </c>
      <c r="S247" s="67"/>
      <c r="T247" s="67"/>
      <c r="U247" s="67"/>
      <c r="V247" s="68" t="b">
        <v>0</v>
      </c>
      <c r="W247" s="69"/>
      <c r="X247" s="69"/>
    </row>
    <row r="248" ht="22.5" customHeight="1">
      <c r="A248" s="68"/>
      <c r="B248" s="68" t="b">
        <v>0</v>
      </c>
      <c r="C248" s="68">
        <v>16.0</v>
      </c>
      <c r="D248" s="70"/>
      <c r="E248" s="68" t="s">
        <v>37</v>
      </c>
      <c r="F248" s="24" t="s">
        <v>231</v>
      </c>
      <c r="G248" s="24" t="s">
        <v>241</v>
      </c>
      <c r="H248" s="24" t="s">
        <v>243</v>
      </c>
      <c r="I248" s="31">
        <v>46101.0</v>
      </c>
      <c r="J248" s="32" t="s">
        <v>30</v>
      </c>
      <c r="K248" s="66" t="s">
        <v>30</v>
      </c>
      <c r="L248" s="66" t="s">
        <v>42</v>
      </c>
      <c r="M248" s="66" t="s">
        <v>45</v>
      </c>
      <c r="N248" s="24">
        <v>2.0</v>
      </c>
      <c r="O248" s="24">
        <v>0.0</v>
      </c>
      <c r="P248" s="24">
        <f t="array" ref="P248">if(O248="","", if(O248=9999,9999,ROUNDUP(_xlfn.XLOOKUP(J248&amp;"-"&amp;E248&amp;"-"&amp;K248,SpecCV[ID],SpecCV[factor])*O248,0)))</f>
        <v>0</v>
      </c>
      <c r="Q248" s="24">
        <f t="array" ref="Q248">if(J248="Contact plate", _xlfn.XLOOKUP(J248&amp;"-"&amp;E248&amp;"-"&amp;K248,SpecCV[ID],SpecCV[Spec]),_xlfn.XLOOKUP(J248&amp;"-"&amp;E248&amp;"-"&amp;K248,SpecCV[ID],SpecCV[Spec]))</f>
        <v>0</v>
      </c>
      <c r="R248" s="15" t="str">
        <f t="array" ref="R248">if(J248="Contact plate", _xlfn.XLOOKUP(J248&amp;"-"&amp;E248&amp;"-"&amp;K248,SpecCV[ID],SpecCV[Unit]),_xlfn.XLOOKUP(J248&amp;"-"&amp;E248&amp;"-"&amp;K248,SpecCV[ID],SpecCV[Unit]))</f>
        <v>cfu</v>
      </c>
      <c r="S248" s="67"/>
      <c r="T248" s="67"/>
      <c r="U248" s="67"/>
      <c r="V248" s="68" t="b">
        <v>0</v>
      </c>
      <c r="W248" s="69"/>
      <c r="X248" s="69"/>
    </row>
    <row r="249" ht="22.5" customHeight="1">
      <c r="A249" s="68"/>
      <c r="B249" s="68" t="b">
        <v>0</v>
      </c>
      <c r="C249" s="68">
        <v>16.0</v>
      </c>
      <c r="D249" s="70"/>
      <c r="E249" s="68" t="s">
        <v>28</v>
      </c>
      <c r="F249" s="24" t="s">
        <v>244</v>
      </c>
      <c r="G249" s="24" t="s">
        <v>245</v>
      </c>
      <c r="H249" s="24" t="s">
        <v>246</v>
      </c>
      <c r="I249" s="31">
        <v>46104.0</v>
      </c>
      <c r="J249" s="32" t="s">
        <v>47</v>
      </c>
      <c r="K249" s="66" t="s">
        <v>50</v>
      </c>
      <c r="L249" s="66" t="s">
        <v>42</v>
      </c>
      <c r="M249" s="66" t="s">
        <v>45</v>
      </c>
      <c r="N249" s="24">
        <v>2.0</v>
      </c>
      <c r="O249" s="24">
        <v>5.0</v>
      </c>
      <c r="P249" s="24">
        <f t="array" ref="P249">if(O249="","", if(O249=9999,9999,ROUNDUP(_xlfn.XLOOKUP(J249&amp;"-"&amp;E249&amp;"-"&amp;K249,SpecCV[ID],SpecCV[factor])*O249,0)))</f>
        <v>1</v>
      </c>
      <c r="Q249" s="24">
        <f t="array" ref="Q249">if(J249="Contact plate", _xlfn.XLOOKUP(J249&amp;"-"&amp;E249&amp;"-"&amp;K249,SpecCV[ID],SpecCV[Spec]),_xlfn.XLOOKUP(J249&amp;"-"&amp;E249&amp;"-"&amp;K249,SpecCV[ID],SpecCV[Spec]))</f>
        <v>100</v>
      </c>
      <c r="R249" s="15" t="str">
        <f t="array" ref="R249">if(J249="Contact plate", _xlfn.XLOOKUP(J249&amp;"-"&amp;E249&amp;"-"&amp;K249,SpecCV[ID],SpecCV[Unit]),_xlfn.XLOOKUP(J249&amp;"-"&amp;E249&amp;"-"&amp;K249,SpecCV[ID],SpecCV[Unit]))</f>
        <v>cfu/ml</v>
      </c>
      <c r="S249" s="67"/>
      <c r="T249" s="67"/>
      <c r="U249" s="67"/>
      <c r="V249" s="68" t="b">
        <v>0</v>
      </c>
      <c r="W249" s="69"/>
      <c r="X249" s="69"/>
    </row>
    <row r="250" ht="22.5" customHeight="1">
      <c r="A250" s="68"/>
      <c r="B250" s="68" t="b">
        <v>0</v>
      </c>
      <c r="C250" s="68">
        <v>12.0</v>
      </c>
      <c r="D250" s="70"/>
      <c r="E250" s="68" t="s">
        <v>28</v>
      </c>
      <c r="F250" s="24" t="s">
        <v>247</v>
      </c>
      <c r="G250" s="24" t="s">
        <v>248</v>
      </c>
      <c r="H250" s="24" t="s">
        <v>249</v>
      </c>
      <c r="I250" s="71">
        <v>46106.0</v>
      </c>
      <c r="J250" s="66" t="s">
        <v>47</v>
      </c>
      <c r="K250" s="66" t="s">
        <v>50</v>
      </c>
      <c r="L250" s="66" t="s">
        <v>42</v>
      </c>
      <c r="M250" s="66" t="s">
        <v>45</v>
      </c>
      <c r="N250" s="24">
        <v>2.0</v>
      </c>
      <c r="O250" s="24">
        <v>1520.0</v>
      </c>
      <c r="P250" s="24">
        <f t="array" ref="P250">if(O250="","", if(O250=9999,9999,ROUNDUP(_xlfn.XLOOKUP(J250&amp;"-"&amp;E250&amp;"-"&amp;K250,SpecCV[ID],SpecCV[factor])*O250,0)))</f>
        <v>16</v>
      </c>
      <c r="Q250" s="24">
        <f t="array" ref="Q250">if(J250="Contact plate", _xlfn.XLOOKUP(J250&amp;"-"&amp;E250&amp;"-"&amp;K250,SpecCV[ID],SpecCV[Spec]),_xlfn.XLOOKUP(J250&amp;"-"&amp;E250&amp;"-"&amp;K250,SpecCV[ID],SpecCV[Spec]))</f>
        <v>100</v>
      </c>
      <c r="R250" s="15" t="str">
        <f t="array" ref="R250">if(J250="Contact plate", _xlfn.XLOOKUP(J250&amp;"-"&amp;E250&amp;"-"&amp;K250,SpecCV[ID],SpecCV[Unit]),_xlfn.XLOOKUP(J250&amp;"-"&amp;E250&amp;"-"&amp;K250,SpecCV[ID],SpecCV[Unit]))</f>
        <v>cfu/ml</v>
      </c>
      <c r="S250" s="24">
        <v>1.0</v>
      </c>
      <c r="T250" s="67"/>
      <c r="U250" s="67"/>
      <c r="V250" s="68" t="b">
        <v>0</v>
      </c>
      <c r="W250" s="69"/>
      <c r="X250" s="69"/>
    </row>
    <row r="251" ht="22.5" customHeight="1">
      <c r="A251" s="68"/>
      <c r="B251" s="68" t="b">
        <v>0</v>
      </c>
      <c r="C251" s="68">
        <v>12.0</v>
      </c>
      <c r="D251" s="70"/>
      <c r="E251" s="68" t="s">
        <v>28</v>
      </c>
      <c r="F251" s="24" t="s">
        <v>247</v>
      </c>
      <c r="G251" s="24" t="s">
        <v>248</v>
      </c>
      <c r="H251" s="24" t="s">
        <v>250</v>
      </c>
      <c r="I251" s="71">
        <v>46106.0</v>
      </c>
      <c r="J251" s="66" t="s">
        <v>47</v>
      </c>
      <c r="K251" s="66" t="s">
        <v>50</v>
      </c>
      <c r="L251" s="66" t="s">
        <v>42</v>
      </c>
      <c r="M251" s="66" t="s">
        <v>45</v>
      </c>
      <c r="N251" s="24">
        <v>2.0</v>
      </c>
      <c r="O251" s="24">
        <v>1728.0</v>
      </c>
      <c r="P251" s="24">
        <f t="array" ref="P251">if(O251="","", if(O251=9999,9999,ROUNDUP(_xlfn.XLOOKUP(J251&amp;"-"&amp;E251&amp;"-"&amp;K251,SpecCV[ID],SpecCV[factor])*O251,0)))</f>
        <v>18</v>
      </c>
      <c r="Q251" s="24">
        <f t="array" ref="Q251">if(J251="Contact plate", _xlfn.XLOOKUP(J251&amp;"-"&amp;E251&amp;"-"&amp;K251,SpecCV[ID],SpecCV[Spec]),_xlfn.XLOOKUP(J251&amp;"-"&amp;E251&amp;"-"&amp;K251,SpecCV[ID],SpecCV[Spec]))</f>
        <v>100</v>
      </c>
      <c r="R251" s="15" t="str">
        <f t="array" ref="R251">if(J251="Contact plate", _xlfn.XLOOKUP(J251&amp;"-"&amp;E251&amp;"-"&amp;K251,SpecCV[ID],SpecCV[Unit]),_xlfn.XLOOKUP(J251&amp;"-"&amp;E251&amp;"-"&amp;K251,SpecCV[ID],SpecCV[Unit]))</f>
        <v>cfu/ml</v>
      </c>
      <c r="S251" s="24">
        <v>1.0</v>
      </c>
      <c r="T251" s="67"/>
      <c r="U251" s="67"/>
      <c r="V251" s="68" t="b">
        <v>0</v>
      </c>
      <c r="W251" s="69"/>
      <c r="X251" s="69"/>
    </row>
    <row r="252" ht="22.5" customHeight="1">
      <c r="A252" s="68"/>
      <c r="B252" s="68" t="b">
        <v>0</v>
      </c>
      <c r="C252" s="68">
        <v>12.0</v>
      </c>
      <c r="D252" s="70"/>
      <c r="E252" s="68" t="s">
        <v>28</v>
      </c>
      <c r="F252" s="24" t="s">
        <v>247</v>
      </c>
      <c r="G252" s="24" t="s">
        <v>248</v>
      </c>
      <c r="H252" s="24" t="s">
        <v>251</v>
      </c>
      <c r="I252" s="71">
        <v>46106.0</v>
      </c>
      <c r="J252" s="66" t="s">
        <v>47</v>
      </c>
      <c r="K252" s="66" t="s">
        <v>50</v>
      </c>
      <c r="L252" s="66" t="s">
        <v>42</v>
      </c>
      <c r="M252" s="66" t="s">
        <v>45</v>
      </c>
      <c r="N252" s="24">
        <v>2.0</v>
      </c>
      <c r="O252" s="24">
        <v>1464.0</v>
      </c>
      <c r="P252" s="24">
        <f t="array" ref="P252">if(O252="","", if(O252=9999,9999,ROUNDUP(_xlfn.XLOOKUP(J252&amp;"-"&amp;E252&amp;"-"&amp;K252,SpecCV[ID],SpecCV[factor])*O252,0)))</f>
        <v>15</v>
      </c>
      <c r="Q252" s="24">
        <f t="array" ref="Q252">if(J252="Contact plate", _xlfn.XLOOKUP(J252&amp;"-"&amp;E252&amp;"-"&amp;K252,SpecCV[ID],SpecCV[Spec]),_xlfn.XLOOKUP(J252&amp;"-"&amp;E252&amp;"-"&amp;K252,SpecCV[ID],SpecCV[Spec]))</f>
        <v>100</v>
      </c>
      <c r="R252" s="15" t="str">
        <f t="array" ref="R252">if(J252="Contact plate", _xlfn.XLOOKUP(J252&amp;"-"&amp;E252&amp;"-"&amp;K252,SpecCV[ID],SpecCV[Unit]),_xlfn.XLOOKUP(J252&amp;"-"&amp;E252&amp;"-"&amp;K252,SpecCV[ID],SpecCV[Unit]))</f>
        <v>cfu/ml</v>
      </c>
      <c r="S252" s="24">
        <v>1.0</v>
      </c>
      <c r="T252" s="67"/>
      <c r="U252" s="67"/>
      <c r="V252" s="68" t="b">
        <v>0</v>
      </c>
      <c r="W252" s="69"/>
      <c r="X252" s="69"/>
    </row>
    <row r="253" ht="22.5" customHeight="1">
      <c r="A253" s="68"/>
      <c r="B253" s="68" t="b">
        <v>0</v>
      </c>
      <c r="C253" s="68">
        <v>12.0</v>
      </c>
      <c r="D253" s="70"/>
      <c r="E253" s="68" t="s">
        <v>28</v>
      </c>
      <c r="F253" s="24" t="s">
        <v>247</v>
      </c>
      <c r="G253" s="24" t="s">
        <v>248</v>
      </c>
      <c r="H253" s="24" t="s">
        <v>252</v>
      </c>
      <c r="I253" s="71">
        <v>46106.0</v>
      </c>
      <c r="J253" s="66" t="s">
        <v>47</v>
      </c>
      <c r="K253" s="66" t="s">
        <v>50</v>
      </c>
      <c r="L253" s="66" t="s">
        <v>42</v>
      </c>
      <c r="M253" s="66" t="s">
        <v>45</v>
      </c>
      <c r="N253" s="24">
        <v>2.0</v>
      </c>
      <c r="O253" s="24">
        <v>1840.0</v>
      </c>
      <c r="P253" s="24">
        <f t="array" ref="P253">if(O253="","", if(O253=9999,9999,ROUNDUP(_xlfn.XLOOKUP(J253&amp;"-"&amp;E253&amp;"-"&amp;K253,SpecCV[ID],SpecCV[factor])*O253,0)))</f>
        <v>19</v>
      </c>
      <c r="Q253" s="24">
        <f t="array" ref="Q253">if(J253="Contact plate", _xlfn.XLOOKUP(J253&amp;"-"&amp;E253&amp;"-"&amp;K253,SpecCV[ID],SpecCV[Spec]),_xlfn.XLOOKUP(J253&amp;"-"&amp;E253&amp;"-"&amp;K253,SpecCV[ID],SpecCV[Spec]))</f>
        <v>100</v>
      </c>
      <c r="R253" s="15" t="str">
        <f t="array" ref="R253">if(J253="Contact plate", _xlfn.XLOOKUP(J253&amp;"-"&amp;E253&amp;"-"&amp;K253,SpecCV[ID],SpecCV[Unit]),_xlfn.XLOOKUP(J253&amp;"-"&amp;E253&amp;"-"&amp;K253,SpecCV[ID],SpecCV[Unit]))</f>
        <v>cfu/ml</v>
      </c>
      <c r="S253" s="24">
        <v>1.0</v>
      </c>
      <c r="T253" s="67"/>
      <c r="U253" s="67"/>
      <c r="V253" s="68" t="b">
        <v>0</v>
      </c>
      <c r="W253" s="69"/>
      <c r="X253" s="69"/>
    </row>
    <row r="254" ht="22.5" customHeight="1">
      <c r="A254" s="68"/>
      <c r="B254" s="68" t="b">
        <v>0</v>
      </c>
      <c r="C254" s="68">
        <v>12.0</v>
      </c>
      <c r="D254" s="70"/>
      <c r="E254" s="68" t="s">
        <v>28</v>
      </c>
      <c r="F254" s="24" t="s">
        <v>247</v>
      </c>
      <c r="G254" s="24" t="s">
        <v>253</v>
      </c>
      <c r="H254" s="24" t="s">
        <v>253</v>
      </c>
      <c r="I254" s="71">
        <v>46106.0</v>
      </c>
      <c r="J254" s="66" t="s">
        <v>47</v>
      </c>
      <c r="K254" s="66" t="s">
        <v>50</v>
      </c>
      <c r="L254" s="66" t="s">
        <v>42</v>
      </c>
      <c r="M254" s="66" t="s">
        <v>45</v>
      </c>
      <c r="N254" s="24">
        <v>2.0</v>
      </c>
      <c r="O254" s="24">
        <v>144.0</v>
      </c>
      <c r="P254" s="24">
        <f t="array" ref="P254">if(O254="","", if(O254=9999,9999,ROUNDUP(_xlfn.XLOOKUP(J254&amp;"-"&amp;E254&amp;"-"&amp;K254,SpecCV[ID],SpecCV[factor])*O254,0)))</f>
        <v>2</v>
      </c>
      <c r="Q254" s="24">
        <f t="array" ref="Q254">if(J254="Contact plate", _xlfn.XLOOKUP(J254&amp;"-"&amp;E254&amp;"-"&amp;K254,SpecCV[ID],SpecCV[Spec]),_xlfn.XLOOKUP(J254&amp;"-"&amp;E254&amp;"-"&amp;K254,SpecCV[ID],SpecCV[Spec]))</f>
        <v>100</v>
      </c>
      <c r="R254" s="15" t="str">
        <f t="array" ref="R254">if(J254="Contact plate", _xlfn.XLOOKUP(J254&amp;"-"&amp;E254&amp;"-"&amp;K254,SpecCV[ID],SpecCV[Unit]),_xlfn.XLOOKUP(J254&amp;"-"&amp;E254&amp;"-"&amp;K254,SpecCV[ID],SpecCV[Unit]))</f>
        <v>cfu/ml</v>
      </c>
      <c r="S254" s="24">
        <v>1.0</v>
      </c>
      <c r="T254" s="67"/>
      <c r="U254" s="67"/>
      <c r="V254" s="68" t="b">
        <v>0</v>
      </c>
      <c r="W254" s="69"/>
      <c r="X254" s="69"/>
    </row>
    <row r="255" ht="22.5" customHeight="1">
      <c r="A255" s="68"/>
      <c r="B255" s="68" t="b">
        <v>0</v>
      </c>
      <c r="C255" s="68">
        <v>12.0</v>
      </c>
      <c r="D255" s="70"/>
      <c r="E255" s="68" t="s">
        <v>28</v>
      </c>
      <c r="F255" s="24" t="s">
        <v>247</v>
      </c>
      <c r="G255" s="24" t="s">
        <v>253</v>
      </c>
      <c r="H255" s="24" t="s">
        <v>253</v>
      </c>
      <c r="I255" s="71">
        <v>46108.0</v>
      </c>
      <c r="J255" s="66" t="s">
        <v>47</v>
      </c>
      <c r="K255" s="66" t="s">
        <v>50</v>
      </c>
      <c r="L255" s="66" t="s">
        <v>220</v>
      </c>
      <c r="M255" s="66" t="s">
        <v>45</v>
      </c>
      <c r="N255" s="24"/>
      <c r="O255" s="24">
        <v>133.0</v>
      </c>
      <c r="P255" s="24">
        <f t="array" ref="P255">if(O255="","", if(O255=9999,9999,ROUNDUP(_xlfn.XLOOKUP(J255&amp;"-"&amp;E255&amp;"-"&amp;K255,SpecCV[ID],SpecCV[factor])*O255,0)))</f>
        <v>2</v>
      </c>
      <c r="Q255" s="24">
        <f t="array" ref="Q255">if(J255="Contact plate", _xlfn.XLOOKUP(J255&amp;"-"&amp;E255&amp;"-"&amp;K255,SpecCV[ID],SpecCV[Spec]),_xlfn.XLOOKUP(J255&amp;"-"&amp;E255&amp;"-"&amp;K255,SpecCV[ID],SpecCV[Spec]))</f>
        <v>100</v>
      </c>
      <c r="R255" s="15" t="str">
        <f t="array" ref="R255">if(J255="Contact plate", _xlfn.XLOOKUP(J255&amp;"-"&amp;E255&amp;"-"&amp;K255,SpecCV[ID],SpecCV[Unit]),_xlfn.XLOOKUP(J255&amp;"-"&amp;E255&amp;"-"&amp;K255,SpecCV[ID],SpecCV[Unit]))</f>
        <v>cfu/ml</v>
      </c>
      <c r="S255" s="24"/>
      <c r="T255" s="67"/>
      <c r="U255" s="67"/>
      <c r="V255" s="68" t="b">
        <v>0</v>
      </c>
      <c r="W255" s="69"/>
      <c r="X255" s="69"/>
    </row>
    <row r="256" ht="22.5" customHeight="1">
      <c r="A256" s="68"/>
      <c r="B256" s="68" t="b">
        <v>0</v>
      </c>
      <c r="C256" s="68">
        <v>12.0</v>
      </c>
      <c r="D256" s="70"/>
      <c r="E256" s="68" t="s">
        <v>28</v>
      </c>
      <c r="F256" s="24" t="s">
        <v>247</v>
      </c>
      <c r="G256" s="24" t="s">
        <v>248</v>
      </c>
      <c r="H256" s="24" t="s">
        <v>249</v>
      </c>
      <c r="I256" s="71">
        <v>46108.0</v>
      </c>
      <c r="J256" s="66" t="s">
        <v>47</v>
      </c>
      <c r="K256" s="66" t="s">
        <v>50</v>
      </c>
      <c r="L256" s="66" t="s">
        <v>220</v>
      </c>
      <c r="M256" s="66" t="s">
        <v>45</v>
      </c>
      <c r="N256" s="24"/>
      <c r="O256" s="24">
        <v>9999.0</v>
      </c>
      <c r="P256" s="24">
        <f t="array" ref="P256">if(O256="","", if(O256=9999,9999,ROUNDUP(_xlfn.XLOOKUP(J256&amp;"-"&amp;E256&amp;"-"&amp;K256,SpecCV[ID],SpecCV[factor])*O256,0)))</f>
        <v>9999</v>
      </c>
      <c r="Q256" s="24">
        <f t="array" ref="Q256">if(J256="Contact plate", _xlfn.XLOOKUP(J256&amp;"-"&amp;E256&amp;"-"&amp;K256,SpecCV[ID],SpecCV[Spec]),_xlfn.XLOOKUP(J256&amp;"-"&amp;E256&amp;"-"&amp;K256,SpecCV[ID],SpecCV[Spec]))</f>
        <v>100</v>
      </c>
      <c r="R256" s="15" t="str">
        <f t="array" ref="R256">if(J256="Contact plate", _xlfn.XLOOKUP(J256&amp;"-"&amp;E256&amp;"-"&amp;K256,SpecCV[ID],SpecCV[Unit]),_xlfn.XLOOKUP(J256&amp;"-"&amp;E256&amp;"-"&amp;K256,SpecCV[ID],SpecCV[Unit]))</f>
        <v>cfu/ml</v>
      </c>
      <c r="S256" s="24"/>
      <c r="T256" s="67"/>
      <c r="U256" s="67"/>
      <c r="V256" s="68" t="b">
        <v>0</v>
      </c>
      <c r="W256" s="69"/>
      <c r="X256" s="69"/>
    </row>
    <row r="257" ht="22.5" customHeight="1">
      <c r="A257" s="68"/>
      <c r="B257" s="68" t="b">
        <v>0</v>
      </c>
      <c r="C257" s="68">
        <v>12.0</v>
      </c>
      <c r="D257" s="70"/>
      <c r="E257" s="68" t="s">
        <v>28</v>
      </c>
      <c r="F257" s="24" t="s">
        <v>247</v>
      </c>
      <c r="G257" s="24" t="s">
        <v>248</v>
      </c>
      <c r="H257" s="24" t="s">
        <v>250</v>
      </c>
      <c r="I257" s="71">
        <v>46108.0</v>
      </c>
      <c r="J257" s="66" t="s">
        <v>47</v>
      </c>
      <c r="K257" s="66" t="s">
        <v>50</v>
      </c>
      <c r="L257" s="66" t="s">
        <v>220</v>
      </c>
      <c r="M257" s="66" t="s">
        <v>45</v>
      </c>
      <c r="N257" s="24"/>
      <c r="O257" s="24">
        <v>9999.0</v>
      </c>
      <c r="P257" s="24">
        <f t="array" ref="P257">if(O257="","", if(O257=9999,9999,ROUNDUP(_xlfn.XLOOKUP(J257&amp;"-"&amp;E257&amp;"-"&amp;K257,SpecCV[ID],SpecCV[factor])*O257,0)))</f>
        <v>9999</v>
      </c>
      <c r="Q257" s="24">
        <f t="array" ref="Q257">if(J257="Contact plate", _xlfn.XLOOKUP(J257&amp;"-"&amp;E257&amp;"-"&amp;K257,SpecCV[ID],SpecCV[Spec]),_xlfn.XLOOKUP(J257&amp;"-"&amp;E257&amp;"-"&amp;K257,SpecCV[ID],SpecCV[Spec]))</f>
        <v>100</v>
      </c>
      <c r="R257" s="15" t="str">
        <f t="array" ref="R257">if(J257="Contact plate", _xlfn.XLOOKUP(J257&amp;"-"&amp;E257&amp;"-"&amp;K257,SpecCV[ID],SpecCV[Unit]),_xlfn.XLOOKUP(J257&amp;"-"&amp;E257&amp;"-"&amp;K257,SpecCV[ID],SpecCV[Unit]))</f>
        <v>cfu/ml</v>
      </c>
      <c r="S257" s="24"/>
      <c r="T257" s="67"/>
      <c r="U257" s="67"/>
      <c r="V257" s="68" t="b">
        <v>0</v>
      </c>
      <c r="W257" s="69"/>
      <c r="X257" s="69"/>
    </row>
    <row r="258" ht="22.5" customHeight="1">
      <c r="A258" s="68"/>
      <c r="B258" s="68" t="b">
        <v>0</v>
      </c>
      <c r="C258" s="68">
        <v>12.0</v>
      </c>
      <c r="D258" s="70"/>
      <c r="E258" s="68" t="s">
        <v>28</v>
      </c>
      <c r="F258" s="24" t="s">
        <v>247</v>
      </c>
      <c r="G258" s="24" t="s">
        <v>248</v>
      </c>
      <c r="H258" s="24" t="s">
        <v>251</v>
      </c>
      <c r="I258" s="71">
        <v>46108.0</v>
      </c>
      <c r="J258" s="66" t="s">
        <v>47</v>
      </c>
      <c r="K258" s="66" t="s">
        <v>50</v>
      </c>
      <c r="L258" s="66" t="s">
        <v>220</v>
      </c>
      <c r="M258" s="66" t="s">
        <v>45</v>
      </c>
      <c r="N258" s="24"/>
      <c r="O258" s="24">
        <v>9999.0</v>
      </c>
      <c r="P258" s="24">
        <f t="array" ref="P258">if(O258="","", if(O258=9999,9999,ROUNDUP(_xlfn.XLOOKUP(J258&amp;"-"&amp;E258&amp;"-"&amp;K258,SpecCV[ID],SpecCV[factor])*O258,0)))</f>
        <v>9999</v>
      </c>
      <c r="Q258" s="24">
        <f t="array" ref="Q258">if(J258="Contact plate", _xlfn.XLOOKUP(J258&amp;"-"&amp;E258&amp;"-"&amp;K258,SpecCV[ID],SpecCV[Spec]),_xlfn.XLOOKUP(J258&amp;"-"&amp;E258&amp;"-"&amp;K258,SpecCV[ID],SpecCV[Spec]))</f>
        <v>100</v>
      </c>
      <c r="R258" s="15" t="str">
        <f t="array" ref="R258">if(J258="Contact plate", _xlfn.XLOOKUP(J258&amp;"-"&amp;E258&amp;"-"&amp;K258,SpecCV[ID],SpecCV[Unit]),_xlfn.XLOOKUP(J258&amp;"-"&amp;E258&amp;"-"&amp;K258,SpecCV[ID],SpecCV[Unit]))</f>
        <v>cfu/ml</v>
      </c>
      <c r="S258" s="24"/>
      <c r="T258" s="67"/>
      <c r="U258" s="67"/>
      <c r="V258" s="68" t="b">
        <v>0</v>
      </c>
      <c r="W258" s="69"/>
      <c r="X258" s="69"/>
    </row>
    <row r="259" ht="22.5" customHeight="1">
      <c r="A259" s="68"/>
      <c r="B259" s="68" t="b">
        <v>0</v>
      </c>
      <c r="C259" s="68">
        <v>12.0</v>
      </c>
      <c r="D259" s="70"/>
      <c r="E259" s="68" t="s">
        <v>28</v>
      </c>
      <c r="F259" s="24" t="s">
        <v>247</v>
      </c>
      <c r="G259" s="24" t="s">
        <v>248</v>
      </c>
      <c r="H259" s="24" t="s">
        <v>252</v>
      </c>
      <c r="I259" s="71">
        <v>46108.0</v>
      </c>
      <c r="J259" s="66" t="s">
        <v>47</v>
      </c>
      <c r="K259" s="66" t="s">
        <v>50</v>
      </c>
      <c r="L259" s="66" t="s">
        <v>220</v>
      </c>
      <c r="M259" s="66" t="s">
        <v>45</v>
      </c>
      <c r="N259" s="24"/>
      <c r="O259" s="24">
        <v>9999.0</v>
      </c>
      <c r="P259" s="24">
        <f t="array" ref="P259">if(O259="","", if(O259=9999,9999,ROUNDUP(_xlfn.XLOOKUP(J259&amp;"-"&amp;E259&amp;"-"&amp;K259,SpecCV[ID],SpecCV[factor])*O259,0)))</f>
        <v>9999</v>
      </c>
      <c r="Q259" s="24">
        <f t="array" ref="Q259">if(J259="Contact plate", _xlfn.XLOOKUP(J259&amp;"-"&amp;E259&amp;"-"&amp;K259,SpecCV[ID],SpecCV[Spec]),_xlfn.XLOOKUP(J259&amp;"-"&amp;E259&amp;"-"&amp;K259,SpecCV[ID],SpecCV[Spec]))</f>
        <v>100</v>
      </c>
      <c r="R259" s="15" t="str">
        <f t="array" ref="R259">if(J259="Contact plate", _xlfn.XLOOKUP(J259&amp;"-"&amp;E259&amp;"-"&amp;K259,SpecCV[ID],SpecCV[Unit]),_xlfn.XLOOKUP(J259&amp;"-"&amp;E259&amp;"-"&amp;K259,SpecCV[ID],SpecCV[Unit]))</f>
        <v>cfu/ml</v>
      </c>
      <c r="S259" s="24"/>
      <c r="T259" s="67"/>
      <c r="U259" s="67"/>
      <c r="V259" s="68" t="b">
        <v>0</v>
      </c>
      <c r="W259" s="69"/>
      <c r="X259" s="69"/>
    </row>
    <row r="260" ht="22.5" customHeight="1">
      <c r="A260" s="68"/>
      <c r="B260" s="68" t="b">
        <v>0</v>
      </c>
      <c r="C260" s="68">
        <v>16.0</v>
      </c>
      <c r="D260" s="70"/>
      <c r="E260" s="68" t="s">
        <v>28</v>
      </c>
      <c r="F260" s="24" t="s">
        <v>244</v>
      </c>
      <c r="G260" s="24" t="s">
        <v>254</v>
      </c>
      <c r="H260" s="24" t="s">
        <v>249</v>
      </c>
      <c r="I260" s="71">
        <v>46108.0</v>
      </c>
      <c r="J260" s="66" t="s">
        <v>47</v>
      </c>
      <c r="K260" s="66" t="s">
        <v>50</v>
      </c>
      <c r="L260" s="66" t="s">
        <v>42</v>
      </c>
      <c r="M260" s="66" t="s">
        <v>45</v>
      </c>
      <c r="N260" s="24">
        <v>1.0</v>
      </c>
      <c r="O260" s="24">
        <v>9999.0</v>
      </c>
      <c r="P260" s="24">
        <f t="array" ref="P260">if(O260="","", if(O260=9999,9999,ROUNDUP(_xlfn.XLOOKUP(J260&amp;"-"&amp;E260&amp;"-"&amp;K260,SpecCV[ID],SpecCV[factor])*O260,0)))</f>
        <v>9999</v>
      </c>
      <c r="Q260" s="24">
        <f t="array" ref="Q260">if(J260="Contact plate", _xlfn.XLOOKUP(J260&amp;"-"&amp;E260&amp;"-"&amp;K260,SpecCV[ID],SpecCV[Spec]),_xlfn.XLOOKUP(J260&amp;"-"&amp;E260&amp;"-"&amp;K260,SpecCV[ID],SpecCV[Spec]))</f>
        <v>100</v>
      </c>
      <c r="R260" s="15" t="str">
        <f t="array" ref="R260">if(J260="Contact plate", _xlfn.XLOOKUP(J260&amp;"-"&amp;E260&amp;"-"&amp;K260,SpecCV[ID],SpecCV[Unit]),_xlfn.XLOOKUP(J260&amp;"-"&amp;E260&amp;"-"&amp;K260,SpecCV[ID],SpecCV[Unit]))</f>
        <v>cfu/ml</v>
      </c>
      <c r="S260" s="24"/>
      <c r="T260" s="67"/>
      <c r="U260" s="67"/>
      <c r="V260" s="68" t="b">
        <v>0</v>
      </c>
      <c r="W260" s="69"/>
      <c r="X260" s="69"/>
    </row>
    <row r="261" ht="22.5" customHeight="1">
      <c r="A261" s="68"/>
      <c r="B261" s="68" t="b">
        <v>0</v>
      </c>
      <c r="C261" s="68">
        <v>16.0</v>
      </c>
      <c r="D261" s="70"/>
      <c r="E261" s="68" t="s">
        <v>28</v>
      </c>
      <c r="F261" s="24" t="s">
        <v>244</v>
      </c>
      <c r="G261" s="24" t="s">
        <v>254</v>
      </c>
      <c r="H261" s="24" t="s">
        <v>250</v>
      </c>
      <c r="I261" s="71">
        <v>46108.0</v>
      </c>
      <c r="J261" s="66" t="s">
        <v>47</v>
      </c>
      <c r="K261" s="66" t="s">
        <v>50</v>
      </c>
      <c r="L261" s="66" t="s">
        <v>42</v>
      </c>
      <c r="M261" s="66" t="s">
        <v>45</v>
      </c>
      <c r="N261" s="24">
        <v>1.0</v>
      </c>
      <c r="O261" s="24">
        <v>9999.0</v>
      </c>
      <c r="P261" s="24">
        <f t="array" ref="P261">if(O261="","", if(O261=9999,9999,ROUNDUP(_xlfn.XLOOKUP(J261&amp;"-"&amp;E261&amp;"-"&amp;K261,SpecCV[ID],SpecCV[factor])*O261,0)))</f>
        <v>9999</v>
      </c>
      <c r="Q261" s="24">
        <f t="array" ref="Q261">if(J261="Contact plate", _xlfn.XLOOKUP(J261&amp;"-"&amp;E261&amp;"-"&amp;K261,SpecCV[ID],SpecCV[Spec]),_xlfn.XLOOKUP(J261&amp;"-"&amp;E261&amp;"-"&amp;K261,SpecCV[ID],SpecCV[Spec]))</f>
        <v>100</v>
      </c>
      <c r="R261" s="15" t="str">
        <f t="array" ref="R261">if(J261="Contact plate", _xlfn.XLOOKUP(J261&amp;"-"&amp;E261&amp;"-"&amp;K261,SpecCV[ID],SpecCV[Unit]),_xlfn.XLOOKUP(J261&amp;"-"&amp;E261&amp;"-"&amp;K261,SpecCV[ID],SpecCV[Unit]))</f>
        <v>cfu/ml</v>
      </c>
      <c r="S261" s="24"/>
      <c r="T261" s="67"/>
      <c r="U261" s="67"/>
      <c r="V261" s="68" t="b">
        <v>0</v>
      </c>
      <c r="W261" s="69"/>
      <c r="X261" s="69"/>
    </row>
    <row r="262" ht="22.5" customHeight="1">
      <c r="A262" s="68"/>
      <c r="B262" s="68" t="b">
        <v>0</v>
      </c>
      <c r="C262" s="68">
        <v>16.0</v>
      </c>
      <c r="D262" s="70"/>
      <c r="E262" s="68" t="s">
        <v>37</v>
      </c>
      <c r="F262" s="24" t="s">
        <v>231</v>
      </c>
      <c r="G262" s="24" t="s">
        <v>234</v>
      </c>
      <c r="H262" s="24" t="s">
        <v>235</v>
      </c>
      <c r="I262" s="71">
        <v>46114.0</v>
      </c>
      <c r="J262" s="66" t="s">
        <v>52</v>
      </c>
      <c r="K262" s="66" t="s">
        <v>50</v>
      </c>
      <c r="L262" s="66" t="s">
        <v>42</v>
      </c>
      <c r="M262" s="66" t="s">
        <v>45</v>
      </c>
      <c r="N262" s="24">
        <v>3.0</v>
      </c>
      <c r="O262" s="24">
        <v>94.0</v>
      </c>
      <c r="P262" s="24">
        <f t="array" ref="P262">if(O262="","", if(O262=9999,9999,ROUNDUP(_xlfn.XLOOKUP(J262&amp;"-"&amp;E262&amp;"-"&amp;K262,SpecCV[ID],SpecCV[factor])*O262,0)))</f>
        <v>94</v>
      </c>
      <c r="Q262" s="24">
        <f t="array" ref="Q262">if(J262="Contact plate", _xlfn.XLOOKUP(J262&amp;"-"&amp;E262&amp;"-"&amp;K262,SpecCV[ID],SpecCV[Spec]),_xlfn.XLOOKUP(J262&amp;"-"&amp;E262&amp;"-"&amp;K262,SpecCV[ID],SpecCV[Spec]))</f>
        <v>10</v>
      </c>
      <c r="R262" s="15" t="str">
        <f t="array" ref="R262">if(J262="Contact plate", _xlfn.XLOOKUP(J262&amp;"-"&amp;E262&amp;"-"&amp;K262,SpecCV[ID],SpecCV[Unit]),_xlfn.XLOOKUP(J262&amp;"-"&amp;E262&amp;"-"&amp;K262,SpecCV[ID],SpecCV[Unit]))</f>
        <v>cfu/100ml</v>
      </c>
      <c r="S262" s="24">
        <v>0.0</v>
      </c>
      <c r="T262" s="24">
        <v>0.0</v>
      </c>
      <c r="U262" s="24">
        <v>0.0</v>
      </c>
      <c r="V262" s="68" t="b">
        <v>0</v>
      </c>
      <c r="W262" s="69"/>
      <c r="X262" s="69"/>
    </row>
    <row r="263" ht="22.5" customHeight="1">
      <c r="A263" s="68"/>
      <c r="B263" s="68" t="b">
        <v>0</v>
      </c>
      <c r="C263" s="68">
        <v>16.0</v>
      </c>
      <c r="D263" s="70"/>
      <c r="E263" s="68" t="s">
        <v>37</v>
      </c>
      <c r="F263" s="24" t="s">
        <v>231</v>
      </c>
      <c r="G263" s="24" t="s">
        <v>234</v>
      </c>
      <c r="H263" s="24" t="s">
        <v>236</v>
      </c>
      <c r="I263" s="71">
        <v>46114.0</v>
      </c>
      <c r="J263" s="66" t="s">
        <v>52</v>
      </c>
      <c r="K263" s="66" t="s">
        <v>50</v>
      </c>
      <c r="L263" s="66" t="s">
        <v>42</v>
      </c>
      <c r="M263" s="66" t="s">
        <v>45</v>
      </c>
      <c r="N263" s="24">
        <v>3.0</v>
      </c>
      <c r="O263" s="24">
        <v>96.0</v>
      </c>
      <c r="P263" s="24">
        <f t="array" ref="P263">if(O263="","", if(O263=9999,9999,ROUNDUP(_xlfn.XLOOKUP(J263&amp;"-"&amp;E263&amp;"-"&amp;K263,SpecCV[ID],SpecCV[factor])*O263,0)))</f>
        <v>96</v>
      </c>
      <c r="Q263" s="24">
        <f t="array" ref="Q263">if(J263="Contact plate", _xlfn.XLOOKUP(J263&amp;"-"&amp;E263&amp;"-"&amp;K263,SpecCV[ID],SpecCV[Spec]),_xlfn.XLOOKUP(J263&amp;"-"&amp;E263&amp;"-"&amp;K263,SpecCV[ID],SpecCV[Spec]))</f>
        <v>10</v>
      </c>
      <c r="R263" s="15" t="str">
        <f t="array" ref="R263">if(J263="Contact plate", _xlfn.XLOOKUP(J263&amp;"-"&amp;E263&amp;"-"&amp;K263,SpecCV[ID],SpecCV[Unit]),_xlfn.XLOOKUP(J263&amp;"-"&amp;E263&amp;"-"&amp;K263,SpecCV[ID],SpecCV[Unit]))</f>
        <v>cfu/100ml</v>
      </c>
      <c r="S263" s="24">
        <v>0.0</v>
      </c>
      <c r="T263" s="24">
        <v>0.0</v>
      </c>
      <c r="U263" s="24">
        <v>0.0</v>
      </c>
      <c r="V263" s="68" t="b">
        <v>0</v>
      </c>
      <c r="W263" s="69"/>
      <c r="X263" s="69"/>
    </row>
    <row r="264" ht="22.5" customHeight="1">
      <c r="A264" s="68"/>
      <c r="B264" s="68" t="b">
        <v>0</v>
      </c>
      <c r="C264" s="68">
        <v>16.0</v>
      </c>
      <c r="D264" s="70"/>
      <c r="E264" s="68" t="s">
        <v>37</v>
      </c>
      <c r="F264" s="24" t="s">
        <v>231</v>
      </c>
      <c r="G264" s="24" t="s">
        <v>234</v>
      </c>
      <c r="H264" s="24" t="s">
        <v>237</v>
      </c>
      <c r="I264" s="71">
        <v>46114.0</v>
      </c>
      <c r="J264" s="66" t="s">
        <v>52</v>
      </c>
      <c r="K264" s="66" t="s">
        <v>50</v>
      </c>
      <c r="L264" s="66" t="s">
        <v>42</v>
      </c>
      <c r="M264" s="66" t="s">
        <v>45</v>
      </c>
      <c r="N264" s="24">
        <v>3.0</v>
      </c>
      <c r="O264" s="24">
        <v>106.0</v>
      </c>
      <c r="P264" s="24">
        <f t="array" ref="P264">if(O264="","", if(O264=9999,9999,ROUNDUP(_xlfn.XLOOKUP(J264&amp;"-"&amp;E264&amp;"-"&amp;K264,SpecCV[ID],SpecCV[factor])*O264,0)))</f>
        <v>106</v>
      </c>
      <c r="Q264" s="24">
        <f t="array" ref="Q264">if(J264="Contact plate", _xlfn.XLOOKUP(J264&amp;"-"&amp;E264&amp;"-"&amp;K264,SpecCV[ID],SpecCV[Spec]),_xlfn.XLOOKUP(J264&amp;"-"&amp;E264&amp;"-"&amp;K264,SpecCV[ID],SpecCV[Spec]))</f>
        <v>10</v>
      </c>
      <c r="R264" s="15" t="str">
        <f t="array" ref="R264">if(J264="Contact plate", _xlfn.XLOOKUP(J264&amp;"-"&amp;E264&amp;"-"&amp;K264,SpecCV[ID],SpecCV[Unit]),_xlfn.XLOOKUP(J264&amp;"-"&amp;E264&amp;"-"&amp;K264,SpecCV[ID],SpecCV[Unit]))</f>
        <v>cfu/100ml</v>
      </c>
      <c r="S264" s="24">
        <v>0.0</v>
      </c>
      <c r="T264" s="24">
        <v>0.0</v>
      </c>
      <c r="U264" s="24">
        <v>0.0</v>
      </c>
      <c r="V264" s="68" t="b">
        <v>0</v>
      </c>
      <c r="W264" s="69"/>
      <c r="X264" s="69"/>
    </row>
    <row r="265" ht="22.5" customHeight="1">
      <c r="A265" s="68"/>
      <c r="B265" s="68" t="b">
        <v>0</v>
      </c>
      <c r="C265" s="68">
        <v>16.0</v>
      </c>
      <c r="D265" s="70"/>
      <c r="E265" s="68" t="s">
        <v>37</v>
      </c>
      <c r="F265" s="24" t="s">
        <v>231</v>
      </c>
      <c r="G265" s="24" t="s">
        <v>234</v>
      </c>
      <c r="H265" s="24" t="s">
        <v>238</v>
      </c>
      <c r="I265" s="71">
        <v>46114.0</v>
      </c>
      <c r="J265" s="66" t="s">
        <v>52</v>
      </c>
      <c r="K265" s="66" t="s">
        <v>50</v>
      </c>
      <c r="L265" s="66" t="s">
        <v>42</v>
      </c>
      <c r="M265" s="66" t="s">
        <v>45</v>
      </c>
      <c r="N265" s="24">
        <v>3.0</v>
      </c>
      <c r="O265" s="24">
        <v>107.0</v>
      </c>
      <c r="P265" s="24">
        <f t="array" ref="P265">if(O265="","", if(O265=9999,9999,ROUNDUP(_xlfn.XLOOKUP(J265&amp;"-"&amp;E265&amp;"-"&amp;K265,SpecCV[ID],SpecCV[factor])*O265,0)))</f>
        <v>107</v>
      </c>
      <c r="Q265" s="24">
        <f t="array" ref="Q265">if(J265="Contact plate", _xlfn.XLOOKUP(J265&amp;"-"&amp;E265&amp;"-"&amp;K265,SpecCV[ID],SpecCV[Spec]),_xlfn.XLOOKUP(J265&amp;"-"&amp;E265&amp;"-"&amp;K265,SpecCV[ID],SpecCV[Spec]))</f>
        <v>10</v>
      </c>
      <c r="R265" s="15" t="str">
        <f t="array" ref="R265">if(J265="Contact plate", _xlfn.XLOOKUP(J265&amp;"-"&amp;E265&amp;"-"&amp;K265,SpecCV[ID],SpecCV[Unit]),_xlfn.XLOOKUP(J265&amp;"-"&amp;E265&amp;"-"&amp;K265,SpecCV[ID],SpecCV[Unit]))</f>
        <v>cfu/100ml</v>
      </c>
      <c r="S265" s="24">
        <v>0.0</v>
      </c>
      <c r="T265" s="24">
        <v>0.0</v>
      </c>
      <c r="U265" s="24">
        <v>0.0</v>
      </c>
      <c r="V265" s="68" t="b">
        <v>0</v>
      </c>
      <c r="W265" s="69"/>
      <c r="X265" s="69"/>
    </row>
    <row r="266" ht="22.5" customHeight="1">
      <c r="A266" s="68"/>
      <c r="B266" s="68" t="b">
        <v>0</v>
      </c>
      <c r="C266" s="68">
        <v>16.0</v>
      </c>
      <c r="D266" s="70"/>
      <c r="E266" s="68" t="s">
        <v>37</v>
      </c>
      <c r="F266" s="24" t="s">
        <v>231</v>
      </c>
      <c r="G266" s="24" t="s">
        <v>234</v>
      </c>
      <c r="H266" s="24" t="s">
        <v>239</v>
      </c>
      <c r="I266" s="71">
        <v>46114.0</v>
      </c>
      <c r="J266" s="66" t="s">
        <v>52</v>
      </c>
      <c r="K266" s="66" t="s">
        <v>50</v>
      </c>
      <c r="L266" s="66" t="s">
        <v>42</v>
      </c>
      <c r="M266" s="66" t="s">
        <v>45</v>
      </c>
      <c r="N266" s="24">
        <v>3.0</v>
      </c>
      <c r="O266" s="24">
        <v>95.0</v>
      </c>
      <c r="P266" s="24">
        <f t="array" ref="P266">if(O266="","", if(O266=9999,9999,ROUNDUP(_xlfn.XLOOKUP(J266&amp;"-"&amp;E266&amp;"-"&amp;K266,SpecCV[ID],SpecCV[factor])*O266,0)))</f>
        <v>95</v>
      </c>
      <c r="Q266" s="24">
        <f t="array" ref="Q266">if(J266="Contact plate", _xlfn.XLOOKUP(J266&amp;"-"&amp;E266&amp;"-"&amp;K266,SpecCV[ID],SpecCV[Spec]),_xlfn.XLOOKUP(J266&amp;"-"&amp;E266&amp;"-"&amp;K266,SpecCV[ID],SpecCV[Spec]))</f>
        <v>10</v>
      </c>
      <c r="R266" s="15" t="str">
        <f t="array" ref="R266">if(J266="Contact plate", _xlfn.XLOOKUP(J266&amp;"-"&amp;E266&amp;"-"&amp;K266,SpecCV[ID],SpecCV[Unit]),_xlfn.XLOOKUP(J266&amp;"-"&amp;E266&amp;"-"&amp;K266,SpecCV[ID],SpecCV[Unit]))</f>
        <v>cfu/100ml</v>
      </c>
      <c r="S266" s="24">
        <v>0.0</v>
      </c>
      <c r="T266" s="24">
        <v>0.0</v>
      </c>
      <c r="U266" s="24">
        <v>0.0</v>
      </c>
      <c r="V266" s="68" t="b">
        <v>0</v>
      </c>
      <c r="W266" s="69"/>
      <c r="X266" s="69"/>
    </row>
    <row r="267" ht="22.5" customHeight="1">
      <c r="A267" s="68"/>
      <c r="B267" s="68" t="b">
        <v>0</v>
      </c>
      <c r="C267" s="68">
        <v>16.0</v>
      </c>
      <c r="D267" s="70"/>
      <c r="E267" s="68" t="s">
        <v>37</v>
      </c>
      <c r="F267" s="24" t="s">
        <v>231</v>
      </c>
      <c r="G267" s="24" t="s">
        <v>234</v>
      </c>
      <c r="H267" s="24" t="s">
        <v>240</v>
      </c>
      <c r="I267" s="71">
        <v>46114.0</v>
      </c>
      <c r="J267" s="66" t="s">
        <v>52</v>
      </c>
      <c r="K267" s="66" t="s">
        <v>50</v>
      </c>
      <c r="L267" s="66" t="s">
        <v>42</v>
      </c>
      <c r="M267" s="66" t="s">
        <v>45</v>
      </c>
      <c r="N267" s="24">
        <v>3.0</v>
      </c>
      <c r="O267" s="24">
        <v>93.0</v>
      </c>
      <c r="P267" s="24">
        <f t="array" ref="P267">if(O267="","", if(O267=9999,9999,ROUNDUP(_xlfn.XLOOKUP(J267&amp;"-"&amp;E267&amp;"-"&amp;K267,SpecCV[ID],SpecCV[factor])*O267,0)))</f>
        <v>93</v>
      </c>
      <c r="Q267" s="24">
        <f t="array" ref="Q267">if(J267="Contact plate", _xlfn.XLOOKUP(J267&amp;"-"&amp;E267&amp;"-"&amp;K267,SpecCV[ID],SpecCV[Spec]),_xlfn.XLOOKUP(J267&amp;"-"&amp;E267&amp;"-"&amp;K267,SpecCV[ID],SpecCV[Spec]))</f>
        <v>10</v>
      </c>
      <c r="R267" s="15" t="str">
        <f t="array" ref="R267">if(J267="Contact plate", _xlfn.XLOOKUP(J267&amp;"-"&amp;E267&amp;"-"&amp;K267,SpecCV[ID],SpecCV[Unit]),_xlfn.XLOOKUP(J267&amp;"-"&amp;E267&amp;"-"&amp;K267,SpecCV[ID],SpecCV[Unit]))</f>
        <v>cfu/100ml</v>
      </c>
      <c r="S267" s="24">
        <v>0.0</v>
      </c>
      <c r="T267" s="24">
        <v>0.0</v>
      </c>
      <c r="U267" s="24">
        <v>0.0</v>
      </c>
      <c r="V267" s="68" t="b">
        <v>0</v>
      </c>
      <c r="W267" s="69"/>
      <c r="X267" s="69"/>
    </row>
    <row r="268" ht="22.5" customHeight="1">
      <c r="A268" s="68"/>
      <c r="B268" s="68" t="b">
        <v>0</v>
      </c>
      <c r="C268" s="68">
        <v>16.0</v>
      </c>
      <c r="D268" s="70"/>
      <c r="E268" s="68" t="s">
        <v>37</v>
      </c>
      <c r="F268" s="24" t="s">
        <v>231</v>
      </c>
      <c r="G268" s="24" t="s">
        <v>241</v>
      </c>
      <c r="H268" s="24" t="s">
        <v>242</v>
      </c>
      <c r="I268" s="71">
        <v>46114.0</v>
      </c>
      <c r="J268" s="32" t="s">
        <v>30</v>
      </c>
      <c r="K268" s="66" t="s">
        <v>30</v>
      </c>
      <c r="L268" s="66" t="s">
        <v>42</v>
      </c>
      <c r="M268" s="66" t="s">
        <v>45</v>
      </c>
      <c r="N268" s="24">
        <v>3.0</v>
      </c>
      <c r="O268" s="72">
        <v>0.0</v>
      </c>
      <c r="P268" s="24">
        <f t="array" ref="P268">if(O268="","", if(O268=9999,9999,ROUNDUP(_xlfn.XLOOKUP(J268&amp;"-"&amp;E268&amp;"-"&amp;K268,SpecCV[ID],SpecCV[factor])*O268,0)))</f>
        <v>0</v>
      </c>
      <c r="Q268" s="24">
        <f t="array" ref="Q268">if(J268="Contact plate", _xlfn.XLOOKUP(J268&amp;"-"&amp;E268&amp;"-"&amp;K268,SpecCV[ID],SpecCV[Spec]),_xlfn.XLOOKUP(J268&amp;"-"&amp;E268&amp;"-"&amp;K268,SpecCV[ID],SpecCV[Spec]))</f>
        <v>0</v>
      </c>
      <c r="R268" s="15" t="str">
        <f t="array" ref="R268">if(J268="Contact plate", _xlfn.XLOOKUP(J268&amp;"-"&amp;E268&amp;"-"&amp;K268,SpecCV[ID],SpecCV[Unit]),_xlfn.XLOOKUP(J268&amp;"-"&amp;E268&amp;"-"&amp;K268,SpecCV[ID],SpecCV[Unit]))</f>
        <v>cfu</v>
      </c>
      <c r="S268" s="24"/>
      <c r="T268" s="67"/>
      <c r="U268" s="67"/>
      <c r="V268" s="68" t="b">
        <v>0</v>
      </c>
      <c r="W268" s="69"/>
      <c r="X268" s="69"/>
    </row>
    <row r="269" ht="22.5" customHeight="1">
      <c r="A269" s="68"/>
      <c r="B269" s="68" t="b">
        <v>0</v>
      </c>
      <c r="C269" s="68">
        <v>16.0</v>
      </c>
      <c r="D269" s="70"/>
      <c r="E269" s="68" t="s">
        <v>37</v>
      </c>
      <c r="F269" s="24" t="s">
        <v>231</v>
      </c>
      <c r="G269" s="24" t="s">
        <v>241</v>
      </c>
      <c r="H269" s="24" t="s">
        <v>243</v>
      </c>
      <c r="I269" s="71">
        <v>46114.0</v>
      </c>
      <c r="J269" s="32" t="s">
        <v>30</v>
      </c>
      <c r="K269" s="66" t="s">
        <v>30</v>
      </c>
      <c r="L269" s="66" t="s">
        <v>42</v>
      </c>
      <c r="M269" s="66" t="s">
        <v>45</v>
      </c>
      <c r="N269" s="24">
        <v>3.0</v>
      </c>
      <c r="O269" s="72">
        <v>0.0</v>
      </c>
      <c r="P269" s="24">
        <f t="array" ref="P269">if(O269="","", if(O269=9999,9999,ROUNDUP(_xlfn.XLOOKUP(J269&amp;"-"&amp;E269&amp;"-"&amp;K269,SpecCV[ID],SpecCV[factor])*O269,0)))</f>
        <v>0</v>
      </c>
      <c r="Q269" s="24">
        <f t="array" ref="Q269">if(J269="Contact plate", _xlfn.XLOOKUP(J269&amp;"-"&amp;E269&amp;"-"&amp;K269,SpecCV[ID],SpecCV[Spec]),_xlfn.XLOOKUP(J269&amp;"-"&amp;E269&amp;"-"&amp;K269,SpecCV[ID],SpecCV[Spec]))</f>
        <v>0</v>
      </c>
      <c r="R269" s="15" t="str">
        <f t="array" ref="R269">if(J269="Contact plate", _xlfn.XLOOKUP(J269&amp;"-"&amp;E269&amp;"-"&amp;K269,SpecCV[ID],SpecCV[Unit]),_xlfn.XLOOKUP(J269&amp;"-"&amp;E269&amp;"-"&amp;K269,SpecCV[ID],SpecCV[Unit]))</f>
        <v>cfu</v>
      </c>
      <c r="S269" s="24"/>
      <c r="T269" s="67"/>
      <c r="U269" s="67"/>
      <c r="V269" s="68" t="b">
        <v>0</v>
      </c>
      <c r="W269" s="69"/>
      <c r="X269" s="69"/>
    </row>
    <row r="270" ht="22.5" customHeight="1">
      <c r="A270" s="68"/>
      <c r="B270" s="68" t="b">
        <v>0</v>
      </c>
      <c r="C270" s="68">
        <v>16.0</v>
      </c>
      <c r="D270" s="70"/>
      <c r="E270" s="68" t="s">
        <v>28</v>
      </c>
      <c r="F270" s="24" t="s">
        <v>244</v>
      </c>
      <c r="G270" s="24" t="s">
        <v>255</v>
      </c>
      <c r="H270" s="24" t="s">
        <v>255</v>
      </c>
      <c r="I270" s="71">
        <v>46115.0</v>
      </c>
      <c r="J270" s="66" t="s">
        <v>47</v>
      </c>
      <c r="K270" s="66" t="s">
        <v>50</v>
      </c>
      <c r="L270" s="66" t="s">
        <v>42</v>
      </c>
      <c r="M270" s="66" t="s">
        <v>45</v>
      </c>
      <c r="N270" s="24">
        <v>1.0</v>
      </c>
      <c r="O270" s="24">
        <v>359.0</v>
      </c>
      <c r="P270" s="24">
        <f t="array" ref="P270">if(O270="","", if(O270=9999,9999,ROUNDUP(_xlfn.XLOOKUP(J270&amp;"-"&amp;E270&amp;"-"&amp;K270,SpecCV[ID],SpecCV[factor])*O270,0)))</f>
        <v>4</v>
      </c>
      <c r="Q270" s="24">
        <f t="array" ref="Q270">if(J270="Contact plate", _xlfn.XLOOKUP(J270&amp;"-"&amp;E270&amp;"-"&amp;K270,SpecCV[ID],SpecCV[Spec]),_xlfn.XLOOKUP(J270&amp;"-"&amp;E270&amp;"-"&amp;K270,SpecCV[ID],SpecCV[Spec]))</f>
        <v>100</v>
      </c>
      <c r="R270" s="15" t="str">
        <f t="array" ref="R270">if(J270="Contact plate", _xlfn.XLOOKUP(J270&amp;"-"&amp;E270&amp;"-"&amp;K270,SpecCV[ID],SpecCV[Unit]),_xlfn.XLOOKUP(J270&amp;"-"&amp;E270&amp;"-"&amp;K270,SpecCV[ID],SpecCV[Unit]))</f>
        <v>cfu/ml</v>
      </c>
      <c r="S270" s="24">
        <v>3.0</v>
      </c>
      <c r="T270" s="67"/>
      <c r="U270" s="67"/>
      <c r="V270" s="68" t="b">
        <v>0</v>
      </c>
      <c r="W270" s="69"/>
      <c r="X270" s="69"/>
    </row>
    <row r="271" ht="22.5" customHeight="1">
      <c r="A271" s="68"/>
      <c r="B271" s="68" t="b">
        <v>0</v>
      </c>
      <c r="C271" s="68">
        <v>16.0</v>
      </c>
      <c r="D271" s="70"/>
      <c r="E271" s="68" t="s">
        <v>28</v>
      </c>
      <c r="F271" s="24" t="s">
        <v>244</v>
      </c>
      <c r="G271" s="24" t="s">
        <v>254</v>
      </c>
      <c r="H271" s="24" t="s">
        <v>249</v>
      </c>
      <c r="I271" s="71">
        <v>46115.0</v>
      </c>
      <c r="J271" s="66" t="s">
        <v>47</v>
      </c>
      <c r="K271" s="66" t="s">
        <v>50</v>
      </c>
      <c r="L271" s="66" t="s">
        <v>42</v>
      </c>
      <c r="M271" s="66" t="s">
        <v>281</v>
      </c>
      <c r="N271" s="24"/>
      <c r="O271" s="24">
        <v>0.0</v>
      </c>
      <c r="P271" s="24">
        <f t="array" ref="P271">if(O271="","", if(O271=9999,9999,ROUNDUP(_xlfn.XLOOKUP(J271&amp;"-"&amp;E271&amp;"-"&amp;K271,SpecCV[ID],SpecCV[factor])*O271,0)))</f>
        <v>0</v>
      </c>
      <c r="Q271" s="24">
        <f t="array" ref="Q271">if(J271="Contact plate", _xlfn.XLOOKUP(J271&amp;"-"&amp;E271&amp;"-"&amp;K271,SpecCV[ID],SpecCV[Spec]),_xlfn.XLOOKUP(J271&amp;"-"&amp;E271&amp;"-"&amp;K271,SpecCV[ID],SpecCV[Spec]))</f>
        <v>100</v>
      </c>
      <c r="R271" s="15" t="str">
        <f t="array" ref="R271">if(J271="Contact plate", _xlfn.XLOOKUP(J271&amp;"-"&amp;E271&amp;"-"&amp;K271,SpecCV[ID],SpecCV[Unit]),_xlfn.XLOOKUP(J271&amp;"-"&amp;E271&amp;"-"&amp;K271,SpecCV[ID],SpecCV[Unit]))</f>
        <v>cfu/ml</v>
      </c>
      <c r="S271" s="24">
        <v>3.0</v>
      </c>
      <c r="T271" s="67"/>
      <c r="U271" s="67"/>
      <c r="V271" s="68" t="b">
        <v>0</v>
      </c>
      <c r="W271" s="24" t="s">
        <v>294</v>
      </c>
      <c r="X271" s="24"/>
    </row>
    <row r="272" ht="22.5" customHeight="1">
      <c r="A272" s="68"/>
      <c r="B272" s="68" t="b">
        <v>0</v>
      </c>
      <c r="C272" s="68">
        <v>16.0</v>
      </c>
      <c r="D272" s="70"/>
      <c r="E272" s="68" t="s">
        <v>28</v>
      </c>
      <c r="F272" s="24" t="s">
        <v>244</v>
      </c>
      <c r="G272" s="24" t="s">
        <v>254</v>
      </c>
      <c r="H272" s="24" t="s">
        <v>250</v>
      </c>
      <c r="I272" s="71">
        <v>46115.0</v>
      </c>
      <c r="J272" s="66" t="s">
        <v>47</v>
      </c>
      <c r="K272" s="66" t="s">
        <v>50</v>
      </c>
      <c r="L272" s="66" t="s">
        <v>42</v>
      </c>
      <c r="M272" s="66" t="s">
        <v>281</v>
      </c>
      <c r="N272" s="24"/>
      <c r="O272" s="24">
        <v>1.0</v>
      </c>
      <c r="P272" s="24">
        <f t="array" ref="P272">if(O272="","", if(O272=9999,9999,ROUNDUP(_xlfn.XLOOKUP(J272&amp;"-"&amp;E272&amp;"-"&amp;K272,SpecCV[ID],SpecCV[factor])*O272,0)))</f>
        <v>1</v>
      </c>
      <c r="Q272" s="24">
        <f t="array" ref="Q272">if(J272="Contact plate", _xlfn.XLOOKUP(J272&amp;"-"&amp;E272&amp;"-"&amp;K272,SpecCV[ID],SpecCV[Spec]),_xlfn.XLOOKUP(J272&amp;"-"&amp;E272&amp;"-"&amp;K272,SpecCV[ID],SpecCV[Spec]))</f>
        <v>100</v>
      </c>
      <c r="R272" s="15" t="str">
        <f t="array" ref="R272">if(J272="Contact plate", _xlfn.XLOOKUP(J272&amp;"-"&amp;E272&amp;"-"&amp;K272,SpecCV[ID],SpecCV[Unit]),_xlfn.XLOOKUP(J272&amp;"-"&amp;E272&amp;"-"&amp;K272,SpecCV[ID],SpecCV[Unit]))</f>
        <v>cfu/ml</v>
      </c>
      <c r="S272" s="24">
        <v>3.0</v>
      </c>
      <c r="T272" s="67"/>
      <c r="U272" s="67"/>
      <c r="V272" s="68" t="b">
        <v>0</v>
      </c>
      <c r="W272" s="24" t="s">
        <v>295</v>
      </c>
      <c r="X272" s="24"/>
    </row>
    <row r="273" ht="22.5" customHeight="1">
      <c r="A273" s="68"/>
      <c r="B273" s="68" t="b">
        <v>0</v>
      </c>
      <c r="C273" s="68">
        <v>12.0</v>
      </c>
      <c r="D273" s="70"/>
      <c r="E273" s="68" t="s">
        <v>28</v>
      </c>
      <c r="F273" s="24" t="s">
        <v>247</v>
      </c>
      <c r="G273" s="24" t="s">
        <v>253</v>
      </c>
      <c r="H273" s="24" t="s">
        <v>253</v>
      </c>
      <c r="I273" s="71">
        <v>46119.0</v>
      </c>
      <c r="J273" s="66" t="s">
        <v>47</v>
      </c>
      <c r="K273" s="66" t="s">
        <v>48</v>
      </c>
      <c r="L273" s="66" t="s">
        <v>42</v>
      </c>
      <c r="M273" s="66" t="s">
        <v>45</v>
      </c>
      <c r="N273" s="24">
        <v>3.0</v>
      </c>
      <c r="O273" s="72">
        <v>0.0</v>
      </c>
      <c r="P273" s="24">
        <f t="array" ref="P273">if(O273="","", if(O273=9999,9999,ROUNDUP(_xlfn.XLOOKUP(J273&amp;"-"&amp;E273&amp;"-"&amp;K273,SpecCV[ID],SpecCV[factor])*O273,0)))</f>
        <v>0</v>
      </c>
      <c r="Q273" s="24">
        <f t="array" ref="Q273">if(J273="Contact plate", _xlfn.XLOOKUP(J273&amp;"-"&amp;E273&amp;"-"&amp;K273,SpecCV[ID],SpecCV[Spec]),_xlfn.XLOOKUP(J273&amp;"-"&amp;E273&amp;"-"&amp;K273,SpecCV[ID],SpecCV[Spec]))</f>
        <v>100</v>
      </c>
      <c r="R273" s="15" t="str">
        <f t="array" ref="R273">if(J273="Contact plate", _xlfn.XLOOKUP(J273&amp;"-"&amp;E273&amp;"-"&amp;K273,SpecCV[ID],SpecCV[Unit]),_xlfn.XLOOKUP(J273&amp;"-"&amp;E273&amp;"-"&amp;K273,SpecCV[ID],SpecCV[Unit]))</f>
        <v>cfu/ml</v>
      </c>
      <c r="S273" s="24"/>
      <c r="T273" s="67"/>
      <c r="U273" s="67"/>
      <c r="V273" s="68" t="b">
        <v>0</v>
      </c>
      <c r="W273" s="24"/>
      <c r="X273" s="24"/>
    </row>
    <row r="274" ht="22.5" customHeight="1">
      <c r="A274" s="68"/>
      <c r="B274" s="68" t="b">
        <v>0</v>
      </c>
      <c r="C274" s="68">
        <v>12.0</v>
      </c>
      <c r="D274" s="70"/>
      <c r="E274" s="68" t="s">
        <v>28</v>
      </c>
      <c r="F274" s="24" t="s">
        <v>247</v>
      </c>
      <c r="G274" s="24" t="s">
        <v>248</v>
      </c>
      <c r="H274" s="24" t="s">
        <v>249</v>
      </c>
      <c r="I274" s="71">
        <v>46119.0</v>
      </c>
      <c r="J274" s="66" t="s">
        <v>47</v>
      </c>
      <c r="K274" s="66" t="s">
        <v>48</v>
      </c>
      <c r="L274" s="66" t="s">
        <v>42</v>
      </c>
      <c r="M274" s="66" t="s">
        <v>45</v>
      </c>
      <c r="N274" s="24">
        <v>3.0</v>
      </c>
      <c r="O274" s="72">
        <v>357.0</v>
      </c>
      <c r="P274" s="24">
        <f t="array" ref="P274">if(O274="","", if(O274=9999,9999,ROUNDUP(_xlfn.XLOOKUP(J274&amp;"-"&amp;E274&amp;"-"&amp;K274,SpecCV[ID],SpecCV[factor])*O274,0)))</f>
        <v>357</v>
      </c>
      <c r="Q274" s="24">
        <f t="array" ref="Q274">if(J274="Contact plate", _xlfn.XLOOKUP(J274&amp;"-"&amp;E274&amp;"-"&amp;K274,SpecCV[ID],SpecCV[Spec]),_xlfn.XLOOKUP(J274&amp;"-"&amp;E274&amp;"-"&amp;K274,SpecCV[ID],SpecCV[Spec]))</f>
        <v>100</v>
      </c>
      <c r="R274" s="15" t="str">
        <f t="array" ref="R274">if(J274="Contact plate", _xlfn.XLOOKUP(J274&amp;"-"&amp;E274&amp;"-"&amp;K274,SpecCV[ID],SpecCV[Unit]),_xlfn.XLOOKUP(J274&amp;"-"&amp;E274&amp;"-"&amp;K274,SpecCV[ID],SpecCV[Unit]))</f>
        <v>cfu/ml</v>
      </c>
      <c r="S274" s="24"/>
      <c r="T274" s="67"/>
      <c r="U274" s="67"/>
      <c r="V274" s="68" t="b">
        <v>0</v>
      </c>
      <c r="W274" s="24"/>
      <c r="X274" s="24"/>
    </row>
    <row r="275" ht="22.5" customHeight="1">
      <c r="A275" s="68"/>
      <c r="B275" s="68" t="b">
        <v>0</v>
      </c>
      <c r="C275" s="68">
        <v>12.0</v>
      </c>
      <c r="D275" s="70"/>
      <c r="E275" s="68" t="s">
        <v>28</v>
      </c>
      <c r="F275" s="24" t="s">
        <v>247</v>
      </c>
      <c r="G275" s="24" t="s">
        <v>248</v>
      </c>
      <c r="H275" s="24" t="s">
        <v>250</v>
      </c>
      <c r="I275" s="71">
        <v>46119.0</v>
      </c>
      <c r="J275" s="66" t="s">
        <v>47</v>
      </c>
      <c r="K275" s="66" t="s">
        <v>48</v>
      </c>
      <c r="L275" s="66" t="s">
        <v>42</v>
      </c>
      <c r="M275" s="66" t="s">
        <v>45</v>
      </c>
      <c r="N275" s="24">
        <v>3.0</v>
      </c>
      <c r="O275" s="72">
        <v>340.0</v>
      </c>
      <c r="P275" s="24">
        <f t="array" ref="P275">if(O275="","", if(O275=9999,9999,ROUNDUP(_xlfn.XLOOKUP(J275&amp;"-"&amp;E275&amp;"-"&amp;K275,SpecCV[ID],SpecCV[factor])*O275,0)))</f>
        <v>340</v>
      </c>
      <c r="Q275" s="24">
        <f t="array" ref="Q275">if(J275="Contact plate", _xlfn.XLOOKUP(J275&amp;"-"&amp;E275&amp;"-"&amp;K275,SpecCV[ID],SpecCV[Spec]),_xlfn.XLOOKUP(J275&amp;"-"&amp;E275&amp;"-"&amp;K275,SpecCV[ID],SpecCV[Spec]))</f>
        <v>100</v>
      </c>
      <c r="R275" s="15" t="str">
        <f t="array" ref="R275">if(J275="Contact plate", _xlfn.XLOOKUP(J275&amp;"-"&amp;E275&amp;"-"&amp;K275,SpecCV[ID],SpecCV[Unit]),_xlfn.XLOOKUP(J275&amp;"-"&amp;E275&amp;"-"&amp;K275,SpecCV[ID],SpecCV[Unit]))</f>
        <v>cfu/ml</v>
      </c>
      <c r="S275" s="24"/>
      <c r="T275" s="67"/>
      <c r="U275" s="67"/>
      <c r="V275" s="68" t="b">
        <v>0</v>
      </c>
      <c r="W275" s="24"/>
      <c r="X275" s="24"/>
    </row>
    <row r="276" ht="22.5" customHeight="1">
      <c r="A276" s="68"/>
      <c r="B276" s="68" t="b">
        <v>0</v>
      </c>
      <c r="C276" s="68">
        <v>12.0</v>
      </c>
      <c r="D276" s="70"/>
      <c r="E276" s="68" t="s">
        <v>28</v>
      </c>
      <c r="F276" s="24" t="s">
        <v>247</v>
      </c>
      <c r="G276" s="24" t="s">
        <v>248</v>
      </c>
      <c r="H276" s="24" t="s">
        <v>251</v>
      </c>
      <c r="I276" s="71">
        <v>46119.0</v>
      </c>
      <c r="J276" s="66" t="s">
        <v>47</v>
      </c>
      <c r="K276" s="66" t="s">
        <v>48</v>
      </c>
      <c r="L276" s="66" t="s">
        <v>42</v>
      </c>
      <c r="M276" s="66" t="s">
        <v>45</v>
      </c>
      <c r="N276" s="24">
        <v>3.0</v>
      </c>
      <c r="O276" s="72">
        <v>161.0</v>
      </c>
      <c r="P276" s="24">
        <f t="array" ref="P276">if(O276="","", if(O276=9999,9999,ROUNDUP(_xlfn.XLOOKUP(J276&amp;"-"&amp;E276&amp;"-"&amp;K276,SpecCV[ID],SpecCV[factor])*O276,0)))</f>
        <v>161</v>
      </c>
      <c r="Q276" s="24">
        <f t="array" ref="Q276">if(J276="Contact plate", _xlfn.XLOOKUP(J276&amp;"-"&amp;E276&amp;"-"&amp;K276,SpecCV[ID],SpecCV[Spec]),_xlfn.XLOOKUP(J276&amp;"-"&amp;E276&amp;"-"&amp;K276,SpecCV[ID],SpecCV[Spec]))</f>
        <v>100</v>
      </c>
      <c r="R276" s="15" t="str">
        <f t="array" ref="R276">if(J276="Contact plate", _xlfn.XLOOKUP(J276&amp;"-"&amp;E276&amp;"-"&amp;K276,SpecCV[ID],SpecCV[Unit]),_xlfn.XLOOKUP(J276&amp;"-"&amp;E276&amp;"-"&amp;K276,SpecCV[ID],SpecCV[Unit]))</f>
        <v>cfu/ml</v>
      </c>
      <c r="S276" s="24"/>
      <c r="T276" s="67"/>
      <c r="U276" s="67"/>
      <c r="V276" s="68" t="b">
        <v>0</v>
      </c>
      <c r="W276" s="24"/>
      <c r="X276" s="24"/>
    </row>
    <row r="277" ht="22.5" customHeight="1">
      <c r="A277" s="68"/>
      <c r="B277" s="68" t="b">
        <v>0</v>
      </c>
      <c r="C277" s="68">
        <v>12.0</v>
      </c>
      <c r="D277" s="70"/>
      <c r="E277" s="68" t="s">
        <v>28</v>
      </c>
      <c r="F277" s="24" t="s">
        <v>247</v>
      </c>
      <c r="G277" s="24" t="s">
        <v>248</v>
      </c>
      <c r="H277" s="24" t="s">
        <v>252</v>
      </c>
      <c r="I277" s="71">
        <v>46119.0</v>
      </c>
      <c r="J277" s="66" t="s">
        <v>47</v>
      </c>
      <c r="K277" s="66" t="s">
        <v>48</v>
      </c>
      <c r="L277" s="66" t="s">
        <v>42</v>
      </c>
      <c r="M277" s="66" t="s">
        <v>45</v>
      </c>
      <c r="N277" s="24">
        <v>3.0</v>
      </c>
      <c r="O277" s="72">
        <v>178.0</v>
      </c>
      <c r="P277" s="24">
        <f t="array" ref="P277">if(O277="","", if(O277=9999,9999,ROUNDUP(_xlfn.XLOOKUP(J277&amp;"-"&amp;E277&amp;"-"&amp;K277,SpecCV[ID],SpecCV[factor])*O277,0)))</f>
        <v>178</v>
      </c>
      <c r="Q277" s="24">
        <f t="array" ref="Q277">if(J277="Contact plate", _xlfn.XLOOKUP(J277&amp;"-"&amp;E277&amp;"-"&amp;K277,SpecCV[ID],SpecCV[Spec]),_xlfn.XLOOKUP(J277&amp;"-"&amp;E277&amp;"-"&amp;K277,SpecCV[ID],SpecCV[Spec]))</f>
        <v>100</v>
      </c>
      <c r="R277" s="15" t="str">
        <f t="array" ref="R277">if(J277="Contact plate", _xlfn.XLOOKUP(J277&amp;"-"&amp;E277&amp;"-"&amp;K277,SpecCV[ID],SpecCV[Unit]),_xlfn.XLOOKUP(J277&amp;"-"&amp;E277&amp;"-"&amp;K277,SpecCV[ID],SpecCV[Unit]))</f>
        <v>cfu/ml</v>
      </c>
      <c r="S277" s="24"/>
      <c r="T277" s="67"/>
      <c r="U277" s="67"/>
      <c r="V277" s="68" t="b">
        <v>0</v>
      </c>
      <c r="W277" s="24"/>
      <c r="X277" s="24"/>
    </row>
    <row r="278" ht="22.5" customHeight="1">
      <c r="A278" s="68"/>
      <c r="B278" s="68" t="b">
        <v>0</v>
      </c>
      <c r="C278" s="68">
        <v>16.0</v>
      </c>
      <c r="D278" s="70"/>
      <c r="E278" s="8" t="s">
        <v>28</v>
      </c>
      <c r="F278" s="24" t="s">
        <v>225</v>
      </c>
      <c r="G278" s="24" t="s">
        <v>226</v>
      </c>
      <c r="H278" s="24" t="s">
        <v>227</v>
      </c>
      <c r="I278" s="71">
        <v>46120.0</v>
      </c>
      <c r="J278" s="66" t="s">
        <v>30</v>
      </c>
      <c r="K278" s="66" t="s">
        <v>30</v>
      </c>
      <c r="L278" s="66" t="s">
        <v>42</v>
      </c>
      <c r="M278" s="66" t="s">
        <v>281</v>
      </c>
      <c r="N278" s="24"/>
      <c r="O278" s="24">
        <v>0.0</v>
      </c>
      <c r="P278" s="24">
        <f t="array" ref="P278">if(O278="","", if(O278=9999,9999,ROUNDUP(_xlfn.XLOOKUP(J278&amp;"-"&amp;E278&amp;"-"&amp;K278,SpecCV[ID],SpecCV[factor])*O278,0)))</f>
        <v>0</v>
      </c>
      <c r="Q278" s="24">
        <f t="array" ref="Q278">if(J278="Contact plate", _xlfn.XLOOKUP(J278&amp;"-"&amp;E278&amp;"-"&amp;K278,SpecCV[ID],SpecCV[Spec]),_xlfn.XLOOKUP(J278&amp;"-"&amp;E278&amp;"-"&amp;K278,SpecCV[ID],SpecCV[Spec]))</f>
        <v>50</v>
      </c>
      <c r="R278" s="15" t="str">
        <f t="array" ref="R278">if(J278="Contact plate", _xlfn.XLOOKUP(J278&amp;"-"&amp;E278&amp;"-"&amp;K278,SpecCV[ID],SpecCV[Unit]),_xlfn.XLOOKUP(J278&amp;"-"&amp;E278&amp;"-"&amp;K278,SpecCV[ID],SpecCV[Unit]))</f>
        <v>cfu</v>
      </c>
      <c r="S278" s="24"/>
      <c r="T278" s="67"/>
      <c r="U278" s="67"/>
      <c r="V278" s="68" t="b">
        <v>0</v>
      </c>
      <c r="W278" s="24"/>
      <c r="X278" s="24"/>
    </row>
    <row r="279" ht="22.5" customHeight="1">
      <c r="A279" s="68"/>
      <c r="B279" s="68" t="b">
        <v>0</v>
      </c>
      <c r="C279" s="68">
        <v>16.0</v>
      </c>
      <c r="D279" s="70"/>
      <c r="E279" s="8" t="s">
        <v>28</v>
      </c>
      <c r="F279" s="24" t="s">
        <v>225</v>
      </c>
      <c r="G279" s="24" t="s">
        <v>226</v>
      </c>
      <c r="H279" s="24" t="s">
        <v>228</v>
      </c>
      <c r="I279" s="71">
        <v>46120.0</v>
      </c>
      <c r="J279" s="66" t="s">
        <v>30</v>
      </c>
      <c r="K279" s="66" t="s">
        <v>30</v>
      </c>
      <c r="L279" s="66" t="s">
        <v>42</v>
      </c>
      <c r="M279" s="66" t="s">
        <v>281</v>
      </c>
      <c r="N279" s="24"/>
      <c r="O279" s="24">
        <v>2.0</v>
      </c>
      <c r="P279" s="24">
        <f t="array" ref="P279">if(O279="","", if(O279=9999,9999,ROUNDUP(_xlfn.XLOOKUP(J279&amp;"-"&amp;E279&amp;"-"&amp;K279,SpecCV[ID],SpecCV[factor])*O279,0)))</f>
        <v>2</v>
      </c>
      <c r="Q279" s="24">
        <f t="array" ref="Q279">if(J279="Contact plate", _xlfn.XLOOKUP(J279&amp;"-"&amp;E279&amp;"-"&amp;K279,SpecCV[ID],SpecCV[Spec]),_xlfn.XLOOKUP(J279&amp;"-"&amp;E279&amp;"-"&amp;K279,SpecCV[ID],SpecCV[Spec]))</f>
        <v>50</v>
      </c>
      <c r="R279" s="15" t="str">
        <f t="array" ref="R279">if(J279="Contact plate", _xlfn.XLOOKUP(J279&amp;"-"&amp;E279&amp;"-"&amp;K279,SpecCV[ID],SpecCV[Unit]),_xlfn.XLOOKUP(J279&amp;"-"&amp;E279&amp;"-"&amp;K279,SpecCV[ID],SpecCV[Unit]))</f>
        <v>cfu</v>
      </c>
      <c r="S279" s="24"/>
      <c r="T279" s="67"/>
      <c r="U279" s="67"/>
      <c r="V279" s="68" t="b">
        <v>0</v>
      </c>
      <c r="W279" s="24"/>
      <c r="X279" s="24"/>
    </row>
    <row r="280" ht="22.5" customHeight="1">
      <c r="A280" s="68"/>
      <c r="B280" s="68" t="b">
        <v>0</v>
      </c>
      <c r="C280" s="68">
        <v>12.0</v>
      </c>
      <c r="D280" s="70"/>
      <c r="E280" s="68" t="s">
        <v>28</v>
      </c>
      <c r="F280" s="24" t="s">
        <v>247</v>
      </c>
      <c r="G280" s="24" t="s">
        <v>253</v>
      </c>
      <c r="H280" s="24" t="s">
        <v>253</v>
      </c>
      <c r="I280" s="71">
        <v>46122.0</v>
      </c>
      <c r="J280" s="66" t="s">
        <v>47</v>
      </c>
      <c r="K280" s="66" t="s">
        <v>50</v>
      </c>
      <c r="L280" s="66" t="s">
        <v>220</v>
      </c>
      <c r="M280" s="66" t="s">
        <v>45</v>
      </c>
      <c r="N280" s="24"/>
      <c r="O280" s="72">
        <v>350.0</v>
      </c>
      <c r="P280" s="24">
        <f t="array" ref="P280">if(O280="","", if(O280=9999,9999,ROUNDUP(_xlfn.XLOOKUP(J280&amp;"-"&amp;E280&amp;"-"&amp;K280,SpecCV[ID],SpecCV[factor])*O280,0)))</f>
        <v>4</v>
      </c>
      <c r="Q280" s="24">
        <f t="array" ref="Q280">if(J280="Contact plate", _xlfn.XLOOKUP(J280&amp;"-"&amp;E280&amp;"-"&amp;K280,SpecCV[ID],SpecCV[Spec]),_xlfn.XLOOKUP(J280&amp;"-"&amp;E280&amp;"-"&amp;K280,SpecCV[ID],SpecCV[Spec]))</f>
        <v>100</v>
      </c>
      <c r="R280" s="15" t="str">
        <f t="array" ref="R280">if(J280="Contact plate", _xlfn.XLOOKUP(J280&amp;"-"&amp;E280&amp;"-"&amp;K280,SpecCV[ID],SpecCV[Unit]),_xlfn.XLOOKUP(J280&amp;"-"&amp;E280&amp;"-"&amp;K280,SpecCV[ID],SpecCV[Unit]))</f>
        <v>cfu/ml</v>
      </c>
      <c r="S280" s="24"/>
      <c r="T280" s="67"/>
      <c r="U280" s="67"/>
      <c r="V280" s="68" t="b">
        <v>0</v>
      </c>
      <c r="W280" s="24"/>
      <c r="X280" s="24"/>
    </row>
    <row r="281" ht="22.5" customHeight="1">
      <c r="A281" s="68"/>
      <c r="B281" s="68" t="b">
        <v>0</v>
      </c>
      <c r="C281" s="68">
        <v>12.0</v>
      </c>
      <c r="D281" s="70"/>
      <c r="E281" s="68" t="s">
        <v>28</v>
      </c>
      <c r="F281" s="24" t="s">
        <v>247</v>
      </c>
      <c r="G281" s="24" t="s">
        <v>248</v>
      </c>
      <c r="H281" s="24" t="s">
        <v>249</v>
      </c>
      <c r="I281" s="71">
        <v>46122.0</v>
      </c>
      <c r="J281" s="66" t="s">
        <v>47</v>
      </c>
      <c r="K281" s="66" t="s">
        <v>50</v>
      </c>
      <c r="L281" s="66" t="s">
        <v>220</v>
      </c>
      <c r="M281" s="66" t="s">
        <v>45</v>
      </c>
      <c r="N281" s="24"/>
      <c r="O281" s="72">
        <v>9999.0</v>
      </c>
      <c r="P281" s="24">
        <f t="array" ref="P281">if(O281="","", if(O281=9999,9999,ROUNDUP(_xlfn.XLOOKUP(J281&amp;"-"&amp;E281&amp;"-"&amp;K281,SpecCV[ID],SpecCV[factor])*O281,0)))</f>
        <v>9999</v>
      </c>
      <c r="Q281" s="24">
        <f t="array" ref="Q281">if(J281="Contact plate", _xlfn.XLOOKUP(J281&amp;"-"&amp;E281&amp;"-"&amp;K281,SpecCV[ID],SpecCV[Spec]),_xlfn.XLOOKUP(J281&amp;"-"&amp;E281&amp;"-"&amp;K281,SpecCV[ID],SpecCV[Spec]))</f>
        <v>100</v>
      </c>
      <c r="R281" s="15" t="str">
        <f t="array" ref="R281">if(J281="Contact plate", _xlfn.XLOOKUP(J281&amp;"-"&amp;E281&amp;"-"&amp;K281,SpecCV[ID],SpecCV[Unit]),_xlfn.XLOOKUP(J281&amp;"-"&amp;E281&amp;"-"&amp;K281,SpecCV[ID],SpecCV[Unit]))</f>
        <v>cfu/ml</v>
      </c>
      <c r="S281" s="24"/>
      <c r="T281" s="67"/>
      <c r="U281" s="67"/>
      <c r="V281" s="68" t="b">
        <v>0</v>
      </c>
      <c r="W281" s="24"/>
      <c r="X281" s="24"/>
    </row>
    <row r="282" ht="22.5" customHeight="1">
      <c r="A282" s="68"/>
      <c r="B282" s="68" t="b">
        <v>0</v>
      </c>
      <c r="C282" s="68">
        <v>12.0</v>
      </c>
      <c r="D282" s="70"/>
      <c r="E282" s="68" t="s">
        <v>28</v>
      </c>
      <c r="F282" s="24" t="s">
        <v>247</v>
      </c>
      <c r="G282" s="24" t="s">
        <v>248</v>
      </c>
      <c r="H282" s="24" t="s">
        <v>250</v>
      </c>
      <c r="I282" s="71">
        <v>46122.0</v>
      </c>
      <c r="J282" s="66" t="s">
        <v>47</v>
      </c>
      <c r="K282" s="66" t="s">
        <v>50</v>
      </c>
      <c r="L282" s="66" t="s">
        <v>220</v>
      </c>
      <c r="M282" s="66" t="s">
        <v>45</v>
      </c>
      <c r="N282" s="24"/>
      <c r="O282" s="72">
        <v>9999.0</v>
      </c>
      <c r="P282" s="24">
        <f t="array" ref="P282">if(O282="","", if(O282=9999,9999,ROUNDUP(_xlfn.XLOOKUP(J282&amp;"-"&amp;E282&amp;"-"&amp;K282,SpecCV[ID],SpecCV[factor])*O282,0)))</f>
        <v>9999</v>
      </c>
      <c r="Q282" s="24">
        <f t="array" ref="Q282">if(J282="Contact plate", _xlfn.XLOOKUP(J282&amp;"-"&amp;E282&amp;"-"&amp;K282,SpecCV[ID],SpecCV[Spec]),_xlfn.XLOOKUP(J282&amp;"-"&amp;E282&amp;"-"&amp;K282,SpecCV[ID],SpecCV[Spec]))</f>
        <v>100</v>
      </c>
      <c r="R282" s="15" t="str">
        <f t="array" ref="R282">if(J282="Contact plate", _xlfn.XLOOKUP(J282&amp;"-"&amp;E282&amp;"-"&amp;K282,SpecCV[ID],SpecCV[Unit]),_xlfn.XLOOKUP(J282&amp;"-"&amp;E282&amp;"-"&amp;K282,SpecCV[ID],SpecCV[Unit]))</f>
        <v>cfu/ml</v>
      </c>
      <c r="S282" s="24"/>
      <c r="T282" s="67"/>
      <c r="U282" s="67"/>
      <c r="V282" s="68" t="b">
        <v>0</v>
      </c>
      <c r="W282" s="24"/>
      <c r="X282" s="24"/>
    </row>
    <row r="283" ht="22.5" customHeight="1">
      <c r="A283" s="68"/>
      <c r="B283" s="68" t="b">
        <v>0</v>
      </c>
      <c r="C283" s="68">
        <v>12.0</v>
      </c>
      <c r="D283" s="70"/>
      <c r="E283" s="68" t="s">
        <v>28</v>
      </c>
      <c r="F283" s="24" t="s">
        <v>247</v>
      </c>
      <c r="G283" s="24" t="s">
        <v>248</v>
      </c>
      <c r="H283" s="24" t="s">
        <v>251</v>
      </c>
      <c r="I283" s="71">
        <v>46122.0</v>
      </c>
      <c r="J283" s="66" t="s">
        <v>47</v>
      </c>
      <c r="K283" s="66" t="s">
        <v>50</v>
      </c>
      <c r="L283" s="66" t="s">
        <v>220</v>
      </c>
      <c r="M283" s="66" t="s">
        <v>45</v>
      </c>
      <c r="N283" s="24"/>
      <c r="O283" s="72">
        <v>9999.0</v>
      </c>
      <c r="P283" s="24">
        <f t="array" ref="P283">if(O283="","", if(O283=9999,9999,ROUNDUP(_xlfn.XLOOKUP(J283&amp;"-"&amp;E283&amp;"-"&amp;K283,SpecCV[ID],SpecCV[factor])*O283,0)))</f>
        <v>9999</v>
      </c>
      <c r="Q283" s="24">
        <f t="array" ref="Q283">if(J283="Contact plate", _xlfn.XLOOKUP(J283&amp;"-"&amp;E283&amp;"-"&amp;K283,SpecCV[ID],SpecCV[Spec]),_xlfn.XLOOKUP(J283&amp;"-"&amp;E283&amp;"-"&amp;K283,SpecCV[ID],SpecCV[Spec]))</f>
        <v>100</v>
      </c>
      <c r="R283" s="15" t="str">
        <f t="array" ref="R283">if(J283="Contact plate", _xlfn.XLOOKUP(J283&amp;"-"&amp;E283&amp;"-"&amp;K283,SpecCV[ID],SpecCV[Unit]),_xlfn.XLOOKUP(J283&amp;"-"&amp;E283&amp;"-"&amp;K283,SpecCV[ID],SpecCV[Unit]))</f>
        <v>cfu/ml</v>
      </c>
      <c r="S283" s="24"/>
      <c r="T283" s="67"/>
      <c r="U283" s="67"/>
      <c r="V283" s="68" t="b">
        <v>0</v>
      </c>
      <c r="W283" s="24"/>
      <c r="X283" s="24"/>
    </row>
    <row r="284" ht="22.5" customHeight="1">
      <c r="A284" s="68"/>
      <c r="B284" s="68" t="b">
        <v>0</v>
      </c>
      <c r="C284" s="68">
        <v>12.0</v>
      </c>
      <c r="D284" s="70"/>
      <c r="E284" s="68" t="s">
        <v>28</v>
      </c>
      <c r="F284" s="24" t="s">
        <v>247</v>
      </c>
      <c r="G284" s="24" t="s">
        <v>248</v>
      </c>
      <c r="H284" s="24" t="s">
        <v>252</v>
      </c>
      <c r="I284" s="71">
        <v>46122.0</v>
      </c>
      <c r="J284" s="66" t="s">
        <v>47</v>
      </c>
      <c r="K284" s="66" t="s">
        <v>50</v>
      </c>
      <c r="L284" s="66" t="s">
        <v>220</v>
      </c>
      <c r="M284" s="66" t="s">
        <v>45</v>
      </c>
      <c r="N284" s="24"/>
      <c r="O284" s="72">
        <v>9999.0</v>
      </c>
      <c r="P284" s="24">
        <f t="array" ref="P284">if(O284="","", if(O284=9999,9999,ROUNDUP(_xlfn.XLOOKUP(J284&amp;"-"&amp;E284&amp;"-"&amp;K284,SpecCV[ID],SpecCV[factor])*O284,0)))</f>
        <v>9999</v>
      </c>
      <c r="Q284" s="24">
        <f t="array" ref="Q284">if(J284="Contact plate", _xlfn.XLOOKUP(J284&amp;"-"&amp;E284&amp;"-"&amp;K284,SpecCV[ID],SpecCV[Spec]),_xlfn.XLOOKUP(J284&amp;"-"&amp;E284&amp;"-"&amp;K284,SpecCV[ID],SpecCV[Spec]))</f>
        <v>100</v>
      </c>
      <c r="R284" s="15" t="str">
        <f t="array" ref="R284">if(J284="Contact plate", _xlfn.XLOOKUP(J284&amp;"-"&amp;E284&amp;"-"&amp;K284,SpecCV[ID],SpecCV[Unit]),_xlfn.XLOOKUP(J284&amp;"-"&amp;E284&amp;"-"&amp;K284,SpecCV[ID],SpecCV[Unit]))</f>
        <v>cfu/ml</v>
      </c>
      <c r="S284" s="24"/>
      <c r="T284" s="67"/>
      <c r="U284" s="67"/>
      <c r="V284" s="68" t="b">
        <v>0</v>
      </c>
      <c r="W284" s="24"/>
      <c r="X284" s="24"/>
    </row>
    <row r="285" ht="22.5" customHeight="1">
      <c r="A285" s="68"/>
      <c r="B285" s="68" t="b">
        <v>0</v>
      </c>
      <c r="C285" s="68">
        <v>16.0</v>
      </c>
      <c r="D285" s="70"/>
      <c r="E285" s="68" t="s">
        <v>37</v>
      </c>
      <c r="F285" s="24" t="s">
        <v>231</v>
      </c>
      <c r="G285" s="24" t="s">
        <v>234</v>
      </c>
      <c r="H285" s="24" t="s">
        <v>235</v>
      </c>
      <c r="I285" s="71">
        <v>46122.0</v>
      </c>
      <c r="J285" s="66" t="s">
        <v>52</v>
      </c>
      <c r="K285" s="66" t="s">
        <v>50</v>
      </c>
      <c r="L285" s="66" t="s">
        <v>42</v>
      </c>
      <c r="M285" s="66" t="s">
        <v>281</v>
      </c>
      <c r="N285" s="24"/>
      <c r="O285" s="72">
        <v>197.0</v>
      </c>
      <c r="P285" s="24">
        <f t="array" ref="P285">if(O285="","", if(O285=9999,9999,ROUNDUP(_xlfn.XLOOKUP(J285&amp;"-"&amp;E285&amp;"-"&amp;K285,SpecCV[ID],SpecCV[factor])*O285,0)))</f>
        <v>197</v>
      </c>
      <c r="Q285" s="24">
        <f t="array" ref="Q285">if(J285="Contact plate", _xlfn.XLOOKUP(J285&amp;"-"&amp;E285&amp;"-"&amp;K285,SpecCV[ID],SpecCV[Spec]),_xlfn.XLOOKUP(J285&amp;"-"&amp;E285&amp;"-"&amp;K285,SpecCV[ID],SpecCV[Spec]))</f>
        <v>10</v>
      </c>
      <c r="R285" s="15" t="str">
        <f t="array" ref="R285">if(J285="Contact plate", _xlfn.XLOOKUP(J285&amp;"-"&amp;E285&amp;"-"&amp;K285,SpecCV[ID],SpecCV[Unit]),_xlfn.XLOOKUP(J285&amp;"-"&amp;E285&amp;"-"&amp;K285,SpecCV[ID],SpecCV[Unit]))</f>
        <v>cfu/100ml</v>
      </c>
      <c r="S285" s="24"/>
      <c r="T285" s="67"/>
      <c r="U285" s="67"/>
      <c r="V285" s="68" t="b">
        <v>0</v>
      </c>
      <c r="W285" s="24"/>
      <c r="X285" s="24"/>
    </row>
    <row r="286" ht="22.5" customHeight="1">
      <c r="A286" s="68"/>
      <c r="B286" s="68" t="b">
        <v>0</v>
      </c>
      <c r="C286" s="68">
        <v>16.0</v>
      </c>
      <c r="D286" s="70"/>
      <c r="E286" s="68" t="s">
        <v>37</v>
      </c>
      <c r="F286" s="24" t="s">
        <v>231</v>
      </c>
      <c r="G286" s="24" t="s">
        <v>234</v>
      </c>
      <c r="H286" s="24" t="s">
        <v>236</v>
      </c>
      <c r="I286" s="71">
        <v>46122.0</v>
      </c>
      <c r="J286" s="66" t="s">
        <v>52</v>
      </c>
      <c r="K286" s="66" t="s">
        <v>50</v>
      </c>
      <c r="L286" s="66" t="s">
        <v>42</v>
      </c>
      <c r="M286" s="66" t="s">
        <v>281</v>
      </c>
      <c r="N286" s="24"/>
      <c r="O286" s="72">
        <v>163.0</v>
      </c>
      <c r="P286" s="24">
        <f t="array" ref="P286">if(O286="","", if(O286=9999,9999,ROUNDUP(_xlfn.XLOOKUP(J286&amp;"-"&amp;E286&amp;"-"&amp;K286,SpecCV[ID],SpecCV[factor])*O286,0)))</f>
        <v>163</v>
      </c>
      <c r="Q286" s="24">
        <f t="array" ref="Q286">if(J286="Contact plate", _xlfn.XLOOKUP(J286&amp;"-"&amp;E286&amp;"-"&amp;K286,SpecCV[ID],SpecCV[Spec]),_xlfn.XLOOKUP(J286&amp;"-"&amp;E286&amp;"-"&amp;K286,SpecCV[ID],SpecCV[Spec]))</f>
        <v>10</v>
      </c>
      <c r="R286" s="15" t="str">
        <f t="array" ref="R286">if(J286="Contact plate", _xlfn.XLOOKUP(J286&amp;"-"&amp;E286&amp;"-"&amp;K286,SpecCV[ID],SpecCV[Unit]),_xlfn.XLOOKUP(J286&amp;"-"&amp;E286&amp;"-"&amp;K286,SpecCV[ID],SpecCV[Unit]))</f>
        <v>cfu/100ml</v>
      </c>
      <c r="S286" s="24"/>
      <c r="T286" s="67"/>
      <c r="U286" s="67"/>
      <c r="V286" s="68" t="b">
        <v>0</v>
      </c>
      <c r="W286" s="24"/>
      <c r="X286" s="24"/>
    </row>
    <row r="287" ht="22.5" customHeight="1">
      <c r="A287" s="68"/>
      <c r="B287" s="68" t="b">
        <v>0</v>
      </c>
      <c r="C287" s="68">
        <v>16.0</v>
      </c>
      <c r="D287" s="70"/>
      <c r="E287" s="68" t="s">
        <v>37</v>
      </c>
      <c r="F287" s="24" t="s">
        <v>231</v>
      </c>
      <c r="G287" s="24" t="s">
        <v>234</v>
      </c>
      <c r="H287" s="24" t="s">
        <v>237</v>
      </c>
      <c r="I287" s="71">
        <v>46122.0</v>
      </c>
      <c r="J287" s="66" t="s">
        <v>52</v>
      </c>
      <c r="K287" s="66" t="s">
        <v>50</v>
      </c>
      <c r="L287" s="66" t="s">
        <v>42</v>
      </c>
      <c r="M287" s="66" t="s">
        <v>281</v>
      </c>
      <c r="N287" s="24"/>
      <c r="O287" s="72">
        <v>155.0</v>
      </c>
      <c r="P287" s="24">
        <f t="array" ref="P287">if(O287="","", if(O287=9999,9999,ROUNDUP(_xlfn.XLOOKUP(J287&amp;"-"&amp;E287&amp;"-"&amp;K287,SpecCV[ID],SpecCV[factor])*O287,0)))</f>
        <v>155</v>
      </c>
      <c r="Q287" s="24">
        <f t="array" ref="Q287">if(J287="Contact plate", _xlfn.XLOOKUP(J287&amp;"-"&amp;E287&amp;"-"&amp;K287,SpecCV[ID],SpecCV[Spec]),_xlfn.XLOOKUP(J287&amp;"-"&amp;E287&amp;"-"&amp;K287,SpecCV[ID],SpecCV[Spec]))</f>
        <v>10</v>
      </c>
      <c r="R287" s="15" t="str">
        <f t="array" ref="R287">if(J287="Contact plate", _xlfn.XLOOKUP(J287&amp;"-"&amp;E287&amp;"-"&amp;K287,SpecCV[ID],SpecCV[Unit]),_xlfn.XLOOKUP(J287&amp;"-"&amp;E287&amp;"-"&amp;K287,SpecCV[ID],SpecCV[Unit]))</f>
        <v>cfu/100ml</v>
      </c>
      <c r="S287" s="24"/>
      <c r="T287" s="67"/>
      <c r="U287" s="67"/>
      <c r="V287" s="68" t="b">
        <v>0</v>
      </c>
      <c r="W287" s="24"/>
      <c r="X287" s="24"/>
    </row>
    <row r="288" ht="22.5" customHeight="1">
      <c r="A288" s="68"/>
      <c r="B288" s="68" t="b">
        <v>0</v>
      </c>
      <c r="C288" s="68">
        <v>16.0</v>
      </c>
      <c r="D288" s="70"/>
      <c r="E288" s="68" t="s">
        <v>37</v>
      </c>
      <c r="F288" s="24" t="s">
        <v>231</v>
      </c>
      <c r="G288" s="24" t="s">
        <v>234</v>
      </c>
      <c r="H288" s="24" t="s">
        <v>238</v>
      </c>
      <c r="I288" s="71">
        <v>46122.0</v>
      </c>
      <c r="J288" s="66" t="s">
        <v>52</v>
      </c>
      <c r="K288" s="66" t="s">
        <v>50</v>
      </c>
      <c r="L288" s="66" t="s">
        <v>42</v>
      </c>
      <c r="M288" s="66" t="s">
        <v>281</v>
      </c>
      <c r="N288" s="24"/>
      <c r="O288" s="72">
        <v>169.0</v>
      </c>
      <c r="P288" s="24">
        <f t="array" ref="P288">if(O288="","", if(O288=9999,9999,ROUNDUP(_xlfn.XLOOKUP(J288&amp;"-"&amp;E288&amp;"-"&amp;K288,SpecCV[ID],SpecCV[factor])*O288,0)))</f>
        <v>169</v>
      </c>
      <c r="Q288" s="24">
        <f t="array" ref="Q288">if(J288="Contact plate", _xlfn.XLOOKUP(J288&amp;"-"&amp;E288&amp;"-"&amp;K288,SpecCV[ID],SpecCV[Spec]),_xlfn.XLOOKUP(J288&amp;"-"&amp;E288&amp;"-"&amp;K288,SpecCV[ID],SpecCV[Spec]))</f>
        <v>10</v>
      </c>
      <c r="R288" s="15" t="str">
        <f t="array" ref="R288">if(J288="Contact plate", _xlfn.XLOOKUP(J288&amp;"-"&amp;E288&amp;"-"&amp;K288,SpecCV[ID],SpecCV[Unit]),_xlfn.XLOOKUP(J288&amp;"-"&amp;E288&amp;"-"&amp;K288,SpecCV[ID],SpecCV[Unit]))</f>
        <v>cfu/100ml</v>
      </c>
      <c r="S288" s="24"/>
      <c r="T288" s="67"/>
      <c r="U288" s="67"/>
      <c r="V288" s="68" t="b">
        <v>0</v>
      </c>
      <c r="W288" s="24"/>
      <c r="X288" s="24"/>
    </row>
    <row r="289" ht="22.5" customHeight="1">
      <c r="A289" s="68"/>
      <c r="B289" s="68" t="b">
        <v>0</v>
      </c>
      <c r="C289" s="68">
        <v>16.0</v>
      </c>
      <c r="D289" s="70"/>
      <c r="E289" s="68" t="s">
        <v>37</v>
      </c>
      <c r="F289" s="24" t="s">
        <v>231</v>
      </c>
      <c r="G289" s="24" t="s">
        <v>234</v>
      </c>
      <c r="H289" s="24" t="s">
        <v>239</v>
      </c>
      <c r="I289" s="71">
        <v>46122.0</v>
      </c>
      <c r="J289" s="66" t="s">
        <v>52</v>
      </c>
      <c r="K289" s="66" t="s">
        <v>50</v>
      </c>
      <c r="L289" s="66" t="s">
        <v>42</v>
      </c>
      <c r="M289" s="66" t="s">
        <v>281</v>
      </c>
      <c r="N289" s="24"/>
      <c r="O289" s="72">
        <v>176.0</v>
      </c>
      <c r="P289" s="24">
        <f t="array" ref="P289">if(O289="","", if(O289=9999,9999,ROUNDUP(_xlfn.XLOOKUP(J289&amp;"-"&amp;E289&amp;"-"&amp;K289,SpecCV[ID],SpecCV[factor])*O289,0)))</f>
        <v>176</v>
      </c>
      <c r="Q289" s="24">
        <f t="array" ref="Q289">if(J289="Contact plate", _xlfn.XLOOKUP(J289&amp;"-"&amp;E289&amp;"-"&amp;K289,SpecCV[ID],SpecCV[Spec]),_xlfn.XLOOKUP(J289&amp;"-"&amp;E289&amp;"-"&amp;K289,SpecCV[ID],SpecCV[Spec]))</f>
        <v>10</v>
      </c>
      <c r="R289" s="15" t="str">
        <f t="array" ref="R289">if(J289="Contact plate", _xlfn.XLOOKUP(J289&amp;"-"&amp;E289&amp;"-"&amp;K289,SpecCV[ID],SpecCV[Unit]),_xlfn.XLOOKUP(J289&amp;"-"&amp;E289&amp;"-"&amp;K289,SpecCV[ID],SpecCV[Unit]))</f>
        <v>cfu/100ml</v>
      </c>
      <c r="S289" s="24"/>
      <c r="T289" s="67"/>
      <c r="U289" s="67"/>
      <c r="V289" s="68" t="b">
        <v>0</v>
      </c>
      <c r="W289" s="24"/>
      <c r="X289" s="24"/>
    </row>
    <row r="290" ht="22.5" customHeight="1">
      <c r="A290" s="68"/>
      <c r="B290" s="68" t="b">
        <v>0</v>
      </c>
      <c r="C290" s="68">
        <v>16.0</v>
      </c>
      <c r="D290" s="70"/>
      <c r="E290" s="68" t="s">
        <v>37</v>
      </c>
      <c r="F290" s="24" t="s">
        <v>231</v>
      </c>
      <c r="G290" s="24" t="s">
        <v>234</v>
      </c>
      <c r="H290" s="24" t="s">
        <v>240</v>
      </c>
      <c r="I290" s="71">
        <v>46122.0</v>
      </c>
      <c r="J290" s="66" t="s">
        <v>52</v>
      </c>
      <c r="K290" s="66" t="s">
        <v>50</v>
      </c>
      <c r="L290" s="66" t="s">
        <v>42</v>
      </c>
      <c r="M290" s="66" t="s">
        <v>281</v>
      </c>
      <c r="N290" s="24"/>
      <c r="O290" s="72">
        <v>205.0</v>
      </c>
      <c r="P290" s="24">
        <f t="array" ref="P290">if(O290="","", if(O290=9999,9999,ROUNDUP(_xlfn.XLOOKUP(J290&amp;"-"&amp;E290&amp;"-"&amp;K290,SpecCV[ID],SpecCV[factor])*O290,0)))</f>
        <v>205</v>
      </c>
      <c r="Q290" s="24">
        <f t="array" ref="Q290">if(J290="Contact plate", _xlfn.XLOOKUP(J290&amp;"-"&amp;E290&amp;"-"&amp;K290,SpecCV[ID],SpecCV[Spec]),_xlfn.XLOOKUP(J290&amp;"-"&amp;E290&amp;"-"&amp;K290,SpecCV[ID],SpecCV[Spec]))</f>
        <v>10</v>
      </c>
      <c r="R290" s="15" t="str">
        <f t="array" ref="R290">if(J290="Contact plate", _xlfn.XLOOKUP(J290&amp;"-"&amp;E290&amp;"-"&amp;K290,SpecCV[ID],SpecCV[Unit]),_xlfn.XLOOKUP(J290&amp;"-"&amp;E290&amp;"-"&amp;K290,SpecCV[ID],SpecCV[Unit]))</f>
        <v>cfu/100ml</v>
      </c>
      <c r="S290" s="24"/>
      <c r="T290" s="67"/>
      <c r="U290" s="67"/>
      <c r="V290" s="68" t="b">
        <v>0</v>
      </c>
      <c r="W290" s="24"/>
      <c r="X290" s="24"/>
    </row>
    <row r="291" ht="22.5" customHeight="1">
      <c r="A291" s="68"/>
      <c r="B291" s="68" t="b">
        <v>0</v>
      </c>
      <c r="C291" s="68">
        <v>12.0</v>
      </c>
      <c r="D291" s="70"/>
      <c r="E291" s="68" t="s">
        <v>28</v>
      </c>
      <c r="F291" s="24" t="s">
        <v>247</v>
      </c>
      <c r="G291" s="24" t="s">
        <v>248</v>
      </c>
      <c r="H291" s="24" t="s">
        <v>249</v>
      </c>
      <c r="I291" s="71">
        <v>46129.0</v>
      </c>
      <c r="J291" s="66" t="s">
        <v>47</v>
      </c>
      <c r="K291" s="66" t="s">
        <v>48</v>
      </c>
      <c r="L291" s="66" t="s">
        <v>42</v>
      </c>
      <c r="M291" s="66" t="s">
        <v>281</v>
      </c>
      <c r="N291" s="24"/>
      <c r="O291" s="72">
        <v>719.0</v>
      </c>
      <c r="P291" s="24">
        <f t="array" ref="P291">if(O291="","", if(O291=9999,9999,ROUNDUP(_xlfn.XLOOKUP(J291&amp;"-"&amp;E291&amp;"-"&amp;K291,SpecCV[ID],SpecCV[factor])*O291,0)))</f>
        <v>719</v>
      </c>
      <c r="Q291" s="24">
        <f t="array" ref="Q291">if(J291="Contact plate", _xlfn.XLOOKUP(J291&amp;"-"&amp;E291&amp;"-"&amp;K291,SpecCV[ID],SpecCV[Spec]),_xlfn.XLOOKUP(J291&amp;"-"&amp;E291&amp;"-"&amp;K291,SpecCV[ID],SpecCV[Spec]))</f>
        <v>100</v>
      </c>
      <c r="R291" s="15" t="str">
        <f t="array" ref="R291">if(J291="Contact plate", _xlfn.XLOOKUP(J291&amp;"-"&amp;E291&amp;"-"&amp;K291,SpecCV[ID],SpecCV[Unit]),_xlfn.XLOOKUP(J291&amp;"-"&amp;E291&amp;"-"&amp;K291,SpecCV[ID],SpecCV[Unit]))</f>
        <v>cfu/ml</v>
      </c>
      <c r="S291" s="24"/>
      <c r="T291" s="67"/>
      <c r="U291" s="67"/>
      <c r="V291" s="68" t="b">
        <v>0</v>
      </c>
      <c r="W291" s="24"/>
      <c r="X291" s="24"/>
    </row>
    <row r="292" ht="22.5" customHeight="1">
      <c r="A292" s="68"/>
      <c r="B292" s="68" t="b">
        <v>0</v>
      </c>
      <c r="C292" s="68">
        <v>12.0</v>
      </c>
      <c r="D292" s="70"/>
      <c r="E292" s="68" t="s">
        <v>28</v>
      </c>
      <c r="F292" s="24" t="s">
        <v>247</v>
      </c>
      <c r="G292" s="24" t="s">
        <v>248</v>
      </c>
      <c r="H292" s="24" t="s">
        <v>250</v>
      </c>
      <c r="I292" s="71">
        <v>46129.0</v>
      </c>
      <c r="J292" s="66" t="s">
        <v>47</v>
      </c>
      <c r="K292" s="66" t="s">
        <v>48</v>
      </c>
      <c r="L292" s="66" t="s">
        <v>42</v>
      </c>
      <c r="M292" s="66" t="s">
        <v>281</v>
      </c>
      <c r="N292" s="24"/>
      <c r="O292" s="72">
        <v>716.0</v>
      </c>
      <c r="P292" s="24">
        <f t="array" ref="P292">if(O292="","", if(O292=9999,9999,ROUNDUP(_xlfn.XLOOKUP(J292&amp;"-"&amp;E292&amp;"-"&amp;K292,SpecCV[ID],SpecCV[factor])*O292,0)))</f>
        <v>716</v>
      </c>
      <c r="Q292" s="24">
        <f t="array" ref="Q292">if(J292="Contact plate", _xlfn.XLOOKUP(J292&amp;"-"&amp;E292&amp;"-"&amp;K292,SpecCV[ID],SpecCV[Spec]),_xlfn.XLOOKUP(J292&amp;"-"&amp;E292&amp;"-"&amp;K292,SpecCV[ID],SpecCV[Spec]))</f>
        <v>100</v>
      </c>
      <c r="R292" s="15" t="str">
        <f t="array" ref="R292">if(J292="Contact plate", _xlfn.XLOOKUP(J292&amp;"-"&amp;E292&amp;"-"&amp;K292,SpecCV[ID],SpecCV[Unit]),_xlfn.XLOOKUP(J292&amp;"-"&amp;E292&amp;"-"&amp;K292,SpecCV[ID],SpecCV[Unit]))</f>
        <v>cfu/ml</v>
      </c>
      <c r="S292" s="24"/>
      <c r="T292" s="67"/>
      <c r="U292" s="67"/>
      <c r="V292" s="68" t="b">
        <v>0</v>
      </c>
      <c r="W292" s="24"/>
      <c r="X292" s="24"/>
    </row>
    <row r="293" ht="22.5" customHeight="1">
      <c r="A293" s="68"/>
      <c r="B293" s="68" t="b">
        <v>0</v>
      </c>
      <c r="C293" s="68">
        <v>12.0</v>
      </c>
      <c r="D293" s="70"/>
      <c r="E293" s="68" t="s">
        <v>28</v>
      </c>
      <c r="F293" s="24" t="s">
        <v>247</v>
      </c>
      <c r="G293" s="24" t="s">
        <v>248</v>
      </c>
      <c r="H293" s="24" t="s">
        <v>251</v>
      </c>
      <c r="I293" s="71">
        <v>46129.0</v>
      </c>
      <c r="J293" s="66" t="s">
        <v>47</v>
      </c>
      <c r="K293" s="66" t="s">
        <v>48</v>
      </c>
      <c r="L293" s="66" t="s">
        <v>42</v>
      </c>
      <c r="M293" s="66" t="s">
        <v>281</v>
      </c>
      <c r="N293" s="24"/>
      <c r="O293" s="72">
        <v>610.0</v>
      </c>
      <c r="P293" s="24">
        <f t="array" ref="P293">if(O293="","", if(O293=9999,9999,ROUNDUP(_xlfn.XLOOKUP(J293&amp;"-"&amp;E293&amp;"-"&amp;K293,SpecCV[ID],SpecCV[factor])*O293,0)))</f>
        <v>610</v>
      </c>
      <c r="Q293" s="24">
        <f t="array" ref="Q293">if(J293="Contact plate", _xlfn.XLOOKUP(J293&amp;"-"&amp;E293&amp;"-"&amp;K293,SpecCV[ID],SpecCV[Spec]),_xlfn.XLOOKUP(J293&amp;"-"&amp;E293&amp;"-"&amp;K293,SpecCV[ID],SpecCV[Spec]))</f>
        <v>100</v>
      </c>
      <c r="R293" s="15" t="str">
        <f t="array" ref="R293">if(J293="Contact plate", _xlfn.XLOOKUP(J293&amp;"-"&amp;E293&amp;"-"&amp;K293,SpecCV[ID],SpecCV[Unit]),_xlfn.XLOOKUP(J293&amp;"-"&amp;E293&amp;"-"&amp;K293,SpecCV[ID],SpecCV[Unit]))</f>
        <v>cfu/ml</v>
      </c>
      <c r="S293" s="24"/>
      <c r="T293" s="67"/>
      <c r="U293" s="67"/>
      <c r="V293" s="68" t="b">
        <v>0</v>
      </c>
      <c r="W293" s="24"/>
      <c r="X293" s="24"/>
    </row>
    <row r="294" ht="22.5" customHeight="1">
      <c r="A294" s="68"/>
      <c r="B294" s="68" t="b">
        <v>0</v>
      </c>
      <c r="C294" s="68">
        <v>12.0</v>
      </c>
      <c r="D294" s="70"/>
      <c r="E294" s="68" t="s">
        <v>28</v>
      </c>
      <c r="F294" s="24" t="s">
        <v>247</v>
      </c>
      <c r="G294" s="24" t="s">
        <v>248</v>
      </c>
      <c r="H294" s="24" t="s">
        <v>252</v>
      </c>
      <c r="I294" s="71">
        <v>46129.0</v>
      </c>
      <c r="J294" s="66" t="s">
        <v>47</v>
      </c>
      <c r="K294" s="66" t="s">
        <v>48</v>
      </c>
      <c r="L294" s="66" t="s">
        <v>42</v>
      </c>
      <c r="M294" s="66" t="s">
        <v>281</v>
      </c>
      <c r="N294" s="24"/>
      <c r="O294" s="72">
        <v>733.0</v>
      </c>
      <c r="P294" s="24">
        <f t="array" ref="P294">if(O294="","", if(O294=9999,9999,ROUNDUP(_xlfn.XLOOKUP(J294&amp;"-"&amp;E294&amp;"-"&amp;K294,SpecCV[ID],SpecCV[factor])*O294,0)))</f>
        <v>733</v>
      </c>
      <c r="Q294" s="24">
        <f t="array" ref="Q294">if(J294="Contact plate", _xlfn.XLOOKUP(J294&amp;"-"&amp;E294&amp;"-"&amp;K294,SpecCV[ID],SpecCV[Spec]),_xlfn.XLOOKUP(J294&amp;"-"&amp;E294&amp;"-"&amp;K294,SpecCV[ID],SpecCV[Spec]))</f>
        <v>100</v>
      </c>
      <c r="R294" s="15" t="str">
        <f t="array" ref="R294">if(J294="Contact plate", _xlfn.XLOOKUP(J294&amp;"-"&amp;E294&amp;"-"&amp;K294,SpecCV[ID],SpecCV[Unit]),_xlfn.XLOOKUP(J294&amp;"-"&amp;E294&amp;"-"&amp;K294,SpecCV[ID],SpecCV[Unit]))</f>
        <v>cfu/ml</v>
      </c>
      <c r="S294" s="24"/>
      <c r="T294" s="67"/>
      <c r="U294" s="67"/>
      <c r="V294" s="68" t="b">
        <v>0</v>
      </c>
      <c r="W294" s="24"/>
      <c r="X294" s="24"/>
    </row>
    <row r="295" ht="22.5" customHeight="1">
      <c r="A295" s="68"/>
      <c r="B295" s="68" t="b">
        <v>0</v>
      </c>
      <c r="C295" s="68">
        <v>16.0</v>
      </c>
      <c r="D295" s="70"/>
      <c r="E295" s="68" t="s">
        <v>37</v>
      </c>
      <c r="F295" s="24" t="s">
        <v>231</v>
      </c>
      <c r="G295" s="24" t="s">
        <v>234</v>
      </c>
      <c r="H295" s="24" t="s">
        <v>235</v>
      </c>
      <c r="I295" s="71">
        <v>46129.0</v>
      </c>
      <c r="J295" s="66" t="s">
        <v>52</v>
      </c>
      <c r="K295" s="66" t="s">
        <v>50</v>
      </c>
      <c r="L295" s="66" t="s">
        <v>42</v>
      </c>
      <c r="M295" s="66" t="s">
        <v>281</v>
      </c>
      <c r="N295" s="24"/>
      <c r="O295" s="72">
        <v>0.0</v>
      </c>
      <c r="P295" s="24">
        <f t="array" ref="P295">if(O295="","", if(O295=9999,9999,ROUNDUP(_xlfn.XLOOKUP(J295&amp;"-"&amp;E295&amp;"-"&amp;K295,SpecCV[ID],SpecCV[factor])*O295,0)))</f>
        <v>0</v>
      </c>
      <c r="Q295" s="24">
        <f t="array" ref="Q295">if(J295="Contact plate", _xlfn.XLOOKUP(J295&amp;"-"&amp;E295&amp;"-"&amp;K295,SpecCV[ID],SpecCV[Spec]),_xlfn.XLOOKUP(J295&amp;"-"&amp;E295&amp;"-"&amp;K295,SpecCV[ID],SpecCV[Spec]))</f>
        <v>10</v>
      </c>
      <c r="R295" s="15" t="str">
        <f t="array" ref="R295">if(J295="Contact plate", _xlfn.XLOOKUP(J295&amp;"-"&amp;E295&amp;"-"&amp;K295,SpecCV[ID],SpecCV[Unit]),_xlfn.XLOOKUP(J295&amp;"-"&amp;E295&amp;"-"&amp;K295,SpecCV[ID],SpecCV[Unit]))</f>
        <v>cfu/100ml</v>
      </c>
      <c r="S295" s="24"/>
      <c r="T295" s="67"/>
      <c r="U295" s="67"/>
      <c r="V295" s="68" t="b">
        <v>0</v>
      </c>
      <c r="W295" s="24"/>
      <c r="X295" s="24"/>
    </row>
    <row r="296" ht="22.5" customHeight="1">
      <c r="A296" s="68"/>
      <c r="B296" s="68" t="b">
        <v>0</v>
      </c>
      <c r="C296" s="68">
        <v>16.0</v>
      </c>
      <c r="D296" s="70"/>
      <c r="E296" s="68" t="s">
        <v>37</v>
      </c>
      <c r="F296" s="24" t="s">
        <v>231</v>
      </c>
      <c r="G296" s="24" t="s">
        <v>234</v>
      </c>
      <c r="H296" s="24" t="s">
        <v>236</v>
      </c>
      <c r="I296" s="71">
        <v>46129.0</v>
      </c>
      <c r="J296" s="66" t="s">
        <v>52</v>
      </c>
      <c r="K296" s="66" t="s">
        <v>50</v>
      </c>
      <c r="L296" s="66" t="s">
        <v>42</v>
      </c>
      <c r="M296" s="66" t="s">
        <v>281</v>
      </c>
      <c r="N296" s="24"/>
      <c r="O296" s="72">
        <v>0.0</v>
      </c>
      <c r="P296" s="24">
        <f t="array" ref="P296">if(O296="","", if(O296=9999,9999,ROUNDUP(_xlfn.XLOOKUP(J296&amp;"-"&amp;E296&amp;"-"&amp;K296,SpecCV[ID],SpecCV[factor])*O296,0)))</f>
        <v>0</v>
      </c>
      <c r="Q296" s="24">
        <f t="array" ref="Q296">if(J296="Contact plate", _xlfn.XLOOKUP(J296&amp;"-"&amp;E296&amp;"-"&amp;K296,SpecCV[ID],SpecCV[Spec]),_xlfn.XLOOKUP(J296&amp;"-"&amp;E296&amp;"-"&amp;K296,SpecCV[ID],SpecCV[Spec]))</f>
        <v>10</v>
      </c>
      <c r="R296" s="15" t="str">
        <f t="array" ref="R296">if(J296="Contact plate", _xlfn.XLOOKUP(J296&amp;"-"&amp;E296&amp;"-"&amp;K296,SpecCV[ID],SpecCV[Unit]),_xlfn.XLOOKUP(J296&amp;"-"&amp;E296&amp;"-"&amp;K296,SpecCV[ID],SpecCV[Unit]))</f>
        <v>cfu/100ml</v>
      </c>
      <c r="S296" s="24"/>
      <c r="T296" s="67"/>
      <c r="U296" s="67"/>
      <c r="V296" s="68" t="b">
        <v>0</v>
      </c>
      <c r="W296" s="24"/>
      <c r="X296" s="24"/>
    </row>
    <row r="297" ht="22.5" customHeight="1">
      <c r="A297" s="68"/>
      <c r="B297" s="68" t="b">
        <v>0</v>
      </c>
      <c r="C297" s="68">
        <v>16.0</v>
      </c>
      <c r="D297" s="70"/>
      <c r="E297" s="68" t="s">
        <v>37</v>
      </c>
      <c r="F297" s="24" t="s">
        <v>231</v>
      </c>
      <c r="G297" s="24" t="s">
        <v>234</v>
      </c>
      <c r="H297" s="24" t="s">
        <v>237</v>
      </c>
      <c r="I297" s="71">
        <v>46129.0</v>
      </c>
      <c r="J297" s="66" t="s">
        <v>52</v>
      </c>
      <c r="K297" s="66" t="s">
        <v>50</v>
      </c>
      <c r="L297" s="66" t="s">
        <v>42</v>
      </c>
      <c r="M297" s="66" t="s">
        <v>281</v>
      </c>
      <c r="N297" s="24"/>
      <c r="O297" s="72">
        <v>0.0</v>
      </c>
      <c r="P297" s="24">
        <f t="array" ref="P297">if(O297="","", if(O297=9999,9999,ROUNDUP(_xlfn.XLOOKUP(J297&amp;"-"&amp;E297&amp;"-"&amp;K297,SpecCV[ID],SpecCV[factor])*O297,0)))</f>
        <v>0</v>
      </c>
      <c r="Q297" s="24">
        <f t="array" ref="Q297">if(J297="Contact plate", _xlfn.XLOOKUP(J297&amp;"-"&amp;E297&amp;"-"&amp;K297,SpecCV[ID],SpecCV[Spec]),_xlfn.XLOOKUP(J297&amp;"-"&amp;E297&amp;"-"&amp;K297,SpecCV[ID],SpecCV[Spec]))</f>
        <v>10</v>
      </c>
      <c r="R297" s="15" t="str">
        <f t="array" ref="R297">if(J297="Contact plate", _xlfn.XLOOKUP(J297&amp;"-"&amp;E297&amp;"-"&amp;K297,SpecCV[ID],SpecCV[Unit]),_xlfn.XLOOKUP(J297&amp;"-"&amp;E297&amp;"-"&amp;K297,SpecCV[ID],SpecCV[Unit]))</f>
        <v>cfu/100ml</v>
      </c>
      <c r="S297" s="24"/>
      <c r="T297" s="67"/>
      <c r="U297" s="67"/>
      <c r="V297" s="68" t="b">
        <v>0</v>
      </c>
      <c r="W297" s="24"/>
      <c r="X297" s="24"/>
    </row>
    <row r="298" ht="22.5" customHeight="1">
      <c r="A298" s="68"/>
      <c r="B298" s="68" t="b">
        <v>0</v>
      </c>
      <c r="C298" s="68">
        <v>16.0</v>
      </c>
      <c r="D298" s="70"/>
      <c r="E298" s="68" t="s">
        <v>37</v>
      </c>
      <c r="F298" s="24" t="s">
        <v>231</v>
      </c>
      <c r="G298" s="24" t="s">
        <v>234</v>
      </c>
      <c r="H298" s="24" t="s">
        <v>238</v>
      </c>
      <c r="I298" s="71">
        <v>46129.0</v>
      </c>
      <c r="J298" s="66" t="s">
        <v>52</v>
      </c>
      <c r="K298" s="66" t="s">
        <v>50</v>
      </c>
      <c r="L298" s="66" t="s">
        <v>42</v>
      </c>
      <c r="M298" s="66" t="s">
        <v>281</v>
      </c>
      <c r="N298" s="24"/>
      <c r="O298" s="72">
        <v>0.0</v>
      </c>
      <c r="P298" s="24">
        <f t="array" ref="P298">if(O298="","", if(O298=9999,9999,ROUNDUP(_xlfn.XLOOKUP(J298&amp;"-"&amp;E298&amp;"-"&amp;K298,SpecCV[ID],SpecCV[factor])*O298,0)))</f>
        <v>0</v>
      </c>
      <c r="Q298" s="24">
        <f t="array" ref="Q298">if(J298="Contact plate", _xlfn.XLOOKUP(J298&amp;"-"&amp;E298&amp;"-"&amp;K298,SpecCV[ID],SpecCV[Spec]),_xlfn.XLOOKUP(J298&amp;"-"&amp;E298&amp;"-"&amp;K298,SpecCV[ID],SpecCV[Spec]))</f>
        <v>10</v>
      </c>
      <c r="R298" s="15" t="str">
        <f t="array" ref="R298">if(J298="Contact plate", _xlfn.XLOOKUP(J298&amp;"-"&amp;E298&amp;"-"&amp;K298,SpecCV[ID],SpecCV[Unit]),_xlfn.XLOOKUP(J298&amp;"-"&amp;E298&amp;"-"&amp;K298,SpecCV[ID],SpecCV[Unit]))</f>
        <v>cfu/100ml</v>
      </c>
      <c r="S298" s="24"/>
      <c r="T298" s="67"/>
      <c r="U298" s="67"/>
      <c r="V298" s="68" t="b">
        <v>0</v>
      </c>
      <c r="W298" s="24"/>
      <c r="X298" s="24"/>
    </row>
    <row r="299" ht="22.5" customHeight="1">
      <c r="A299" s="68"/>
      <c r="B299" s="68" t="b">
        <v>0</v>
      </c>
      <c r="C299" s="68">
        <v>16.0</v>
      </c>
      <c r="D299" s="70"/>
      <c r="E299" s="68" t="s">
        <v>37</v>
      </c>
      <c r="F299" s="24" t="s">
        <v>231</v>
      </c>
      <c r="G299" s="24" t="s">
        <v>234</v>
      </c>
      <c r="H299" s="24" t="s">
        <v>239</v>
      </c>
      <c r="I299" s="71">
        <v>46129.0</v>
      </c>
      <c r="J299" s="66" t="s">
        <v>52</v>
      </c>
      <c r="K299" s="66" t="s">
        <v>50</v>
      </c>
      <c r="L299" s="66" t="s">
        <v>42</v>
      </c>
      <c r="M299" s="66" t="s">
        <v>281</v>
      </c>
      <c r="N299" s="24"/>
      <c r="O299" s="72">
        <v>0.0</v>
      </c>
      <c r="P299" s="24">
        <f t="array" ref="P299">if(O299="","", if(O299=9999,9999,ROUNDUP(_xlfn.XLOOKUP(J299&amp;"-"&amp;E299&amp;"-"&amp;K299,SpecCV[ID],SpecCV[factor])*O299,0)))</f>
        <v>0</v>
      </c>
      <c r="Q299" s="24">
        <f t="array" ref="Q299">if(J299="Contact plate", _xlfn.XLOOKUP(J299&amp;"-"&amp;E299&amp;"-"&amp;K299,SpecCV[ID],SpecCV[Spec]),_xlfn.XLOOKUP(J299&amp;"-"&amp;E299&amp;"-"&amp;K299,SpecCV[ID],SpecCV[Spec]))</f>
        <v>10</v>
      </c>
      <c r="R299" s="15" t="str">
        <f t="array" ref="R299">if(J299="Contact plate", _xlfn.XLOOKUP(J299&amp;"-"&amp;E299&amp;"-"&amp;K299,SpecCV[ID],SpecCV[Unit]),_xlfn.XLOOKUP(J299&amp;"-"&amp;E299&amp;"-"&amp;K299,SpecCV[ID],SpecCV[Unit]))</f>
        <v>cfu/100ml</v>
      </c>
      <c r="S299" s="24"/>
      <c r="T299" s="67"/>
      <c r="U299" s="67"/>
      <c r="V299" s="68" t="b">
        <v>0</v>
      </c>
      <c r="W299" s="24"/>
      <c r="X299" s="24"/>
    </row>
    <row r="300" ht="22.5" customHeight="1">
      <c r="A300" s="68"/>
      <c r="B300" s="68" t="b">
        <v>0</v>
      </c>
      <c r="C300" s="68">
        <v>16.0</v>
      </c>
      <c r="D300" s="70"/>
      <c r="E300" s="68" t="s">
        <v>37</v>
      </c>
      <c r="F300" s="24" t="s">
        <v>231</v>
      </c>
      <c r="G300" s="24" t="s">
        <v>234</v>
      </c>
      <c r="H300" s="24" t="s">
        <v>240</v>
      </c>
      <c r="I300" s="71">
        <v>46129.0</v>
      </c>
      <c r="J300" s="66" t="s">
        <v>52</v>
      </c>
      <c r="K300" s="66" t="s">
        <v>50</v>
      </c>
      <c r="L300" s="66" t="s">
        <v>42</v>
      </c>
      <c r="M300" s="66" t="s">
        <v>281</v>
      </c>
      <c r="N300" s="24"/>
      <c r="O300" s="72">
        <v>0.0</v>
      </c>
      <c r="P300" s="24">
        <f t="array" ref="P300">if(O300="","", if(O300=9999,9999,ROUNDUP(_xlfn.XLOOKUP(J300&amp;"-"&amp;E300&amp;"-"&amp;K300,SpecCV[ID],SpecCV[factor])*O300,0)))</f>
        <v>0</v>
      </c>
      <c r="Q300" s="24">
        <f t="array" ref="Q300">if(J300="Contact plate", _xlfn.XLOOKUP(J300&amp;"-"&amp;E300&amp;"-"&amp;K300,SpecCV[ID],SpecCV[Spec]),_xlfn.XLOOKUP(J300&amp;"-"&amp;E300&amp;"-"&amp;K300,SpecCV[ID],SpecCV[Spec]))</f>
        <v>10</v>
      </c>
      <c r="R300" s="15" t="str">
        <f t="array" ref="R300">if(J300="Contact plate", _xlfn.XLOOKUP(J300&amp;"-"&amp;E300&amp;"-"&amp;K300,SpecCV[ID],SpecCV[Unit]),_xlfn.XLOOKUP(J300&amp;"-"&amp;E300&amp;"-"&amp;K300,SpecCV[ID],SpecCV[Unit]))</f>
        <v>cfu/100ml</v>
      </c>
      <c r="S300" s="24"/>
      <c r="T300" s="67"/>
      <c r="U300" s="67"/>
      <c r="V300" s="68" t="b">
        <v>0</v>
      </c>
      <c r="W300" s="24"/>
      <c r="X300" s="24"/>
    </row>
    <row r="301" ht="22.5" customHeight="1">
      <c r="A301" s="68"/>
      <c r="B301" s="68" t="b">
        <v>0</v>
      </c>
      <c r="C301" s="68">
        <v>12.0</v>
      </c>
      <c r="D301" s="70"/>
      <c r="E301" s="68" t="s">
        <v>28</v>
      </c>
      <c r="F301" s="24" t="s">
        <v>247</v>
      </c>
      <c r="G301" s="24" t="s">
        <v>248</v>
      </c>
      <c r="H301" s="24" t="s">
        <v>249</v>
      </c>
      <c r="I301" s="71">
        <v>46132.0</v>
      </c>
      <c r="J301" s="66" t="s">
        <v>47</v>
      </c>
      <c r="K301" s="66" t="s">
        <v>48</v>
      </c>
      <c r="L301" s="66" t="s">
        <v>220</v>
      </c>
      <c r="M301" s="66" t="s">
        <v>45</v>
      </c>
      <c r="N301" s="24"/>
      <c r="O301" s="72">
        <v>1616.0</v>
      </c>
      <c r="P301" s="24">
        <f t="array" ref="P301">if(O301="","", if(O301=9999,9999,ROUNDUP(_xlfn.XLOOKUP(J301&amp;"-"&amp;E301&amp;"-"&amp;K301,SpecCV[ID],SpecCV[factor])*O301,0)))</f>
        <v>1616</v>
      </c>
      <c r="Q301" s="24">
        <f t="array" ref="Q301">if(J301="Contact plate", _xlfn.XLOOKUP(J301&amp;"-"&amp;E301&amp;"-"&amp;K301,SpecCV[ID],SpecCV[Spec]),_xlfn.XLOOKUP(J301&amp;"-"&amp;E301&amp;"-"&amp;K301,SpecCV[ID],SpecCV[Spec]))</f>
        <v>100</v>
      </c>
      <c r="R301" s="15" t="str">
        <f t="array" ref="R301">if(J301="Contact plate", _xlfn.XLOOKUP(J301&amp;"-"&amp;E301&amp;"-"&amp;K301,SpecCV[ID],SpecCV[Unit]),_xlfn.XLOOKUP(J301&amp;"-"&amp;E301&amp;"-"&amp;K301,SpecCV[ID],SpecCV[Unit]))</f>
        <v>cfu/ml</v>
      </c>
      <c r="S301" s="24"/>
      <c r="T301" s="67"/>
      <c r="U301" s="67"/>
      <c r="V301" s="68" t="b">
        <v>0</v>
      </c>
      <c r="W301" s="24"/>
      <c r="X301" s="24"/>
    </row>
    <row r="302" ht="22.5" customHeight="1">
      <c r="A302" s="68"/>
      <c r="B302" s="68" t="b">
        <v>0</v>
      </c>
      <c r="C302" s="68">
        <v>12.0</v>
      </c>
      <c r="D302" s="70"/>
      <c r="E302" s="68" t="s">
        <v>28</v>
      </c>
      <c r="F302" s="24" t="s">
        <v>247</v>
      </c>
      <c r="G302" s="24" t="s">
        <v>248</v>
      </c>
      <c r="H302" s="24" t="s">
        <v>250</v>
      </c>
      <c r="I302" s="71">
        <v>46132.0</v>
      </c>
      <c r="J302" s="66" t="s">
        <v>47</v>
      </c>
      <c r="K302" s="66" t="s">
        <v>48</v>
      </c>
      <c r="L302" s="66" t="s">
        <v>220</v>
      </c>
      <c r="M302" s="66" t="s">
        <v>45</v>
      </c>
      <c r="N302" s="24"/>
      <c r="O302" s="72">
        <v>1588.0</v>
      </c>
      <c r="P302" s="24">
        <f t="array" ref="P302">if(O302="","", if(O302=9999,9999,ROUNDUP(_xlfn.XLOOKUP(J302&amp;"-"&amp;E302&amp;"-"&amp;K302,SpecCV[ID],SpecCV[factor])*O302,0)))</f>
        <v>1588</v>
      </c>
      <c r="Q302" s="24">
        <f t="array" ref="Q302">if(J302="Contact plate", _xlfn.XLOOKUP(J302&amp;"-"&amp;E302&amp;"-"&amp;K302,SpecCV[ID],SpecCV[Spec]),_xlfn.XLOOKUP(J302&amp;"-"&amp;E302&amp;"-"&amp;K302,SpecCV[ID],SpecCV[Spec]))</f>
        <v>100</v>
      </c>
      <c r="R302" s="15" t="str">
        <f t="array" ref="R302">if(J302="Contact plate", _xlfn.XLOOKUP(J302&amp;"-"&amp;E302&amp;"-"&amp;K302,SpecCV[ID],SpecCV[Unit]),_xlfn.XLOOKUP(J302&amp;"-"&amp;E302&amp;"-"&amp;K302,SpecCV[ID],SpecCV[Unit]))</f>
        <v>cfu/ml</v>
      </c>
      <c r="S302" s="24"/>
      <c r="T302" s="67"/>
      <c r="U302" s="67"/>
      <c r="V302" s="68" t="b">
        <v>0</v>
      </c>
      <c r="W302" s="24"/>
      <c r="X302" s="24"/>
    </row>
    <row r="303" ht="22.5" customHeight="1">
      <c r="A303" s="68"/>
      <c r="B303" s="68" t="b">
        <v>0</v>
      </c>
      <c r="C303" s="68">
        <v>12.0</v>
      </c>
      <c r="D303" s="70"/>
      <c r="E303" s="68" t="s">
        <v>28</v>
      </c>
      <c r="F303" s="24" t="s">
        <v>247</v>
      </c>
      <c r="G303" s="24" t="s">
        <v>248</v>
      </c>
      <c r="H303" s="24" t="s">
        <v>251</v>
      </c>
      <c r="I303" s="71">
        <v>46132.0</v>
      </c>
      <c r="J303" s="66" t="s">
        <v>47</v>
      </c>
      <c r="K303" s="66" t="s">
        <v>48</v>
      </c>
      <c r="L303" s="66" t="s">
        <v>220</v>
      </c>
      <c r="M303" s="66" t="s">
        <v>45</v>
      </c>
      <c r="N303" s="24"/>
      <c r="O303" s="72">
        <v>1652.0</v>
      </c>
      <c r="P303" s="24">
        <f t="array" ref="P303">if(O303="","", if(O303=9999,9999,ROUNDUP(_xlfn.XLOOKUP(J303&amp;"-"&amp;E303&amp;"-"&amp;K303,SpecCV[ID],SpecCV[factor])*O303,0)))</f>
        <v>1652</v>
      </c>
      <c r="Q303" s="24">
        <f t="array" ref="Q303">if(J303="Contact plate", _xlfn.XLOOKUP(J303&amp;"-"&amp;E303&amp;"-"&amp;K303,SpecCV[ID],SpecCV[Spec]),_xlfn.XLOOKUP(J303&amp;"-"&amp;E303&amp;"-"&amp;K303,SpecCV[ID],SpecCV[Spec]))</f>
        <v>100</v>
      </c>
      <c r="R303" s="15" t="str">
        <f t="array" ref="R303">if(J303="Contact plate", _xlfn.XLOOKUP(J303&amp;"-"&amp;E303&amp;"-"&amp;K303,SpecCV[ID],SpecCV[Unit]),_xlfn.XLOOKUP(J303&amp;"-"&amp;E303&amp;"-"&amp;K303,SpecCV[ID],SpecCV[Unit]))</f>
        <v>cfu/ml</v>
      </c>
      <c r="S303" s="24"/>
      <c r="T303" s="67"/>
      <c r="U303" s="67"/>
      <c r="V303" s="68" t="b">
        <v>0</v>
      </c>
      <c r="W303" s="24"/>
      <c r="X303" s="24"/>
    </row>
    <row r="304" ht="22.5" customHeight="1">
      <c r="A304" s="68"/>
      <c r="B304" s="68" t="b">
        <v>0</v>
      </c>
      <c r="C304" s="68">
        <v>12.0</v>
      </c>
      <c r="D304" s="70"/>
      <c r="E304" s="68" t="s">
        <v>28</v>
      </c>
      <c r="F304" s="24" t="s">
        <v>247</v>
      </c>
      <c r="G304" s="24" t="s">
        <v>248</v>
      </c>
      <c r="H304" s="24" t="s">
        <v>252</v>
      </c>
      <c r="I304" s="71">
        <v>46132.0</v>
      </c>
      <c r="J304" s="66" t="s">
        <v>47</v>
      </c>
      <c r="K304" s="66" t="s">
        <v>48</v>
      </c>
      <c r="L304" s="66" t="s">
        <v>220</v>
      </c>
      <c r="M304" s="66" t="s">
        <v>45</v>
      </c>
      <c r="N304" s="24"/>
      <c r="O304" s="72">
        <v>2576.0</v>
      </c>
      <c r="P304" s="24">
        <f t="array" ref="P304">if(O304="","", if(O304=9999,9999,ROUNDUP(_xlfn.XLOOKUP(J304&amp;"-"&amp;E304&amp;"-"&amp;K304,SpecCV[ID],SpecCV[factor])*O304,0)))</f>
        <v>2576</v>
      </c>
      <c r="Q304" s="24">
        <f t="array" ref="Q304">if(J304="Contact plate", _xlfn.XLOOKUP(J304&amp;"-"&amp;E304&amp;"-"&amp;K304,SpecCV[ID],SpecCV[Spec]),_xlfn.XLOOKUP(J304&amp;"-"&amp;E304&amp;"-"&amp;K304,SpecCV[ID],SpecCV[Spec]))</f>
        <v>100</v>
      </c>
      <c r="R304" s="15" t="str">
        <f t="array" ref="R304">if(J304="Contact plate", _xlfn.XLOOKUP(J304&amp;"-"&amp;E304&amp;"-"&amp;K304,SpecCV[ID],SpecCV[Unit]),_xlfn.XLOOKUP(J304&amp;"-"&amp;E304&amp;"-"&amp;K304,SpecCV[ID],SpecCV[Unit]))</f>
        <v>cfu/ml</v>
      </c>
      <c r="S304" s="24"/>
      <c r="T304" s="67"/>
      <c r="U304" s="67"/>
      <c r="V304" s="68" t="b">
        <v>0</v>
      </c>
      <c r="W304" s="24"/>
      <c r="X304" s="24"/>
    </row>
    <row r="305" ht="22.5" customHeight="1">
      <c r="A305" s="68"/>
      <c r="B305" s="68" t="b">
        <v>0</v>
      </c>
      <c r="C305" s="68">
        <v>16.0</v>
      </c>
      <c r="D305" s="70"/>
      <c r="E305" s="8" t="s">
        <v>28</v>
      </c>
      <c r="F305" s="24" t="s">
        <v>225</v>
      </c>
      <c r="G305" s="24" t="s">
        <v>226</v>
      </c>
      <c r="H305" s="24" t="s">
        <v>227</v>
      </c>
      <c r="I305" s="71">
        <v>46133.0</v>
      </c>
      <c r="J305" s="66" t="s">
        <v>30</v>
      </c>
      <c r="K305" s="66" t="s">
        <v>30</v>
      </c>
      <c r="L305" s="66" t="s">
        <v>42</v>
      </c>
      <c r="M305" s="66" t="s">
        <v>45</v>
      </c>
      <c r="N305" s="24">
        <v>3.0</v>
      </c>
      <c r="O305" s="72">
        <v>0.0</v>
      </c>
      <c r="P305" s="24">
        <f t="array" ref="P305">if(O305="","", if(O305=9999,9999,ROUNDUP(_xlfn.XLOOKUP(J305&amp;"-"&amp;E305&amp;"-"&amp;K305,SpecCV[ID],SpecCV[factor])*O305,0)))</f>
        <v>0</v>
      </c>
      <c r="Q305" s="24">
        <f t="array" ref="Q305">if(J305="Contact plate", _xlfn.XLOOKUP(J305&amp;"-"&amp;E305&amp;"-"&amp;K305,SpecCV[ID],SpecCV[Spec]),_xlfn.XLOOKUP(J305&amp;"-"&amp;E305&amp;"-"&amp;K305,SpecCV[ID],SpecCV[Spec]))</f>
        <v>50</v>
      </c>
      <c r="R305" s="15" t="str">
        <f t="array" ref="R305">if(J305="Contact plate", _xlfn.XLOOKUP(J305&amp;"-"&amp;E305&amp;"-"&amp;K305,SpecCV[ID],SpecCV[Unit]),_xlfn.XLOOKUP(J305&amp;"-"&amp;E305&amp;"-"&amp;K305,SpecCV[ID],SpecCV[Unit]))</f>
        <v>cfu</v>
      </c>
      <c r="S305" s="24"/>
      <c r="T305" s="67"/>
      <c r="U305" s="67"/>
      <c r="V305" s="68" t="b">
        <v>0</v>
      </c>
      <c r="W305" s="24"/>
      <c r="X305" s="24"/>
    </row>
    <row r="306" ht="22.5" customHeight="1">
      <c r="A306" s="68"/>
      <c r="B306" s="68" t="b">
        <v>0</v>
      </c>
      <c r="C306" s="68">
        <v>16.0</v>
      </c>
      <c r="D306" s="70"/>
      <c r="E306" s="8" t="s">
        <v>28</v>
      </c>
      <c r="F306" s="24" t="s">
        <v>225</v>
      </c>
      <c r="G306" s="24" t="s">
        <v>226</v>
      </c>
      <c r="H306" s="24" t="s">
        <v>228</v>
      </c>
      <c r="I306" s="71">
        <v>46133.0</v>
      </c>
      <c r="J306" s="66" t="s">
        <v>30</v>
      </c>
      <c r="K306" s="66" t="s">
        <v>30</v>
      </c>
      <c r="L306" s="66" t="s">
        <v>42</v>
      </c>
      <c r="M306" s="66" t="s">
        <v>45</v>
      </c>
      <c r="N306" s="24">
        <v>3.0</v>
      </c>
      <c r="O306" s="72">
        <v>0.0</v>
      </c>
      <c r="P306" s="24">
        <f t="array" ref="P306">if(O306="","", if(O306=9999,9999,ROUNDUP(_xlfn.XLOOKUP(J306&amp;"-"&amp;E306&amp;"-"&amp;K306,SpecCV[ID],SpecCV[factor])*O306,0)))</f>
        <v>0</v>
      </c>
      <c r="Q306" s="24">
        <f t="array" ref="Q306">if(J306="Contact plate", _xlfn.XLOOKUP(J306&amp;"-"&amp;E306&amp;"-"&amp;K306,SpecCV[ID],SpecCV[Spec]),_xlfn.XLOOKUP(J306&amp;"-"&amp;E306&amp;"-"&amp;K306,SpecCV[ID],SpecCV[Spec]))</f>
        <v>50</v>
      </c>
      <c r="R306" s="15" t="str">
        <f t="array" ref="R306">if(J306="Contact plate", _xlfn.XLOOKUP(J306&amp;"-"&amp;E306&amp;"-"&amp;K306,SpecCV[ID],SpecCV[Unit]),_xlfn.XLOOKUP(J306&amp;"-"&amp;E306&amp;"-"&amp;K306,SpecCV[ID],SpecCV[Unit]))</f>
        <v>cfu</v>
      </c>
      <c r="S306" s="24"/>
      <c r="T306" s="67"/>
      <c r="U306" s="67"/>
      <c r="V306" s="68" t="b">
        <v>0</v>
      </c>
      <c r="W306" s="24"/>
      <c r="X306" s="24"/>
    </row>
    <row r="307" ht="22.5" customHeight="1">
      <c r="A307" s="68"/>
      <c r="B307" s="68" t="b">
        <v>0</v>
      </c>
      <c r="C307" s="68">
        <v>16.0</v>
      </c>
      <c r="D307" s="70"/>
      <c r="E307" s="8" t="s">
        <v>28</v>
      </c>
      <c r="F307" s="24" t="s">
        <v>225</v>
      </c>
      <c r="G307" s="24" t="s">
        <v>216</v>
      </c>
      <c r="H307" s="24" t="s">
        <v>229</v>
      </c>
      <c r="I307" s="71">
        <v>46133.0</v>
      </c>
      <c r="J307" s="66" t="s">
        <v>47</v>
      </c>
      <c r="K307" s="66" t="s">
        <v>48</v>
      </c>
      <c r="L307" s="66" t="s">
        <v>42</v>
      </c>
      <c r="M307" s="66" t="s">
        <v>45</v>
      </c>
      <c r="N307" s="24">
        <v>3.0</v>
      </c>
      <c r="O307" s="72">
        <v>4.0</v>
      </c>
      <c r="P307" s="24">
        <f t="array" ref="P307">if(O307="","", if(O307=9999,9999,ROUNDUP(_xlfn.XLOOKUP(J307&amp;"-"&amp;E307&amp;"-"&amp;K307,SpecCV[ID],SpecCV[factor])*O307,0)))</f>
        <v>4</v>
      </c>
      <c r="Q307" s="24">
        <f t="array" ref="Q307">if(J307="Contact plate", _xlfn.XLOOKUP(J307&amp;"-"&amp;E307&amp;"-"&amp;K307,SpecCV[ID],SpecCV[Spec]),_xlfn.XLOOKUP(J307&amp;"-"&amp;E307&amp;"-"&amp;K307,SpecCV[ID],SpecCV[Spec]))</f>
        <v>100</v>
      </c>
      <c r="R307" s="15" t="str">
        <f t="array" ref="R307">if(J307="Contact plate", _xlfn.XLOOKUP(J307&amp;"-"&amp;E307&amp;"-"&amp;K307,SpecCV[ID],SpecCV[Unit]),_xlfn.XLOOKUP(J307&amp;"-"&amp;E307&amp;"-"&amp;K307,SpecCV[ID],SpecCV[Unit]))</f>
        <v>cfu/ml</v>
      </c>
      <c r="S307" s="24"/>
      <c r="T307" s="67"/>
      <c r="U307" s="67"/>
      <c r="V307" s="68" t="b">
        <v>0</v>
      </c>
      <c r="W307" s="24"/>
      <c r="X307" s="24"/>
    </row>
    <row r="308" ht="22.5" customHeight="1">
      <c r="A308" s="68"/>
      <c r="B308" s="68" t="b">
        <v>0</v>
      </c>
      <c r="C308" s="68">
        <v>16.0</v>
      </c>
      <c r="D308" s="70"/>
      <c r="E308" s="8" t="s">
        <v>28</v>
      </c>
      <c r="F308" s="24" t="s">
        <v>225</v>
      </c>
      <c r="G308" s="24" t="s">
        <v>216</v>
      </c>
      <c r="H308" s="24" t="s">
        <v>230</v>
      </c>
      <c r="I308" s="71">
        <v>46133.0</v>
      </c>
      <c r="J308" s="66" t="s">
        <v>47</v>
      </c>
      <c r="K308" s="66" t="s">
        <v>48</v>
      </c>
      <c r="L308" s="66" t="s">
        <v>42</v>
      </c>
      <c r="M308" s="66" t="s">
        <v>45</v>
      </c>
      <c r="N308" s="24">
        <v>3.0</v>
      </c>
      <c r="O308" s="72">
        <v>2.0</v>
      </c>
      <c r="P308" s="24">
        <f t="array" ref="P308">if(O308="","", if(O308=9999,9999,ROUNDUP(_xlfn.XLOOKUP(J308&amp;"-"&amp;E308&amp;"-"&amp;K308,SpecCV[ID],SpecCV[factor])*O308,0)))</f>
        <v>2</v>
      </c>
      <c r="Q308" s="24">
        <f t="array" ref="Q308">if(J308="Contact plate", _xlfn.XLOOKUP(J308&amp;"-"&amp;E308&amp;"-"&amp;K308,SpecCV[ID],SpecCV[Spec]),_xlfn.XLOOKUP(J308&amp;"-"&amp;E308&amp;"-"&amp;K308,SpecCV[ID],SpecCV[Spec]))</f>
        <v>100</v>
      </c>
      <c r="R308" s="15" t="str">
        <f t="array" ref="R308">if(J308="Contact plate", _xlfn.XLOOKUP(J308&amp;"-"&amp;E308&amp;"-"&amp;K308,SpecCV[ID],SpecCV[Unit]),_xlfn.XLOOKUP(J308&amp;"-"&amp;E308&amp;"-"&amp;K308,SpecCV[ID],SpecCV[Unit]))</f>
        <v>cfu/ml</v>
      </c>
      <c r="S308" s="24"/>
      <c r="T308" s="67"/>
      <c r="U308" s="67"/>
      <c r="V308" s="68" t="b">
        <v>0</v>
      </c>
      <c r="W308" s="24"/>
      <c r="X308" s="24"/>
    </row>
    <row r="309" ht="22.5" customHeight="1">
      <c r="A309" s="68"/>
      <c r="B309" s="68" t="b">
        <v>0</v>
      </c>
      <c r="C309" s="68">
        <v>10.0</v>
      </c>
      <c r="D309" s="70"/>
      <c r="E309" s="8" t="s">
        <v>28</v>
      </c>
      <c r="F309" s="24" t="s">
        <v>256</v>
      </c>
      <c r="G309" s="15" t="s">
        <v>38</v>
      </c>
      <c r="H309" s="15" t="s">
        <v>138</v>
      </c>
      <c r="I309" s="71">
        <v>46134.0</v>
      </c>
      <c r="J309" s="66" t="s">
        <v>30</v>
      </c>
      <c r="K309" s="66" t="s">
        <v>30</v>
      </c>
      <c r="L309" s="66" t="s">
        <v>42</v>
      </c>
      <c r="M309" s="66" t="s">
        <v>45</v>
      </c>
      <c r="N309" s="24">
        <v>1.0</v>
      </c>
      <c r="O309" s="72">
        <v>85.0</v>
      </c>
      <c r="P309" s="24">
        <f t="array" ref="P309">if(O309="","", if(O309=9999,9999,ROUNDUP(_xlfn.XLOOKUP(J309&amp;"-"&amp;E309&amp;"-"&amp;K309,SpecCV[ID],SpecCV[factor])*O309,0)))</f>
        <v>85</v>
      </c>
      <c r="Q309" s="24">
        <f t="array" ref="Q309">if(J309="Contact plate", _xlfn.XLOOKUP(J309&amp;"-"&amp;E309&amp;"-"&amp;K309,SpecCV[ID],SpecCV[Spec]),_xlfn.XLOOKUP(J309&amp;"-"&amp;E309&amp;"-"&amp;K309,SpecCV[ID],SpecCV[Spec]))</f>
        <v>50</v>
      </c>
      <c r="R309" s="15" t="str">
        <f t="array" ref="R309">if(J309="Contact plate", _xlfn.XLOOKUP(J309&amp;"-"&amp;E309&amp;"-"&amp;K309,SpecCV[ID],SpecCV[Unit]),_xlfn.XLOOKUP(J309&amp;"-"&amp;E309&amp;"-"&amp;K309,SpecCV[ID],SpecCV[Unit]))</f>
        <v>cfu</v>
      </c>
      <c r="S309" s="24"/>
      <c r="T309" s="67"/>
      <c r="U309" s="67"/>
      <c r="V309" s="68" t="b">
        <v>0</v>
      </c>
      <c r="W309" s="24"/>
      <c r="X309" s="24"/>
    </row>
    <row r="310" ht="22.5" customHeight="1">
      <c r="A310" s="68"/>
      <c r="B310" s="68" t="b">
        <v>0</v>
      </c>
      <c r="C310" s="68">
        <v>10.0</v>
      </c>
      <c r="D310" s="70"/>
      <c r="E310" s="8" t="s">
        <v>28</v>
      </c>
      <c r="F310" s="24" t="s">
        <v>256</v>
      </c>
      <c r="G310" s="15" t="s">
        <v>38</v>
      </c>
      <c r="H310" s="15" t="s">
        <v>55</v>
      </c>
      <c r="I310" s="71">
        <v>46134.0</v>
      </c>
      <c r="J310" s="66" t="s">
        <v>30</v>
      </c>
      <c r="K310" s="66" t="s">
        <v>30</v>
      </c>
      <c r="L310" s="66" t="s">
        <v>42</v>
      </c>
      <c r="M310" s="66" t="s">
        <v>45</v>
      </c>
      <c r="N310" s="24">
        <v>1.0</v>
      </c>
      <c r="O310" s="72">
        <v>269.0</v>
      </c>
      <c r="P310" s="24">
        <f t="array" ref="P310">if(O310="","", if(O310=9999,9999,ROUNDUP(_xlfn.XLOOKUP(J310&amp;"-"&amp;E310&amp;"-"&amp;K310,SpecCV[ID],SpecCV[factor])*O310,0)))</f>
        <v>269</v>
      </c>
      <c r="Q310" s="24">
        <f t="array" ref="Q310">if(J310="Contact plate", _xlfn.XLOOKUP(J310&amp;"-"&amp;E310&amp;"-"&amp;K310,SpecCV[ID],SpecCV[Spec]),_xlfn.XLOOKUP(J310&amp;"-"&amp;E310&amp;"-"&amp;K310,SpecCV[ID],SpecCV[Spec]))</f>
        <v>50</v>
      </c>
      <c r="R310" s="15" t="str">
        <f t="array" ref="R310">if(J310="Contact plate", _xlfn.XLOOKUP(J310&amp;"-"&amp;E310&amp;"-"&amp;K310,SpecCV[ID],SpecCV[Unit]),_xlfn.XLOOKUP(J310&amp;"-"&amp;E310&amp;"-"&amp;K310,SpecCV[ID],SpecCV[Unit]))</f>
        <v>cfu</v>
      </c>
      <c r="S310" s="24"/>
      <c r="T310" s="67"/>
      <c r="U310" s="67"/>
      <c r="V310" s="68" t="b">
        <v>0</v>
      </c>
      <c r="W310" s="24"/>
      <c r="X310" s="24"/>
    </row>
    <row r="311" ht="22.5" customHeight="1">
      <c r="A311" s="68"/>
      <c r="B311" s="68" t="b">
        <v>0</v>
      </c>
      <c r="C311" s="68">
        <v>10.0</v>
      </c>
      <c r="D311" s="70"/>
      <c r="E311" s="8" t="s">
        <v>28</v>
      </c>
      <c r="F311" s="24" t="s">
        <v>256</v>
      </c>
      <c r="G311" s="15" t="s">
        <v>38</v>
      </c>
      <c r="H311" s="15" t="s">
        <v>72</v>
      </c>
      <c r="I311" s="71">
        <v>46134.0</v>
      </c>
      <c r="J311" s="66" t="s">
        <v>30</v>
      </c>
      <c r="K311" s="66" t="s">
        <v>30</v>
      </c>
      <c r="L311" s="66" t="s">
        <v>42</v>
      </c>
      <c r="M311" s="66" t="s">
        <v>45</v>
      </c>
      <c r="N311" s="24">
        <v>1.0</v>
      </c>
      <c r="O311" s="72">
        <v>1.0</v>
      </c>
      <c r="P311" s="24">
        <f t="array" ref="P311">if(O311="","", if(O311=9999,9999,ROUNDUP(_xlfn.XLOOKUP(J311&amp;"-"&amp;E311&amp;"-"&amp;K311,SpecCV[ID],SpecCV[factor])*O311,0)))</f>
        <v>1</v>
      </c>
      <c r="Q311" s="24">
        <f t="array" ref="Q311">if(J311="Contact plate", _xlfn.XLOOKUP(J311&amp;"-"&amp;E311&amp;"-"&amp;K311,SpecCV[ID],SpecCV[Spec]),_xlfn.XLOOKUP(J311&amp;"-"&amp;E311&amp;"-"&amp;K311,SpecCV[ID],SpecCV[Spec]))</f>
        <v>50</v>
      </c>
      <c r="R311" s="15" t="str">
        <f t="array" ref="R311">if(J311="Contact plate", _xlfn.XLOOKUP(J311&amp;"-"&amp;E311&amp;"-"&amp;K311,SpecCV[ID],SpecCV[Unit]),_xlfn.XLOOKUP(J311&amp;"-"&amp;E311&amp;"-"&amp;K311,SpecCV[ID],SpecCV[Unit]))</f>
        <v>cfu</v>
      </c>
      <c r="S311" s="24"/>
      <c r="T311" s="67"/>
      <c r="U311" s="67"/>
      <c r="V311" s="68" t="b">
        <v>0</v>
      </c>
      <c r="W311" s="24"/>
      <c r="X311" s="24"/>
    </row>
    <row r="312" ht="22.5" customHeight="1">
      <c r="A312" s="68"/>
      <c r="B312" s="68" t="b">
        <v>0</v>
      </c>
      <c r="C312" s="68">
        <v>10.0</v>
      </c>
      <c r="D312" s="70"/>
      <c r="E312" s="8" t="s">
        <v>28</v>
      </c>
      <c r="F312" s="24" t="s">
        <v>256</v>
      </c>
      <c r="G312" s="15" t="s">
        <v>75</v>
      </c>
      <c r="H312" s="15" t="s">
        <v>146</v>
      </c>
      <c r="I312" s="71">
        <v>46134.0</v>
      </c>
      <c r="J312" s="66" t="s">
        <v>30</v>
      </c>
      <c r="K312" s="66" t="s">
        <v>30</v>
      </c>
      <c r="L312" s="66" t="s">
        <v>42</v>
      </c>
      <c r="M312" s="66" t="s">
        <v>45</v>
      </c>
      <c r="N312" s="24">
        <v>1.0</v>
      </c>
      <c r="O312" s="72">
        <v>1.0</v>
      </c>
      <c r="P312" s="24">
        <f t="array" ref="P312">if(O312="","", if(O312=9999,9999,ROUNDUP(_xlfn.XLOOKUP(J312&amp;"-"&amp;E312&amp;"-"&amp;K312,SpecCV[ID],SpecCV[factor])*O312,0)))</f>
        <v>1</v>
      </c>
      <c r="Q312" s="24">
        <f t="array" ref="Q312">if(J312="Contact plate", _xlfn.XLOOKUP(J312&amp;"-"&amp;E312&amp;"-"&amp;K312,SpecCV[ID],SpecCV[Spec]),_xlfn.XLOOKUP(J312&amp;"-"&amp;E312&amp;"-"&amp;K312,SpecCV[ID],SpecCV[Spec]))</f>
        <v>50</v>
      </c>
      <c r="R312" s="15" t="str">
        <f t="array" ref="R312">if(J312="Contact plate", _xlfn.XLOOKUP(J312&amp;"-"&amp;E312&amp;"-"&amp;K312,SpecCV[ID],SpecCV[Unit]),_xlfn.XLOOKUP(J312&amp;"-"&amp;E312&amp;"-"&amp;K312,SpecCV[ID],SpecCV[Unit]))</f>
        <v>cfu</v>
      </c>
      <c r="S312" s="24"/>
      <c r="T312" s="67"/>
      <c r="U312" s="67"/>
      <c r="V312" s="68" t="b">
        <v>0</v>
      </c>
      <c r="W312" s="24"/>
      <c r="X312" s="24"/>
    </row>
    <row r="313" ht="22.5" customHeight="1">
      <c r="A313" s="68"/>
      <c r="B313" s="68" t="b">
        <v>0</v>
      </c>
      <c r="C313" s="68">
        <v>10.0</v>
      </c>
      <c r="D313" s="70"/>
      <c r="E313" s="8" t="s">
        <v>28</v>
      </c>
      <c r="F313" s="24" t="s">
        <v>256</v>
      </c>
      <c r="G313" s="15" t="s">
        <v>75</v>
      </c>
      <c r="H313" s="15" t="s">
        <v>81</v>
      </c>
      <c r="I313" s="71">
        <v>46134.0</v>
      </c>
      <c r="J313" s="66" t="s">
        <v>30</v>
      </c>
      <c r="K313" s="66" t="s">
        <v>30</v>
      </c>
      <c r="L313" s="66" t="s">
        <v>42</v>
      </c>
      <c r="M313" s="66" t="s">
        <v>45</v>
      </c>
      <c r="N313" s="24">
        <v>1.0</v>
      </c>
      <c r="O313" s="72">
        <v>1.0</v>
      </c>
      <c r="P313" s="24">
        <f t="array" ref="P313">if(O313="","", if(O313=9999,9999,ROUNDUP(_xlfn.XLOOKUP(J313&amp;"-"&amp;E313&amp;"-"&amp;K313,SpecCV[ID],SpecCV[factor])*O313,0)))</f>
        <v>1</v>
      </c>
      <c r="Q313" s="24">
        <f t="array" ref="Q313">if(J313="Contact plate", _xlfn.XLOOKUP(J313&amp;"-"&amp;E313&amp;"-"&amp;K313,SpecCV[ID],SpecCV[Spec]),_xlfn.XLOOKUP(J313&amp;"-"&amp;E313&amp;"-"&amp;K313,SpecCV[ID],SpecCV[Spec]))</f>
        <v>50</v>
      </c>
      <c r="R313" s="15" t="str">
        <f t="array" ref="R313">if(J313="Contact plate", _xlfn.XLOOKUP(J313&amp;"-"&amp;E313&amp;"-"&amp;K313,SpecCV[ID],SpecCV[Unit]),_xlfn.XLOOKUP(J313&amp;"-"&amp;E313&amp;"-"&amp;K313,SpecCV[ID],SpecCV[Unit]))</f>
        <v>cfu</v>
      </c>
      <c r="S313" s="24"/>
      <c r="T313" s="67"/>
      <c r="U313" s="67"/>
      <c r="V313" s="68" t="b">
        <v>0</v>
      </c>
      <c r="W313" s="24"/>
      <c r="X313" s="24"/>
    </row>
    <row r="314" ht="22.5" customHeight="1">
      <c r="A314" s="68"/>
      <c r="B314" s="68" t="b">
        <v>0</v>
      </c>
      <c r="C314" s="68">
        <v>10.0</v>
      </c>
      <c r="D314" s="70"/>
      <c r="E314" s="8" t="s">
        <v>28</v>
      </c>
      <c r="F314" s="24" t="s">
        <v>256</v>
      </c>
      <c r="G314" s="15" t="s">
        <v>86</v>
      </c>
      <c r="H314" s="15" t="s">
        <v>87</v>
      </c>
      <c r="I314" s="71">
        <v>46134.0</v>
      </c>
      <c r="J314" s="66" t="s">
        <v>30</v>
      </c>
      <c r="K314" s="66" t="s">
        <v>30</v>
      </c>
      <c r="L314" s="66" t="s">
        <v>42</v>
      </c>
      <c r="M314" s="66" t="s">
        <v>45</v>
      </c>
      <c r="N314" s="24">
        <v>1.0</v>
      </c>
      <c r="O314" s="72">
        <v>0.0</v>
      </c>
      <c r="P314" s="24">
        <f t="array" ref="P314">if(O314="","", if(O314=9999,9999,ROUNDUP(_xlfn.XLOOKUP(J314&amp;"-"&amp;E314&amp;"-"&amp;K314,SpecCV[ID],SpecCV[factor])*O314,0)))</f>
        <v>0</v>
      </c>
      <c r="Q314" s="24">
        <f t="array" ref="Q314">if(J314="Contact plate", _xlfn.XLOOKUP(J314&amp;"-"&amp;E314&amp;"-"&amp;K314,SpecCV[ID],SpecCV[Spec]),_xlfn.XLOOKUP(J314&amp;"-"&amp;E314&amp;"-"&amp;K314,SpecCV[ID],SpecCV[Spec]))</f>
        <v>50</v>
      </c>
      <c r="R314" s="15" t="str">
        <f t="array" ref="R314">if(J314="Contact plate", _xlfn.XLOOKUP(J314&amp;"-"&amp;E314&amp;"-"&amp;K314,SpecCV[ID],SpecCV[Unit]),_xlfn.XLOOKUP(J314&amp;"-"&amp;E314&amp;"-"&amp;K314,SpecCV[ID],SpecCV[Unit]))</f>
        <v>cfu</v>
      </c>
      <c r="S314" s="24"/>
      <c r="T314" s="67"/>
      <c r="U314" s="67"/>
      <c r="V314" s="68" t="b">
        <v>0</v>
      </c>
      <c r="W314" s="24"/>
      <c r="X314" s="24"/>
    </row>
    <row r="315" ht="22.5" customHeight="1">
      <c r="A315" s="68"/>
      <c r="B315" s="68" t="b">
        <v>0</v>
      </c>
      <c r="C315" s="68">
        <v>10.0</v>
      </c>
      <c r="D315" s="70"/>
      <c r="E315" s="8" t="s">
        <v>28</v>
      </c>
      <c r="F315" s="24" t="s">
        <v>256</v>
      </c>
      <c r="G315" s="15" t="s">
        <v>86</v>
      </c>
      <c r="H315" s="15" t="s">
        <v>90</v>
      </c>
      <c r="I315" s="71">
        <v>46134.0</v>
      </c>
      <c r="J315" s="66" t="s">
        <v>30</v>
      </c>
      <c r="K315" s="66" t="s">
        <v>30</v>
      </c>
      <c r="L315" s="66" t="s">
        <v>42</v>
      </c>
      <c r="M315" s="66" t="s">
        <v>45</v>
      </c>
      <c r="N315" s="24">
        <v>1.0</v>
      </c>
      <c r="O315" s="72">
        <v>0.0</v>
      </c>
      <c r="P315" s="24">
        <f t="array" ref="P315">if(O315="","", if(O315=9999,9999,ROUNDUP(_xlfn.XLOOKUP(J315&amp;"-"&amp;E315&amp;"-"&amp;K315,SpecCV[ID],SpecCV[factor])*O315,0)))</f>
        <v>0</v>
      </c>
      <c r="Q315" s="24">
        <f t="array" ref="Q315">if(J315="Contact plate", _xlfn.XLOOKUP(J315&amp;"-"&amp;E315&amp;"-"&amp;K315,SpecCV[ID],SpecCV[Spec]),_xlfn.XLOOKUP(J315&amp;"-"&amp;E315&amp;"-"&amp;K315,SpecCV[ID],SpecCV[Spec]))</f>
        <v>50</v>
      </c>
      <c r="R315" s="15" t="str">
        <f t="array" ref="R315">if(J315="Contact plate", _xlfn.XLOOKUP(J315&amp;"-"&amp;E315&amp;"-"&amp;K315,SpecCV[ID],SpecCV[Unit]),_xlfn.XLOOKUP(J315&amp;"-"&amp;E315&amp;"-"&amp;K315,SpecCV[ID],SpecCV[Unit]))</f>
        <v>cfu</v>
      </c>
      <c r="S315" s="24"/>
      <c r="T315" s="67"/>
      <c r="U315" s="67"/>
      <c r="V315" s="68" t="b">
        <v>0</v>
      </c>
      <c r="W315" s="24"/>
      <c r="X315" s="24"/>
    </row>
    <row r="316" ht="22.5" customHeight="1">
      <c r="A316" s="68"/>
      <c r="B316" s="68" t="b">
        <v>0</v>
      </c>
      <c r="C316" s="68">
        <v>10.0</v>
      </c>
      <c r="D316" s="70"/>
      <c r="E316" s="8" t="s">
        <v>28</v>
      </c>
      <c r="F316" s="24" t="s">
        <v>256</v>
      </c>
      <c r="G316" s="15" t="s">
        <v>95</v>
      </c>
      <c r="H316" s="15" t="s">
        <v>96</v>
      </c>
      <c r="I316" s="71">
        <v>46134.0</v>
      </c>
      <c r="J316" s="66" t="s">
        <v>30</v>
      </c>
      <c r="K316" s="66" t="s">
        <v>30</v>
      </c>
      <c r="L316" s="66" t="s">
        <v>42</v>
      </c>
      <c r="M316" s="66" t="s">
        <v>45</v>
      </c>
      <c r="N316" s="24">
        <v>1.0</v>
      </c>
      <c r="O316" s="72">
        <v>1.0</v>
      </c>
      <c r="P316" s="24">
        <f t="array" ref="P316">if(O316="","", if(O316=9999,9999,ROUNDUP(_xlfn.XLOOKUP(J316&amp;"-"&amp;E316&amp;"-"&amp;K316,SpecCV[ID],SpecCV[factor])*O316,0)))</f>
        <v>1</v>
      </c>
      <c r="Q316" s="24">
        <f t="array" ref="Q316">if(J316="Contact plate", _xlfn.XLOOKUP(J316&amp;"-"&amp;E316&amp;"-"&amp;K316,SpecCV[ID],SpecCV[Spec]),_xlfn.XLOOKUP(J316&amp;"-"&amp;E316&amp;"-"&amp;K316,SpecCV[ID],SpecCV[Spec]))</f>
        <v>50</v>
      </c>
      <c r="R316" s="15" t="str">
        <f t="array" ref="R316">if(J316="Contact plate", _xlfn.XLOOKUP(J316&amp;"-"&amp;E316&amp;"-"&amp;K316,SpecCV[ID],SpecCV[Unit]),_xlfn.XLOOKUP(J316&amp;"-"&amp;E316&amp;"-"&amp;K316,SpecCV[ID],SpecCV[Unit]))</f>
        <v>cfu</v>
      </c>
      <c r="S316" s="24"/>
      <c r="T316" s="67"/>
      <c r="U316" s="67"/>
      <c r="V316" s="68" t="b">
        <v>0</v>
      </c>
      <c r="W316" s="24"/>
      <c r="X316" s="24"/>
    </row>
    <row r="317" ht="22.5" customHeight="1">
      <c r="A317" s="68"/>
      <c r="B317" s="68" t="b">
        <v>0</v>
      </c>
      <c r="C317" s="68">
        <v>10.0</v>
      </c>
      <c r="D317" s="70"/>
      <c r="E317" s="8" t="s">
        <v>28</v>
      </c>
      <c r="F317" s="24" t="s">
        <v>256</v>
      </c>
      <c r="G317" s="15" t="s">
        <v>95</v>
      </c>
      <c r="H317" s="15" t="s">
        <v>99</v>
      </c>
      <c r="I317" s="71">
        <v>46134.0</v>
      </c>
      <c r="J317" s="66" t="s">
        <v>30</v>
      </c>
      <c r="K317" s="66" t="s">
        <v>30</v>
      </c>
      <c r="L317" s="66" t="s">
        <v>42</v>
      </c>
      <c r="M317" s="66" t="s">
        <v>45</v>
      </c>
      <c r="N317" s="24">
        <v>1.0</v>
      </c>
      <c r="O317" s="72">
        <v>0.0</v>
      </c>
      <c r="P317" s="24">
        <f t="array" ref="P317">if(O317="","", if(O317=9999,9999,ROUNDUP(_xlfn.XLOOKUP(J317&amp;"-"&amp;E317&amp;"-"&amp;K317,SpecCV[ID],SpecCV[factor])*O317,0)))</f>
        <v>0</v>
      </c>
      <c r="Q317" s="24">
        <f t="array" ref="Q317">if(J317="Contact plate", _xlfn.XLOOKUP(J317&amp;"-"&amp;E317&amp;"-"&amp;K317,SpecCV[ID],SpecCV[Spec]),_xlfn.XLOOKUP(J317&amp;"-"&amp;E317&amp;"-"&amp;K317,SpecCV[ID],SpecCV[Spec]))</f>
        <v>50</v>
      </c>
      <c r="R317" s="15" t="str">
        <f t="array" ref="R317">if(J317="Contact plate", _xlfn.XLOOKUP(J317&amp;"-"&amp;E317&amp;"-"&amp;K317,SpecCV[ID],SpecCV[Unit]),_xlfn.XLOOKUP(J317&amp;"-"&amp;E317&amp;"-"&amp;K317,SpecCV[ID],SpecCV[Unit]))</f>
        <v>cfu</v>
      </c>
      <c r="S317" s="24"/>
      <c r="T317" s="67"/>
      <c r="U317" s="67"/>
      <c r="V317" s="68" t="b">
        <v>0</v>
      </c>
      <c r="W317" s="24"/>
      <c r="X317" s="24"/>
    </row>
    <row r="318" ht="22.5" customHeight="1">
      <c r="A318" s="68"/>
      <c r="B318" s="68" t="b">
        <v>0</v>
      </c>
      <c r="C318" s="68">
        <v>16.0</v>
      </c>
      <c r="D318" s="70"/>
      <c r="E318" s="8" t="s">
        <v>28</v>
      </c>
      <c r="F318" s="24" t="s">
        <v>244</v>
      </c>
      <c r="G318" s="24" t="s">
        <v>245</v>
      </c>
      <c r="H318" s="24" t="s">
        <v>246</v>
      </c>
      <c r="I318" s="71">
        <v>46134.0</v>
      </c>
      <c r="J318" s="66" t="s">
        <v>47</v>
      </c>
      <c r="K318" s="66" t="s">
        <v>48</v>
      </c>
      <c r="L318" s="66" t="s">
        <v>42</v>
      </c>
      <c r="M318" s="66" t="s">
        <v>45</v>
      </c>
      <c r="N318" s="24">
        <v>3.0</v>
      </c>
      <c r="O318" s="72">
        <v>38.0</v>
      </c>
      <c r="P318" s="24">
        <f t="array" ref="P318">if(O318="","", if(O318=9999,9999,ROUNDUP(_xlfn.XLOOKUP(J318&amp;"-"&amp;E318&amp;"-"&amp;K318,SpecCV[ID],SpecCV[factor])*O318,0)))</f>
        <v>38</v>
      </c>
      <c r="Q318" s="24">
        <f t="array" ref="Q318">if(J318="Contact plate", _xlfn.XLOOKUP(J318&amp;"-"&amp;E318&amp;"-"&amp;K318,SpecCV[ID],SpecCV[Spec]),_xlfn.XLOOKUP(J318&amp;"-"&amp;E318&amp;"-"&amp;K318,SpecCV[ID],SpecCV[Spec]))</f>
        <v>100</v>
      </c>
      <c r="R318" s="15" t="str">
        <f t="array" ref="R318">if(J318="Contact plate", _xlfn.XLOOKUP(J318&amp;"-"&amp;E318&amp;"-"&amp;K318,SpecCV[ID],SpecCV[Unit]),_xlfn.XLOOKUP(J318&amp;"-"&amp;E318&amp;"-"&amp;K318,SpecCV[ID],SpecCV[Unit]))</f>
        <v>cfu/ml</v>
      </c>
      <c r="S318" s="24"/>
      <c r="T318" s="67"/>
      <c r="U318" s="67"/>
      <c r="V318" s="68" t="b">
        <v>0</v>
      </c>
      <c r="W318" s="24"/>
      <c r="X318" s="24"/>
    </row>
    <row r="319" ht="22.5" customHeight="1">
      <c r="A319" s="68"/>
      <c r="B319" s="68" t="b">
        <v>0</v>
      </c>
      <c r="C319" s="68">
        <v>12.0</v>
      </c>
      <c r="D319" s="70"/>
      <c r="E319" s="8" t="s">
        <v>28</v>
      </c>
      <c r="F319" s="24" t="s">
        <v>247</v>
      </c>
      <c r="G319" s="24" t="s">
        <v>248</v>
      </c>
      <c r="H319" s="24" t="s">
        <v>249</v>
      </c>
      <c r="I319" s="71">
        <v>46134.0</v>
      </c>
      <c r="J319" s="66" t="s">
        <v>47</v>
      </c>
      <c r="K319" s="66" t="s">
        <v>48</v>
      </c>
      <c r="L319" s="66" t="s">
        <v>42</v>
      </c>
      <c r="M319" s="66" t="s">
        <v>281</v>
      </c>
      <c r="N319" s="24"/>
      <c r="O319" s="72">
        <v>248.0</v>
      </c>
      <c r="P319" s="24">
        <f t="array" ref="P319">if(O319="","", if(O319=9999,9999,ROUNDUP(_xlfn.XLOOKUP(J319&amp;"-"&amp;E319&amp;"-"&amp;K319,SpecCV[ID],SpecCV[factor])*O319,0)))</f>
        <v>248</v>
      </c>
      <c r="Q319" s="24">
        <f t="array" ref="Q319">if(J319="Contact plate", _xlfn.XLOOKUP(J319&amp;"-"&amp;E319&amp;"-"&amp;K319,SpecCV[ID],SpecCV[Spec]),_xlfn.XLOOKUP(J319&amp;"-"&amp;E319&amp;"-"&amp;K319,SpecCV[ID],SpecCV[Spec]))</f>
        <v>100</v>
      </c>
      <c r="R319" s="15" t="str">
        <f t="array" ref="R319">if(J319="Contact plate", _xlfn.XLOOKUP(J319&amp;"-"&amp;E319&amp;"-"&amp;K319,SpecCV[ID],SpecCV[Unit]),_xlfn.XLOOKUP(J319&amp;"-"&amp;E319&amp;"-"&amp;K319,SpecCV[ID],SpecCV[Unit]))</f>
        <v>cfu/ml</v>
      </c>
      <c r="S319" s="24"/>
      <c r="T319" s="67"/>
      <c r="U319" s="67"/>
      <c r="V319" s="68" t="b">
        <v>0</v>
      </c>
      <c r="W319" s="24"/>
      <c r="X319" s="24"/>
    </row>
    <row r="320" ht="22.5" customHeight="1">
      <c r="A320" s="68"/>
      <c r="B320" s="68" t="b">
        <v>0</v>
      </c>
      <c r="C320" s="68">
        <v>12.0</v>
      </c>
      <c r="D320" s="70"/>
      <c r="E320" s="8" t="s">
        <v>28</v>
      </c>
      <c r="F320" s="24" t="s">
        <v>247</v>
      </c>
      <c r="G320" s="24" t="s">
        <v>248</v>
      </c>
      <c r="H320" s="24" t="s">
        <v>250</v>
      </c>
      <c r="I320" s="71">
        <v>46134.0</v>
      </c>
      <c r="J320" s="66" t="s">
        <v>47</v>
      </c>
      <c r="K320" s="66" t="s">
        <v>48</v>
      </c>
      <c r="L320" s="66" t="s">
        <v>42</v>
      </c>
      <c r="M320" s="66" t="s">
        <v>281</v>
      </c>
      <c r="N320" s="24"/>
      <c r="O320" s="72">
        <v>432.0</v>
      </c>
      <c r="P320" s="24">
        <f t="array" ref="P320">if(O320="","", if(O320=9999,9999,ROUNDUP(_xlfn.XLOOKUP(J320&amp;"-"&amp;E320&amp;"-"&amp;K320,SpecCV[ID],SpecCV[factor])*O320,0)))</f>
        <v>432</v>
      </c>
      <c r="Q320" s="24">
        <f t="array" ref="Q320">if(J320="Contact plate", _xlfn.XLOOKUP(J320&amp;"-"&amp;E320&amp;"-"&amp;K320,SpecCV[ID],SpecCV[Spec]),_xlfn.XLOOKUP(J320&amp;"-"&amp;E320&amp;"-"&amp;K320,SpecCV[ID],SpecCV[Spec]))</f>
        <v>100</v>
      </c>
      <c r="R320" s="15" t="str">
        <f t="array" ref="R320">if(J320="Contact plate", _xlfn.XLOOKUP(J320&amp;"-"&amp;E320&amp;"-"&amp;K320,SpecCV[ID],SpecCV[Unit]),_xlfn.XLOOKUP(J320&amp;"-"&amp;E320&amp;"-"&amp;K320,SpecCV[ID],SpecCV[Unit]))</f>
        <v>cfu/ml</v>
      </c>
      <c r="S320" s="24"/>
      <c r="T320" s="67"/>
      <c r="U320" s="67"/>
      <c r="V320" s="68" t="b">
        <v>0</v>
      </c>
      <c r="W320" s="24"/>
      <c r="X320" s="24"/>
    </row>
    <row r="321" ht="22.5" customHeight="1">
      <c r="A321" s="68"/>
      <c r="B321" s="68" t="b">
        <v>0</v>
      </c>
      <c r="C321" s="68">
        <v>12.0</v>
      </c>
      <c r="D321" s="70"/>
      <c r="E321" s="8" t="s">
        <v>28</v>
      </c>
      <c r="F321" s="24" t="s">
        <v>247</v>
      </c>
      <c r="G321" s="24" t="s">
        <v>248</v>
      </c>
      <c r="H321" s="24" t="s">
        <v>251</v>
      </c>
      <c r="I321" s="71">
        <v>46134.0</v>
      </c>
      <c r="J321" s="66" t="s">
        <v>47</v>
      </c>
      <c r="K321" s="66" t="s">
        <v>48</v>
      </c>
      <c r="L321" s="66" t="s">
        <v>42</v>
      </c>
      <c r="M321" s="66" t="s">
        <v>281</v>
      </c>
      <c r="N321" s="24"/>
      <c r="O321" s="72">
        <v>202.0</v>
      </c>
      <c r="P321" s="24">
        <f t="array" ref="P321">if(O321="","", if(O321=9999,9999,ROUNDUP(_xlfn.XLOOKUP(J321&amp;"-"&amp;E321&amp;"-"&amp;K321,SpecCV[ID],SpecCV[factor])*O321,0)))</f>
        <v>202</v>
      </c>
      <c r="Q321" s="24">
        <f t="array" ref="Q321">if(J321="Contact plate", _xlfn.XLOOKUP(J321&amp;"-"&amp;E321&amp;"-"&amp;K321,SpecCV[ID],SpecCV[Spec]),_xlfn.XLOOKUP(J321&amp;"-"&amp;E321&amp;"-"&amp;K321,SpecCV[ID],SpecCV[Spec]))</f>
        <v>100</v>
      </c>
      <c r="R321" s="15" t="str">
        <f t="array" ref="R321">if(J321="Contact plate", _xlfn.XLOOKUP(J321&amp;"-"&amp;E321&amp;"-"&amp;K321,SpecCV[ID],SpecCV[Unit]),_xlfn.XLOOKUP(J321&amp;"-"&amp;E321&amp;"-"&amp;K321,SpecCV[ID],SpecCV[Unit]))</f>
        <v>cfu/ml</v>
      </c>
      <c r="S321" s="24"/>
      <c r="T321" s="67"/>
      <c r="U321" s="67"/>
      <c r="V321" s="68" t="b">
        <v>0</v>
      </c>
      <c r="W321" s="24"/>
      <c r="X321" s="24"/>
    </row>
    <row r="322" ht="22.5" customHeight="1">
      <c r="A322" s="68"/>
      <c r="B322" s="68" t="b">
        <v>0</v>
      </c>
      <c r="C322" s="68">
        <v>12.0</v>
      </c>
      <c r="D322" s="70"/>
      <c r="E322" s="8" t="s">
        <v>28</v>
      </c>
      <c r="F322" s="24" t="s">
        <v>247</v>
      </c>
      <c r="G322" s="24" t="s">
        <v>248</v>
      </c>
      <c r="H322" s="24" t="s">
        <v>252</v>
      </c>
      <c r="I322" s="71">
        <v>46134.0</v>
      </c>
      <c r="J322" s="66" t="s">
        <v>47</v>
      </c>
      <c r="K322" s="66" t="s">
        <v>48</v>
      </c>
      <c r="L322" s="66" t="s">
        <v>42</v>
      </c>
      <c r="M322" s="66" t="s">
        <v>281</v>
      </c>
      <c r="N322" s="24"/>
      <c r="O322" s="72">
        <v>383.0</v>
      </c>
      <c r="P322" s="24">
        <f t="array" ref="P322">if(O322="","", if(O322=9999,9999,ROUNDUP(_xlfn.XLOOKUP(J322&amp;"-"&amp;E322&amp;"-"&amp;K322,SpecCV[ID],SpecCV[factor])*O322,0)))</f>
        <v>383</v>
      </c>
      <c r="Q322" s="24">
        <f t="array" ref="Q322">if(J322="Contact plate", _xlfn.XLOOKUP(J322&amp;"-"&amp;E322&amp;"-"&amp;K322,SpecCV[ID],SpecCV[Spec]),_xlfn.XLOOKUP(J322&amp;"-"&amp;E322&amp;"-"&amp;K322,SpecCV[ID],SpecCV[Spec]))</f>
        <v>100</v>
      </c>
      <c r="R322" s="15" t="str">
        <f t="array" ref="R322">if(J322="Contact plate", _xlfn.XLOOKUP(J322&amp;"-"&amp;E322&amp;"-"&amp;K322,SpecCV[ID],SpecCV[Unit]),_xlfn.XLOOKUP(J322&amp;"-"&amp;E322&amp;"-"&amp;K322,SpecCV[ID],SpecCV[Unit]))</f>
        <v>cfu/ml</v>
      </c>
      <c r="S322" s="24"/>
      <c r="T322" s="67"/>
      <c r="U322" s="67"/>
      <c r="V322" s="68" t="b">
        <v>0</v>
      </c>
      <c r="W322" s="24"/>
      <c r="X322" s="24"/>
    </row>
    <row r="323" ht="22.5" customHeight="1">
      <c r="A323" s="68"/>
      <c r="B323" s="68" t="b">
        <v>0</v>
      </c>
      <c r="C323" s="68">
        <v>12.0</v>
      </c>
      <c r="D323" s="70"/>
      <c r="E323" s="8" t="s">
        <v>28</v>
      </c>
      <c r="F323" s="24" t="s">
        <v>247</v>
      </c>
      <c r="G323" s="24" t="s">
        <v>248</v>
      </c>
      <c r="H323" s="24" t="s">
        <v>296</v>
      </c>
      <c r="I323" s="71">
        <v>46134.0</v>
      </c>
      <c r="J323" s="66" t="s">
        <v>47</v>
      </c>
      <c r="K323" s="66" t="s">
        <v>48</v>
      </c>
      <c r="L323" s="66" t="s">
        <v>42</v>
      </c>
      <c r="M323" s="66" t="s">
        <v>281</v>
      </c>
      <c r="N323" s="24"/>
      <c r="O323" s="72">
        <v>0.0</v>
      </c>
      <c r="P323" s="24">
        <f t="array" ref="P323">if(O323="","", if(O323=9999,9999,ROUNDUP(_xlfn.XLOOKUP(J323&amp;"-"&amp;E323&amp;"-"&amp;K323,SpecCV[ID],SpecCV[factor])*O323,0)))</f>
        <v>0</v>
      </c>
      <c r="Q323" s="24">
        <f t="array" ref="Q323">if(J323="Contact plate", _xlfn.XLOOKUP(J323&amp;"-"&amp;E323&amp;"-"&amp;K323,SpecCV[ID],SpecCV[Spec]),_xlfn.XLOOKUP(J323&amp;"-"&amp;E323&amp;"-"&amp;K323,SpecCV[ID],SpecCV[Spec]))</f>
        <v>100</v>
      </c>
      <c r="R323" s="15" t="str">
        <f t="array" ref="R323">if(J323="Contact plate", _xlfn.XLOOKUP(J323&amp;"-"&amp;E323&amp;"-"&amp;K323,SpecCV[ID],SpecCV[Unit]),_xlfn.XLOOKUP(J323&amp;"-"&amp;E323&amp;"-"&amp;K323,SpecCV[ID],SpecCV[Unit]))</f>
        <v>cfu/ml</v>
      </c>
      <c r="S323" s="24"/>
      <c r="T323" s="67"/>
      <c r="U323" s="67"/>
      <c r="V323" s="68" t="b">
        <v>0</v>
      </c>
      <c r="W323" s="24"/>
      <c r="X323" s="24"/>
    </row>
    <row r="324" ht="22.5" customHeight="1">
      <c r="A324" s="68"/>
      <c r="B324" s="68" t="b">
        <v>0</v>
      </c>
      <c r="C324" s="68">
        <v>12.0</v>
      </c>
      <c r="D324" s="70"/>
      <c r="E324" s="68" t="s">
        <v>28</v>
      </c>
      <c r="F324" s="24" t="s">
        <v>247</v>
      </c>
      <c r="G324" s="24" t="s">
        <v>253</v>
      </c>
      <c r="H324" s="24" t="s">
        <v>253</v>
      </c>
      <c r="I324" s="71">
        <v>46136.0</v>
      </c>
      <c r="J324" s="66" t="s">
        <v>47</v>
      </c>
      <c r="K324" s="66" t="s">
        <v>48</v>
      </c>
      <c r="L324" s="66" t="s">
        <v>42</v>
      </c>
      <c r="M324" s="66" t="s">
        <v>281</v>
      </c>
      <c r="N324" s="24"/>
      <c r="O324" s="72">
        <v>0.0</v>
      </c>
      <c r="P324" s="24">
        <f t="array" ref="P324">if(O324="","", if(O324=9999,9999,ROUNDUP(_xlfn.XLOOKUP(J324&amp;"-"&amp;E324&amp;"-"&amp;K324,SpecCV[ID],SpecCV[factor])*O324,0)))</f>
        <v>0</v>
      </c>
      <c r="Q324" s="24">
        <f t="array" ref="Q324">if(J324="Contact plate", _xlfn.XLOOKUP(J324&amp;"-"&amp;E324&amp;"-"&amp;K324,SpecCV[ID],SpecCV[Spec]),_xlfn.XLOOKUP(J324&amp;"-"&amp;E324&amp;"-"&amp;K324,SpecCV[ID],SpecCV[Spec]))</f>
        <v>100</v>
      </c>
      <c r="R324" s="15" t="str">
        <f t="array" ref="R324">if(J324="Contact plate", _xlfn.XLOOKUP(J324&amp;"-"&amp;E324&amp;"-"&amp;K324,SpecCV[ID],SpecCV[Unit]),_xlfn.XLOOKUP(J324&amp;"-"&amp;E324&amp;"-"&amp;K324,SpecCV[ID],SpecCV[Unit]))</f>
        <v>cfu/ml</v>
      </c>
      <c r="S324" s="24"/>
      <c r="T324" s="67"/>
      <c r="U324" s="67"/>
      <c r="V324" s="68" t="b">
        <v>0</v>
      </c>
      <c r="W324" s="24"/>
      <c r="X324" s="24"/>
    </row>
    <row r="325" ht="22.5" customHeight="1">
      <c r="A325" s="68"/>
      <c r="B325" s="68" t="b">
        <v>0</v>
      </c>
      <c r="C325" s="68">
        <v>12.0</v>
      </c>
      <c r="D325" s="70"/>
      <c r="E325" s="68" t="s">
        <v>28</v>
      </c>
      <c r="F325" s="24" t="s">
        <v>247</v>
      </c>
      <c r="G325" s="24" t="s">
        <v>248</v>
      </c>
      <c r="H325" s="24" t="s">
        <v>249</v>
      </c>
      <c r="I325" s="71">
        <v>46136.0</v>
      </c>
      <c r="J325" s="66" t="s">
        <v>47</v>
      </c>
      <c r="K325" s="66" t="s">
        <v>48</v>
      </c>
      <c r="L325" s="66" t="s">
        <v>42</v>
      </c>
      <c r="M325" s="66" t="s">
        <v>281</v>
      </c>
      <c r="N325" s="24"/>
      <c r="O325" s="72">
        <v>0.0</v>
      </c>
      <c r="P325" s="24">
        <f t="array" ref="P325">if(O325="","", if(O325=9999,9999,ROUNDUP(_xlfn.XLOOKUP(J325&amp;"-"&amp;E325&amp;"-"&amp;K325,SpecCV[ID],SpecCV[factor])*O325,0)))</f>
        <v>0</v>
      </c>
      <c r="Q325" s="24">
        <f t="array" ref="Q325">if(J325="Contact plate", _xlfn.XLOOKUP(J325&amp;"-"&amp;E325&amp;"-"&amp;K325,SpecCV[ID],SpecCV[Spec]),_xlfn.XLOOKUP(J325&amp;"-"&amp;E325&amp;"-"&amp;K325,SpecCV[ID],SpecCV[Spec]))</f>
        <v>100</v>
      </c>
      <c r="R325" s="15" t="str">
        <f t="array" ref="R325">if(J325="Contact plate", _xlfn.XLOOKUP(J325&amp;"-"&amp;E325&amp;"-"&amp;K325,SpecCV[ID],SpecCV[Unit]),_xlfn.XLOOKUP(J325&amp;"-"&amp;E325&amp;"-"&amp;K325,SpecCV[ID],SpecCV[Unit]))</f>
        <v>cfu/ml</v>
      </c>
      <c r="S325" s="24"/>
      <c r="T325" s="67"/>
      <c r="U325" s="67"/>
      <c r="V325" s="68" t="b">
        <v>0</v>
      </c>
      <c r="W325" s="24"/>
      <c r="X325" s="24"/>
    </row>
    <row r="326" ht="22.5" customHeight="1">
      <c r="A326" s="68"/>
      <c r="B326" s="68" t="b">
        <v>0</v>
      </c>
      <c r="C326" s="68">
        <v>12.0</v>
      </c>
      <c r="D326" s="70"/>
      <c r="E326" s="68" t="s">
        <v>28</v>
      </c>
      <c r="F326" s="24" t="s">
        <v>247</v>
      </c>
      <c r="G326" s="24" t="s">
        <v>248</v>
      </c>
      <c r="H326" s="24" t="s">
        <v>250</v>
      </c>
      <c r="I326" s="71">
        <v>46136.0</v>
      </c>
      <c r="J326" s="66" t="s">
        <v>47</v>
      </c>
      <c r="K326" s="66" t="s">
        <v>48</v>
      </c>
      <c r="L326" s="66" t="s">
        <v>42</v>
      </c>
      <c r="M326" s="66" t="s">
        <v>281</v>
      </c>
      <c r="N326" s="24"/>
      <c r="O326" s="72">
        <v>0.0</v>
      </c>
      <c r="P326" s="24">
        <f t="array" ref="P326">if(O326="","", if(O326=9999,9999,ROUNDUP(_xlfn.XLOOKUP(J326&amp;"-"&amp;E326&amp;"-"&amp;K326,SpecCV[ID],SpecCV[factor])*O326,0)))</f>
        <v>0</v>
      </c>
      <c r="Q326" s="24">
        <f t="array" ref="Q326">if(J326="Contact plate", _xlfn.XLOOKUP(J326&amp;"-"&amp;E326&amp;"-"&amp;K326,SpecCV[ID],SpecCV[Spec]),_xlfn.XLOOKUP(J326&amp;"-"&amp;E326&amp;"-"&amp;K326,SpecCV[ID],SpecCV[Spec]))</f>
        <v>100</v>
      </c>
      <c r="R326" s="15" t="str">
        <f t="array" ref="R326">if(J326="Contact plate", _xlfn.XLOOKUP(J326&amp;"-"&amp;E326&amp;"-"&amp;K326,SpecCV[ID],SpecCV[Unit]),_xlfn.XLOOKUP(J326&amp;"-"&amp;E326&amp;"-"&amp;K326,SpecCV[ID],SpecCV[Unit]))</f>
        <v>cfu/ml</v>
      </c>
      <c r="S326" s="24"/>
      <c r="T326" s="67"/>
      <c r="U326" s="67"/>
      <c r="V326" s="68" t="b">
        <v>0</v>
      </c>
      <c r="W326" s="24"/>
      <c r="X326" s="24"/>
    </row>
    <row r="327" ht="22.5" customHeight="1">
      <c r="A327" s="68"/>
      <c r="B327" s="68" t="b">
        <v>0</v>
      </c>
      <c r="C327" s="68">
        <v>12.0</v>
      </c>
      <c r="D327" s="70"/>
      <c r="E327" s="68" t="s">
        <v>28</v>
      </c>
      <c r="F327" s="24" t="s">
        <v>247</v>
      </c>
      <c r="G327" s="24" t="s">
        <v>248</v>
      </c>
      <c r="H327" s="24" t="s">
        <v>251</v>
      </c>
      <c r="I327" s="71">
        <v>46136.0</v>
      </c>
      <c r="J327" s="66" t="s">
        <v>47</v>
      </c>
      <c r="K327" s="66" t="s">
        <v>48</v>
      </c>
      <c r="L327" s="66" t="s">
        <v>42</v>
      </c>
      <c r="M327" s="66" t="s">
        <v>281</v>
      </c>
      <c r="N327" s="24"/>
      <c r="O327" s="72">
        <v>0.0</v>
      </c>
      <c r="P327" s="24">
        <f t="array" ref="P327">if(O327="","", if(O327=9999,9999,ROUNDUP(_xlfn.XLOOKUP(J327&amp;"-"&amp;E327&amp;"-"&amp;K327,SpecCV[ID],SpecCV[factor])*O327,0)))</f>
        <v>0</v>
      </c>
      <c r="Q327" s="24">
        <f t="array" ref="Q327">if(J327="Contact plate", _xlfn.XLOOKUP(J327&amp;"-"&amp;E327&amp;"-"&amp;K327,SpecCV[ID],SpecCV[Spec]),_xlfn.XLOOKUP(J327&amp;"-"&amp;E327&amp;"-"&amp;K327,SpecCV[ID],SpecCV[Spec]))</f>
        <v>100</v>
      </c>
      <c r="R327" s="15" t="str">
        <f t="array" ref="R327">if(J327="Contact plate", _xlfn.XLOOKUP(J327&amp;"-"&amp;E327&amp;"-"&amp;K327,SpecCV[ID],SpecCV[Unit]),_xlfn.XLOOKUP(J327&amp;"-"&amp;E327&amp;"-"&amp;K327,SpecCV[ID],SpecCV[Unit]))</f>
        <v>cfu/ml</v>
      </c>
      <c r="S327" s="24"/>
      <c r="T327" s="67"/>
      <c r="U327" s="67"/>
      <c r="V327" s="68" t="b">
        <v>0</v>
      </c>
      <c r="W327" s="24"/>
      <c r="X327" s="24"/>
    </row>
    <row r="328" ht="22.5" customHeight="1">
      <c r="A328" s="68"/>
      <c r="B328" s="68" t="b">
        <v>0</v>
      </c>
      <c r="C328" s="68">
        <v>12.0</v>
      </c>
      <c r="D328" s="70"/>
      <c r="E328" s="68" t="s">
        <v>28</v>
      </c>
      <c r="F328" s="24" t="s">
        <v>247</v>
      </c>
      <c r="G328" s="24" t="s">
        <v>248</v>
      </c>
      <c r="H328" s="24" t="s">
        <v>252</v>
      </c>
      <c r="I328" s="71">
        <v>46136.0</v>
      </c>
      <c r="J328" s="66" t="s">
        <v>47</v>
      </c>
      <c r="K328" s="66" t="s">
        <v>48</v>
      </c>
      <c r="L328" s="66" t="s">
        <v>42</v>
      </c>
      <c r="M328" s="66" t="s">
        <v>281</v>
      </c>
      <c r="N328" s="24"/>
      <c r="O328" s="72">
        <v>0.0</v>
      </c>
      <c r="P328" s="24">
        <f t="array" ref="P328">if(O328="","", if(O328=9999,9999,ROUNDUP(_xlfn.XLOOKUP(J328&amp;"-"&amp;E328&amp;"-"&amp;K328,SpecCV[ID],SpecCV[factor])*O328,0)))</f>
        <v>0</v>
      </c>
      <c r="Q328" s="24">
        <f t="array" ref="Q328">if(J328="Contact plate", _xlfn.XLOOKUP(J328&amp;"-"&amp;E328&amp;"-"&amp;K328,SpecCV[ID],SpecCV[Spec]),_xlfn.XLOOKUP(J328&amp;"-"&amp;E328&amp;"-"&amp;K328,SpecCV[ID],SpecCV[Spec]))</f>
        <v>100</v>
      </c>
      <c r="R328" s="15" t="str">
        <f t="array" ref="R328">if(J328="Contact plate", _xlfn.XLOOKUP(J328&amp;"-"&amp;E328&amp;"-"&amp;K328,SpecCV[ID],SpecCV[Unit]),_xlfn.XLOOKUP(J328&amp;"-"&amp;E328&amp;"-"&amp;K328,SpecCV[ID],SpecCV[Unit]))</f>
        <v>cfu/ml</v>
      </c>
      <c r="S328" s="24"/>
      <c r="T328" s="67"/>
      <c r="U328" s="67"/>
      <c r="V328" s="68" t="b">
        <v>0</v>
      </c>
      <c r="W328" s="24"/>
      <c r="X328" s="24"/>
    </row>
    <row r="329" ht="22.5" customHeight="1">
      <c r="A329" s="68"/>
      <c r="B329" s="68" t="b">
        <v>0</v>
      </c>
      <c r="C329" s="68">
        <v>12.0</v>
      </c>
      <c r="D329" s="70"/>
      <c r="E329" s="68" t="s">
        <v>28</v>
      </c>
      <c r="F329" s="24" t="s">
        <v>247</v>
      </c>
      <c r="G329" s="24" t="s">
        <v>248</v>
      </c>
      <c r="H329" s="24" t="s">
        <v>249</v>
      </c>
      <c r="I329" s="71">
        <v>46140.0</v>
      </c>
      <c r="J329" s="66" t="s">
        <v>47</v>
      </c>
      <c r="K329" s="66" t="s">
        <v>48</v>
      </c>
      <c r="L329" s="66" t="s">
        <v>220</v>
      </c>
      <c r="M329" s="66" t="s">
        <v>281</v>
      </c>
      <c r="N329" s="24"/>
      <c r="O329" s="72">
        <v>29.0</v>
      </c>
      <c r="P329" s="24">
        <f t="array" ref="P329">if(O329="","", if(O329=9999,9999,ROUNDUP(_xlfn.XLOOKUP(J329&amp;"-"&amp;E329&amp;"-"&amp;K329,SpecCV[ID],SpecCV[factor])*O329,0)))</f>
        <v>29</v>
      </c>
      <c r="Q329" s="24">
        <f t="array" ref="Q329">if(J329="Contact plate", _xlfn.XLOOKUP(J329&amp;"-"&amp;E329&amp;"-"&amp;K329,SpecCV[ID],SpecCV[Spec]),_xlfn.XLOOKUP(J329&amp;"-"&amp;E329&amp;"-"&amp;K329,SpecCV[ID],SpecCV[Spec]))</f>
        <v>100</v>
      </c>
      <c r="R329" s="15" t="str">
        <f t="array" ref="R329">if(J329="Contact plate", _xlfn.XLOOKUP(J329&amp;"-"&amp;E329&amp;"-"&amp;K329,SpecCV[ID],SpecCV[Unit]),_xlfn.XLOOKUP(J329&amp;"-"&amp;E329&amp;"-"&amp;K329,SpecCV[ID],SpecCV[Unit]))</f>
        <v>cfu/ml</v>
      </c>
      <c r="S329" s="24"/>
      <c r="T329" s="67"/>
      <c r="U329" s="67"/>
      <c r="V329" s="68" t="b">
        <v>0</v>
      </c>
      <c r="W329" s="24"/>
      <c r="X329" s="24"/>
    </row>
    <row r="330" ht="22.5" customHeight="1">
      <c r="A330" s="68"/>
      <c r="B330" s="68" t="b">
        <v>0</v>
      </c>
      <c r="C330" s="68">
        <v>12.0</v>
      </c>
      <c r="D330" s="70"/>
      <c r="E330" s="68" t="s">
        <v>28</v>
      </c>
      <c r="F330" s="24" t="s">
        <v>247</v>
      </c>
      <c r="G330" s="24" t="s">
        <v>248</v>
      </c>
      <c r="H330" s="24" t="s">
        <v>250</v>
      </c>
      <c r="I330" s="71">
        <v>46140.0</v>
      </c>
      <c r="J330" s="66" t="s">
        <v>47</v>
      </c>
      <c r="K330" s="66" t="s">
        <v>48</v>
      </c>
      <c r="L330" s="66" t="s">
        <v>220</v>
      </c>
      <c r="M330" s="66" t="s">
        <v>281</v>
      </c>
      <c r="N330" s="24"/>
      <c r="O330" s="72">
        <v>26.0</v>
      </c>
      <c r="P330" s="24">
        <f t="array" ref="P330">if(O330="","", if(O330=9999,9999,ROUNDUP(_xlfn.XLOOKUP(J330&amp;"-"&amp;E330&amp;"-"&amp;K330,SpecCV[ID],SpecCV[factor])*O330,0)))</f>
        <v>26</v>
      </c>
      <c r="Q330" s="24">
        <f t="array" ref="Q330">if(J330="Contact plate", _xlfn.XLOOKUP(J330&amp;"-"&amp;E330&amp;"-"&amp;K330,SpecCV[ID],SpecCV[Spec]),_xlfn.XLOOKUP(J330&amp;"-"&amp;E330&amp;"-"&amp;K330,SpecCV[ID],SpecCV[Spec]))</f>
        <v>100</v>
      </c>
      <c r="R330" s="15" t="str">
        <f t="array" ref="R330">if(J330="Contact plate", _xlfn.XLOOKUP(J330&amp;"-"&amp;E330&amp;"-"&amp;K330,SpecCV[ID],SpecCV[Unit]),_xlfn.XLOOKUP(J330&amp;"-"&amp;E330&amp;"-"&amp;K330,SpecCV[ID],SpecCV[Unit]))</f>
        <v>cfu/ml</v>
      </c>
      <c r="S330" s="24"/>
      <c r="T330" s="67"/>
      <c r="U330" s="67"/>
      <c r="V330" s="68" t="b">
        <v>0</v>
      </c>
      <c r="W330" s="24"/>
      <c r="X330" s="24"/>
    </row>
    <row r="331" ht="22.5" customHeight="1">
      <c r="A331" s="68"/>
      <c r="B331" s="68" t="b">
        <v>0</v>
      </c>
      <c r="C331" s="68">
        <v>12.0</v>
      </c>
      <c r="D331" s="70"/>
      <c r="E331" s="68" t="s">
        <v>28</v>
      </c>
      <c r="F331" s="24" t="s">
        <v>247</v>
      </c>
      <c r="G331" s="24" t="s">
        <v>248</v>
      </c>
      <c r="H331" s="24" t="s">
        <v>251</v>
      </c>
      <c r="I331" s="71">
        <v>46140.0</v>
      </c>
      <c r="J331" s="66" t="s">
        <v>47</v>
      </c>
      <c r="K331" s="66" t="s">
        <v>48</v>
      </c>
      <c r="L331" s="66" t="s">
        <v>220</v>
      </c>
      <c r="M331" s="66" t="s">
        <v>281</v>
      </c>
      <c r="N331" s="24"/>
      <c r="O331" s="72">
        <v>11.0</v>
      </c>
      <c r="P331" s="24">
        <f t="array" ref="P331">if(O331="","", if(O331=9999,9999,ROUNDUP(_xlfn.XLOOKUP(J331&amp;"-"&amp;E331&amp;"-"&amp;K331,SpecCV[ID],SpecCV[factor])*O331,0)))</f>
        <v>11</v>
      </c>
      <c r="Q331" s="24">
        <f t="array" ref="Q331">if(J331="Contact plate", _xlfn.XLOOKUP(J331&amp;"-"&amp;E331&amp;"-"&amp;K331,SpecCV[ID],SpecCV[Spec]),_xlfn.XLOOKUP(J331&amp;"-"&amp;E331&amp;"-"&amp;K331,SpecCV[ID],SpecCV[Spec]))</f>
        <v>100</v>
      </c>
      <c r="R331" s="15" t="str">
        <f t="array" ref="R331">if(J331="Contact plate", _xlfn.XLOOKUP(J331&amp;"-"&amp;E331&amp;"-"&amp;K331,SpecCV[ID],SpecCV[Unit]),_xlfn.XLOOKUP(J331&amp;"-"&amp;E331&amp;"-"&amp;K331,SpecCV[ID],SpecCV[Unit]))</f>
        <v>cfu/ml</v>
      </c>
      <c r="S331" s="24"/>
      <c r="T331" s="67"/>
      <c r="U331" s="67"/>
      <c r="V331" s="68" t="b">
        <v>0</v>
      </c>
      <c r="W331" s="24"/>
      <c r="X331" s="24"/>
    </row>
    <row r="332" ht="22.5" customHeight="1">
      <c r="A332" s="68"/>
      <c r="B332" s="68" t="b">
        <v>0</v>
      </c>
      <c r="C332" s="68">
        <v>12.0</v>
      </c>
      <c r="D332" s="70"/>
      <c r="E332" s="68" t="s">
        <v>28</v>
      </c>
      <c r="F332" s="24" t="s">
        <v>247</v>
      </c>
      <c r="G332" s="24" t="s">
        <v>248</v>
      </c>
      <c r="H332" s="24" t="s">
        <v>252</v>
      </c>
      <c r="I332" s="71">
        <v>46140.0</v>
      </c>
      <c r="J332" s="66" t="s">
        <v>47</v>
      </c>
      <c r="K332" s="66" t="s">
        <v>48</v>
      </c>
      <c r="L332" s="66" t="s">
        <v>220</v>
      </c>
      <c r="M332" s="66" t="s">
        <v>281</v>
      </c>
      <c r="N332" s="24"/>
      <c r="O332" s="72">
        <v>8.0</v>
      </c>
      <c r="P332" s="24">
        <f t="array" ref="P332">if(O332="","", if(O332=9999,9999,ROUNDUP(_xlfn.XLOOKUP(J332&amp;"-"&amp;E332&amp;"-"&amp;K332,SpecCV[ID],SpecCV[factor])*O332,0)))</f>
        <v>8</v>
      </c>
      <c r="Q332" s="24">
        <f t="array" ref="Q332">if(J332="Contact plate", _xlfn.XLOOKUP(J332&amp;"-"&amp;E332&amp;"-"&amp;K332,SpecCV[ID],SpecCV[Spec]),_xlfn.XLOOKUP(J332&amp;"-"&amp;E332&amp;"-"&amp;K332,SpecCV[ID],SpecCV[Spec]))</f>
        <v>100</v>
      </c>
      <c r="R332" s="15" t="str">
        <f t="array" ref="R332">if(J332="Contact plate", _xlfn.XLOOKUP(J332&amp;"-"&amp;E332&amp;"-"&amp;K332,SpecCV[ID],SpecCV[Unit]),_xlfn.XLOOKUP(J332&amp;"-"&amp;E332&amp;"-"&amp;K332,SpecCV[ID],SpecCV[Unit]))</f>
        <v>cfu/ml</v>
      </c>
      <c r="S332" s="24"/>
      <c r="T332" s="67"/>
      <c r="U332" s="67"/>
      <c r="V332" s="68" t="b">
        <v>0</v>
      </c>
      <c r="W332" s="24"/>
      <c r="X332" s="24"/>
    </row>
    <row r="333" ht="22.5" customHeight="1">
      <c r="A333" s="68"/>
      <c r="B333" s="68" t="b">
        <v>0</v>
      </c>
      <c r="C333" s="68">
        <v>10.0</v>
      </c>
      <c r="D333" s="70"/>
      <c r="E333" s="8" t="s">
        <v>28</v>
      </c>
      <c r="F333" s="24" t="s">
        <v>256</v>
      </c>
      <c r="G333" s="15" t="s">
        <v>38</v>
      </c>
      <c r="H333" s="15" t="s">
        <v>138</v>
      </c>
      <c r="I333" s="71">
        <v>46147.0</v>
      </c>
      <c r="J333" s="66" t="s">
        <v>30</v>
      </c>
      <c r="K333" s="66" t="s">
        <v>30</v>
      </c>
      <c r="L333" s="66" t="s">
        <v>42</v>
      </c>
      <c r="M333" s="66" t="s">
        <v>281</v>
      </c>
      <c r="N333" s="24"/>
      <c r="O333" s="72">
        <v>0.0</v>
      </c>
      <c r="P333" s="24">
        <f t="array" ref="P333">if(O333="","", if(O333=9999,9999,ROUNDUP(_xlfn.XLOOKUP(J333&amp;"-"&amp;E333&amp;"-"&amp;K333,SpecCV[ID],SpecCV[factor])*O333,0)))</f>
        <v>0</v>
      </c>
      <c r="Q333" s="24">
        <f t="array" ref="Q333">if(J333="Contact plate", _xlfn.XLOOKUP(J333&amp;"-"&amp;E333&amp;"-"&amp;K333,SpecCV[ID],SpecCV[Spec]),_xlfn.XLOOKUP(J333&amp;"-"&amp;E333&amp;"-"&amp;K333,SpecCV[ID],SpecCV[Spec]))</f>
        <v>50</v>
      </c>
      <c r="R333" s="15" t="str">
        <f t="array" ref="R333">if(J333="Contact plate", _xlfn.XLOOKUP(J333&amp;"-"&amp;E333&amp;"-"&amp;K333,SpecCV[ID],SpecCV[Unit]),_xlfn.XLOOKUP(J333&amp;"-"&amp;E333&amp;"-"&amp;K333,SpecCV[ID],SpecCV[Unit]))</f>
        <v>cfu</v>
      </c>
      <c r="S333" s="24"/>
      <c r="T333" s="67"/>
      <c r="U333" s="67"/>
      <c r="V333" s="68" t="b">
        <v>0</v>
      </c>
      <c r="W333" s="24"/>
      <c r="X333" s="24"/>
    </row>
    <row r="334" ht="22.5" customHeight="1">
      <c r="A334" s="68"/>
      <c r="B334" s="68" t="b">
        <v>0</v>
      </c>
      <c r="C334" s="68">
        <v>10.0</v>
      </c>
      <c r="D334" s="70"/>
      <c r="E334" s="8" t="s">
        <v>28</v>
      </c>
      <c r="F334" s="24" t="s">
        <v>256</v>
      </c>
      <c r="G334" s="15" t="s">
        <v>38</v>
      </c>
      <c r="H334" s="15" t="s">
        <v>55</v>
      </c>
      <c r="I334" s="71">
        <v>46147.0</v>
      </c>
      <c r="J334" s="66" t="s">
        <v>30</v>
      </c>
      <c r="K334" s="66" t="s">
        <v>30</v>
      </c>
      <c r="L334" s="66" t="s">
        <v>42</v>
      </c>
      <c r="M334" s="66" t="s">
        <v>281</v>
      </c>
      <c r="N334" s="24"/>
      <c r="O334" s="72">
        <v>3.0</v>
      </c>
      <c r="P334" s="24">
        <f t="array" ref="P334">if(O334="","", if(O334=9999,9999,ROUNDUP(_xlfn.XLOOKUP(J334&amp;"-"&amp;E334&amp;"-"&amp;K334,SpecCV[ID],SpecCV[factor])*O334,0)))</f>
        <v>3</v>
      </c>
      <c r="Q334" s="24">
        <f t="array" ref="Q334">if(J334="Contact plate", _xlfn.XLOOKUP(J334&amp;"-"&amp;E334&amp;"-"&amp;K334,SpecCV[ID],SpecCV[Spec]),_xlfn.XLOOKUP(J334&amp;"-"&amp;E334&amp;"-"&amp;K334,SpecCV[ID],SpecCV[Spec]))</f>
        <v>50</v>
      </c>
      <c r="R334" s="15" t="str">
        <f t="array" ref="R334">if(J334="Contact plate", _xlfn.XLOOKUP(J334&amp;"-"&amp;E334&amp;"-"&amp;K334,SpecCV[ID],SpecCV[Unit]),_xlfn.XLOOKUP(J334&amp;"-"&amp;E334&amp;"-"&amp;K334,SpecCV[ID],SpecCV[Unit]))</f>
        <v>cfu</v>
      </c>
      <c r="S334" s="24"/>
      <c r="T334" s="67"/>
      <c r="U334" s="67"/>
      <c r="V334" s="68" t="b">
        <v>0</v>
      </c>
      <c r="W334" s="24"/>
      <c r="X334" s="24"/>
    </row>
    <row r="335" ht="22.5" customHeight="1">
      <c r="A335" s="68"/>
      <c r="B335" s="68" t="b">
        <v>0</v>
      </c>
      <c r="C335" s="68">
        <v>12.0</v>
      </c>
      <c r="D335" s="70"/>
      <c r="E335" s="8" t="s">
        <v>28</v>
      </c>
      <c r="F335" s="24" t="s">
        <v>297</v>
      </c>
      <c r="G335" s="24" t="s">
        <v>248</v>
      </c>
      <c r="H335" s="24" t="s">
        <v>249</v>
      </c>
      <c r="I335" s="71">
        <v>46148.0</v>
      </c>
      <c r="J335" s="66" t="s">
        <v>47</v>
      </c>
      <c r="K335" s="66" t="s">
        <v>48</v>
      </c>
      <c r="L335" s="66"/>
      <c r="M335" s="66"/>
      <c r="N335" s="24"/>
      <c r="O335" s="72">
        <v>1.0</v>
      </c>
      <c r="P335" s="24">
        <f t="array" ref="P335">if(O335="","", if(O335=9999,9999,ROUNDUP(_xlfn.XLOOKUP(J335&amp;"-"&amp;E335&amp;"-"&amp;K335,SpecCV[ID],SpecCV[factor])*O335,0)))</f>
        <v>1</v>
      </c>
      <c r="Q335" s="24">
        <f t="array" ref="Q335">if(J335="Contact plate", _xlfn.XLOOKUP(J335&amp;"-"&amp;E335&amp;"-"&amp;K335,SpecCV[ID],SpecCV[Spec]),_xlfn.XLOOKUP(J335&amp;"-"&amp;E335&amp;"-"&amp;K335,SpecCV[ID],SpecCV[Spec]))</f>
        <v>100</v>
      </c>
      <c r="R335" s="15" t="str">
        <f t="array" ref="R335">if(J335="Contact plate", _xlfn.XLOOKUP(J335&amp;"-"&amp;E335&amp;"-"&amp;K335,SpecCV[ID],SpecCV[Unit]),_xlfn.XLOOKUP(J335&amp;"-"&amp;E335&amp;"-"&amp;K335,SpecCV[ID],SpecCV[Unit]))</f>
        <v>cfu/ml</v>
      </c>
      <c r="S335" s="24"/>
      <c r="T335" s="67"/>
      <c r="U335" s="67"/>
      <c r="V335" s="68" t="b">
        <v>0</v>
      </c>
      <c r="W335" s="24" t="s">
        <v>298</v>
      </c>
      <c r="X335" s="24"/>
    </row>
    <row r="336" ht="22.5" customHeight="1">
      <c r="A336" s="68"/>
      <c r="B336" s="68" t="b">
        <v>0</v>
      </c>
      <c r="C336" s="68">
        <v>12.0</v>
      </c>
      <c r="D336" s="70"/>
      <c r="E336" s="8" t="s">
        <v>28</v>
      </c>
      <c r="F336" s="24" t="s">
        <v>297</v>
      </c>
      <c r="G336" s="24" t="s">
        <v>248</v>
      </c>
      <c r="H336" s="24" t="s">
        <v>250</v>
      </c>
      <c r="I336" s="71">
        <v>46148.0</v>
      </c>
      <c r="J336" s="66" t="s">
        <v>47</v>
      </c>
      <c r="K336" s="66" t="s">
        <v>48</v>
      </c>
      <c r="L336" s="66"/>
      <c r="M336" s="66"/>
      <c r="N336" s="24"/>
      <c r="O336" s="72">
        <v>0.0</v>
      </c>
      <c r="P336" s="24">
        <f t="array" ref="P336">if(O336="","", if(O336=9999,9999,ROUNDUP(_xlfn.XLOOKUP(J336&amp;"-"&amp;E336&amp;"-"&amp;K336,SpecCV[ID],SpecCV[factor])*O336,0)))</f>
        <v>0</v>
      </c>
      <c r="Q336" s="24">
        <f t="array" ref="Q336">if(J336="Contact plate", _xlfn.XLOOKUP(J336&amp;"-"&amp;E336&amp;"-"&amp;K336,SpecCV[ID],SpecCV[Spec]),_xlfn.XLOOKUP(J336&amp;"-"&amp;E336&amp;"-"&amp;K336,SpecCV[ID],SpecCV[Spec]))</f>
        <v>100</v>
      </c>
      <c r="R336" s="15" t="str">
        <f t="array" ref="R336">if(J336="Contact plate", _xlfn.XLOOKUP(J336&amp;"-"&amp;E336&amp;"-"&amp;K336,SpecCV[ID],SpecCV[Unit]),_xlfn.XLOOKUP(J336&amp;"-"&amp;E336&amp;"-"&amp;K336,SpecCV[ID],SpecCV[Unit]))</f>
        <v>cfu/ml</v>
      </c>
      <c r="S336" s="24"/>
      <c r="T336" s="67"/>
      <c r="U336" s="67"/>
      <c r="V336" s="68" t="b">
        <v>0</v>
      </c>
      <c r="W336" s="24" t="s">
        <v>298</v>
      </c>
      <c r="X336" s="24"/>
    </row>
    <row r="337" ht="22.5" customHeight="1">
      <c r="A337" s="68"/>
      <c r="B337" s="68" t="b">
        <v>0</v>
      </c>
      <c r="C337" s="68">
        <v>12.0</v>
      </c>
      <c r="D337" s="70"/>
      <c r="E337" s="8" t="s">
        <v>28</v>
      </c>
      <c r="F337" s="24" t="s">
        <v>297</v>
      </c>
      <c r="G337" s="24" t="s">
        <v>248</v>
      </c>
      <c r="H337" s="24" t="s">
        <v>251</v>
      </c>
      <c r="I337" s="71">
        <v>46148.0</v>
      </c>
      <c r="J337" s="66" t="s">
        <v>47</v>
      </c>
      <c r="K337" s="66" t="s">
        <v>48</v>
      </c>
      <c r="L337" s="66"/>
      <c r="M337" s="66"/>
      <c r="N337" s="24"/>
      <c r="O337" s="72">
        <v>0.0</v>
      </c>
      <c r="P337" s="24">
        <f t="array" ref="P337">if(O337="","", if(O337=9999,9999,ROUNDUP(_xlfn.XLOOKUP(J337&amp;"-"&amp;E337&amp;"-"&amp;K337,SpecCV[ID],SpecCV[factor])*O337,0)))</f>
        <v>0</v>
      </c>
      <c r="Q337" s="24">
        <f t="array" ref="Q337">if(J337="Contact plate", _xlfn.XLOOKUP(J337&amp;"-"&amp;E337&amp;"-"&amp;K337,SpecCV[ID],SpecCV[Spec]),_xlfn.XLOOKUP(J337&amp;"-"&amp;E337&amp;"-"&amp;K337,SpecCV[ID],SpecCV[Spec]))</f>
        <v>100</v>
      </c>
      <c r="R337" s="15" t="str">
        <f t="array" ref="R337">if(J337="Contact plate", _xlfn.XLOOKUP(J337&amp;"-"&amp;E337&amp;"-"&amp;K337,SpecCV[ID],SpecCV[Unit]),_xlfn.XLOOKUP(J337&amp;"-"&amp;E337&amp;"-"&amp;K337,SpecCV[ID],SpecCV[Unit]))</f>
        <v>cfu/ml</v>
      </c>
      <c r="S337" s="24"/>
      <c r="T337" s="67"/>
      <c r="U337" s="67"/>
      <c r="V337" s="68" t="b">
        <v>0</v>
      </c>
      <c r="W337" s="24" t="s">
        <v>298</v>
      </c>
      <c r="X337" s="24"/>
    </row>
    <row r="338" ht="22.5" customHeight="1">
      <c r="A338" s="68"/>
      <c r="B338" s="68" t="b">
        <v>0</v>
      </c>
      <c r="C338" s="68">
        <v>12.0</v>
      </c>
      <c r="D338" s="70"/>
      <c r="E338" s="8" t="s">
        <v>28</v>
      </c>
      <c r="F338" s="24" t="s">
        <v>297</v>
      </c>
      <c r="G338" s="24" t="s">
        <v>248</v>
      </c>
      <c r="H338" s="24" t="s">
        <v>252</v>
      </c>
      <c r="I338" s="71">
        <v>46148.0</v>
      </c>
      <c r="J338" s="66" t="s">
        <v>47</v>
      </c>
      <c r="K338" s="66" t="s">
        <v>48</v>
      </c>
      <c r="L338" s="66"/>
      <c r="M338" s="66"/>
      <c r="N338" s="24"/>
      <c r="O338" s="72">
        <v>0.0</v>
      </c>
      <c r="P338" s="24">
        <f t="array" ref="P338">if(O338="","", if(O338=9999,9999,ROUNDUP(_xlfn.XLOOKUP(J338&amp;"-"&amp;E338&amp;"-"&amp;K338,SpecCV[ID],SpecCV[factor])*O338,0)))</f>
        <v>0</v>
      </c>
      <c r="Q338" s="24">
        <f t="array" ref="Q338">if(J338="Contact plate", _xlfn.XLOOKUP(J338&amp;"-"&amp;E338&amp;"-"&amp;K338,SpecCV[ID],SpecCV[Spec]),_xlfn.XLOOKUP(J338&amp;"-"&amp;E338&amp;"-"&amp;K338,SpecCV[ID],SpecCV[Spec]))</f>
        <v>100</v>
      </c>
      <c r="R338" s="15" t="str">
        <f t="array" ref="R338">if(J338="Contact plate", _xlfn.XLOOKUP(J338&amp;"-"&amp;E338&amp;"-"&amp;K338,SpecCV[ID],SpecCV[Unit]),_xlfn.XLOOKUP(J338&amp;"-"&amp;E338&amp;"-"&amp;K338,SpecCV[ID],SpecCV[Unit]))</f>
        <v>cfu/ml</v>
      </c>
      <c r="S338" s="24"/>
      <c r="T338" s="67"/>
      <c r="U338" s="67"/>
      <c r="V338" s="68" t="b">
        <v>0</v>
      </c>
      <c r="W338" s="24" t="s">
        <v>298</v>
      </c>
      <c r="X338" s="24"/>
    </row>
    <row r="339" ht="22.5" customHeight="1">
      <c r="A339" s="68"/>
      <c r="B339" s="68" t="b">
        <v>0</v>
      </c>
      <c r="C339" s="68">
        <v>16.0</v>
      </c>
      <c r="D339" s="70"/>
      <c r="E339" s="8" t="s">
        <v>28</v>
      </c>
      <c r="F339" s="24" t="s">
        <v>244</v>
      </c>
      <c r="G339" s="24" t="s">
        <v>254</v>
      </c>
      <c r="H339" s="24" t="s">
        <v>249</v>
      </c>
      <c r="I339" s="71">
        <v>46149.0</v>
      </c>
      <c r="J339" s="66" t="s">
        <v>47</v>
      </c>
      <c r="K339" s="66" t="s">
        <v>48</v>
      </c>
      <c r="L339" s="66" t="s">
        <v>42</v>
      </c>
      <c r="M339" s="66" t="s">
        <v>45</v>
      </c>
      <c r="N339" s="24">
        <v>2.0</v>
      </c>
      <c r="O339" s="72">
        <v>10.0</v>
      </c>
      <c r="P339" s="24">
        <f t="array" ref="P339">if(O339="","", if(O339=9999,9999,ROUNDUP(_xlfn.XLOOKUP(J339&amp;"-"&amp;E339&amp;"-"&amp;K339,SpecCV[ID],SpecCV[factor])*O339,0)))</f>
        <v>10</v>
      </c>
      <c r="Q339" s="24">
        <f t="array" ref="Q339">if(J339="Contact plate", _xlfn.XLOOKUP(J339&amp;"-"&amp;E339&amp;"-"&amp;K339,SpecCV[ID],SpecCV[Spec]),_xlfn.XLOOKUP(J339&amp;"-"&amp;E339&amp;"-"&amp;K339,SpecCV[ID],SpecCV[Spec]))</f>
        <v>100</v>
      </c>
      <c r="R339" s="15" t="str">
        <f t="array" ref="R339">if(J339="Contact plate", _xlfn.XLOOKUP(J339&amp;"-"&amp;E339&amp;"-"&amp;K339,SpecCV[ID],SpecCV[Unit]),_xlfn.XLOOKUP(J339&amp;"-"&amp;E339&amp;"-"&amp;K339,SpecCV[ID],SpecCV[Unit]))</f>
        <v>cfu/ml</v>
      </c>
      <c r="S339" s="24"/>
      <c r="T339" s="67"/>
      <c r="U339" s="67"/>
      <c r="V339" s="68" t="b">
        <v>0</v>
      </c>
      <c r="W339" s="24"/>
      <c r="X339" s="24"/>
    </row>
    <row r="340" ht="22.5" customHeight="1">
      <c r="A340" s="68"/>
      <c r="B340" s="68" t="b">
        <v>0</v>
      </c>
      <c r="C340" s="68">
        <v>16.0</v>
      </c>
      <c r="D340" s="70"/>
      <c r="E340" s="8" t="s">
        <v>28</v>
      </c>
      <c r="F340" s="24" t="s">
        <v>244</v>
      </c>
      <c r="G340" s="24" t="s">
        <v>254</v>
      </c>
      <c r="H340" s="24" t="s">
        <v>250</v>
      </c>
      <c r="I340" s="71">
        <v>46149.0</v>
      </c>
      <c r="J340" s="66" t="s">
        <v>47</v>
      </c>
      <c r="K340" s="66" t="s">
        <v>48</v>
      </c>
      <c r="L340" s="66" t="s">
        <v>42</v>
      </c>
      <c r="M340" s="66" t="s">
        <v>45</v>
      </c>
      <c r="N340" s="24">
        <v>2.0</v>
      </c>
      <c r="O340" s="72">
        <v>8.0</v>
      </c>
      <c r="P340" s="24">
        <f t="array" ref="P340">if(O340="","", if(O340=9999,9999,ROUNDUP(_xlfn.XLOOKUP(J340&amp;"-"&amp;E340&amp;"-"&amp;K340,SpecCV[ID],SpecCV[factor])*O340,0)))</f>
        <v>8</v>
      </c>
      <c r="Q340" s="24">
        <f t="array" ref="Q340">if(J340="Contact plate", _xlfn.XLOOKUP(J340&amp;"-"&amp;E340&amp;"-"&amp;K340,SpecCV[ID],SpecCV[Spec]),_xlfn.XLOOKUP(J340&amp;"-"&amp;E340&amp;"-"&amp;K340,SpecCV[ID],SpecCV[Spec]))</f>
        <v>100</v>
      </c>
      <c r="R340" s="15" t="str">
        <f t="array" ref="R340">if(J340="Contact plate", _xlfn.XLOOKUP(J340&amp;"-"&amp;E340&amp;"-"&amp;K340,SpecCV[ID],SpecCV[Unit]),_xlfn.XLOOKUP(J340&amp;"-"&amp;E340&amp;"-"&amp;K340,SpecCV[ID],SpecCV[Unit]))</f>
        <v>cfu/ml</v>
      </c>
      <c r="S340" s="24"/>
      <c r="T340" s="67"/>
      <c r="U340" s="67"/>
      <c r="V340" s="68" t="b">
        <v>0</v>
      </c>
      <c r="W340" s="24"/>
      <c r="X340" s="24"/>
    </row>
    <row r="341" ht="22.5" customHeight="1">
      <c r="A341" s="68"/>
      <c r="B341" s="68" t="b">
        <v>0</v>
      </c>
      <c r="C341" s="68">
        <v>16.0</v>
      </c>
      <c r="D341" s="70"/>
      <c r="E341" s="68" t="s">
        <v>28</v>
      </c>
      <c r="F341" s="24" t="s">
        <v>244</v>
      </c>
      <c r="G341" s="24" t="s">
        <v>255</v>
      </c>
      <c r="H341" s="24" t="s">
        <v>255</v>
      </c>
      <c r="I341" s="71">
        <v>46154.0</v>
      </c>
      <c r="J341" s="66" t="s">
        <v>47</v>
      </c>
      <c r="K341" s="66" t="s">
        <v>48</v>
      </c>
      <c r="L341" s="66" t="s">
        <v>42</v>
      </c>
      <c r="M341" s="66" t="s">
        <v>45</v>
      </c>
      <c r="N341" s="24">
        <v>2.0</v>
      </c>
      <c r="O341" s="72">
        <v>1.0</v>
      </c>
      <c r="P341" s="24">
        <f t="array" ref="P341">if(O341="","", if(O341=9999,9999,ROUNDUP(_xlfn.XLOOKUP(J341&amp;"-"&amp;E341&amp;"-"&amp;K341,SpecCV[ID],SpecCV[factor])*O341,0)))</f>
        <v>1</v>
      </c>
      <c r="Q341" s="24">
        <f t="array" ref="Q341">if(J341="Contact plate", _xlfn.XLOOKUP(J341&amp;"-"&amp;E341&amp;"-"&amp;K341,SpecCV[ID],SpecCV[Spec]),_xlfn.XLOOKUP(J341&amp;"-"&amp;E341&amp;"-"&amp;K341,SpecCV[ID],SpecCV[Spec]))</f>
        <v>100</v>
      </c>
      <c r="R341" s="15" t="str">
        <f t="array" ref="R341">if(J341="Contact plate", _xlfn.XLOOKUP(J341&amp;"-"&amp;E341&amp;"-"&amp;K341,SpecCV[ID],SpecCV[Unit]),_xlfn.XLOOKUP(J341&amp;"-"&amp;E341&amp;"-"&amp;K341,SpecCV[ID],SpecCV[Unit]))</f>
        <v>cfu/ml</v>
      </c>
      <c r="S341" s="24"/>
      <c r="T341" s="67"/>
      <c r="U341" s="67"/>
      <c r="V341" s="68" t="b">
        <v>0</v>
      </c>
      <c r="W341" s="24"/>
      <c r="X341" s="24"/>
    </row>
    <row r="342" ht="22.5" customHeight="1">
      <c r="A342" s="68"/>
      <c r="B342" s="68" t="b">
        <v>0</v>
      </c>
      <c r="C342" s="68">
        <v>10.0</v>
      </c>
      <c r="D342" s="70"/>
      <c r="E342" s="8" t="s">
        <v>28</v>
      </c>
      <c r="F342" s="9" t="s">
        <v>257</v>
      </c>
      <c r="G342" s="15" t="s">
        <v>221</v>
      </c>
      <c r="H342" s="15" t="s">
        <v>222</v>
      </c>
      <c r="I342" s="71">
        <v>46161.0</v>
      </c>
      <c r="J342" s="66" t="s">
        <v>30</v>
      </c>
      <c r="K342" s="66" t="s">
        <v>30</v>
      </c>
      <c r="L342" s="66" t="s">
        <v>220</v>
      </c>
      <c r="M342" s="66" t="s">
        <v>45</v>
      </c>
      <c r="N342" s="24">
        <v>1.0</v>
      </c>
      <c r="O342" s="72">
        <v>1.0</v>
      </c>
      <c r="P342" s="24">
        <f t="array" ref="P342">if(O342="","", if(O342=9999,9999,ROUNDUP(_xlfn.XLOOKUP(J342&amp;"-"&amp;E342&amp;"-"&amp;K342,SpecCV[ID],SpecCV[factor])*O342,0)))</f>
        <v>1</v>
      </c>
      <c r="Q342" s="24">
        <f t="array" ref="Q342">if(J342="Contact plate", _xlfn.XLOOKUP(J342&amp;"-"&amp;E342&amp;"-"&amp;K342,SpecCV[ID],SpecCV[Spec]),_xlfn.XLOOKUP(J342&amp;"-"&amp;E342&amp;"-"&amp;K342,SpecCV[ID],SpecCV[Spec]))</f>
        <v>50</v>
      </c>
      <c r="R342" s="15" t="str">
        <f t="array" ref="R342">if(J342="Contact plate", _xlfn.XLOOKUP(J342&amp;"-"&amp;E342&amp;"-"&amp;K342,SpecCV[ID],SpecCV[Unit]),_xlfn.XLOOKUP(J342&amp;"-"&amp;E342&amp;"-"&amp;K342,SpecCV[ID],SpecCV[Unit]))</f>
        <v>cfu</v>
      </c>
      <c r="S342" s="24">
        <v>10.0</v>
      </c>
      <c r="T342" s="24">
        <v>0.0</v>
      </c>
      <c r="U342" s="24">
        <v>21.0</v>
      </c>
      <c r="V342" s="68" t="b">
        <v>0</v>
      </c>
      <c r="W342" s="24" t="s">
        <v>299</v>
      </c>
      <c r="X342" s="24"/>
    </row>
    <row r="343" ht="22.5" customHeight="1">
      <c r="A343" s="68"/>
      <c r="B343" s="68" t="b">
        <v>0</v>
      </c>
      <c r="C343" s="68">
        <v>10.0</v>
      </c>
      <c r="D343" s="70"/>
      <c r="E343" s="8" t="s">
        <v>28</v>
      </c>
      <c r="F343" s="9" t="s">
        <v>257</v>
      </c>
      <c r="G343" s="15" t="s">
        <v>221</v>
      </c>
      <c r="H343" s="15" t="s">
        <v>223</v>
      </c>
      <c r="I343" s="71">
        <v>46161.0</v>
      </c>
      <c r="J343" s="66" t="s">
        <v>30</v>
      </c>
      <c r="K343" s="66" t="s">
        <v>30</v>
      </c>
      <c r="L343" s="66" t="s">
        <v>220</v>
      </c>
      <c r="M343" s="66" t="s">
        <v>45</v>
      </c>
      <c r="N343" s="24">
        <v>1.0</v>
      </c>
      <c r="O343" s="72">
        <v>0.0</v>
      </c>
      <c r="P343" s="24">
        <f t="array" ref="P343">if(O343="","", if(O343=9999,9999,ROUNDUP(_xlfn.XLOOKUP(J343&amp;"-"&amp;E343&amp;"-"&amp;K343,SpecCV[ID],SpecCV[factor])*O343,0)))</f>
        <v>0</v>
      </c>
      <c r="Q343" s="24">
        <f t="array" ref="Q343">if(J343="Contact plate", _xlfn.XLOOKUP(J343&amp;"-"&amp;E343&amp;"-"&amp;K343,SpecCV[ID],SpecCV[Spec]),_xlfn.XLOOKUP(J343&amp;"-"&amp;E343&amp;"-"&amp;K343,SpecCV[ID],SpecCV[Spec]))</f>
        <v>50</v>
      </c>
      <c r="R343" s="15" t="str">
        <f t="array" ref="R343">if(J343="Contact plate", _xlfn.XLOOKUP(J343&amp;"-"&amp;E343&amp;"-"&amp;K343,SpecCV[ID],SpecCV[Unit]),_xlfn.XLOOKUP(J343&amp;"-"&amp;E343&amp;"-"&amp;K343,SpecCV[ID],SpecCV[Unit]))</f>
        <v>cfu</v>
      </c>
      <c r="S343" s="24">
        <v>10.0</v>
      </c>
      <c r="T343" s="24">
        <v>0.0</v>
      </c>
      <c r="U343" s="24">
        <v>21.0</v>
      </c>
      <c r="V343" s="68" t="b">
        <v>0</v>
      </c>
      <c r="W343" s="24" t="s">
        <v>299</v>
      </c>
      <c r="X343" s="24"/>
    </row>
    <row r="344" ht="22.5" customHeight="1">
      <c r="A344" s="68"/>
      <c r="B344" s="68" t="b">
        <v>0</v>
      </c>
      <c r="C344" s="68">
        <v>10.0</v>
      </c>
      <c r="D344" s="70"/>
      <c r="E344" s="8" t="s">
        <v>28</v>
      </c>
      <c r="F344" s="9" t="s">
        <v>257</v>
      </c>
      <c r="G344" s="15" t="s">
        <v>221</v>
      </c>
      <c r="H344" s="15" t="s">
        <v>224</v>
      </c>
      <c r="I344" s="71">
        <v>46161.0</v>
      </c>
      <c r="J344" s="66" t="s">
        <v>30</v>
      </c>
      <c r="K344" s="66" t="s">
        <v>30</v>
      </c>
      <c r="L344" s="66" t="s">
        <v>220</v>
      </c>
      <c r="M344" s="66" t="s">
        <v>45</v>
      </c>
      <c r="N344" s="24">
        <v>1.0</v>
      </c>
      <c r="O344" s="72">
        <v>0.0</v>
      </c>
      <c r="P344" s="24">
        <f t="array" ref="P344">if(O344="","", if(O344=9999,9999,ROUNDUP(_xlfn.XLOOKUP(J344&amp;"-"&amp;E344&amp;"-"&amp;K344,SpecCV[ID],SpecCV[factor])*O344,0)))</f>
        <v>0</v>
      </c>
      <c r="Q344" s="24">
        <f t="array" ref="Q344">if(J344="Contact plate", _xlfn.XLOOKUP(J344&amp;"-"&amp;E344&amp;"-"&amp;K344,SpecCV[ID],SpecCV[Spec]),_xlfn.XLOOKUP(J344&amp;"-"&amp;E344&amp;"-"&amp;K344,SpecCV[ID],SpecCV[Spec]))</f>
        <v>50</v>
      </c>
      <c r="R344" s="15" t="str">
        <f t="array" ref="R344">if(J344="Contact plate", _xlfn.XLOOKUP(J344&amp;"-"&amp;E344&amp;"-"&amp;K344,SpecCV[ID],SpecCV[Unit]),_xlfn.XLOOKUP(J344&amp;"-"&amp;E344&amp;"-"&amp;K344,SpecCV[ID],SpecCV[Unit]))</f>
        <v>cfu</v>
      </c>
      <c r="S344" s="24">
        <v>10.0</v>
      </c>
      <c r="T344" s="24">
        <v>0.0</v>
      </c>
      <c r="U344" s="24">
        <v>21.0</v>
      </c>
      <c r="V344" s="68" t="b">
        <v>0</v>
      </c>
      <c r="W344" s="24" t="s">
        <v>299</v>
      </c>
      <c r="X344" s="24"/>
    </row>
    <row r="345" ht="22.5" customHeight="1">
      <c r="A345" s="68"/>
      <c r="B345" s="68" t="b">
        <v>0</v>
      </c>
      <c r="C345" s="68">
        <v>10.0</v>
      </c>
      <c r="D345" s="70"/>
      <c r="E345" s="8" t="s">
        <v>28</v>
      </c>
      <c r="F345" s="9"/>
      <c r="G345" s="15" t="s">
        <v>75</v>
      </c>
      <c r="H345" s="15" t="s">
        <v>78</v>
      </c>
      <c r="I345" s="71">
        <v>46170.0</v>
      </c>
      <c r="J345" s="66" t="s">
        <v>30</v>
      </c>
      <c r="K345" s="66" t="s">
        <v>30</v>
      </c>
      <c r="L345" s="66" t="s">
        <v>42</v>
      </c>
      <c r="M345" s="66"/>
      <c r="N345" s="24"/>
      <c r="O345" s="72">
        <v>0.0</v>
      </c>
      <c r="P345" s="24">
        <f t="array" ref="P345">if(O345="","", if(O345=9999,9999,ROUNDUP(_xlfn.XLOOKUP(J345&amp;"-"&amp;E345&amp;"-"&amp;K345,SpecCV[ID],SpecCV[factor])*O345,0)))</f>
        <v>0</v>
      </c>
      <c r="Q345" s="24">
        <f t="array" ref="Q345">if(J345="Contact plate", _xlfn.XLOOKUP(J345&amp;"-"&amp;E345&amp;"-"&amp;K345,SpecCV[ID],SpecCV[Spec]),_xlfn.XLOOKUP(J345&amp;"-"&amp;E345&amp;"-"&amp;K345,SpecCV[ID],SpecCV[Spec]))</f>
        <v>50</v>
      </c>
      <c r="R345" s="15" t="str">
        <f t="array" ref="R345">if(J345="Contact plate", _xlfn.XLOOKUP(J345&amp;"-"&amp;E345&amp;"-"&amp;K345,SpecCV[ID],SpecCV[Unit]),_xlfn.XLOOKUP(J345&amp;"-"&amp;E345&amp;"-"&amp;K345,SpecCV[ID],SpecCV[Unit]))</f>
        <v>cfu</v>
      </c>
      <c r="S345" s="24"/>
      <c r="T345" s="67"/>
      <c r="U345" s="67"/>
      <c r="V345" s="68" t="b">
        <v>0</v>
      </c>
      <c r="W345" s="24" t="s">
        <v>299</v>
      </c>
      <c r="X345" s="24"/>
    </row>
    <row r="346" ht="22.5" customHeight="1">
      <c r="A346" s="68"/>
      <c r="B346" s="68" t="b">
        <v>0</v>
      </c>
      <c r="C346" s="68">
        <v>10.0</v>
      </c>
      <c r="D346" s="70"/>
      <c r="E346" s="8" t="s">
        <v>28</v>
      </c>
      <c r="F346" s="9"/>
      <c r="G346" s="15" t="s">
        <v>75</v>
      </c>
      <c r="H346" s="15" t="s">
        <v>81</v>
      </c>
      <c r="I346" s="71">
        <v>46170.0</v>
      </c>
      <c r="J346" s="66" t="s">
        <v>30</v>
      </c>
      <c r="K346" s="66" t="s">
        <v>30</v>
      </c>
      <c r="L346" s="66" t="s">
        <v>42</v>
      </c>
      <c r="M346" s="66"/>
      <c r="N346" s="24"/>
      <c r="O346" s="72">
        <v>0.0</v>
      </c>
      <c r="P346" s="24">
        <f t="array" ref="P346">if(O346="","", if(O346=9999,9999,ROUNDUP(_xlfn.XLOOKUP(J346&amp;"-"&amp;E346&amp;"-"&amp;K346,SpecCV[ID],SpecCV[factor])*O346,0)))</f>
        <v>0</v>
      </c>
      <c r="Q346" s="24">
        <f t="array" ref="Q346">if(J346="Contact plate", _xlfn.XLOOKUP(J346&amp;"-"&amp;E346&amp;"-"&amp;K346,SpecCV[ID],SpecCV[Spec]),_xlfn.XLOOKUP(J346&amp;"-"&amp;E346&amp;"-"&amp;K346,SpecCV[ID],SpecCV[Spec]))</f>
        <v>50</v>
      </c>
      <c r="R346" s="15" t="str">
        <f t="array" ref="R346">if(J346="Contact plate", _xlfn.XLOOKUP(J346&amp;"-"&amp;E346&amp;"-"&amp;K346,SpecCV[ID],SpecCV[Unit]),_xlfn.XLOOKUP(J346&amp;"-"&amp;E346&amp;"-"&amp;K346,SpecCV[ID],SpecCV[Unit]))</f>
        <v>cfu</v>
      </c>
      <c r="S346" s="24"/>
      <c r="T346" s="67"/>
      <c r="U346" s="67"/>
      <c r="V346" s="68" t="b">
        <v>0</v>
      </c>
      <c r="W346" s="24" t="s">
        <v>299</v>
      </c>
      <c r="X346" s="24"/>
    </row>
    <row r="347" ht="22.5" customHeight="1">
      <c r="A347" s="68"/>
      <c r="B347" s="68" t="b">
        <v>0</v>
      </c>
      <c r="C347" s="68">
        <v>10.0</v>
      </c>
      <c r="D347" s="70"/>
      <c r="E347" s="8" t="s">
        <v>28</v>
      </c>
      <c r="F347" s="9"/>
      <c r="G347" s="15" t="s">
        <v>75</v>
      </c>
      <c r="H347" s="15" t="s">
        <v>300</v>
      </c>
      <c r="I347" s="71">
        <v>46170.0</v>
      </c>
      <c r="J347" s="66" t="s">
        <v>30</v>
      </c>
      <c r="K347" s="66" t="s">
        <v>30</v>
      </c>
      <c r="L347" s="66" t="s">
        <v>42</v>
      </c>
      <c r="M347" s="66"/>
      <c r="N347" s="24"/>
      <c r="O347" s="72">
        <v>0.0</v>
      </c>
      <c r="P347" s="24">
        <f t="array" ref="P347">if(O347="","", if(O347=9999,9999,ROUNDUP(_xlfn.XLOOKUP(J347&amp;"-"&amp;E347&amp;"-"&amp;K347,SpecCV[ID],SpecCV[factor])*O347,0)))</f>
        <v>0</v>
      </c>
      <c r="Q347" s="24">
        <f t="array" ref="Q347">if(J347="Contact plate", _xlfn.XLOOKUP(J347&amp;"-"&amp;E347&amp;"-"&amp;K347,SpecCV[ID],SpecCV[Spec]),_xlfn.XLOOKUP(J347&amp;"-"&amp;E347&amp;"-"&amp;K347,SpecCV[ID],SpecCV[Spec]))</f>
        <v>50</v>
      </c>
      <c r="R347" s="15" t="str">
        <f t="array" ref="R347">if(J347="Contact plate", _xlfn.XLOOKUP(J347&amp;"-"&amp;E347&amp;"-"&amp;K347,SpecCV[ID],SpecCV[Unit]),_xlfn.XLOOKUP(J347&amp;"-"&amp;E347&amp;"-"&amp;K347,SpecCV[ID],SpecCV[Unit]))</f>
        <v>cfu</v>
      </c>
      <c r="S347" s="24"/>
      <c r="T347" s="67"/>
      <c r="U347" s="67"/>
      <c r="V347" s="68" t="b">
        <v>0</v>
      </c>
      <c r="W347" s="24" t="s">
        <v>299</v>
      </c>
      <c r="X347" s="24"/>
    </row>
    <row r="348" ht="22.5" customHeight="1">
      <c r="A348" s="68"/>
      <c r="B348" s="68" t="b">
        <v>0</v>
      </c>
      <c r="C348" s="68">
        <v>10.0</v>
      </c>
      <c r="D348" s="70"/>
      <c r="E348" s="8" t="s">
        <v>28</v>
      </c>
      <c r="F348" s="9"/>
      <c r="G348" s="15" t="s">
        <v>75</v>
      </c>
      <c r="H348" s="15" t="s">
        <v>301</v>
      </c>
      <c r="I348" s="71">
        <v>46170.0</v>
      </c>
      <c r="J348" s="66" t="s">
        <v>30</v>
      </c>
      <c r="K348" s="66" t="s">
        <v>30</v>
      </c>
      <c r="L348" s="66" t="s">
        <v>42</v>
      </c>
      <c r="M348" s="66"/>
      <c r="N348" s="24"/>
      <c r="O348" s="72">
        <v>0.0</v>
      </c>
      <c r="P348" s="24">
        <f t="array" ref="P348">if(O348="","", if(O348=9999,9999,ROUNDUP(_xlfn.XLOOKUP(J348&amp;"-"&amp;E348&amp;"-"&amp;K348,SpecCV[ID],SpecCV[factor])*O348,0)))</f>
        <v>0</v>
      </c>
      <c r="Q348" s="24">
        <f t="array" ref="Q348">if(J348="Contact plate", _xlfn.XLOOKUP(J348&amp;"-"&amp;E348&amp;"-"&amp;K348,SpecCV[ID],SpecCV[Spec]),_xlfn.XLOOKUP(J348&amp;"-"&amp;E348&amp;"-"&amp;K348,SpecCV[ID],SpecCV[Spec]))</f>
        <v>50</v>
      </c>
      <c r="R348" s="15" t="str">
        <f t="array" ref="R348">if(J348="Contact plate", _xlfn.XLOOKUP(J348&amp;"-"&amp;E348&amp;"-"&amp;K348,SpecCV[ID],SpecCV[Unit]),_xlfn.XLOOKUP(J348&amp;"-"&amp;E348&amp;"-"&amp;K348,SpecCV[ID],SpecCV[Unit]))</f>
        <v>cfu</v>
      </c>
      <c r="S348" s="24"/>
      <c r="T348" s="67"/>
      <c r="U348" s="67"/>
      <c r="V348" s="68" t="b">
        <v>0</v>
      </c>
      <c r="W348" s="24" t="s">
        <v>299</v>
      </c>
      <c r="X348" s="24"/>
    </row>
    <row r="349" ht="22.5" customHeight="1">
      <c r="A349" s="68"/>
      <c r="B349" s="68" t="b">
        <v>0</v>
      </c>
      <c r="C349" s="68">
        <v>16.0</v>
      </c>
      <c r="D349" s="70"/>
      <c r="E349" s="8" t="s">
        <v>28</v>
      </c>
      <c r="F349" s="68" t="s">
        <v>258</v>
      </c>
      <c r="G349" s="15" t="s">
        <v>259</v>
      </c>
      <c r="H349" s="15" t="s">
        <v>260</v>
      </c>
      <c r="I349" s="71">
        <v>46170.0</v>
      </c>
      <c r="J349" s="66" t="s">
        <v>30</v>
      </c>
      <c r="K349" s="66" t="s">
        <v>30</v>
      </c>
      <c r="L349" s="66" t="s">
        <v>42</v>
      </c>
      <c r="M349" s="66" t="s">
        <v>45</v>
      </c>
      <c r="N349" s="24">
        <v>1.0</v>
      </c>
      <c r="O349" s="72">
        <v>2.0</v>
      </c>
      <c r="P349" s="24">
        <f t="array" ref="P349">if(O349="","", if(O349=9999,9999,ROUNDUP(_xlfn.XLOOKUP(J349&amp;"-"&amp;E349&amp;"-"&amp;K349,SpecCV[ID],SpecCV[factor])*O349,0)))</f>
        <v>2</v>
      </c>
      <c r="Q349" s="24">
        <f t="array" ref="Q349">if(J349="Contact plate", _xlfn.XLOOKUP(J349&amp;"-"&amp;E349&amp;"-"&amp;K349,SpecCV[ID],SpecCV[Spec]),_xlfn.XLOOKUP(J349&amp;"-"&amp;E349&amp;"-"&amp;K349,SpecCV[ID],SpecCV[Spec]))</f>
        <v>50</v>
      </c>
      <c r="R349" s="15" t="str">
        <f t="array" ref="R349">if(J349="Contact plate", _xlfn.XLOOKUP(J349&amp;"-"&amp;E349&amp;"-"&amp;K349,SpecCV[ID],SpecCV[Unit]),_xlfn.XLOOKUP(J349&amp;"-"&amp;E349&amp;"-"&amp;K349,SpecCV[ID],SpecCV[Unit]))</f>
        <v>cfu</v>
      </c>
      <c r="S349" s="24"/>
      <c r="T349" s="67"/>
      <c r="U349" s="67"/>
      <c r="V349" s="68" t="b">
        <v>0</v>
      </c>
      <c r="W349" s="24" t="s">
        <v>299</v>
      </c>
      <c r="X349" s="24"/>
    </row>
    <row r="350" ht="22.5" customHeight="1">
      <c r="A350" s="68"/>
      <c r="B350" s="68" t="b">
        <v>0</v>
      </c>
      <c r="C350" s="68">
        <v>16.0</v>
      </c>
      <c r="D350" s="70"/>
      <c r="E350" s="8" t="s">
        <v>28</v>
      </c>
      <c r="F350" s="68" t="s">
        <v>258</v>
      </c>
      <c r="G350" s="15" t="s">
        <v>259</v>
      </c>
      <c r="H350" s="15" t="s">
        <v>261</v>
      </c>
      <c r="I350" s="71">
        <v>46170.0</v>
      </c>
      <c r="J350" s="66" t="s">
        <v>30</v>
      </c>
      <c r="K350" s="66" t="s">
        <v>30</v>
      </c>
      <c r="L350" s="66" t="s">
        <v>42</v>
      </c>
      <c r="M350" s="66" t="s">
        <v>45</v>
      </c>
      <c r="N350" s="24">
        <v>1.0</v>
      </c>
      <c r="O350" s="72">
        <v>0.0</v>
      </c>
      <c r="P350" s="24">
        <f t="array" ref="P350">if(O350="","", if(O350=9999,9999,ROUNDUP(_xlfn.XLOOKUP(J350&amp;"-"&amp;E350&amp;"-"&amp;K350,SpecCV[ID],SpecCV[factor])*O350,0)))</f>
        <v>0</v>
      </c>
      <c r="Q350" s="24">
        <f t="array" ref="Q350">if(J350="Contact plate", _xlfn.XLOOKUP(J350&amp;"-"&amp;E350&amp;"-"&amp;K350,SpecCV[ID],SpecCV[Spec]),_xlfn.XLOOKUP(J350&amp;"-"&amp;E350&amp;"-"&amp;K350,SpecCV[ID],SpecCV[Spec]))</f>
        <v>50</v>
      </c>
      <c r="R350" s="15" t="str">
        <f t="array" ref="R350">if(J350="Contact plate", _xlfn.XLOOKUP(J350&amp;"-"&amp;E350&amp;"-"&amp;K350,SpecCV[ID],SpecCV[Unit]),_xlfn.XLOOKUP(J350&amp;"-"&amp;E350&amp;"-"&amp;K350,SpecCV[ID],SpecCV[Unit]))</f>
        <v>cfu</v>
      </c>
      <c r="S350" s="24"/>
      <c r="T350" s="67"/>
      <c r="U350" s="67"/>
      <c r="V350" s="68" t="b">
        <v>0</v>
      </c>
      <c r="W350" s="24" t="s">
        <v>299</v>
      </c>
      <c r="X350" s="24"/>
    </row>
    <row r="351" ht="22.5" customHeight="1">
      <c r="A351" s="68"/>
      <c r="B351" s="68" t="b">
        <v>0</v>
      </c>
      <c r="C351" s="68">
        <v>16.0</v>
      </c>
      <c r="D351" s="70"/>
      <c r="E351" s="68" t="s">
        <v>28</v>
      </c>
      <c r="F351" s="68" t="s">
        <v>258</v>
      </c>
      <c r="G351" s="15" t="s">
        <v>259</v>
      </c>
      <c r="H351" s="15" t="s">
        <v>262</v>
      </c>
      <c r="I351" s="71">
        <v>46170.0</v>
      </c>
      <c r="J351" s="66" t="s">
        <v>30</v>
      </c>
      <c r="K351" s="66" t="s">
        <v>30</v>
      </c>
      <c r="L351" s="66" t="s">
        <v>42</v>
      </c>
      <c r="M351" s="66" t="s">
        <v>45</v>
      </c>
      <c r="N351" s="24">
        <v>1.0</v>
      </c>
      <c r="O351" s="72">
        <v>0.0</v>
      </c>
      <c r="P351" s="24">
        <f t="array" ref="P351">if(O351="","", if(O351=9999,9999,ROUNDUP(_xlfn.XLOOKUP(J351&amp;"-"&amp;E351&amp;"-"&amp;K351,SpecCV[ID],SpecCV[factor])*O351,0)))</f>
        <v>0</v>
      </c>
      <c r="Q351" s="24">
        <f t="array" ref="Q351">if(J351="Contact plate", _xlfn.XLOOKUP(J351&amp;"-"&amp;E351&amp;"-"&amp;K351,SpecCV[ID],SpecCV[Spec]),_xlfn.XLOOKUP(J351&amp;"-"&amp;E351&amp;"-"&amp;K351,SpecCV[ID],SpecCV[Spec]))</f>
        <v>50</v>
      </c>
      <c r="R351" s="15" t="str">
        <f t="array" ref="R351">if(J351="Contact plate", _xlfn.XLOOKUP(J351&amp;"-"&amp;E351&amp;"-"&amp;K351,SpecCV[ID],SpecCV[Unit]),_xlfn.XLOOKUP(J351&amp;"-"&amp;E351&amp;"-"&amp;K351,SpecCV[ID],SpecCV[Unit]))</f>
        <v>cfu</v>
      </c>
      <c r="S351" s="24"/>
      <c r="T351" s="67"/>
      <c r="U351" s="67"/>
      <c r="V351" s="68" t="b">
        <v>0</v>
      </c>
      <c r="W351" s="24" t="s">
        <v>299</v>
      </c>
      <c r="X351" s="24"/>
    </row>
    <row r="352" ht="22.5" customHeight="1">
      <c r="A352" s="68"/>
      <c r="B352" s="68" t="b">
        <v>0</v>
      </c>
      <c r="C352" s="68">
        <v>16.0</v>
      </c>
      <c r="D352" s="70"/>
      <c r="E352" s="8" t="s">
        <v>28</v>
      </c>
      <c r="F352" s="24" t="s">
        <v>244</v>
      </c>
      <c r="G352" s="24" t="s">
        <v>254</v>
      </c>
      <c r="H352" s="24" t="s">
        <v>249</v>
      </c>
      <c r="I352" s="71">
        <v>46177.0</v>
      </c>
      <c r="J352" s="66" t="s">
        <v>47</v>
      </c>
      <c r="K352" s="66" t="s">
        <v>48</v>
      </c>
      <c r="L352" s="66" t="s">
        <v>42</v>
      </c>
      <c r="M352" s="66" t="s">
        <v>45</v>
      </c>
      <c r="N352" s="24">
        <v>3.0</v>
      </c>
      <c r="O352" s="72">
        <v>0.0</v>
      </c>
      <c r="P352" s="24">
        <f t="array" ref="P352">if(O352="","", if(O352=9999,9999,ROUNDUP(_xlfn.XLOOKUP(J352&amp;"-"&amp;E352&amp;"-"&amp;K352,SpecCV[ID],SpecCV[factor])*O352,0)))</f>
        <v>0</v>
      </c>
      <c r="Q352" s="24">
        <f t="array" ref="Q352">if(J352="Contact plate", _xlfn.XLOOKUP(J352&amp;"-"&amp;E352&amp;"-"&amp;K352,SpecCV[ID],SpecCV[Spec]),_xlfn.XLOOKUP(J352&amp;"-"&amp;E352&amp;"-"&amp;K352,SpecCV[ID],SpecCV[Spec]))</f>
        <v>100</v>
      </c>
      <c r="R352" s="15" t="str">
        <f t="array" ref="R352">if(J352="Contact plate", _xlfn.XLOOKUP(J352&amp;"-"&amp;E352&amp;"-"&amp;K352,SpecCV[ID],SpecCV[Unit]),_xlfn.XLOOKUP(J352&amp;"-"&amp;E352&amp;"-"&amp;K352,SpecCV[ID],SpecCV[Unit]))</f>
        <v>cfu/ml</v>
      </c>
      <c r="S352" s="24">
        <v>0.0</v>
      </c>
      <c r="T352" s="67"/>
      <c r="U352" s="67"/>
      <c r="V352" s="68" t="b">
        <v>0</v>
      </c>
      <c r="W352" s="24" t="s">
        <v>302</v>
      </c>
      <c r="X352" s="24"/>
    </row>
    <row r="353" ht="22.5" customHeight="1">
      <c r="A353" s="68"/>
      <c r="B353" s="68" t="b">
        <v>0</v>
      </c>
      <c r="C353" s="68">
        <v>16.0</v>
      </c>
      <c r="D353" s="70"/>
      <c r="E353" s="8" t="s">
        <v>28</v>
      </c>
      <c r="F353" s="24" t="s">
        <v>244</v>
      </c>
      <c r="G353" s="24" t="s">
        <v>254</v>
      </c>
      <c r="H353" s="24" t="s">
        <v>250</v>
      </c>
      <c r="I353" s="71">
        <v>46177.0</v>
      </c>
      <c r="J353" s="66" t="s">
        <v>47</v>
      </c>
      <c r="K353" s="66" t="s">
        <v>48</v>
      </c>
      <c r="L353" s="66" t="s">
        <v>42</v>
      </c>
      <c r="M353" s="66" t="s">
        <v>45</v>
      </c>
      <c r="N353" s="24">
        <v>3.0</v>
      </c>
      <c r="O353" s="72">
        <v>0.0</v>
      </c>
      <c r="P353" s="24">
        <f t="array" ref="P353">if(O353="","", if(O353=9999,9999,ROUNDUP(_xlfn.XLOOKUP(J353&amp;"-"&amp;E353&amp;"-"&amp;K353,SpecCV[ID],SpecCV[factor])*O353,0)))</f>
        <v>0</v>
      </c>
      <c r="Q353" s="24">
        <f t="array" ref="Q353">if(J353="Contact plate", _xlfn.XLOOKUP(J353&amp;"-"&amp;E353&amp;"-"&amp;K353,SpecCV[ID],SpecCV[Spec]),_xlfn.XLOOKUP(J353&amp;"-"&amp;E353&amp;"-"&amp;K353,SpecCV[ID],SpecCV[Spec]))</f>
        <v>100</v>
      </c>
      <c r="R353" s="15" t="str">
        <f t="array" ref="R353">if(J353="Contact plate", _xlfn.XLOOKUP(J353&amp;"-"&amp;E353&amp;"-"&amp;K353,SpecCV[ID],SpecCV[Unit]),_xlfn.XLOOKUP(J353&amp;"-"&amp;E353&amp;"-"&amp;K353,SpecCV[ID],SpecCV[Unit]))</f>
        <v>cfu/ml</v>
      </c>
      <c r="S353" s="24">
        <v>0.0</v>
      </c>
      <c r="T353" s="67"/>
      <c r="U353" s="67"/>
      <c r="V353" s="68" t="b">
        <v>0</v>
      </c>
      <c r="W353" s="24" t="s">
        <v>302</v>
      </c>
      <c r="X353" s="24"/>
    </row>
    <row r="354" ht="22.5" customHeight="1">
      <c r="A354" s="68"/>
      <c r="B354" s="68" t="b">
        <v>0</v>
      </c>
      <c r="C354" s="68">
        <v>16.0</v>
      </c>
      <c r="D354" s="70"/>
      <c r="E354" s="68" t="s">
        <v>28</v>
      </c>
      <c r="F354" s="24" t="s">
        <v>244</v>
      </c>
      <c r="G354" s="24" t="s">
        <v>255</v>
      </c>
      <c r="H354" s="24" t="s">
        <v>255</v>
      </c>
      <c r="I354" s="71">
        <v>46177.0</v>
      </c>
      <c r="J354" s="66" t="s">
        <v>47</v>
      </c>
      <c r="K354" s="66" t="s">
        <v>48</v>
      </c>
      <c r="L354" s="66" t="s">
        <v>42</v>
      </c>
      <c r="M354" s="66" t="s">
        <v>45</v>
      </c>
      <c r="N354" s="24">
        <v>3.0</v>
      </c>
      <c r="O354" s="72">
        <v>77.0</v>
      </c>
      <c r="P354" s="24">
        <f t="array" ref="P354">if(O354="","", if(O354=9999,9999,ROUNDUP(_xlfn.XLOOKUP(J354&amp;"-"&amp;E354&amp;"-"&amp;K354,SpecCV[ID],SpecCV[factor])*O354,0)))</f>
        <v>77</v>
      </c>
      <c r="Q354" s="24">
        <f t="array" ref="Q354">if(J354="Contact plate", _xlfn.XLOOKUP(J354&amp;"-"&amp;E354&amp;"-"&amp;K354,SpecCV[ID],SpecCV[Spec]),_xlfn.XLOOKUP(J354&amp;"-"&amp;E354&amp;"-"&amp;K354,SpecCV[ID],SpecCV[Spec]))</f>
        <v>100</v>
      </c>
      <c r="R354" s="15" t="str">
        <f t="array" ref="R354">if(J354="Contact plate", _xlfn.XLOOKUP(J354&amp;"-"&amp;E354&amp;"-"&amp;K354,SpecCV[ID],SpecCV[Unit]),_xlfn.XLOOKUP(J354&amp;"-"&amp;E354&amp;"-"&amp;K354,SpecCV[ID],SpecCV[Unit]))</f>
        <v>cfu/ml</v>
      </c>
      <c r="S354" s="24">
        <v>0.0</v>
      </c>
      <c r="T354" s="67"/>
      <c r="U354" s="67"/>
      <c r="V354" s="68" t="b">
        <v>0</v>
      </c>
      <c r="W354" s="24" t="s">
        <v>302</v>
      </c>
      <c r="X354" s="24"/>
    </row>
    <row r="355" ht="22.5" customHeight="1">
      <c r="A355" s="68"/>
      <c r="B355" s="68" t="b">
        <v>0</v>
      </c>
      <c r="C355" s="68">
        <v>10.0</v>
      </c>
      <c r="D355" s="70"/>
      <c r="E355" s="8" t="s">
        <v>28</v>
      </c>
      <c r="F355" s="24" t="s">
        <v>263</v>
      </c>
      <c r="G355" s="15" t="s">
        <v>221</v>
      </c>
      <c r="H355" s="15" t="s">
        <v>222</v>
      </c>
      <c r="I355" s="71">
        <v>46183.0</v>
      </c>
      <c r="J355" s="66" t="s">
        <v>30</v>
      </c>
      <c r="K355" s="66" t="s">
        <v>30</v>
      </c>
      <c r="L355" s="66" t="s">
        <v>220</v>
      </c>
      <c r="M355" s="66" t="s">
        <v>45</v>
      </c>
      <c r="N355" s="24">
        <v>1.0</v>
      </c>
      <c r="O355" s="72">
        <v>17.0</v>
      </c>
      <c r="P355" s="24">
        <f t="array" ref="P355">if(O355="","", if(O355=9999,9999,ROUNDUP(_xlfn.XLOOKUP(J355&amp;"-"&amp;E355&amp;"-"&amp;K355,SpecCV[ID],SpecCV[factor])*O355,0)))</f>
        <v>17</v>
      </c>
      <c r="Q355" s="24">
        <f t="array" ref="Q355">if(J355="Contact plate", _xlfn.XLOOKUP(J355&amp;"-"&amp;E355&amp;"-"&amp;K355,SpecCV[ID],SpecCV[Spec]),_xlfn.XLOOKUP(J355&amp;"-"&amp;E355&amp;"-"&amp;K355,SpecCV[ID],SpecCV[Spec]))</f>
        <v>50</v>
      </c>
      <c r="R355" s="15" t="str">
        <f t="array" ref="R355">if(J355="Contact plate", _xlfn.XLOOKUP(J355&amp;"-"&amp;E355&amp;"-"&amp;K355,SpecCV[ID],SpecCV[Unit]),_xlfn.XLOOKUP(J355&amp;"-"&amp;E355&amp;"-"&amp;K355,SpecCV[ID],SpecCV[Unit]))</f>
        <v>cfu</v>
      </c>
      <c r="S355" s="24"/>
      <c r="T355" s="67"/>
      <c r="U355" s="67"/>
      <c r="V355" s="68" t="b">
        <v>0</v>
      </c>
      <c r="W355" s="24" t="s">
        <v>299</v>
      </c>
      <c r="X355" s="24"/>
    </row>
    <row r="356" ht="22.5" customHeight="1">
      <c r="A356" s="68"/>
      <c r="B356" s="68" t="b">
        <v>0</v>
      </c>
      <c r="C356" s="68">
        <v>10.0</v>
      </c>
      <c r="D356" s="70"/>
      <c r="E356" s="8" t="s">
        <v>28</v>
      </c>
      <c r="F356" s="24" t="s">
        <v>263</v>
      </c>
      <c r="G356" s="15" t="s">
        <v>221</v>
      </c>
      <c r="H356" s="15" t="s">
        <v>223</v>
      </c>
      <c r="I356" s="71">
        <v>46183.0</v>
      </c>
      <c r="J356" s="66" t="s">
        <v>30</v>
      </c>
      <c r="K356" s="66" t="s">
        <v>30</v>
      </c>
      <c r="L356" s="66" t="s">
        <v>220</v>
      </c>
      <c r="M356" s="66" t="s">
        <v>45</v>
      </c>
      <c r="N356" s="24">
        <v>1.0</v>
      </c>
      <c r="O356" s="72">
        <v>1.0</v>
      </c>
      <c r="P356" s="24">
        <f t="array" ref="P356">if(O356="","", if(O356=9999,9999,ROUNDUP(_xlfn.XLOOKUP(J356&amp;"-"&amp;E356&amp;"-"&amp;K356,SpecCV[ID],SpecCV[factor])*O356,0)))</f>
        <v>1</v>
      </c>
      <c r="Q356" s="24">
        <f t="array" ref="Q356">if(J356="Contact plate", _xlfn.XLOOKUP(J356&amp;"-"&amp;E356&amp;"-"&amp;K356,SpecCV[ID],SpecCV[Spec]),_xlfn.XLOOKUP(J356&amp;"-"&amp;E356&amp;"-"&amp;K356,SpecCV[ID],SpecCV[Spec]))</f>
        <v>50</v>
      </c>
      <c r="R356" s="15" t="str">
        <f t="array" ref="R356">if(J356="Contact plate", _xlfn.XLOOKUP(J356&amp;"-"&amp;E356&amp;"-"&amp;K356,SpecCV[ID],SpecCV[Unit]),_xlfn.XLOOKUP(J356&amp;"-"&amp;E356&amp;"-"&amp;K356,SpecCV[ID],SpecCV[Unit]))</f>
        <v>cfu</v>
      </c>
      <c r="S356" s="24"/>
      <c r="T356" s="67"/>
      <c r="U356" s="67"/>
      <c r="V356" s="68" t="b">
        <v>0</v>
      </c>
      <c r="W356" s="24" t="s">
        <v>299</v>
      </c>
      <c r="X356" s="24"/>
    </row>
    <row r="357" ht="22.5" customHeight="1">
      <c r="A357" s="68"/>
      <c r="B357" s="68" t="b">
        <v>0</v>
      </c>
      <c r="C357" s="68">
        <v>10.0</v>
      </c>
      <c r="D357" s="70"/>
      <c r="E357" s="68" t="s">
        <v>28</v>
      </c>
      <c r="F357" s="24" t="s">
        <v>263</v>
      </c>
      <c r="G357" s="15" t="s">
        <v>221</v>
      </c>
      <c r="H357" s="15" t="s">
        <v>224</v>
      </c>
      <c r="I357" s="71">
        <v>46183.0</v>
      </c>
      <c r="J357" s="66" t="s">
        <v>30</v>
      </c>
      <c r="K357" s="66" t="s">
        <v>30</v>
      </c>
      <c r="L357" s="66" t="s">
        <v>220</v>
      </c>
      <c r="M357" s="66" t="s">
        <v>45</v>
      </c>
      <c r="N357" s="24">
        <v>1.0</v>
      </c>
      <c r="O357" s="72">
        <v>0.0</v>
      </c>
      <c r="P357" s="24">
        <f t="array" ref="P357">if(O357="","", if(O357=9999,9999,ROUNDUP(_xlfn.XLOOKUP(J357&amp;"-"&amp;E357&amp;"-"&amp;K357,SpecCV[ID],SpecCV[factor])*O357,0)))</f>
        <v>0</v>
      </c>
      <c r="Q357" s="24">
        <f t="array" ref="Q357">if(J357="Contact plate", _xlfn.XLOOKUP(J357&amp;"-"&amp;E357&amp;"-"&amp;K357,SpecCV[ID],SpecCV[Spec]),_xlfn.XLOOKUP(J357&amp;"-"&amp;E357&amp;"-"&amp;K357,SpecCV[ID],SpecCV[Spec]))</f>
        <v>50</v>
      </c>
      <c r="R357" s="15" t="str">
        <f t="array" ref="R357">if(J357="Contact plate", _xlfn.XLOOKUP(J357&amp;"-"&amp;E357&amp;"-"&amp;K357,SpecCV[ID],SpecCV[Unit]),_xlfn.XLOOKUP(J357&amp;"-"&amp;E357&amp;"-"&amp;K357,SpecCV[ID],SpecCV[Unit]))</f>
        <v>cfu</v>
      </c>
      <c r="S357" s="24">
        <v>1.0</v>
      </c>
      <c r="T357" s="24">
        <v>0.0</v>
      </c>
      <c r="U357" s="24">
        <v>0.0</v>
      </c>
      <c r="V357" s="68" t="b">
        <v>0</v>
      </c>
      <c r="W357" s="24" t="s">
        <v>299</v>
      </c>
      <c r="X357" s="24"/>
    </row>
    <row r="358" ht="22.5" customHeight="1">
      <c r="A358" s="68"/>
      <c r="B358" s="68" t="b">
        <v>0</v>
      </c>
      <c r="C358" s="68">
        <v>10.0</v>
      </c>
      <c r="D358" s="70"/>
      <c r="E358" s="68" t="s">
        <v>28</v>
      </c>
      <c r="F358" s="24"/>
      <c r="G358" s="15" t="s">
        <v>75</v>
      </c>
      <c r="H358" s="15" t="s">
        <v>303</v>
      </c>
      <c r="I358" s="71">
        <v>46189.0</v>
      </c>
      <c r="J358" s="66" t="s">
        <v>30</v>
      </c>
      <c r="K358" s="66" t="s">
        <v>30</v>
      </c>
      <c r="L358" s="66"/>
      <c r="M358" s="66"/>
      <c r="N358" s="24"/>
      <c r="O358" s="72">
        <v>1.0</v>
      </c>
      <c r="P358" s="24">
        <f t="array" ref="P358">if(O358="","", if(O358=9999,9999,ROUNDUP(_xlfn.XLOOKUP(J358&amp;"-"&amp;E358&amp;"-"&amp;K358,SpecCV[ID],SpecCV[factor])*O358,0)))</f>
        <v>1</v>
      </c>
      <c r="Q358" s="24">
        <f t="array" ref="Q358">if(J358="Contact plate", _xlfn.XLOOKUP(J358&amp;"-"&amp;E358&amp;"-"&amp;K358,SpecCV[ID],SpecCV[Spec]),_xlfn.XLOOKUP(J358&amp;"-"&amp;E358&amp;"-"&amp;K358,SpecCV[ID],SpecCV[Spec]))</f>
        <v>50</v>
      </c>
      <c r="R358" s="15" t="str">
        <f t="array" ref="R358">if(J358="Contact plate", _xlfn.XLOOKUP(J358&amp;"-"&amp;E358&amp;"-"&amp;K358,SpecCV[ID],SpecCV[Unit]),_xlfn.XLOOKUP(J358&amp;"-"&amp;E358&amp;"-"&amp;K358,SpecCV[ID],SpecCV[Unit]))</f>
        <v>cfu</v>
      </c>
      <c r="S358" s="24">
        <v>0.0</v>
      </c>
      <c r="T358" s="24">
        <v>0.0</v>
      </c>
      <c r="U358" s="24">
        <v>0.0</v>
      </c>
      <c r="V358" s="68" t="b">
        <v>0</v>
      </c>
      <c r="W358" s="24" t="s">
        <v>304</v>
      </c>
      <c r="X358" s="24"/>
    </row>
    <row r="359" ht="22.5" customHeight="1">
      <c r="A359" s="68"/>
      <c r="B359" s="68" t="b">
        <v>0</v>
      </c>
      <c r="C359" s="68">
        <v>10.0</v>
      </c>
      <c r="D359" s="70"/>
      <c r="E359" s="68" t="s">
        <v>28</v>
      </c>
      <c r="F359" s="24"/>
      <c r="G359" s="15" t="s">
        <v>75</v>
      </c>
      <c r="H359" s="15" t="s">
        <v>305</v>
      </c>
      <c r="I359" s="71">
        <v>46189.0</v>
      </c>
      <c r="J359" s="66" t="s">
        <v>30</v>
      </c>
      <c r="K359" s="66" t="s">
        <v>30</v>
      </c>
      <c r="L359" s="66"/>
      <c r="M359" s="66"/>
      <c r="N359" s="24"/>
      <c r="O359" s="72">
        <v>0.0</v>
      </c>
      <c r="P359" s="24">
        <f t="array" ref="P359">if(O359="","", if(O359=9999,9999,ROUNDUP(_xlfn.XLOOKUP(J359&amp;"-"&amp;E359&amp;"-"&amp;K359,SpecCV[ID],SpecCV[factor])*O359,0)))</f>
        <v>0</v>
      </c>
      <c r="Q359" s="24">
        <f t="array" ref="Q359">if(J359="Contact plate", _xlfn.XLOOKUP(J359&amp;"-"&amp;E359&amp;"-"&amp;K359,SpecCV[ID],SpecCV[Spec]),_xlfn.XLOOKUP(J359&amp;"-"&amp;E359&amp;"-"&amp;K359,SpecCV[ID],SpecCV[Spec]))</f>
        <v>50</v>
      </c>
      <c r="R359" s="15" t="str">
        <f t="array" ref="R359">if(J359="Contact plate", _xlfn.XLOOKUP(J359&amp;"-"&amp;E359&amp;"-"&amp;K359,SpecCV[ID],SpecCV[Unit]),_xlfn.XLOOKUP(J359&amp;"-"&amp;E359&amp;"-"&amp;K359,SpecCV[ID],SpecCV[Unit]))</f>
        <v>cfu</v>
      </c>
      <c r="S359" s="24">
        <v>0.0</v>
      </c>
      <c r="T359" s="24">
        <v>0.0</v>
      </c>
      <c r="U359" s="24">
        <v>0.0</v>
      </c>
      <c r="V359" s="68" t="b">
        <v>0</v>
      </c>
      <c r="W359" s="24" t="s">
        <v>304</v>
      </c>
      <c r="X359" s="24"/>
    </row>
    <row r="360" ht="22.5" customHeight="1">
      <c r="A360" s="68"/>
      <c r="B360" s="68" t="b">
        <v>0</v>
      </c>
      <c r="C360" s="68">
        <v>10.0</v>
      </c>
      <c r="D360" s="70"/>
      <c r="E360" s="68" t="s">
        <v>28</v>
      </c>
      <c r="F360" s="24"/>
      <c r="G360" s="15" t="s">
        <v>75</v>
      </c>
      <c r="H360" s="15" t="s">
        <v>306</v>
      </c>
      <c r="I360" s="71">
        <v>46189.0</v>
      </c>
      <c r="J360" s="66" t="s">
        <v>30</v>
      </c>
      <c r="K360" s="66" t="s">
        <v>30</v>
      </c>
      <c r="L360" s="66"/>
      <c r="M360" s="66"/>
      <c r="N360" s="24"/>
      <c r="O360" s="72">
        <v>1.0</v>
      </c>
      <c r="P360" s="24">
        <f t="array" ref="P360">if(O360="","", if(O360=9999,9999,ROUNDUP(_xlfn.XLOOKUP(J360&amp;"-"&amp;E360&amp;"-"&amp;K360,SpecCV[ID],SpecCV[factor])*O360,0)))</f>
        <v>1</v>
      </c>
      <c r="Q360" s="24">
        <f t="array" ref="Q360">if(J360="Contact plate", _xlfn.XLOOKUP(J360&amp;"-"&amp;E360&amp;"-"&amp;K360,SpecCV[ID],SpecCV[Spec]),_xlfn.XLOOKUP(J360&amp;"-"&amp;E360&amp;"-"&amp;K360,SpecCV[ID],SpecCV[Spec]))</f>
        <v>50</v>
      </c>
      <c r="R360" s="15" t="str">
        <f t="array" ref="R360">if(J360="Contact plate", _xlfn.XLOOKUP(J360&amp;"-"&amp;E360&amp;"-"&amp;K360,SpecCV[ID],SpecCV[Unit]),_xlfn.XLOOKUP(J360&amp;"-"&amp;E360&amp;"-"&amp;K360,SpecCV[ID],SpecCV[Unit]))</f>
        <v>cfu</v>
      </c>
      <c r="S360" s="24">
        <v>0.0</v>
      </c>
      <c r="T360" s="24">
        <v>0.0</v>
      </c>
      <c r="U360" s="24">
        <v>0.0</v>
      </c>
      <c r="V360" s="68" t="b">
        <v>0</v>
      </c>
      <c r="W360" s="24" t="s">
        <v>304</v>
      </c>
      <c r="X360" s="24"/>
    </row>
    <row r="361" ht="22.5" customHeight="1">
      <c r="A361" s="68"/>
      <c r="B361" s="68" t="b">
        <v>0</v>
      </c>
      <c r="C361" s="68">
        <v>10.0</v>
      </c>
      <c r="D361" s="70"/>
      <c r="E361" s="68" t="s">
        <v>28</v>
      </c>
      <c r="F361" s="24"/>
      <c r="G361" s="15" t="s">
        <v>75</v>
      </c>
      <c r="H361" s="15" t="s">
        <v>307</v>
      </c>
      <c r="I361" s="71">
        <v>46189.0</v>
      </c>
      <c r="J361" s="66" t="s">
        <v>30</v>
      </c>
      <c r="K361" s="66" t="s">
        <v>30</v>
      </c>
      <c r="L361" s="66"/>
      <c r="M361" s="66"/>
      <c r="N361" s="24"/>
      <c r="O361" s="72">
        <v>0.0</v>
      </c>
      <c r="P361" s="24">
        <f t="array" ref="P361">if(O361="","", if(O361=9999,9999,ROUNDUP(_xlfn.XLOOKUP(J361&amp;"-"&amp;E361&amp;"-"&amp;K361,SpecCV[ID],SpecCV[factor])*O361,0)))</f>
        <v>0</v>
      </c>
      <c r="Q361" s="24">
        <f t="array" ref="Q361">if(J361="Contact plate", _xlfn.XLOOKUP(J361&amp;"-"&amp;E361&amp;"-"&amp;K361,SpecCV[ID],SpecCV[Spec]),_xlfn.XLOOKUP(J361&amp;"-"&amp;E361&amp;"-"&amp;K361,SpecCV[ID],SpecCV[Spec]))</f>
        <v>50</v>
      </c>
      <c r="R361" s="15" t="str">
        <f t="array" ref="R361">if(J361="Contact plate", _xlfn.XLOOKUP(J361&amp;"-"&amp;E361&amp;"-"&amp;K361,SpecCV[ID],SpecCV[Unit]),_xlfn.XLOOKUP(J361&amp;"-"&amp;E361&amp;"-"&amp;K361,SpecCV[ID],SpecCV[Unit]))</f>
        <v>cfu</v>
      </c>
      <c r="S361" s="24">
        <v>0.0</v>
      </c>
      <c r="T361" s="24">
        <v>0.0</v>
      </c>
      <c r="U361" s="24">
        <v>0.0</v>
      </c>
      <c r="V361" s="68" t="b">
        <v>0</v>
      </c>
      <c r="W361" s="24" t="s">
        <v>304</v>
      </c>
      <c r="X361" s="24"/>
    </row>
    <row r="362" ht="22.5" customHeight="1">
      <c r="A362" s="68"/>
      <c r="B362" s="68" t="b">
        <v>0</v>
      </c>
      <c r="C362" s="68">
        <v>10.0</v>
      </c>
      <c r="D362" s="70"/>
      <c r="E362" s="68" t="s">
        <v>28</v>
      </c>
      <c r="F362" s="24"/>
      <c r="G362" s="15" t="s">
        <v>75</v>
      </c>
      <c r="H362" s="15" t="s">
        <v>308</v>
      </c>
      <c r="I362" s="71">
        <v>46189.0</v>
      </c>
      <c r="J362" s="66" t="s">
        <v>30</v>
      </c>
      <c r="K362" s="66" t="s">
        <v>30</v>
      </c>
      <c r="L362" s="66"/>
      <c r="M362" s="66"/>
      <c r="N362" s="24"/>
      <c r="O362" s="72">
        <v>0.0</v>
      </c>
      <c r="P362" s="24">
        <f t="array" ref="P362">if(O362="","", if(O362=9999,9999,ROUNDUP(_xlfn.XLOOKUP(J362&amp;"-"&amp;E362&amp;"-"&amp;K362,SpecCV[ID],SpecCV[factor])*O362,0)))</f>
        <v>0</v>
      </c>
      <c r="Q362" s="24">
        <f t="array" ref="Q362">if(J362="Contact plate", _xlfn.XLOOKUP(J362&amp;"-"&amp;E362&amp;"-"&amp;K362,SpecCV[ID],SpecCV[Spec]),_xlfn.XLOOKUP(J362&amp;"-"&amp;E362&amp;"-"&amp;K362,SpecCV[ID],SpecCV[Spec]))</f>
        <v>50</v>
      </c>
      <c r="R362" s="15" t="str">
        <f t="array" ref="R362">if(J362="Contact plate", _xlfn.XLOOKUP(J362&amp;"-"&amp;E362&amp;"-"&amp;K362,SpecCV[ID],SpecCV[Unit]),_xlfn.XLOOKUP(J362&amp;"-"&amp;E362&amp;"-"&amp;K362,SpecCV[ID],SpecCV[Unit]))</f>
        <v>cfu</v>
      </c>
      <c r="S362" s="24">
        <v>0.0</v>
      </c>
      <c r="T362" s="24">
        <v>0.0</v>
      </c>
      <c r="U362" s="24">
        <v>0.0</v>
      </c>
      <c r="V362" s="68" t="b">
        <v>0</v>
      </c>
      <c r="W362" s="24" t="s">
        <v>304</v>
      </c>
      <c r="X362" s="24"/>
    </row>
    <row r="363" ht="22.5" customHeight="1">
      <c r="A363" s="68"/>
      <c r="B363" s="68" t="b">
        <v>0</v>
      </c>
      <c r="C363" s="68">
        <v>10.0</v>
      </c>
      <c r="D363" s="70"/>
      <c r="E363" s="68" t="s">
        <v>28</v>
      </c>
      <c r="F363" s="24"/>
      <c r="G363" s="15" t="s">
        <v>75</v>
      </c>
      <c r="H363" s="15" t="s">
        <v>309</v>
      </c>
      <c r="I363" s="71">
        <v>46189.0</v>
      </c>
      <c r="J363" s="66" t="s">
        <v>30</v>
      </c>
      <c r="K363" s="66" t="s">
        <v>30</v>
      </c>
      <c r="L363" s="66"/>
      <c r="M363" s="66"/>
      <c r="N363" s="24"/>
      <c r="O363" s="72">
        <v>0.0</v>
      </c>
      <c r="P363" s="24">
        <f t="array" ref="P363">if(O363="","", if(O363=9999,9999,ROUNDUP(_xlfn.XLOOKUP(J363&amp;"-"&amp;E363&amp;"-"&amp;K363,SpecCV[ID],SpecCV[factor])*O363,0)))</f>
        <v>0</v>
      </c>
      <c r="Q363" s="24">
        <f t="array" ref="Q363">if(J363="Contact plate", _xlfn.XLOOKUP(J363&amp;"-"&amp;E363&amp;"-"&amp;K363,SpecCV[ID],SpecCV[Spec]),_xlfn.XLOOKUP(J363&amp;"-"&amp;E363&amp;"-"&amp;K363,SpecCV[ID],SpecCV[Spec]))</f>
        <v>50</v>
      </c>
      <c r="R363" s="15" t="str">
        <f t="array" ref="R363">if(J363="Contact plate", _xlfn.XLOOKUP(J363&amp;"-"&amp;E363&amp;"-"&amp;K363,SpecCV[ID],SpecCV[Unit]),_xlfn.XLOOKUP(J363&amp;"-"&amp;E363&amp;"-"&amp;K363,SpecCV[ID],SpecCV[Unit]))</f>
        <v>cfu</v>
      </c>
      <c r="S363" s="24">
        <v>0.0</v>
      </c>
      <c r="T363" s="24">
        <v>0.0</v>
      </c>
      <c r="U363" s="24">
        <v>0.0</v>
      </c>
      <c r="V363" s="68" t="b">
        <v>0</v>
      </c>
      <c r="W363" s="24" t="s">
        <v>304</v>
      </c>
      <c r="X363" s="24"/>
    </row>
    <row r="364" ht="22.5" customHeight="1">
      <c r="A364" s="68"/>
      <c r="B364" s="68" t="b">
        <v>0</v>
      </c>
      <c r="C364" s="68">
        <v>10.0</v>
      </c>
      <c r="D364" s="70"/>
      <c r="E364" s="68" t="s">
        <v>28</v>
      </c>
      <c r="F364" s="24"/>
      <c r="G364" s="15" t="s">
        <v>75</v>
      </c>
      <c r="H364" s="15" t="s">
        <v>310</v>
      </c>
      <c r="I364" s="71">
        <v>46189.0</v>
      </c>
      <c r="J364" s="66" t="s">
        <v>30</v>
      </c>
      <c r="K364" s="66" t="s">
        <v>30</v>
      </c>
      <c r="L364" s="66"/>
      <c r="M364" s="66"/>
      <c r="N364" s="24"/>
      <c r="O364" s="72">
        <v>0.0</v>
      </c>
      <c r="P364" s="24">
        <f t="array" ref="P364">if(O364="","", if(O364=9999,9999,ROUNDUP(_xlfn.XLOOKUP(J364&amp;"-"&amp;E364&amp;"-"&amp;K364,SpecCV[ID],SpecCV[factor])*O364,0)))</f>
        <v>0</v>
      </c>
      <c r="Q364" s="24">
        <f t="array" ref="Q364">if(J364="Contact plate", _xlfn.XLOOKUP(J364&amp;"-"&amp;E364&amp;"-"&amp;K364,SpecCV[ID],SpecCV[Spec]),_xlfn.XLOOKUP(J364&amp;"-"&amp;E364&amp;"-"&amp;K364,SpecCV[ID],SpecCV[Spec]))</f>
        <v>50</v>
      </c>
      <c r="R364" s="15" t="str">
        <f t="array" ref="R364">if(J364="Contact plate", _xlfn.XLOOKUP(J364&amp;"-"&amp;E364&amp;"-"&amp;K364,SpecCV[ID],SpecCV[Unit]),_xlfn.XLOOKUP(J364&amp;"-"&amp;E364&amp;"-"&amp;K364,SpecCV[ID],SpecCV[Unit]))</f>
        <v>cfu</v>
      </c>
      <c r="S364" s="24">
        <v>0.0</v>
      </c>
      <c r="T364" s="24">
        <v>0.0</v>
      </c>
      <c r="U364" s="24">
        <v>0.0</v>
      </c>
      <c r="V364" s="68" t="b">
        <v>0</v>
      </c>
      <c r="W364" s="24" t="s">
        <v>304</v>
      </c>
      <c r="X364" s="24"/>
    </row>
    <row r="365" ht="22.5" customHeight="1">
      <c r="A365" s="68"/>
      <c r="B365" s="68" t="b">
        <v>0</v>
      </c>
      <c r="C365" s="68">
        <v>10.0</v>
      </c>
      <c r="D365" s="70"/>
      <c r="E365" s="68" t="s">
        <v>28</v>
      </c>
      <c r="F365" s="15" t="s">
        <v>33</v>
      </c>
      <c r="G365" s="15" t="s">
        <v>102</v>
      </c>
      <c r="H365" s="15" t="s">
        <v>111</v>
      </c>
      <c r="I365" s="71">
        <v>46190.0</v>
      </c>
      <c r="J365" s="66" t="s">
        <v>30</v>
      </c>
      <c r="K365" s="66" t="s">
        <v>30</v>
      </c>
      <c r="L365" s="66"/>
      <c r="M365" s="66"/>
      <c r="N365" s="24"/>
      <c r="O365" s="72">
        <v>0.0</v>
      </c>
      <c r="P365" s="24">
        <f t="array" ref="P365">if(O365="","", if(O365=9999,9999,ROUNDUP(_xlfn.XLOOKUP(J365&amp;"-"&amp;E365&amp;"-"&amp;K365,SpecCV[ID],SpecCV[factor])*O365,0)))</f>
        <v>0</v>
      </c>
      <c r="Q365" s="24">
        <f t="array" ref="Q365">if(J365="Contact plate", _xlfn.XLOOKUP(J365&amp;"-"&amp;E365&amp;"-"&amp;K365,SpecCV[ID],SpecCV[Spec]),_xlfn.XLOOKUP(J365&amp;"-"&amp;E365&amp;"-"&amp;K365,SpecCV[ID],SpecCV[Spec]))</f>
        <v>50</v>
      </c>
      <c r="R365" s="15" t="str">
        <f t="array" ref="R365">if(J365="Contact plate", _xlfn.XLOOKUP(J365&amp;"-"&amp;E365&amp;"-"&amp;K365,SpecCV[ID],SpecCV[Unit]),_xlfn.XLOOKUP(J365&amp;"-"&amp;E365&amp;"-"&amp;K365,SpecCV[ID],SpecCV[Unit]))</f>
        <v>cfu</v>
      </c>
      <c r="S365" s="24">
        <v>75.0</v>
      </c>
      <c r="T365" s="24">
        <v>0.0</v>
      </c>
      <c r="U365" s="24">
        <v>0.0</v>
      </c>
      <c r="V365" s="68" t="b">
        <v>0</v>
      </c>
      <c r="W365" s="24" t="s">
        <v>311</v>
      </c>
      <c r="X365" s="24"/>
    </row>
    <row r="366" ht="22.5" customHeight="1">
      <c r="A366" s="68"/>
      <c r="B366" s="68" t="b">
        <v>0</v>
      </c>
      <c r="C366" s="68">
        <v>10.0</v>
      </c>
      <c r="D366" s="70"/>
      <c r="E366" s="68" t="s">
        <v>28</v>
      </c>
      <c r="F366" s="15" t="s">
        <v>33</v>
      </c>
      <c r="G366" s="15" t="s">
        <v>102</v>
      </c>
      <c r="H366" s="15" t="s">
        <v>116</v>
      </c>
      <c r="I366" s="71">
        <v>46190.0</v>
      </c>
      <c r="J366" s="66" t="s">
        <v>30</v>
      </c>
      <c r="K366" s="66" t="s">
        <v>30</v>
      </c>
      <c r="L366" s="66"/>
      <c r="M366" s="66"/>
      <c r="N366" s="24"/>
      <c r="O366" s="72">
        <v>4.0</v>
      </c>
      <c r="P366" s="24">
        <f t="array" ref="P366">if(O366="","", if(O366=9999,9999,ROUNDUP(_xlfn.XLOOKUP(J366&amp;"-"&amp;E366&amp;"-"&amp;K366,SpecCV[ID],SpecCV[factor])*O366,0)))</f>
        <v>4</v>
      </c>
      <c r="Q366" s="24">
        <f t="array" ref="Q366">if(J366="Contact plate", _xlfn.XLOOKUP(J366&amp;"-"&amp;E366&amp;"-"&amp;K366,SpecCV[ID],SpecCV[Spec]),_xlfn.XLOOKUP(J366&amp;"-"&amp;E366&amp;"-"&amp;K366,SpecCV[ID],SpecCV[Spec]))</f>
        <v>50</v>
      </c>
      <c r="R366" s="15" t="str">
        <f t="array" ref="R366">if(J366="Contact plate", _xlfn.XLOOKUP(J366&amp;"-"&amp;E366&amp;"-"&amp;K366,SpecCV[ID],SpecCV[Unit]),_xlfn.XLOOKUP(J366&amp;"-"&amp;E366&amp;"-"&amp;K366,SpecCV[ID],SpecCV[Unit]))</f>
        <v>cfu</v>
      </c>
      <c r="S366" s="24">
        <v>75.0</v>
      </c>
      <c r="T366" s="24">
        <v>0.0</v>
      </c>
      <c r="U366" s="24">
        <v>0.0</v>
      </c>
      <c r="V366" s="68" t="b">
        <v>0</v>
      </c>
      <c r="W366" s="24" t="s">
        <v>311</v>
      </c>
      <c r="X366" s="24"/>
    </row>
    <row r="367" ht="22.5" customHeight="1">
      <c r="A367" s="68"/>
      <c r="B367" s="68" t="b">
        <v>0</v>
      </c>
      <c r="C367" s="68">
        <v>10.0</v>
      </c>
      <c r="D367" s="70"/>
      <c r="E367" s="68" t="s">
        <v>28</v>
      </c>
      <c r="F367" s="15" t="s">
        <v>33</v>
      </c>
      <c r="G367" s="15" t="s">
        <v>102</v>
      </c>
      <c r="H367" s="15" t="s">
        <v>105</v>
      </c>
      <c r="I367" s="71">
        <v>46190.0</v>
      </c>
      <c r="J367" s="66" t="s">
        <v>30</v>
      </c>
      <c r="K367" s="66" t="s">
        <v>30</v>
      </c>
      <c r="L367" s="66"/>
      <c r="M367" s="66"/>
      <c r="N367" s="24"/>
      <c r="O367" s="72">
        <v>0.0</v>
      </c>
      <c r="P367" s="24">
        <f t="array" ref="P367">if(O367="","", if(O367=9999,9999,ROUNDUP(_xlfn.XLOOKUP(J367&amp;"-"&amp;E367&amp;"-"&amp;K367,SpecCV[ID],SpecCV[factor])*O367,0)))</f>
        <v>0</v>
      </c>
      <c r="Q367" s="24">
        <f t="array" ref="Q367">if(J367="Contact plate", _xlfn.XLOOKUP(J367&amp;"-"&amp;E367&amp;"-"&amp;K367,SpecCV[ID],SpecCV[Spec]),_xlfn.XLOOKUP(J367&amp;"-"&amp;E367&amp;"-"&amp;K367,SpecCV[ID],SpecCV[Spec]))</f>
        <v>50</v>
      </c>
      <c r="R367" s="15" t="str">
        <f t="array" ref="R367">if(J367="Contact plate", _xlfn.XLOOKUP(J367&amp;"-"&amp;E367&amp;"-"&amp;K367,SpecCV[ID],SpecCV[Unit]),_xlfn.XLOOKUP(J367&amp;"-"&amp;E367&amp;"-"&amp;K367,SpecCV[ID],SpecCV[Unit]))</f>
        <v>cfu</v>
      </c>
      <c r="S367" s="24">
        <v>75.0</v>
      </c>
      <c r="T367" s="24">
        <v>0.0</v>
      </c>
      <c r="U367" s="24">
        <v>0.0</v>
      </c>
      <c r="V367" s="68" t="b">
        <v>0</v>
      </c>
      <c r="W367" s="24" t="s">
        <v>311</v>
      </c>
      <c r="X367" s="24"/>
    </row>
    <row r="368" ht="22.5" customHeight="1">
      <c r="A368" s="68"/>
      <c r="B368" s="68" t="b">
        <v>0</v>
      </c>
      <c r="C368" s="68">
        <v>10.0</v>
      </c>
      <c r="D368" s="70"/>
      <c r="E368" s="68" t="s">
        <v>28</v>
      </c>
      <c r="F368" s="15" t="s">
        <v>33</v>
      </c>
      <c r="G368" s="15" t="s">
        <v>102</v>
      </c>
      <c r="H368" s="15" t="s">
        <v>108</v>
      </c>
      <c r="I368" s="71">
        <v>46190.0</v>
      </c>
      <c r="J368" s="66" t="s">
        <v>30</v>
      </c>
      <c r="K368" s="66" t="s">
        <v>30</v>
      </c>
      <c r="L368" s="73"/>
      <c r="M368" s="73"/>
      <c r="N368" s="24"/>
      <c r="O368" s="72">
        <v>12.0</v>
      </c>
      <c r="P368" s="24">
        <f t="array" ref="P368">if(O368="","", if(O368=9999,9999,ROUNDUP(_xlfn.XLOOKUP(J368&amp;"-"&amp;E368&amp;"-"&amp;K368,SpecCV[ID],SpecCV[factor])*O368,0)))</f>
        <v>12</v>
      </c>
      <c r="Q368" s="24">
        <f t="array" ref="Q368">if(J368="Contact plate", _xlfn.XLOOKUP(J368&amp;"-"&amp;E368&amp;"-"&amp;K368,SpecCV[ID],SpecCV[Spec]),_xlfn.XLOOKUP(J368&amp;"-"&amp;E368&amp;"-"&amp;K368,SpecCV[ID],SpecCV[Spec]))</f>
        <v>50</v>
      </c>
      <c r="R368" s="15" t="str">
        <f t="array" ref="R368">if(J368="Contact plate", _xlfn.XLOOKUP(J368&amp;"-"&amp;E368&amp;"-"&amp;K368,SpecCV[ID],SpecCV[Unit]),_xlfn.XLOOKUP(J368&amp;"-"&amp;E368&amp;"-"&amp;K368,SpecCV[ID],SpecCV[Unit]))</f>
        <v>cfu</v>
      </c>
      <c r="S368" s="24">
        <v>75.0</v>
      </c>
      <c r="T368" s="24">
        <v>0.0</v>
      </c>
      <c r="U368" s="24">
        <v>0.0</v>
      </c>
      <c r="V368" s="68" t="b">
        <v>0</v>
      </c>
      <c r="W368" s="24" t="s">
        <v>311</v>
      </c>
      <c r="X368" s="24"/>
    </row>
    <row r="369" ht="22.5" customHeight="1">
      <c r="A369" s="68"/>
      <c r="B369" s="68" t="b">
        <v>0</v>
      </c>
      <c r="C369" s="68">
        <v>10.0</v>
      </c>
      <c r="D369" s="70"/>
      <c r="E369" s="68" t="s">
        <v>28</v>
      </c>
      <c r="F369" s="15" t="s">
        <v>33</v>
      </c>
      <c r="G369" s="15" t="s">
        <v>119</v>
      </c>
      <c r="H369" s="15" t="s">
        <v>120</v>
      </c>
      <c r="I369" s="71">
        <v>46190.0</v>
      </c>
      <c r="J369" s="66" t="s">
        <v>30</v>
      </c>
      <c r="K369" s="66" t="s">
        <v>30</v>
      </c>
      <c r="L369" s="73"/>
      <c r="M369" s="73"/>
      <c r="N369" s="24"/>
      <c r="O369" s="72">
        <v>0.0</v>
      </c>
      <c r="P369" s="24">
        <f t="array" ref="P369">if(O369="","", if(O369=9999,9999,ROUNDUP(_xlfn.XLOOKUP(J369&amp;"-"&amp;E369&amp;"-"&amp;K369,SpecCV[ID],SpecCV[factor])*O369,0)))</f>
        <v>0</v>
      </c>
      <c r="Q369" s="24">
        <f t="array" ref="Q369">if(J369="Contact plate", _xlfn.XLOOKUP(J369&amp;"-"&amp;E369&amp;"-"&amp;K369,SpecCV[ID],SpecCV[Spec]),_xlfn.XLOOKUP(J369&amp;"-"&amp;E369&amp;"-"&amp;K369,SpecCV[ID],SpecCV[Spec]))</f>
        <v>50</v>
      </c>
      <c r="R369" s="15" t="str">
        <f t="array" ref="R369">if(J369="Contact plate", _xlfn.XLOOKUP(J369&amp;"-"&amp;E369&amp;"-"&amp;K369,SpecCV[ID],SpecCV[Unit]),_xlfn.XLOOKUP(J369&amp;"-"&amp;E369&amp;"-"&amp;K369,SpecCV[ID],SpecCV[Unit]))</f>
        <v>cfu</v>
      </c>
      <c r="S369" s="24">
        <v>75.0</v>
      </c>
      <c r="T369" s="24">
        <v>0.0</v>
      </c>
      <c r="U369" s="24">
        <v>0.0</v>
      </c>
      <c r="V369" s="68" t="b">
        <v>0</v>
      </c>
      <c r="W369" s="24" t="s">
        <v>311</v>
      </c>
      <c r="X369" s="24"/>
    </row>
    <row r="370" ht="22.5" customHeight="1">
      <c r="A370" s="68"/>
      <c r="B370" s="68" t="b">
        <v>0</v>
      </c>
      <c r="C370" s="68">
        <v>10.0</v>
      </c>
      <c r="D370" s="70"/>
      <c r="E370" s="68" t="s">
        <v>28</v>
      </c>
      <c r="F370" s="15" t="s">
        <v>33</v>
      </c>
      <c r="G370" s="15" t="s">
        <v>119</v>
      </c>
      <c r="H370" s="15" t="s">
        <v>123</v>
      </c>
      <c r="I370" s="71">
        <v>46190.0</v>
      </c>
      <c r="J370" s="66" t="s">
        <v>30</v>
      </c>
      <c r="K370" s="66" t="s">
        <v>30</v>
      </c>
      <c r="L370" s="66"/>
      <c r="M370" s="66"/>
      <c r="N370" s="24"/>
      <c r="O370" s="72">
        <v>0.0</v>
      </c>
      <c r="P370" s="24">
        <f t="array" ref="P370">if(O370="","", if(O370=9999,9999,ROUNDUP(_xlfn.XLOOKUP(J370&amp;"-"&amp;E370&amp;"-"&amp;K370,SpecCV[ID],SpecCV[factor])*O370,0)))</f>
        <v>0</v>
      </c>
      <c r="Q370" s="24">
        <f t="array" ref="Q370">if(J370="Contact plate", _xlfn.XLOOKUP(J370&amp;"-"&amp;E370&amp;"-"&amp;K370,SpecCV[ID],SpecCV[Spec]),_xlfn.XLOOKUP(J370&amp;"-"&amp;E370&amp;"-"&amp;K370,SpecCV[ID],SpecCV[Spec]))</f>
        <v>50</v>
      </c>
      <c r="R370" s="15" t="str">
        <f t="array" ref="R370">if(J370="Contact plate", _xlfn.XLOOKUP(J370&amp;"-"&amp;E370&amp;"-"&amp;K370,SpecCV[ID],SpecCV[Unit]),_xlfn.XLOOKUP(J370&amp;"-"&amp;E370&amp;"-"&amp;K370,SpecCV[ID],SpecCV[Unit]))</f>
        <v>cfu</v>
      </c>
      <c r="S370" s="24">
        <v>75.0</v>
      </c>
      <c r="T370" s="24">
        <v>0.0</v>
      </c>
      <c r="U370" s="24">
        <v>0.0</v>
      </c>
      <c r="V370" s="68" t="b">
        <v>0</v>
      </c>
      <c r="W370" s="24" t="s">
        <v>311</v>
      </c>
      <c r="X370" s="24"/>
    </row>
    <row r="371" ht="22.5" customHeight="1">
      <c r="A371" s="68"/>
      <c r="B371" s="68" t="b">
        <v>0</v>
      </c>
      <c r="C371" s="68">
        <v>10.0</v>
      </c>
      <c r="D371" s="70"/>
      <c r="E371" s="68" t="s">
        <v>28</v>
      </c>
      <c r="F371" s="15" t="s">
        <v>33</v>
      </c>
      <c r="G371" s="15" t="s">
        <v>127</v>
      </c>
      <c r="H371" s="15" t="s">
        <v>129</v>
      </c>
      <c r="I371" s="71">
        <v>46190.0</v>
      </c>
      <c r="J371" s="66" t="s">
        <v>30</v>
      </c>
      <c r="K371" s="66" t="s">
        <v>30</v>
      </c>
      <c r="L371" s="66"/>
      <c r="M371" s="66"/>
      <c r="N371" s="24"/>
      <c r="O371" s="72">
        <v>1.0</v>
      </c>
      <c r="P371" s="24">
        <f t="array" ref="P371">if(O371="","", if(O371=9999,9999,ROUNDUP(_xlfn.XLOOKUP(J371&amp;"-"&amp;E371&amp;"-"&amp;K371,SpecCV[ID],SpecCV[factor])*O371,0)))</f>
        <v>1</v>
      </c>
      <c r="Q371" s="24">
        <f t="array" ref="Q371">if(J371="Contact plate", _xlfn.XLOOKUP(J371&amp;"-"&amp;E371&amp;"-"&amp;K371,SpecCV[ID],SpecCV[Spec]),_xlfn.XLOOKUP(J371&amp;"-"&amp;E371&amp;"-"&amp;K371,SpecCV[ID],SpecCV[Spec]))</f>
        <v>50</v>
      </c>
      <c r="R371" s="15" t="str">
        <f t="array" ref="R371">if(J371="Contact plate", _xlfn.XLOOKUP(J371&amp;"-"&amp;E371&amp;"-"&amp;K371,SpecCV[ID],SpecCV[Unit]),_xlfn.XLOOKUP(J371&amp;"-"&amp;E371&amp;"-"&amp;K371,SpecCV[ID],SpecCV[Unit]))</f>
        <v>cfu</v>
      </c>
      <c r="S371" s="24">
        <v>75.0</v>
      </c>
      <c r="T371" s="24">
        <v>0.0</v>
      </c>
      <c r="U371" s="24">
        <v>0.0</v>
      </c>
      <c r="V371" s="68" t="b">
        <v>0</v>
      </c>
      <c r="W371" s="24" t="s">
        <v>311</v>
      </c>
      <c r="X371" s="24"/>
    </row>
    <row r="372" ht="22.5" customHeight="1">
      <c r="A372" s="68"/>
      <c r="B372" s="68" t="b">
        <v>0</v>
      </c>
      <c r="C372" s="68">
        <v>10.0</v>
      </c>
      <c r="D372" s="70"/>
      <c r="E372" s="68" t="s">
        <v>28</v>
      </c>
      <c r="F372" s="15" t="s">
        <v>33</v>
      </c>
      <c r="G372" s="15" t="s">
        <v>127</v>
      </c>
      <c r="H372" s="15" t="s">
        <v>132</v>
      </c>
      <c r="I372" s="71">
        <v>46190.0</v>
      </c>
      <c r="J372" s="66" t="s">
        <v>30</v>
      </c>
      <c r="K372" s="66" t="s">
        <v>30</v>
      </c>
      <c r="L372" s="66"/>
      <c r="M372" s="66"/>
      <c r="N372" s="24"/>
      <c r="O372" s="72">
        <v>1.0</v>
      </c>
      <c r="P372" s="24">
        <f t="array" ref="P372">if(O372="","", if(O372=9999,9999,ROUNDUP(_xlfn.XLOOKUP(J372&amp;"-"&amp;E372&amp;"-"&amp;K372,SpecCV[ID],SpecCV[factor])*O372,0)))</f>
        <v>1</v>
      </c>
      <c r="Q372" s="24">
        <f t="array" ref="Q372">if(J372="Contact plate", _xlfn.XLOOKUP(J372&amp;"-"&amp;E372&amp;"-"&amp;K372,SpecCV[ID],SpecCV[Spec]),_xlfn.XLOOKUP(J372&amp;"-"&amp;E372&amp;"-"&amp;K372,SpecCV[ID],SpecCV[Spec]))</f>
        <v>50</v>
      </c>
      <c r="R372" s="15" t="str">
        <f t="array" ref="R372">if(J372="Contact plate", _xlfn.XLOOKUP(J372&amp;"-"&amp;E372&amp;"-"&amp;K372,SpecCV[ID],SpecCV[Unit]),_xlfn.XLOOKUP(J372&amp;"-"&amp;E372&amp;"-"&amp;K372,SpecCV[ID],SpecCV[Unit]))</f>
        <v>cfu</v>
      </c>
      <c r="S372" s="24">
        <v>75.0</v>
      </c>
      <c r="T372" s="24">
        <v>0.0</v>
      </c>
      <c r="U372" s="24">
        <v>0.0</v>
      </c>
      <c r="V372" s="68" t="b">
        <v>0</v>
      </c>
      <c r="W372" s="24" t="s">
        <v>311</v>
      </c>
      <c r="X372" s="24"/>
    </row>
    <row r="373" ht="22.5" customHeight="1">
      <c r="A373" s="68"/>
      <c r="B373" s="68" t="b">
        <v>0</v>
      </c>
      <c r="C373" s="68">
        <v>10.0</v>
      </c>
      <c r="D373" s="70"/>
      <c r="E373" s="68" t="s">
        <v>28</v>
      </c>
      <c r="F373" s="15" t="s">
        <v>33</v>
      </c>
      <c r="G373" s="15" t="s">
        <v>75</v>
      </c>
      <c r="H373" s="15" t="s">
        <v>312</v>
      </c>
      <c r="I373" s="71">
        <v>46191.0</v>
      </c>
      <c r="J373" s="66" t="s">
        <v>30</v>
      </c>
      <c r="K373" s="66" t="s">
        <v>30</v>
      </c>
      <c r="L373" s="73"/>
      <c r="M373" s="73"/>
      <c r="N373" s="24"/>
      <c r="O373" s="72">
        <v>0.0</v>
      </c>
      <c r="P373" s="24">
        <f t="array" ref="P373">if(O373="","", if(O373=9999,9999,ROUNDUP(_xlfn.XLOOKUP(J373&amp;"-"&amp;E373&amp;"-"&amp;K373,SpecCV[ID],SpecCV[factor])*O373,0)))</f>
        <v>0</v>
      </c>
      <c r="Q373" s="24">
        <f t="array" ref="Q373">if(J373="Contact plate", _xlfn.XLOOKUP(J373&amp;"-"&amp;E373&amp;"-"&amp;K373,SpecCV[ID],SpecCV[Spec]),_xlfn.XLOOKUP(J373&amp;"-"&amp;E373&amp;"-"&amp;K373,SpecCV[ID],SpecCV[Spec]))</f>
        <v>50</v>
      </c>
      <c r="R373" s="15" t="str">
        <f t="array" ref="R373">if(J373="Contact plate", _xlfn.XLOOKUP(J373&amp;"-"&amp;E373&amp;"-"&amp;K373,SpecCV[ID],SpecCV[Unit]),_xlfn.XLOOKUP(J373&amp;"-"&amp;E373&amp;"-"&amp;K373,SpecCV[ID],SpecCV[Unit]))</f>
        <v>cfu</v>
      </c>
      <c r="S373" s="24">
        <v>0.0</v>
      </c>
      <c r="T373" s="24">
        <v>1.0</v>
      </c>
      <c r="U373" s="24">
        <v>4.0</v>
      </c>
      <c r="V373" s="68" t="b">
        <v>0</v>
      </c>
      <c r="W373" s="24" t="s">
        <v>311</v>
      </c>
      <c r="X373" s="24"/>
    </row>
    <row r="374" ht="22.5" customHeight="1">
      <c r="A374" s="68"/>
      <c r="B374" s="68" t="b">
        <v>0</v>
      </c>
      <c r="C374" s="68">
        <v>10.0</v>
      </c>
      <c r="D374" s="70"/>
      <c r="E374" s="68" t="s">
        <v>28</v>
      </c>
      <c r="F374" s="15" t="s">
        <v>33</v>
      </c>
      <c r="G374" s="15" t="s">
        <v>75</v>
      </c>
      <c r="H374" s="15" t="s">
        <v>313</v>
      </c>
      <c r="I374" s="71">
        <v>46191.0</v>
      </c>
      <c r="J374" s="66" t="s">
        <v>30</v>
      </c>
      <c r="K374" s="66" t="s">
        <v>30</v>
      </c>
      <c r="L374" s="73"/>
      <c r="M374" s="73"/>
      <c r="N374" s="24"/>
      <c r="O374" s="72">
        <v>0.0</v>
      </c>
      <c r="P374" s="24">
        <f t="array" ref="P374">if(O374="","", if(O374=9999,9999,ROUNDUP(_xlfn.XLOOKUP(J374&amp;"-"&amp;E374&amp;"-"&amp;K374,SpecCV[ID],SpecCV[factor])*O374,0)))</f>
        <v>0</v>
      </c>
      <c r="Q374" s="24">
        <f t="array" ref="Q374">if(J374="Contact plate", _xlfn.XLOOKUP(J374&amp;"-"&amp;E374&amp;"-"&amp;K374,SpecCV[ID],SpecCV[Spec]),_xlfn.XLOOKUP(J374&amp;"-"&amp;E374&amp;"-"&amp;K374,SpecCV[ID],SpecCV[Spec]))</f>
        <v>50</v>
      </c>
      <c r="R374" s="15" t="str">
        <f t="array" ref="R374">if(J374="Contact plate", _xlfn.XLOOKUP(J374&amp;"-"&amp;E374&amp;"-"&amp;K374,SpecCV[ID],SpecCV[Unit]),_xlfn.XLOOKUP(J374&amp;"-"&amp;E374&amp;"-"&amp;K374,SpecCV[ID],SpecCV[Unit]))</f>
        <v>cfu</v>
      </c>
      <c r="S374" s="24">
        <v>0.0</v>
      </c>
      <c r="T374" s="24">
        <v>1.0</v>
      </c>
      <c r="U374" s="24">
        <v>4.0</v>
      </c>
      <c r="V374" s="68" t="b">
        <v>0</v>
      </c>
      <c r="W374" s="24" t="s">
        <v>311</v>
      </c>
      <c r="X374" s="24"/>
    </row>
    <row r="375" ht="22.5" customHeight="1">
      <c r="A375" s="68"/>
      <c r="B375" s="68" t="b">
        <v>0</v>
      </c>
      <c r="C375" s="68">
        <v>10.0</v>
      </c>
      <c r="D375" s="70"/>
      <c r="E375" s="68" t="s">
        <v>28</v>
      </c>
      <c r="F375" s="15" t="s">
        <v>33</v>
      </c>
      <c r="G375" s="15" t="s">
        <v>75</v>
      </c>
      <c r="H375" s="15" t="s">
        <v>314</v>
      </c>
      <c r="I375" s="71">
        <v>46191.0</v>
      </c>
      <c r="J375" s="66" t="s">
        <v>30</v>
      </c>
      <c r="K375" s="66" t="s">
        <v>30</v>
      </c>
      <c r="L375" s="73"/>
      <c r="M375" s="73"/>
      <c r="N375" s="24"/>
      <c r="O375" s="72">
        <v>0.0</v>
      </c>
      <c r="P375" s="24">
        <f t="array" ref="P375">if(O375="","", if(O375=9999,9999,ROUNDUP(_xlfn.XLOOKUP(J375&amp;"-"&amp;E375&amp;"-"&amp;K375,SpecCV[ID],SpecCV[factor])*O375,0)))</f>
        <v>0</v>
      </c>
      <c r="Q375" s="24">
        <f t="array" ref="Q375">if(J375="Contact plate", _xlfn.XLOOKUP(J375&amp;"-"&amp;E375&amp;"-"&amp;K375,SpecCV[ID],SpecCV[Spec]),_xlfn.XLOOKUP(J375&amp;"-"&amp;E375&amp;"-"&amp;K375,SpecCV[ID],SpecCV[Spec]))</f>
        <v>50</v>
      </c>
      <c r="R375" s="15" t="str">
        <f t="array" ref="R375">if(J375="Contact plate", _xlfn.XLOOKUP(J375&amp;"-"&amp;E375&amp;"-"&amp;K375,SpecCV[ID],SpecCV[Unit]),_xlfn.XLOOKUP(J375&amp;"-"&amp;E375&amp;"-"&amp;K375,SpecCV[ID],SpecCV[Unit]))</f>
        <v>cfu</v>
      </c>
      <c r="S375" s="24">
        <v>0.0</v>
      </c>
      <c r="T375" s="24">
        <v>1.0</v>
      </c>
      <c r="U375" s="24">
        <v>4.0</v>
      </c>
      <c r="V375" s="68" t="b">
        <v>0</v>
      </c>
      <c r="W375" s="24" t="s">
        <v>311</v>
      </c>
      <c r="X375" s="24"/>
    </row>
    <row r="376" ht="22.5" customHeight="1">
      <c r="A376" s="68"/>
      <c r="B376" s="68" t="b">
        <v>0</v>
      </c>
      <c r="C376" s="68">
        <v>10.0</v>
      </c>
      <c r="D376" s="70"/>
      <c r="E376" s="68" t="s">
        <v>28</v>
      </c>
      <c r="F376" s="15" t="s">
        <v>33</v>
      </c>
      <c r="G376" s="15" t="s">
        <v>75</v>
      </c>
      <c r="H376" s="15" t="s">
        <v>315</v>
      </c>
      <c r="I376" s="71">
        <v>46191.0</v>
      </c>
      <c r="J376" s="66" t="s">
        <v>30</v>
      </c>
      <c r="K376" s="66" t="s">
        <v>30</v>
      </c>
      <c r="L376" s="73"/>
      <c r="M376" s="73"/>
      <c r="N376" s="24"/>
      <c r="O376" s="72">
        <v>0.0</v>
      </c>
      <c r="P376" s="24">
        <f t="array" ref="P376">if(O376="","", if(O376=9999,9999,ROUNDUP(_xlfn.XLOOKUP(J376&amp;"-"&amp;E376&amp;"-"&amp;K376,SpecCV[ID],SpecCV[factor])*O376,0)))</f>
        <v>0</v>
      </c>
      <c r="Q376" s="24">
        <f t="array" ref="Q376">if(J376="Contact plate", _xlfn.XLOOKUP(J376&amp;"-"&amp;E376&amp;"-"&amp;K376,SpecCV[ID],SpecCV[Spec]),_xlfn.XLOOKUP(J376&amp;"-"&amp;E376&amp;"-"&amp;K376,SpecCV[ID],SpecCV[Spec]))</f>
        <v>50</v>
      </c>
      <c r="R376" s="15" t="str">
        <f t="array" ref="R376">if(J376="Contact plate", _xlfn.XLOOKUP(J376&amp;"-"&amp;E376&amp;"-"&amp;K376,SpecCV[ID],SpecCV[Unit]),_xlfn.XLOOKUP(J376&amp;"-"&amp;E376&amp;"-"&amp;K376,SpecCV[ID],SpecCV[Unit]))</f>
        <v>cfu</v>
      </c>
      <c r="S376" s="24">
        <v>0.0</v>
      </c>
      <c r="T376" s="24">
        <v>1.0</v>
      </c>
      <c r="U376" s="24">
        <v>4.0</v>
      </c>
      <c r="V376" s="68" t="b">
        <v>0</v>
      </c>
      <c r="W376" s="24" t="s">
        <v>311</v>
      </c>
      <c r="X376" s="24"/>
    </row>
    <row r="377" ht="22.5" customHeight="1">
      <c r="A377" s="68"/>
      <c r="B377" s="68" t="b">
        <v>0</v>
      </c>
      <c r="C377" s="68">
        <v>10.0</v>
      </c>
      <c r="D377" s="70"/>
      <c r="E377" s="68" t="s">
        <v>28</v>
      </c>
      <c r="F377" s="15" t="s">
        <v>33</v>
      </c>
      <c r="G377" s="15" t="s">
        <v>75</v>
      </c>
      <c r="H377" s="15" t="s">
        <v>316</v>
      </c>
      <c r="I377" s="71">
        <v>46191.0</v>
      </c>
      <c r="J377" s="66" t="s">
        <v>30</v>
      </c>
      <c r="K377" s="66" t="s">
        <v>30</v>
      </c>
      <c r="L377" s="73"/>
      <c r="M377" s="73"/>
      <c r="N377" s="24"/>
      <c r="O377" s="72">
        <v>0.0</v>
      </c>
      <c r="P377" s="24">
        <f t="array" ref="P377">if(O377="","", if(O377=9999,9999,ROUNDUP(_xlfn.XLOOKUP(J377&amp;"-"&amp;E377&amp;"-"&amp;K377,SpecCV[ID],SpecCV[factor])*O377,0)))</f>
        <v>0</v>
      </c>
      <c r="Q377" s="24">
        <f t="array" ref="Q377">if(J377="Contact plate", _xlfn.XLOOKUP(J377&amp;"-"&amp;E377&amp;"-"&amp;K377,SpecCV[ID],SpecCV[Spec]),_xlfn.XLOOKUP(J377&amp;"-"&amp;E377&amp;"-"&amp;K377,SpecCV[ID],SpecCV[Spec]))</f>
        <v>50</v>
      </c>
      <c r="R377" s="15" t="str">
        <f t="array" ref="R377">if(J377="Contact plate", _xlfn.XLOOKUP(J377&amp;"-"&amp;E377&amp;"-"&amp;K377,SpecCV[ID],SpecCV[Unit]),_xlfn.XLOOKUP(J377&amp;"-"&amp;E377&amp;"-"&amp;K377,SpecCV[ID],SpecCV[Unit]))</f>
        <v>cfu</v>
      </c>
      <c r="S377" s="24">
        <v>0.0</v>
      </c>
      <c r="T377" s="24">
        <v>1.0</v>
      </c>
      <c r="U377" s="24">
        <v>4.0</v>
      </c>
      <c r="V377" s="68" t="b">
        <v>0</v>
      </c>
      <c r="W377" s="24" t="s">
        <v>311</v>
      </c>
      <c r="X377" s="24"/>
    </row>
    <row r="378" ht="22.5" customHeight="1">
      <c r="A378" s="68"/>
      <c r="B378" s="68" t="b">
        <v>0</v>
      </c>
      <c r="C378" s="68">
        <v>10.0</v>
      </c>
      <c r="D378" s="70"/>
      <c r="E378" s="68" t="s">
        <v>28</v>
      </c>
      <c r="F378" s="15" t="s">
        <v>33</v>
      </c>
      <c r="G378" s="15" t="s">
        <v>75</v>
      </c>
      <c r="H378" s="15" t="s">
        <v>317</v>
      </c>
      <c r="I378" s="71">
        <v>46191.0</v>
      </c>
      <c r="J378" s="66" t="s">
        <v>30</v>
      </c>
      <c r="K378" s="66" t="s">
        <v>30</v>
      </c>
      <c r="L378" s="73"/>
      <c r="M378" s="73"/>
      <c r="N378" s="24"/>
      <c r="O378" s="72">
        <v>0.0</v>
      </c>
      <c r="P378" s="24">
        <f t="array" ref="P378">if(O378="","", if(O378=9999,9999,ROUNDUP(_xlfn.XLOOKUP(J378&amp;"-"&amp;E378&amp;"-"&amp;K378,SpecCV[ID],SpecCV[factor])*O378,0)))</f>
        <v>0</v>
      </c>
      <c r="Q378" s="24">
        <f t="array" ref="Q378">if(J378="Contact plate", _xlfn.XLOOKUP(J378&amp;"-"&amp;E378&amp;"-"&amp;K378,SpecCV[ID],SpecCV[Spec]),_xlfn.XLOOKUP(J378&amp;"-"&amp;E378&amp;"-"&amp;K378,SpecCV[ID],SpecCV[Spec]))</f>
        <v>50</v>
      </c>
      <c r="R378" s="15" t="str">
        <f t="array" ref="R378">if(J378="Contact plate", _xlfn.XLOOKUP(J378&amp;"-"&amp;E378&amp;"-"&amp;K378,SpecCV[ID],SpecCV[Unit]),_xlfn.XLOOKUP(J378&amp;"-"&amp;E378&amp;"-"&amp;K378,SpecCV[ID],SpecCV[Unit]))</f>
        <v>cfu</v>
      </c>
      <c r="S378" s="24">
        <v>0.0</v>
      </c>
      <c r="T378" s="24">
        <v>1.0</v>
      </c>
      <c r="U378" s="24">
        <v>4.0</v>
      </c>
      <c r="V378" s="68" t="b">
        <v>0</v>
      </c>
      <c r="W378" s="24" t="s">
        <v>311</v>
      </c>
      <c r="X378" s="24"/>
    </row>
    <row r="379" ht="22.5" customHeight="1">
      <c r="A379" s="68"/>
      <c r="B379" s="68" t="b">
        <v>0</v>
      </c>
      <c r="C379" s="68">
        <v>10.0</v>
      </c>
      <c r="D379" s="70"/>
      <c r="E379" s="8" t="s">
        <v>28</v>
      </c>
      <c r="F379" s="24" t="s">
        <v>257</v>
      </c>
      <c r="G379" s="15" t="s">
        <v>221</v>
      </c>
      <c r="H379" s="15" t="s">
        <v>222</v>
      </c>
      <c r="I379" s="71">
        <v>46192.0</v>
      </c>
      <c r="J379" s="66" t="s">
        <v>30</v>
      </c>
      <c r="K379" s="66" t="s">
        <v>30</v>
      </c>
      <c r="L379" s="66" t="s">
        <v>220</v>
      </c>
      <c r="M379" s="66" t="s">
        <v>45</v>
      </c>
      <c r="N379" s="24">
        <v>4.0</v>
      </c>
      <c r="O379" s="72">
        <v>1.0</v>
      </c>
      <c r="P379" s="24">
        <f t="array" ref="P379">if(O379="","", if(O379=9999,9999,ROUNDUP(_xlfn.XLOOKUP(J379&amp;"-"&amp;E379&amp;"-"&amp;K379,SpecCV[ID],SpecCV[factor])*O379,0)))</f>
        <v>1</v>
      </c>
      <c r="Q379" s="24">
        <f t="array" ref="Q379">if(J379="Contact plate", _xlfn.XLOOKUP(J379&amp;"-"&amp;E379&amp;"-"&amp;K379,SpecCV[ID],SpecCV[Spec]),_xlfn.XLOOKUP(J379&amp;"-"&amp;E379&amp;"-"&amp;K379,SpecCV[ID],SpecCV[Spec]))</f>
        <v>50</v>
      </c>
      <c r="R379" s="15" t="str">
        <f t="array" ref="R379">if(J379="Contact plate", _xlfn.XLOOKUP(J379&amp;"-"&amp;E379&amp;"-"&amp;K379,SpecCV[ID],SpecCV[Unit]),_xlfn.XLOOKUP(J379&amp;"-"&amp;E379&amp;"-"&amp;K379,SpecCV[ID],SpecCV[Unit]))</f>
        <v>cfu</v>
      </c>
      <c r="S379" s="24">
        <v>1.0</v>
      </c>
      <c r="T379" s="24">
        <v>0.0</v>
      </c>
      <c r="U379" s="24">
        <v>0.0</v>
      </c>
      <c r="V379" s="68" t="b">
        <v>0</v>
      </c>
      <c r="W379" s="24" t="s">
        <v>299</v>
      </c>
      <c r="X379" s="24"/>
    </row>
    <row r="380" ht="22.5" customHeight="1">
      <c r="A380" s="68"/>
      <c r="B380" s="68" t="b">
        <v>0</v>
      </c>
      <c r="C380" s="68">
        <v>10.0</v>
      </c>
      <c r="D380" s="70"/>
      <c r="E380" s="8" t="s">
        <v>28</v>
      </c>
      <c r="F380" s="24" t="s">
        <v>257</v>
      </c>
      <c r="G380" s="15" t="s">
        <v>221</v>
      </c>
      <c r="H380" s="15" t="s">
        <v>223</v>
      </c>
      <c r="I380" s="71">
        <v>46192.0</v>
      </c>
      <c r="J380" s="66" t="s">
        <v>30</v>
      </c>
      <c r="K380" s="66" t="s">
        <v>30</v>
      </c>
      <c r="L380" s="66" t="s">
        <v>220</v>
      </c>
      <c r="M380" s="66" t="s">
        <v>45</v>
      </c>
      <c r="N380" s="24">
        <v>4.0</v>
      </c>
      <c r="O380" s="72">
        <v>1.0</v>
      </c>
      <c r="P380" s="24">
        <f t="array" ref="P380">if(O380="","", if(O380=9999,9999,ROUNDUP(_xlfn.XLOOKUP(J380&amp;"-"&amp;E380&amp;"-"&amp;K380,SpecCV[ID],SpecCV[factor])*O380,0)))</f>
        <v>1</v>
      </c>
      <c r="Q380" s="24">
        <f t="array" ref="Q380">if(J380="Contact plate", _xlfn.XLOOKUP(J380&amp;"-"&amp;E380&amp;"-"&amp;K380,SpecCV[ID],SpecCV[Spec]),_xlfn.XLOOKUP(J380&amp;"-"&amp;E380&amp;"-"&amp;K380,SpecCV[ID],SpecCV[Spec]))</f>
        <v>50</v>
      </c>
      <c r="R380" s="15" t="str">
        <f t="array" ref="R380">if(J380="Contact plate", _xlfn.XLOOKUP(J380&amp;"-"&amp;E380&amp;"-"&amp;K380,SpecCV[ID],SpecCV[Unit]),_xlfn.XLOOKUP(J380&amp;"-"&amp;E380&amp;"-"&amp;K380,SpecCV[ID],SpecCV[Unit]))</f>
        <v>cfu</v>
      </c>
      <c r="S380" s="24">
        <v>1.0</v>
      </c>
      <c r="T380" s="24">
        <v>0.0</v>
      </c>
      <c r="U380" s="24">
        <v>0.0</v>
      </c>
      <c r="V380" s="68" t="b">
        <v>0</v>
      </c>
      <c r="W380" s="24" t="s">
        <v>299</v>
      </c>
      <c r="X380" s="24"/>
    </row>
    <row r="381" ht="22.5" customHeight="1">
      <c r="A381" s="68"/>
      <c r="B381" s="68" t="b">
        <v>0</v>
      </c>
      <c r="C381" s="68">
        <v>10.0</v>
      </c>
      <c r="D381" s="70"/>
      <c r="E381" s="68" t="s">
        <v>28</v>
      </c>
      <c r="F381" s="24" t="s">
        <v>257</v>
      </c>
      <c r="G381" s="15" t="s">
        <v>221</v>
      </c>
      <c r="H381" s="15" t="s">
        <v>224</v>
      </c>
      <c r="I381" s="71">
        <v>46192.0</v>
      </c>
      <c r="J381" s="66" t="s">
        <v>30</v>
      </c>
      <c r="K381" s="66" t="s">
        <v>30</v>
      </c>
      <c r="L381" s="66" t="s">
        <v>220</v>
      </c>
      <c r="M381" s="66" t="s">
        <v>45</v>
      </c>
      <c r="N381" s="24">
        <v>4.0</v>
      </c>
      <c r="O381" s="72">
        <v>1.0</v>
      </c>
      <c r="P381" s="24">
        <f t="array" ref="P381">if(O381="","", if(O381=9999,9999,ROUNDUP(_xlfn.XLOOKUP(J381&amp;"-"&amp;E381&amp;"-"&amp;K381,SpecCV[ID],SpecCV[factor])*O381,0)))</f>
        <v>1</v>
      </c>
      <c r="Q381" s="24">
        <f t="array" ref="Q381">if(J381="Contact plate", _xlfn.XLOOKUP(J381&amp;"-"&amp;E381&amp;"-"&amp;K381,SpecCV[ID],SpecCV[Spec]),_xlfn.XLOOKUP(J381&amp;"-"&amp;E381&amp;"-"&amp;K381,SpecCV[ID],SpecCV[Spec]))</f>
        <v>50</v>
      </c>
      <c r="R381" s="15" t="str">
        <f t="array" ref="R381">if(J381="Contact plate", _xlfn.XLOOKUP(J381&amp;"-"&amp;E381&amp;"-"&amp;K381,SpecCV[ID],SpecCV[Unit]),_xlfn.XLOOKUP(J381&amp;"-"&amp;E381&amp;"-"&amp;K381,SpecCV[ID],SpecCV[Unit]))</f>
        <v>cfu</v>
      </c>
      <c r="S381" s="24">
        <v>1.0</v>
      </c>
      <c r="T381" s="24">
        <v>0.0</v>
      </c>
      <c r="U381" s="24">
        <v>0.0</v>
      </c>
      <c r="V381" s="68" t="b">
        <v>0</v>
      </c>
      <c r="W381" s="24" t="s">
        <v>299</v>
      </c>
      <c r="X381" s="24"/>
    </row>
    <row r="382" ht="22.5" customHeight="1">
      <c r="A382" s="68"/>
      <c r="B382" s="68" t="b">
        <v>0</v>
      </c>
      <c r="C382" s="68">
        <v>16.0</v>
      </c>
      <c r="D382" s="70"/>
      <c r="E382" s="8" t="s">
        <v>28</v>
      </c>
      <c r="F382" s="68" t="s">
        <v>258</v>
      </c>
      <c r="G382" s="24" t="s">
        <v>248</v>
      </c>
      <c r="H382" s="15" t="s">
        <v>264</v>
      </c>
      <c r="I382" s="71">
        <v>46197.0</v>
      </c>
      <c r="J382" s="66" t="s">
        <v>47</v>
      </c>
      <c r="K382" s="66" t="s">
        <v>48</v>
      </c>
      <c r="L382" s="66" t="s">
        <v>42</v>
      </c>
      <c r="M382" s="66" t="s">
        <v>45</v>
      </c>
      <c r="N382" s="24">
        <v>1.0</v>
      </c>
      <c r="O382" s="72">
        <v>0.0</v>
      </c>
      <c r="P382" s="24">
        <f t="array" ref="P382">if(O382="","", if(O382=9999,9999,ROUNDUP(_xlfn.XLOOKUP(J382&amp;"-"&amp;E382&amp;"-"&amp;K382,SpecCV[ID],SpecCV[factor])*O382,0)))</f>
        <v>0</v>
      </c>
      <c r="Q382" s="24">
        <f t="array" ref="Q382">if(J382="Contact plate", _xlfn.XLOOKUP(J382&amp;"-"&amp;E382&amp;"-"&amp;K382,SpecCV[ID],SpecCV[Spec]),_xlfn.XLOOKUP(J382&amp;"-"&amp;E382&amp;"-"&amp;K382,SpecCV[ID],SpecCV[Spec]))</f>
        <v>100</v>
      </c>
      <c r="R382" s="15" t="str">
        <f t="array" ref="R382">if(J382="Contact plate", _xlfn.XLOOKUP(J382&amp;"-"&amp;E382&amp;"-"&amp;K382,SpecCV[ID],SpecCV[Unit]),_xlfn.XLOOKUP(J382&amp;"-"&amp;E382&amp;"-"&amp;K382,SpecCV[ID],SpecCV[Unit]))</f>
        <v>cfu/ml</v>
      </c>
      <c r="S382" s="24">
        <v>0.0</v>
      </c>
      <c r="T382" s="24">
        <v>0.0</v>
      </c>
      <c r="U382" s="24">
        <v>0.0</v>
      </c>
      <c r="V382" s="68" t="b">
        <v>0</v>
      </c>
      <c r="W382" s="24" t="s">
        <v>318</v>
      </c>
      <c r="X382" s="24"/>
    </row>
    <row r="383" ht="22.5" customHeight="1">
      <c r="A383" s="68"/>
      <c r="B383" s="68" t="b">
        <v>0</v>
      </c>
      <c r="C383" s="68">
        <v>16.0</v>
      </c>
      <c r="D383" s="70"/>
      <c r="E383" s="8" t="s">
        <v>28</v>
      </c>
      <c r="F383" s="68" t="s">
        <v>258</v>
      </c>
      <c r="G383" s="24" t="s">
        <v>248</v>
      </c>
      <c r="H383" s="15" t="s">
        <v>265</v>
      </c>
      <c r="I383" s="71">
        <v>46197.0</v>
      </c>
      <c r="J383" s="66" t="s">
        <v>47</v>
      </c>
      <c r="K383" s="66" t="s">
        <v>48</v>
      </c>
      <c r="L383" s="66" t="s">
        <v>42</v>
      </c>
      <c r="M383" s="66" t="s">
        <v>45</v>
      </c>
      <c r="N383" s="24">
        <v>1.0</v>
      </c>
      <c r="O383" s="72">
        <v>0.0</v>
      </c>
      <c r="P383" s="24">
        <f t="array" ref="P383">if(O383="","", if(O383=9999,9999,ROUNDUP(_xlfn.XLOOKUP(J383&amp;"-"&amp;E383&amp;"-"&amp;K383,SpecCV[ID],SpecCV[factor])*O383,0)))</f>
        <v>0</v>
      </c>
      <c r="Q383" s="24">
        <f t="array" ref="Q383">if(J383="Contact plate", _xlfn.XLOOKUP(J383&amp;"-"&amp;E383&amp;"-"&amp;K383,SpecCV[ID],SpecCV[Spec]),_xlfn.XLOOKUP(J383&amp;"-"&amp;E383&amp;"-"&amp;K383,SpecCV[ID],SpecCV[Spec]))</f>
        <v>100</v>
      </c>
      <c r="R383" s="15" t="str">
        <f t="array" ref="R383">if(J383="Contact plate", _xlfn.XLOOKUP(J383&amp;"-"&amp;E383&amp;"-"&amp;K383,SpecCV[ID],SpecCV[Unit]),_xlfn.XLOOKUP(J383&amp;"-"&amp;E383&amp;"-"&amp;K383,SpecCV[ID],SpecCV[Unit]))</f>
        <v>cfu/ml</v>
      </c>
      <c r="S383" s="24">
        <v>0.0</v>
      </c>
      <c r="T383" s="24">
        <v>0.0</v>
      </c>
      <c r="U383" s="24">
        <v>0.0</v>
      </c>
      <c r="V383" s="68" t="b">
        <v>0</v>
      </c>
      <c r="W383" s="24" t="s">
        <v>319</v>
      </c>
      <c r="X383" s="24"/>
    </row>
    <row r="384" ht="22.5" customHeight="1">
      <c r="A384" s="68"/>
      <c r="B384" s="68" t="b">
        <v>0</v>
      </c>
      <c r="C384" s="68">
        <v>16.0</v>
      </c>
      <c r="D384" s="70"/>
      <c r="E384" s="8" t="s">
        <v>37</v>
      </c>
      <c r="F384" s="9" t="s">
        <v>266</v>
      </c>
      <c r="G384" s="24" t="s">
        <v>267</v>
      </c>
      <c r="H384" s="15" t="s">
        <v>264</v>
      </c>
      <c r="I384" s="71">
        <v>46202.0</v>
      </c>
      <c r="J384" s="66" t="s">
        <v>52</v>
      </c>
      <c r="K384" s="66" t="s">
        <v>50</v>
      </c>
      <c r="L384" s="66" t="s">
        <v>42</v>
      </c>
      <c r="M384" s="66" t="s">
        <v>45</v>
      </c>
      <c r="N384" s="24">
        <v>1.0</v>
      </c>
      <c r="O384" s="72">
        <v>0.0</v>
      </c>
      <c r="P384" s="24">
        <f t="array" ref="P384">if(O384="","", if(O384=9999,9999,ROUNDUP(_xlfn.XLOOKUP(J384&amp;"-"&amp;E384&amp;"-"&amp;K384,SpecCV[ID],SpecCV[factor])*O384,0)))</f>
        <v>0</v>
      </c>
      <c r="Q384" s="24">
        <f t="array" ref="Q384">if(J384="Contact plate", _xlfn.XLOOKUP(J384&amp;"-"&amp;E384&amp;"-"&amp;K384,SpecCV[ID],SpecCV[Spec]),_xlfn.XLOOKUP(J384&amp;"-"&amp;E384&amp;"-"&amp;K384,SpecCV[ID],SpecCV[Spec]))</f>
        <v>10</v>
      </c>
      <c r="R384" s="15" t="str">
        <f t="array" ref="R384">if(J384="Contact plate", _xlfn.XLOOKUP(J384&amp;"-"&amp;E384&amp;"-"&amp;K384,SpecCV[ID],SpecCV[Unit]),_xlfn.XLOOKUP(J384&amp;"-"&amp;E384&amp;"-"&amp;K384,SpecCV[ID],SpecCV[Unit]))</f>
        <v>cfu/100ml</v>
      </c>
      <c r="S384" s="24">
        <v>0.0</v>
      </c>
      <c r="T384" s="24">
        <v>0.0</v>
      </c>
      <c r="U384" s="24">
        <v>0.0</v>
      </c>
      <c r="V384" s="68" t="b">
        <v>0</v>
      </c>
      <c r="W384" s="24"/>
      <c r="X384" s="24"/>
    </row>
    <row r="385" ht="22.5" customHeight="1">
      <c r="A385" s="68"/>
      <c r="B385" s="68" t="b">
        <v>0</v>
      </c>
      <c r="C385" s="68">
        <v>16.0</v>
      </c>
      <c r="D385" s="70"/>
      <c r="E385" s="8" t="s">
        <v>37</v>
      </c>
      <c r="F385" s="9" t="s">
        <v>268</v>
      </c>
      <c r="G385" s="24" t="s">
        <v>267</v>
      </c>
      <c r="H385" s="15" t="s">
        <v>265</v>
      </c>
      <c r="I385" s="71">
        <v>46202.0</v>
      </c>
      <c r="J385" s="66" t="s">
        <v>52</v>
      </c>
      <c r="K385" s="66" t="s">
        <v>50</v>
      </c>
      <c r="L385" s="66" t="s">
        <v>42</v>
      </c>
      <c r="M385" s="66" t="s">
        <v>45</v>
      </c>
      <c r="N385" s="24">
        <v>1.0</v>
      </c>
      <c r="O385" s="72">
        <v>0.0</v>
      </c>
      <c r="P385" s="24">
        <f t="array" ref="P385">if(O385="","", if(O385=9999,9999,ROUNDUP(_xlfn.XLOOKUP(J385&amp;"-"&amp;E385&amp;"-"&amp;K385,SpecCV[ID],SpecCV[factor])*O385,0)))</f>
        <v>0</v>
      </c>
      <c r="Q385" s="24">
        <f t="array" ref="Q385">if(J385="Contact plate", _xlfn.XLOOKUP(J385&amp;"-"&amp;E385&amp;"-"&amp;K385,SpecCV[ID],SpecCV[Spec]),_xlfn.XLOOKUP(J385&amp;"-"&amp;E385&amp;"-"&amp;K385,SpecCV[ID],SpecCV[Spec]))</f>
        <v>10</v>
      </c>
      <c r="R385" s="15" t="str">
        <f t="array" ref="R385">if(J385="Contact plate", _xlfn.XLOOKUP(J385&amp;"-"&amp;E385&amp;"-"&amp;K385,SpecCV[ID],SpecCV[Unit]),_xlfn.XLOOKUP(J385&amp;"-"&amp;E385&amp;"-"&amp;K385,SpecCV[ID],SpecCV[Unit]))</f>
        <v>cfu/100ml</v>
      </c>
      <c r="S385" s="24">
        <v>0.0</v>
      </c>
      <c r="T385" s="24">
        <v>0.0</v>
      </c>
      <c r="U385" s="24">
        <v>0.0</v>
      </c>
      <c r="V385" s="68" t="b">
        <v>0</v>
      </c>
      <c r="W385" s="24"/>
      <c r="X385" s="24"/>
    </row>
    <row r="386" ht="22.5" customHeight="1">
      <c r="A386" s="68"/>
      <c r="B386" s="68" t="b">
        <v>0</v>
      </c>
      <c r="C386" s="68">
        <v>16.0</v>
      </c>
      <c r="D386" s="70"/>
      <c r="E386" s="8" t="s">
        <v>37</v>
      </c>
      <c r="F386" s="9" t="s">
        <v>268</v>
      </c>
      <c r="G386" s="24" t="s">
        <v>267</v>
      </c>
      <c r="H386" s="15" t="s">
        <v>269</v>
      </c>
      <c r="I386" s="71">
        <v>46202.0</v>
      </c>
      <c r="J386" s="66" t="s">
        <v>52</v>
      </c>
      <c r="K386" s="66" t="s">
        <v>50</v>
      </c>
      <c r="L386" s="66" t="s">
        <v>42</v>
      </c>
      <c r="M386" s="66" t="s">
        <v>45</v>
      </c>
      <c r="N386" s="24">
        <v>1.0</v>
      </c>
      <c r="O386" s="72">
        <v>0.0</v>
      </c>
      <c r="P386" s="24">
        <f t="array" ref="P386">if(O386="","", if(O386=9999,9999,ROUNDUP(_xlfn.XLOOKUP(J386&amp;"-"&amp;E386&amp;"-"&amp;K386,SpecCV[ID],SpecCV[factor])*O386,0)))</f>
        <v>0</v>
      </c>
      <c r="Q386" s="24">
        <f t="array" ref="Q386">if(J386="Contact plate", _xlfn.XLOOKUP(J386&amp;"-"&amp;E386&amp;"-"&amp;K386,SpecCV[ID],SpecCV[Spec]),_xlfn.XLOOKUP(J386&amp;"-"&amp;E386&amp;"-"&amp;K386,SpecCV[ID],SpecCV[Spec]))</f>
        <v>10</v>
      </c>
      <c r="R386" s="15" t="str">
        <f t="array" ref="R386">if(J386="Contact plate", _xlfn.XLOOKUP(J386&amp;"-"&amp;E386&amp;"-"&amp;K386,SpecCV[ID],SpecCV[Unit]),_xlfn.XLOOKUP(J386&amp;"-"&amp;E386&amp;"-"&amp;K386,SpecCV[ID],SpecCV[Unit]))</f>
        <v>cfu/100ml</v>
      </c>
      <c r="S386" s="24">
        <v>0.0</v>
      </c>
      <c r="T386" s="24">
        <v>0.0</v>
      </c>
      <c r="U386" s="24">
        <v>0.0</v>
      </c>
      <c r="V386" s="68" t="b">
        <v>0</v>
      </c>
      <c r="W386" s="24"/>
      <c r="X386" s="24"/>
    </row>
    <row r="387" ht="22.5" customHeight="1">
      <c r="A387" s="68"/>
      <c r="B387" s="68" t="b">
        <v>0</v>
      </c>
      <c r="C387" s="68">
        <v>16.0</v>
      </c>
      <c r="D387" s="70"/>
      <c r="E387" s="8" t="s">
        <v>37</v>
      </c>
      <c r="F387" s="9" t="s">
        <v>268</v>
      </c>
      <c r="G387" s="24" t="s">
        <v>267</v>
      </c>
      <c r="H387" s="15" t="s">
        <v>270</v>
      </c>
      <c r="I387" s="71">
        <v>46202.0</v>
      </c>
      <c r="J387" s="66" t="s">
        <v>52</v>
      </c>
      <c r="K387" s="66" t="s">
        <v>50</v>
      </c>
      <c r="L387" s="66" t="s">
        <v>42</v>
      </c>
      <c r="M387" s="66" t="s">
        <v>45</v>
      </c>
      <c r="N387" s="24">
        <v>1.0</v>
      </c>
      <c r="O387" s="72">
        <v>0.0</v>
      </c>
      <c r="P387" s="24">
        <f t="array" ref="P387">if(O387="","", if(O387=9999,9999,ROUNDUP(_xlfn.XLOOKUP(J387&amp;"-"&amp;E387&amp;"-"&amp;K387,SpecCV[ID],SpecCV[factor])*O387,0)))</f>
        <v>0</v>
      </c>
      <c r="Q387" s="24">
        <f t="array" ref="Q387">if(J387="Contact plate", _xlfn.XLOOKUP(J387&amp;"-"&amp;E387&amp;"-"&amp;K387,SpecCV[ID],SpecCV[Spec]),_xlfn.XLOOKUP(J387&amp;"-"&amp;E387&amp;"-"&amp;K387,SpecCV[ID],SpecCV[Spec]))</f>
        <v>10</v>
      </c>
      <c r="R387" s="15" t="str">
        <f t="array" ref="R387">if(J387="Contact plate", _xlfn.XLOOKUP(J387&amp;"-"&amp;E387&amp;"-"&amp;K387,SpecCV[ID],SpecCV[Unit]),_xlfn.XLOOKUP(J387&amp;"-"&amp;E387&amp;"-"&amp;K387,SpecCV[ID],SpecCV[Unit]))</f>
        <v>cfu/100ml</v>
      </c>
      <c r="S387" s="24">
        <v>0.0</v>
      </c>
      <c r="T387" s="24">
        <v>0.0</v>
      </c>
      <c r="U387" s="24">
        <v>0.0</v>
      </c>
      <c r="V387" s="68" t="b">
        <v>0</v>
      </c>
      <c r="W387" s="24"/>
      <c r="X387" s="24"/>
    </row>
    <row r="388" ht="22.5" customHeight="1">
      <c r="A388" s="68"/>
      <c r="B388" s="68" t="b">
        <v>0</v>
      </c>
      <c r="C388" s="68">
        <v>16.0</v>
      </c>
      <c r="D388" s="70"/>
      <c r="E388" s="8" t="s">
        <v>37</v>
      </c>
      <c r="F388" s="9" t="s">
        <v>268</v>
      </c>
      <c r="G388" s="24" t="s">
        <v>267</v>
      </c>
      <c r="H388" s="15" t="s">
        <v>271</v>
      </c>
      <c r="I388" s="71">
        <v>46202.0</v>
      </c>
      <c r="J388" s="66" t="s">
        <v>52</v>
      </c>
      <c r="K388" s="66" t="s">
        <v>50</v>
      </c>
      <c r="L388" s="66" t="s">
        <v>42</v>
      </c>
      <c r="M388" s="66" t="s">
        <v>45</v>
      </c>
      <c r="N388" s="24">
        <v>1.0</v>
      </c>
      <c r="O388" s="72">
        <v>0.0</v>
      </c>
      <c r="P388" s="24">
        <f t="array" ref="P388">if(O388="","", if(O388=9999,9999,ROUNDUP(_xlfn.XLOOKUP(J388&amp;"-"&amp;E388&amp;"-"&amp;K388,SpecCV[ID],SpecCV[factor])*O388,0)))</f>
        <v>0</v>
      </c>
      <c r="Q388" s="24">
        <f t="array" ref="Q388">if(J388="Contact plate", _xlfn.XLOOKUP(J388&amp;"-"&amp;E388&amp;"-"&amp;K388,SpecCV[ID],SpecCV[Spec]),_xlfn.XLOOKUP(J388&amp;"-"&amp;E388&amp;"-"&amp;K388,SpecCV[ID],SpecCV[Spec]))</f>
        <v>10</v>
      </c>
      <c r="R388" s="15" t="str">
        <f t="array" ref="R388">if(J388="Contact plate", _xlfn.XLOOKUP(J388&amp;"-"&amp;E388&amp;"-"&amp;K388,SpecCV[ID],SpecCV[Unit]),_xlfn.XLOOKUP(J388&amp;"-"&amp;E388&amp;"-"&amp;K388,SpecCV[ID],SpecCV[Unit]))</f>
        <v>cfu/100ml</v>
      </c>
      <c r="S388" s="24">
        <v>0.0</v>
      </c>
      <c r="T388" s="24">
        <v>0.0</v>
      </c>
      <c r="U388" s="24">
        <v>0.0</v>
      </c>
      <c r="V388" s="68" t="b">
        <v>0</v>
      </c>
      <c r="W388" s="24"/>
      <c r="X388" s="24"/>
    </row>
    <row r="389" ht="22.5" customHeight="1">
      <c r="A389" s="68"/>
      <c r="B389" s="68" t="b">
        <v>0</v>
      </c>
      <c r="C389" s="68">
        <v>16.0</v>
      </c>
      <c r="D389" s="70"/>
      <c r="E389" s="8" t="s">
        <v>37</v>
      </c>
      <c r="F389" s="9" t="s">
        <v>268</v>
      </c>
      <c r="G389" s="24" t="s">
        <v>267</v>
      </c>
      <c r="H389" s="15" t="s">
        <v>272</v>
      </c>
      <c r="I389" s="71">
        <v>46202.0</v>
      </c>
      <c r="J389" s="66" t="s">
        <v>52</v>
      </c>
      <c r="K389" s="66" t="s">
        <v>50</v>
      </c>
      <c r="L389" s="66" t="s">
        <v>42</v>
      </c>
      <c r="M389" s="66" t="s">
        <v>45</v>
      </c>
      <c r="N389" s="24">
        <v>1.0</v>
      </c>
      <c r="O389" s="72">
        <v>0.0</v>
      </c>
      <c r="P389" s="24">
        <f t="array" ref="P389">if(O389="","", if(O389=9999,9999,ROUNDUP(_xlfn.XLOOKUP(J389&amp;"-"&amp;E389&amp;"-"&amp;K389,SpecCV[ID],SpecCV[factor])*O389,0)))</f>
        <v>0</v>
      </c>
      <c r="Q389" s="24">
        <f t="array" ref="Q389">if(J389="Contact plate", _xlfn.XLOOKUP(J389&amp;"-"&amp;E389&amp;"-"&amp;K389,SpecCV[ID],SpecCV[Spec]),_xlfn.XLOOKUP(J389&amp;"-"&amp;E389&amp;"-"&amp;K389,SpecCV[ID],SpecCV[Spec]))</f>
        <v>10</v>
      </c>
      <c r="R389" s="15" t="str">
        <f t="array" ref="R389">if(J389="Contact plate", _xlfn.XLOOKUP(J389&amp;"-"&amp;E389&amp;"-"&amp;K389,SpecCV[ID],SpecCV[Unit]),_xlfn.XLOOKUP(J389&amp;"-"&amp;E389&amp;"-"&amp;K389,SpecCV[ID],SpecCV[Unit]))</f>
        <v>cfu/100ml</v>
      </c>
      <c r="S389" s="24">
        <v>0.0</v>
      </c>
      <c r="T389" s="24">
        <v>0.0</v>
      </c>
      <c r="U389" s="24">
        <v>0.0</v>
      </c>
      <c r="V389" s="68" t="b">
        <v>0</v>
      </c>
      <c r="W389" s="24"/>
      <c r="X389" s="24"/>
    </row>
    <row r="390" ht="22.5" customHeight="1">
      <c r="A390" s="68"/>
      <c r="B390" s="68" t="b">
        <v>0</v>
      </c>
      <c r="C390" s="68">
        <v>16.0</v>
      </c>
      <c r="D390" s="70"/>
      <c r="E390" s="8" t="s">
        <v>37</v>
      </c>
      <c r="F390" s="9" t="s">
        <v>268</v>
      </c>
      <c r="G390" s="24" t="s">
        <v>267</v>
      </c>
      <c r="H390" s="15" t="s">
        <v>273</v>
      </c>
      <c r="I390" s="71">
        <v>46202.0</v>
      </c>
      <c r="J390" s="66" t="s">
        <v>52</v>
      </c>
      <c r="K390" s="66" t="s">
        <v>50</v>
      </c>
      <c r="L390" s="66" t="s">
        <v>42</v>
      </c>
      <c r="M390" s="66" t="s">
        <v>45</v>
      </c>
      <c r="N390" s="24">
        <v>1.0</v>
      </c>
      <c r="O390" s="72">
        <v>0.0</v>
      </c>
      <c r="P390" s="24">
        <f t="array" ref="P390">if(O390="","", if(O390=9999,9999,ROUNDUP(_xlfn.XLOOKUP(J390&amp;"-"&amp;E390&amp;"-"&amp;K390,SpecCV[ID],SpecCV[factor])*O390,0)))</f>
        <v>0</v>
      </c>
      <c r="Q390" s="24">
        <f t="array" ref="Q390">if(J390="Contact plate", _xlfn.XLOOKUP(J390&amp;"-"&amp;E390&amp;"-"&amp;K390,SpecCV[ID],SpecCV[Spec]),_xlfn.XLOOKUP(J390&amp;"-"&amp;E390&amp;"-"&amp;K390,SpecCV[ID],SpecCV[Spec]))</f>
        <v>10</v>
      </c>
      <c r="R390" s="15" t="str">
        <f t="array" ref="R390">if(J390="Contact plate", _xlfn.XLOOKUP(J390&amp;"-"&amp;E390&amp;"-"&amp;K390,SpecCV[ID],SpecCV[Unit]),_xlfn.XLOOKUP(J390&amp;"-"&amp;E390&amp;"-"&amp;K390,SpecCV[ID],SpecCV[Unit]))</f>
        <v>cfu/100ml</v>
      </c>
      <c r="S390" s="24">
        <v>0.0</v>
      </c>
      <c r="T390" s="24">
        <v>0.0</v>
      </c>
      <c r="U390" s="24">
        <v>0.0</v>
      </c>
      <c r="V390" s="68" t="b">
        <v>0</v>
      </c>
      <c r="W390" s="24"/>
      <c r="X390" s="24"/>
    </row>
    <row r="391" ht="22.5" customHeight="1">
      <c r="A391" s="68"/>
      <c r="B391" s="68" t="b">
        <v>0</v>
      </c>
      <c r="C391" s="68">
        <v>16.0</v>
      </c>
      <c r="D391" s="70"/>
      <c r="E391" s="8" t="s">
        <v>37</v>
      </c>
      <c r="F391" s="9" t="s">
        <v>268</v>
      </c>
      <c r="G391" s="24" t="s">
        <v>267</v>
      </c>
      <c r="H391" s="15" t="s">
        <v>274</v>
      </c>
      <c r="I391" s="71">
        <v>46202.0</v>
      </c>
      <c r="J391" s="66" t="s">
        <v>52</v>
      </c>
      <c r="K391" s="66" t="s">
        <v>50</v>
      </c>
      <c r="L391" s="66" t="s">
        <v>42</v>
      </c>
      <c r="M391" s="66" t="s">
        <v>45</v>
      </c>
      <c r="N391" s="24">
        <v>1.0</v>
      </c>
      <c r="O391" s="72">
        <v>0.0</v>
      </c>
      <c r="P391" s="24">
        <f t="array" ref="P391">if(O391="","", if(O391=9999,9999,ROUNDUP(_xlfn.XLOOKUP(J391&amp;"-"&amp;E391&amp;"-"&amp;K391,SpecCV[ID],SpecCV[factor])*O391,0)))</f>
        <v>0</v>
      </c>
      <c r="Q391" s="24">
        <f t="array" ref="Q391">if(J391="Contact plate", _xlfn.XLOOKUP(J391&amp;"-"&amp;E391&amp;"-"&amp;K391,SpecCV[ID],SpecCV[Spec]),_xlfn.XLOOKUP(J391&amp;"-"&amp;E391&amp;"-"&amp;K391,SpecCV[ID],SpecCV[Spec]))</f>
        <v>10</v>
      </c>
      <c r="R391" s="15" t="str">
        <f t="array" ref="R391">if(J391="Contact plate", _xlfn.XLOOKUP(J391&amp;"-"&amp;E391&amp;"-"&amp;K391,SpecCV[ID],SpecCV[Unit]),_xlfn.XLOOKUP(J391&amp;"-"&amp;E391&amp;"-"&amp;K391,SpecCV[ID],SpecCV[Unit]))</f>
        <v>cfu/100ml</v>
      </c>
      <c r="S391" s="24">
        <v>0.0</v>
      </c>
      <c r="T391" s="24">
        <v>0.0</v>
      </c>
      <c r="U391" s="24">
        <v>0.0</v>
      </c>
      <c r="V391" s="68" t="b">
        <v>0</v>
      </c>
      <c r="W391" s="24"/>
      <c r="X391" s="24"/>
    </row>
    <row r="392" ht="22.5" customHeight="1">
      <c r="A392" s="68"/>
      <c r="B392" s="68" t="b">
        <v>0</v>
      </c>
      <c r="C392" s="68">
        <v>12.0</v>
      </c>
      <c r="D392" s="70"/>
      <c r="E392" s="8" t="s">
        <v>28</v>
      </c>
      <c r="F392" s="24"/>
      <c r="G392" s="24" t="s">
        <v>320</v>
      </c>
      <c r="H392" s="24" t="s">
        <v>249</v>
      </c>
      <c r="I392" s="71">
        <v>46204.0</v>
      </c>
      <c r="J392" s="66" t="s">
        <v>47</v>
      </c>
      <c r="K392" s="66" t="s">
        <v>48</v>
      </c>
      <c r="L392" s="66"/>
      <c r="M392" s="66"/>
      <c r="N392" s="24"/>
      <c r="O392" s="72">
        <v>0.0</v>
      </c>
      <c r="P392" s="24">
        <f t="array" ref="P392">if(O392="","", if(O392=9999,9999,ROUNDUP(_xlfn.XLOOKUP(J392&amp;"-"&amp;E392&amp;"-"&amp;K392,SpecCV[ID],SpecCV[factor])*O392,0)))</f>
        <v>0</v>
      </c>
      <c r="Q392" s="24">
        <f t="array" ref="Q392">if(J392="Contact plate", _xlfn.XLOOKUP(J392&amp;"-"&amp;E392&amp;"-"&amp;K392,SpecCV[ID],SpecCV[Spec]),_xlfn.XLOOKUP(J392&amp;"-"&amp;E392&amp;"-"&amp;K392,SpecCV[ID],SpecCV[Spec]))</f>
        <v>100</v>
      </c>
      <c r="R392" s="15" t="str">
        <f t="array" ref="R392">if(J392="Contact plate", _xlfn.XLOOKUP(J392&amp;"-"&amp;E392&amp;"-"&amp;K392,SpecCV[ID],SpecCV[Unit]),_xlfn.XLOOKUP(J392&amp;"-"&amp;E392&amp;"-"&amp;K392,SpecCV[ID],SpecCV[Unit]))</f>
        <v>cfu/ml</v>
      </c>
      <c r="S392" s="24"/>
      <c r="T392" s="24"/>
      <c r="U392" s="24"/>
      <c r="V392" s="68" t="b">
        <v>0</v>
      </c>
      <c r="W392" s="24"/>
      <c r="X392" s="24"/>
    </row>
    <row r="393" ht="22.5" customHeight="1">
      <c r="A393" s="68"/>
      <c r="B393" s="68" t="b">
        <v>0</v>
      </c>
      <c r="C393" s="68">
        <v>12.0</v>
      </c>
      <c r="D393" s="70"/>
      <c r="E393" s="8" t="s">
        <v>28</v>
      </c>
      <c r="F393" s="68"/>
      <c r="G393" s="24" t="s">
        <v>320</v>
      </c>
      <c r="H393" s="24" t="s">
        <v>250</v>
      </c>
      <c r="I393" s="71">
        <v>46204.0</v>
      </c>
      <c r="J393" s="66" t="s">
        <v>47</v>
      </c>
      <c r="K393" s="66" t="s">
        <v>48</v>
      </c>
      <c r="L393" s="66"/>
      <c r="M393" s="66"/>
      <c r="N393" s="24"/>
      <c r="O393" s="72">
        <v>0.0</v>
      </c>
      <c r="P393" s="24">
        <f t="array" ref="P393">if(O393="","", if(O393=9999,9999,ROUNDUP(_xlfn.XLOOKUP(J393&amp;"-"&amp;E393&amp;"-"&amp;K393,SpecCV[ID],SpecCV[factor])*O393,0)))</f>
        <v>0</v>
      </c>
      <c r="Q393" s="24">
        <f t="array" ref="Q393">if(J393="Contact plate", _xlfn.XLOOKUP(J393&amp;"-"&amp;E393&amp;"-"&amp;K393,SpecCV[ID],SpecCV[Spec]),_xlfn.XLOOKUP(J393&amp;"-"&amp;E393&amp;"-"&amp;K393,SpecCV[ID],SpecCV[Spec]))</f>
        <v>100</v>
      </c>
      <c r="R393" s="15" t="str">
        <f t="array" ref="R393">if(J393="Contact plate", _xlfn.XLOOKUP(J393&amp;"-"&amp;E393&amp;"-"&amp;K393,SpecCV[ID],SpecCV[Unit]),_xlfn.XLOOKUP(J393&amp;"-"&amp;E393&amp;"-"&amp;K393,SpecCV[ID],SpecCV[Unit]))</f>
        <v>cfu/ml</v>
      </c>
      <c r="S393" s="24"/>
      <c r="T393" s="24"/>
      <c r="U393" s="24"/>
      <c r="V393" s="68" t="b">
        <v>0</v>
      </c>
      <c r="W393" s="24"/>
      <c r="X393" s="24"/>
    </row>
    <row r="394" ht="22.5" customHeight="1">
      <c r="A394" s="68"/>
      <c r="B394" s="68" t="b">
        <v>0</v>
      </c>
      <c r="C394" s="68">
        <v>12.0</v>
      </c>
      <c r="D394" s="70"/>
      <c r="E394" s="8" t="s">
        <v>28</v>
      </c>
      <c r="F394" s="68"/>
      <c r="G394" s="24" t="s">
        <v>320</v>
      </c>
      <c r="H394" s="24" t="s">
        <v>251</v>
      </c>
      <c r="I394" s="71">
        <v>46204.0</v>
      </c>
      <c r="J394" s="66" t="s">
        <v>47</v>
      </c>
      <c r="K394" s="66" t="s">
        <v>48</v>
      </c>
      <c r="L394" s="66"/>
      <c r="M394" s="66"/>
      <c r="N394" s="24"/>
      <c r="O394" s="72">
        <v>2.0</v>
      </c>
      <c r="P394" s="24">
        <f t="array" ref="P394">if(O394="","", if(O394=9999,9999,ROUNDUP(_xlfn.XLOOKUP(J394&amp;"-"&amp;E394&amp;"-"&amp;K394,SpecCV[ID],SpecCV[factor])*O394,0)))</f>
        <v>2</v>
      </c>
      <c r="Q394" s="24">
        <f t="array" ref="Q394">if(J394="Contact plate", _xlfn.XLOOKUP(J394&amp;"-"&amp;E394&amp;"-"&amp;K394,SpecCV[ID],SpecCV[Spec]),_xlfn.XLOOKUP(J394&amp;"-"&amp;E394&amp;"-"&amp;K394,SpecCV[ID],SpecCV[Spec]))</f>
        <v>100</v>
      </c>
      <c r="R394" s="15" t="str">
        <f t="array" ref="R394">if(J394="Contact plate", _xlfn.XLOOKUP(J394&amp;"-"&amp;E394&amp;"-"&amp;K394,SpecCV[ID],SpecCV[Unit]),_xlfn.XLOOKUP(J394&amp;"-"&amp;E394&amp;"-"&amp;K394,SpecCV[ID],SpecCV[Unit]))</f>
        <v>cfu/ml</v>
      </c>
      <c r="S394" s="24"/>
      <c r="T394" s="24"/>
      <c r="U394" s="24"/>
      <c r="V394" s="68" t="b">
        <v>0</v>
      </c>
      <c r="W394" s="24"/>
      <c r="X394" s="24"/>
    </row>
    <row r="395" ht="22.5" customHeight="1">
      <c r="A395" s="68"/>
      <c r="B395" s="68" t="b">
        <v>0</v>
      </c>
      <c r="C395" s="68">
        <v>12.0</v>
      </c>
      <c r="D395" s="70"/>
      <c r="E395" s="8" t="s">
        <v>28</v>
      </c>
      <c r="F395" s="68"/>
      <c r="G395" s="24" t="s">
        <v>320</v>
      </c>
      <c r="H395" s="24" t="s">
        <v>252</v>
      </c>
      <c r="I395" s="71">
        <v>46204.0</v>
      </c>
      <c r="J395" s="66" t="s">
        <v>47</v>
      </c>
      <c r="K395" s="66" t="s">
        <v>48</v>
      </c>
      <c r="L395" s="66"/>
      <c r="M395" s="66"/>
      <c r="N395" s="24"/>
      <c r="O395" s="72">
        <v>0.0</v>
      </c>
      <c r="P395" s="24">
        <f t="array" ref="P395">if(O395="","", if(O395=9999,9999,ROUNDUP(_xlfn.XLOOKUP(J395&amp;"-"&amp;E395&amp;"-"&amp;K395,SpecCV[ID],SpecCV[factor])*O395,0)))</f>
        <v>0</v>
      </c>
      <c r="Q395" s="24">
        <f t="array" ref="Q395">if(J395="Contact plate", _xlfn.XLOOKUP(J395&amp;"-"&amp;E395&amp;"-"&amp;K395,SpecCV[ID],SpecCV[Spec]),_xlfn.XLOOKUP(J395&amp;"-"&amp;E395&amp;"-"&amp;K395,SpecCV[ID],SpecCV[Spec]))</f>
        <v>100</v>
      </c>
      <c r="R395" s="15" t="str">
        <f t="array" ref="R395">if(J395="Contact plate", _xlfn.XLOOKUP(J395&amp;"-"&amp;E395&amp;"-"&amp;K395,SpecCV[ID],SpecCV[Unit]),_xlfn.XLOOKUP(J395&amp;"-"&amp;E395&amp;"-"&amp;K395,SpecCV[ID],SpecCV[Unit]))</f>
        <v>cfu/ml</v>
      </c>
      <c r="S395" s="24"/>
      <c r="T395" s="24"/>
      <c r="U395" s="24"/>
      <c r="V395" s="68" t="b">
        <v>0</v>
      </c>
      <c r="W395" s="24"/>
      <c r="X395" s="24"/>
    </row>
    <row r="396" ht="22.5" customHeight="1">
      <c r="A396" s="68"/>
      <c r="B396" s="68" t="b">
        <v>0</v>
      </c>
      <c r="C396" s="68">
        <v>12.0</v>
      </c>
      <c r="D396" s="70"/>
      <c r="E396" s="8" t="s">
        <v>28</v>
      </c>
      <c r="F396" s="68"/>
      <c r="G396" s="24" t="s">
        <v>320</v>
      </c>
      <c r="H396" s="24" t="s">
        <v>282</v>
      </c>
      <c r="I396" s="71">
        <v>46204.0</v>
      </c>
      <c r="J396" s="66" t="s">
        <v>47</v>
      </c>
      <c r="K396" s="66" t="s">
        <v>48</v>
      </c>
      <c r="L396" s="66"/>
      <c r="M396" s="66"/>
      <c r="N396" s="24"/>
      <c r="O396" s="72">
        <v>0.0</v>
      </c>
      <c r="P396" s="24">
        <f t="array" ref="P396">if(O396="","", if(O396=9999,9999,ROUNDUP(_xlfn.XLOOKUP(J396&amp;"-"&amp;E396&amp;"-"&amp;K396,SpecCV[ID],SpecCV[factor])*O396,0)))</f>
        <v>0</v>
      </c>
      <c r="Q396" s="24">
        <f t="array" ref="Q396">if(J396="Contact plate", _xlfn.XLOOKUP(J396&amp;"-"&amp;E396&amp;"-"&amp;K396,SpecCV[ID],SpecCV[Spec]),_xlfn.XLOOKUP(J396&amp;"-"&amp;E396&amp;"-"&amp;K396,SpecCV[ID],SpecCV[Spec]))</f>
        <v>100</v>
      </c>
      <c r="R396" s="15" t="str">
        <f t="array" ref="R396">if(J396="Contact plate", _xlfn.XLOOKUP(J396&amp;"-"&amp;E396&amp;"-"&amp;K396,SpecCV[ID],SpecCV[Unit]),_xlfn.XLOOKUP(J396&amp;"-"&amp;E396&amp;"-"&amp;K396,SpecCV[ID],SpecCV[Unit]))</f>
        <v>cfu/ml</v>
      </c>
      <c r="S396" s="24"/>
      <c r="T396" s="24"/>
      <c r="U396" s="24"/>
      <c r="V396" s="68" t="b">
        <v>0</v>
      </c>
      <c r="W396" s="24"/>
      <c r="X396" s="24"/>
    </row>
    <row r="397" ht="22.5" customHeight="1">
      <c r="A397" s="68"/>
      <c r="B397" s="68" t="b">
        <v>0</v>
      </c>
      <c r="C397" s="68">
        <v>12.0</v>
      </c>
      <c r="D397" s="70"/>
      <c r="E397" s="8" t="s">
        <v>28</v>
      </c>
      <c r="F397" s="68"/>
      <c r="G397" s="24" t="s">
        <v>320</v>
      </c>
      <c r="H397" s="24" t="s">
        <v>283</v>
      </c>
      <c r="I397" s="71">
        <v>46204.0</v>
      </c>
      <c r="J397" s="66" t="s">
        <v>47</v>
      </c>
      <c r="K397" s="66" t="s">
        <v>48</v>
      </c>
      <c r="L397" s="66"/>
      <c r="M397" s="66"/>
      <c r="N397" s="24"/>
      <c r="O397" s="72">
        <v>0.0</v>
      </c>
      <c r="P397" s="24">
        <f t="array" ref="P397">if(O397="","", if(O397=9999,9999,ROUNDUP(_xlfn.XLOOKUP(J397&amp;"-"&amp;E397&amp;"-"&amp;K397,SpecCV[ID],SpecCV[factor])*O397,0)))</f>
        <v>0</v>
      </c>
      <c r="Q397" s="24">
        <f t="array" ref="Q397">if(J397="Contact plate", _xlfn.XLOOKUP(J397&amp;"-"&amp;E397&amp;"-"&amp;K397,SpecCV[ID],SpecCV[Spec]),_xlfn.XLOOKUP(J397&amp;"-"&amp;E397&amp;"-"&amp;K397,SpecCV[ID],SpecCV[Spec]))</f>
        <v>100</v>
      </c>
      <c r="R397" s="15" t="str">
        <f t="array" ref="R397">if(J397="Contact plate", _xlfn.XLOOKUP(J397&amp;"-"&amp;E397&amp;"-"&amp;K397,SpecCV[ID],SpecCV[Unit]),_xlfn.XLOOKUP(J397&amp;"-"&amp;E397&amp;"-"&amp;K397,SpecCV[ID],SpecCV[Unit]))</f>
        <v>cfu/ml</v>
      </c>
      <c r="S397" s="24"/>
      <c r="T397" s="24"/>
      <c r="U397" s="24"/>
      <c r="V397" s="68" t="b">
        <v>0</v>
      </c>
      <c r="W397" s="24"/>
      <c r="X397" s="24"/>
    </row>
    <row r="398" ht="22.5" customHeight="1">
      <c r="A398" s="68"/>
      <c r="B398" s="68" t="b">
        <v>0</v>
      </c>
      <c r="C398" s="68">
        <v>12.0</v>
      </c>
      <c r="D398" s="70"/>
      <c r="E398" s="8" t="s">
        <v>28</v>
      </c>
      <c r="F398" s="68"/>
      <c r="G398" s="24" t="s">
        <v>320</v>
      </c>
      <c r="H398" s="24" t="s">
        <v>284</v>
      </c>
      <c r="I398" s="71">
        <v>46204.0</v>
      </c>
      <c r="J398" s="66" t="s">
        <v>47</v>
      </c>
      <c r="K398" s="66" t="s">
        <v>48</v>
      </c>
      <c r="L398" s="66"/>
      <c r="M398" s="66"/>
      <c r="N398" s="24"/>
      <c r="O398" s="72">
        <v>0.0</v>
      </c>
      <c r="P398" s="24">
        <f t="array" ref="P398">if(O398="","", if(O398=9999,9999,ROUNDUP(_xlfn.XLOOKUP(J398&amp;"-"&amp;E398&amp;"-"&amp;K398,SpecCV[ID],SpecCV[factor])*O398,0)))</f>
        <v>0</v>
      </c>
      <c r="Q398" s="24">
        <f t="array" ref="Q398">if(J398="Contact plate", _xlfn.XLOOKUP(J398&amp;"-"&amp;E398&amp;"-"&amp;K398,SpecCV[ID],SpecCV[Spec]),_xlfn.XLOOKUP(J398&amp;"-"&amp;E398&amp;"-"&amp;K398,SpecCV[ID],SpecCV[Spec]))</f>
        <v>100</v>
      </c>
      <c r="R398" s="15" t="str">
        <f t="array" ref="R398">if(J398="Contact plate", _xlfn.XLOOKUP(J398&amp;"-"&amp;E398&amp;"-"&amp;K398,SpecCV[ID],SpecCV[Unit]),_xlfn.XLOOKUP(J398&amp;"-"&amp;E398&amp;"-"&amp;K398,SpecCV[ID],SpecCV[Unit]))</f>
        <v>cfu/ml</v>
      </c>
      <c r="S398" s="24"/>
      <c r="T398" s="24"/>
      <c r="U398" s="24"/>
      <c r="V398" s="68" t="b">
        <v>0</v>
      </c>
      <c r="W398" s="24"/>
      <c r="X398" s="24"/>
    </row>
    <row r="399" ht="22.5" customHeight="1">
      <c r="A399" s="68"/>
      <c r="B399" s="68" t="b">
        <v>0</v>
      </c>
      <c r="C399" s="68">
        <v>12.0</v>
      </c>
      <c r="D399" s="70"/>
      <c r="E399" s="8" t="s">
        <v>28</v>
      </c>
      <c r="F399" s="68"/>
      <c r="G399" s="24" t="s">
        <v>320</v>
      </c>
      <c r="H399" s="24" t="s">
        <v>285</v>
      </c>
      <c r="I399" s="71">
        <v>46204.0</v>
      </c>
      <c r="J399" s="66" t="s">
        <v>47</v>
      </c>
      <c r="K399" s="66" t="s">
        <v>48</v>
      </c>
      <c r="L399" s="66"/>
      <c r="M399" s="66"/>
      <c r="N399" s="24"/>
      <c r="O399" s="72">
        <v>4.0</v>
      </c>
      <c r="P399" s="24">
        <f t="array" ref="P399">if(O399="","", if(O399=9999,9999,ROUNDUP(_xlfn.XLOOKUP(J399&amp;"-"&amp;E399&amp;"-"&amp;K399,SpecCV[ID],SpecCV[factor])*O399,0)))</f>
        <v>4</v>
      </c>
      <c r="Q399" s="24">
        <f t="array" ref="Q399">if(J399="Contact plate", _xlfn.XLOOKUP(J399&amp;"-"&amp;E399&amp;"-"&amp;K399,SpecCV[ID],SpecCV[Spec]),_xlfn.XLOOKUP(J399&amp;"-"&amp;E399&amp;"-"&amp;K399,SpecCV[ID],SpecCV[Spec]))</f>
        <v>100</v>
      </c>
      <c r="R399" s="15" t="str">
        <f t="array" ref="R399">if(J399="Contact plate", _xlfn.XLOOKUP(J399&amp;"-"&amp;E399&amp;"-"&amp;K399,SpecCV[ID],SpecCV[Unit]),_xlfn.XLOOKUP(J399&amp;"-"&amp;E399&amp;"-"&amp;K399,SpecCV[ID],SpecCV[Unit]))</f>
        <v>cfu/ml</v>
      </c>
      <c r="S399" s="24"/>
      <c r="T399" s="24"/>
      <c r="U399" s="24"/>
      <c r="V399" s="68" t="b">
        <v>0</v>
      </c>
      <c r="W399" s="24"/>
      <c r="X399" s="24"/>
    </row>
    <row r="400" ht="22.5" customHeight="1">
      <c r="A400" s="68"/>
      <c r="B400" s="68" t="b">
        <v>0</v>
      </c>
      <c r="C400" s="68">
        <v>12.0</v>
      </c>
      <c r="D400" s="70"/>
      <c r="E400" s="8" t="s">
        <v>28</v>
      </c>
      <c r="F400" s="68"/>
      <c r="G400" s="24" t="s">
        <v>320</v>
      </c>
      <c r="H400" s="24" t="s">
        <v>286</v>
      </c>
      <c r="I400" s="71">
        <v>46204.0</v>
      </c>
      <c r="J400" s="66" t="s">
        <v>47</v>
      </c>
      <c r="K400" s="66" t="s">
        <v>48</v>
      </c>
      <c r="L400" s="66"/>
      <c r="M400" s="66"/>
      <c r="N400" s="24"/>
      <c r="O400" s="72">
        <v>0.0</v>
      </c>
      <c r="P400" s="24">
        <f t="array" ref="P400">if(O400="","", if(O400=9999,9999,ROUNDUP(_xlfn.XLOOKUP(J400&amp;"-"&amp;E400&amp;"-"&amp;K400,SpecCV[ID],SpecCV[factor])*O400,0)))</f>
        <v>0</v>
      </c>
      <c r="Q400" s="24">
        <f t="array" ref="Q400">if(J400="Contact plate", _xlfn.XLOOKUP(J400&amp;"-"&amp;E400&amp;"-"&amp;K400,SpecCV[ID],SpecCV[Spec]),_xlfn.XLOOKUP(J400&amp;"-"&amp;E400&amp;"-"&amp;K400,SpecCV[ID],SpecCV[Spec]))</f>
        <v>100</v>
      </c>
      <c r="R400" s="15" t="str">
        <f t="array" ref="R400">if(J400="Contact plate", _xlfn.XLOOKUP(J400&amp;"-"&amp;E400&amp;"-"&amp;K400,SpecCV[ID],SpecCV[Unit]),_xlfn.XLOOKUP(J400&amp;"-"&amp;E400&amp;"-"&amp;K400,SpecCV[ID],SpecCV[Unit]))</f>
        <v>cfu/ml</v>
      </c>
      <c r="S400" s="24"/>
      <c r="T400" s="24"/>
      <c r="U400" s="24"/>
      <c r="V400" s="68" t="b">
        <v>0</v>
      </c>
      <c r="W400" s="24"/>
      <c r="X400" s="24"/>
    </row>
    <row r="401" ht="22.5" customHeight="1">
      <c r="A401" s="68"/>
      <c r="B401" s="68" t="b">
        <v>0</v>
      </c>
      <c r="C401" s="68">
        <v>12.0</v>
      </c>
      <c r="D401" s="70"/>
      <c r="E401" s="8" t="s">
        <v>28</v>
      </c>
      <c r="F401" s="68"/>
      <c r="G401" s="24" t="s">
        <v>320</v>
      </c>
      <c r="H401" s="24" t="s">
        <v>287</v>
      </c>
      <c r="I401" s="71">
        <v>46204.0</v>
      </c>
      <c r="J401" s="66" t="s">
        <v>47</v>
      </c>
      <c r="K401" s="66" t="s">
        <v>48</v>
      </c>
      <c r="L401" s="66"/>
      <c r="M401" s="66"/>
      <c r="N401" s="24"/>
      <c r="O401" s="72">
        <v>1.0</v>
      </c>
      <c r="P401" s="24">
        <f t="array" ref="P401">if(O401="","", if(O401=9999,9999,ROUNDUP(_xlfn.XLOOKUP(J401&amp;"-"&amp;E401&amp;"-"&amp;K401,SpecCV[ID],SpecCV[factor])*O401,0)))</f>
        <v>1</v>
      </c>
      <c r="Q401" s="24">
        <f t="array" ref="Q401">if(J401="Contact plate", _xlfn.XLOOKUP(J401&amp;"-"&amp;E401&amp;"-"&amp;K401,SpecCV[ID],SpecCV[Spec]),_xlfn.XLOOKUP(J401&amp;"-"&amp;E401&amp;"-"&amp;K401,SpecCV[ID],SpecCV[Spec]))</f>
        <v>100</v>
      </c>
      <c r="R401" s="15" t="str">
        <f t="array" ref="R401">if(J401="Contact plate", _xlfn.XLOOKUP(J401&amp;"-"&amp;E401&amp;"-"&amp;K401,SpecCV[ID],SpecCV[Unit]),_xlfn.XLOOKUP(J401&amp;"-"&amp;E401&amp;"-"&amp;K401,SpecCV[ID],SpecCV[Unit]))</f>
        <v>cfu/ml</v>
      </c>
      <c r="S401" s="24"/>
      <c r="T401" s="24"/>
      <c r="U401" s="24"/>
      <c r="V401" s="68" t="b">
        <v>0</v>
      </c>
      <c r="W401" s="24"/>
      <c r="X401" s="24"/>
    </row>
    <row r="402" ht="22.5" customHeight="1">
      <c r="A402" s="74"/>
      <c r="B402" s="74" t="b">
        <v>0</v>
      </c>
      <c r="C402" s="74">
        <v>12.0</v>
      </c>
      <c r="D402" s="75"/>
      <c r="E402" s="74" t="s">
        <v>28</v>
      </c>
      <c r="F402" s="76" t="s">
        <v>275</v>
      </c>
      <c r="G402" s="76" t="s">
        <v>276</v>
      </c>
      <c r="H402" s="77" t="s">
        <v>277</v>
      </c>
      <c r="I402" s="71">
        <v>46206.0</v>
      </c>
      <c r="J402" s="66" t="s">
        <v>47</v>
      </c>
      <c r="K402" s="66" t="s">
        <v>48</v>
      </c>
      <c r="L402" s="66" t="s">
        <v>42</v>
      </c>
      <c r="M402" s="73"/>
      <c r="N402" s="24">
        <v>1.0</v>
      </c>
      <c r="O402" s="72">
        <v>0.0</v>
      </c>
      <c r="P402" s="24">
        <f t="array" ref="P402">if(O402="","", if(O402=9999,9999,ROUNDUP(_xlfn.XLOOKUP(J402&amp;"-"&amp;E402&amp;"-"&amp;K402,SpecCV[ID],SpecCV[factor])*O402,0)))</f>
        <v>0</v>
      </c>
      <c r="Q402" s="24">
        <f t="array" ref="Q402">if(J402="Contact plate", _xlfn.XLOOKUP(J402&amp;"-"&amp;E402&amp;"-"&amp;K402,SpecCV[ID],SpecCV[Spec]),_xlfn.XLOOKUP(J402&amp;"-"&amp;E402&amp;"-"&amp;K402,SpecCV[ID],SpecCV[Spec]))</f>
        <v>100</v>
      </c>
      <c r="R402" s="15" t="str">
        <f t="array" ref="R402">if(J402="Contact plate", _xlfn.XLOOKUP(J402&amp;"-"&amp;E402&amp;"-"&amp;K402,SpecCV[ID],SpecCV[Unit]),_xlfn.XLOOKUP(J402&amp;"-"&amp;E402&amp;"-"&amp;K402,SpecCV[ID],SpecCV[Unit]))</f>
        <v>cfu/ml</v>
      </c>
      <c r="S402" s="24"/>
      <c r="T402" s="24"/>
      <c r="U402" s="24"/>
      <c r="V402" s="68" t="b">
        <v>0</v>
      </c>
      <c r="W402" s="24"/>
      <c r="X402" s="24"/>
    </row>
    <row r="403" ht="22.5" customHeight="1">
      <c r="A403" s="78"/>
      <c r="B403" s="74" t="b">
        <v>0</v>
      </c>
      <c r="C403" s="79">
        <v>16.0</v>
      </c>
      <c r="D403" s="48"/>
      <c r="E403" s="80" t="s">
        <v>28</v>
      </c>
      <c r="F403" s="80" t="s">
        <v>258</v>
      </c>
      <c r="G403" s="81" t="s">
        <v>259</v>
      </c>
      <c r="H403" s="81" t="s">
        <v>260</v>
      </c>
      <c r="I403" s="71">
        <v>46209.0</v>
      </c>
      <c r="J403" s="66" t="s">
        <v>30</v>
      </c>
      <c r="K403" s="66" t="s">
        <v>30</v>
      </c>
      <c r="L403" s="66" t="s">
        <v>42</v>
      </c>
      <c r="M403" s="66" t="s">
        <v>45</v>
      </c>
      <c r="N403" s="24">
        <v>2.0</v>
      </c>
      <c r="O403" s="72">
        <v>0.0</v>
      </c>
      <c r="P403" s="24">
        <f t="array" ref="P403">if(O403="","", if(O403=9999,9999,ROUNDUP(_xlfn.XLOOKUP(J403&amp;"-"&amp;E403&amp;"-"&amp;K403,SpecCV[ID],SpecCV[factor])*O403,0)))</f>
        <v>0</v>
      </c>
      <c r="Q403" s="24">
        <f t="array" ref="Q403">if(J403="Contact plate", _xlfn.XLOOKUP(J403&amp;"-"&amp;E403&amp;"-"&amp;K403,SpecCV[ID],SpecCV[Spec]),_xlfn.XLOOKUP(J403&amp;"-"&amp;E403&amp;"-"&amp;K403,SpecCV[ID],SpecCV[Spec]))</f>
        <v>50</v>
      </c>
      <c r="R403" s="15" t="str">
        <f t="array" ref="R403">if(J403="Contact plate", _xlfn.XLOOKUP(J403&amp;"-"&amp;E403&amp;"-"&amp;K403,SpecCV[ID],SpecCV[Unit]),_xlfn.XLOOKUP(J403&amp;"-"&amp;E403&amp;"-"&amp;K403,SpecCV[ID],SpecCV[Unit]))</f>
        <v>cfu</v>
      </c>
      <c r="S403" s="24"/>
      <c r="T403" s="24"/>
      <c r="U403" s="24"/>
      <c r="V403" s="68" t="b">
        <v>0</v>
      </c>
      <c r="W403" s="24" t="s">
        <v>299</v>
      </c>
      <c r="X403" s="24"/>
    </row>
    <row r="404" ht="22.5" customHeight="1">
      <c r="A404" s="82"/>
      <c r="B404" s="83" t="b">
        <v>0</v>
      </c>
      <c r="C404" s="84">
        <v>16.0</v>
      </c>
      <c r="D404" s="16"/>
      <c r="E404" s="85" t="s">
        <v>28</v>
      </c>
      <c r="F404" s="85" t="s">
        <v>258</v>
      </c>
      <c r="G404" s="86" t="s">
        <v>259</v>
      </c>
      <c r="H404" s="86" t="s">
        <v>261</v>
      </c>
      <c r="I404" s="71">
        <v>46209.0</v>
      </c>
      <c r="J404" s="66" t="s">
        <v>30</v>
      </c>
      <c r="K404" s="66" t="s">
        <v>30</v>
      </c>
      <c r="L404" s="66" t="s">
        <v>42</v>
      </c>
      <c r="M404" s="66" t="s">
        <v>45</v>
      </c>
      <c r="N404" s="24">
        <v>2.0</v>
      </c>
      <c r="O404" s="72">
        <v>1.0</v>
      </c>
      <c r="P404" s="24">
        <f t="array" ref="P404">if(O404="","", if(O404=9999,9999,ROUNDUP(_xlfn.XLOOKUP(J404&amp;"-"&amp;E404&amp;"-"&amp;K404,SpecCV[ID],SpecCV[factor])*O404,0)))</f>
        <v>1</v>
      </c>
      <c r="Q404" s="24">
        <f t="array" ref="Q404">if(J404="Contact plate", _xlfn.XLOOKUP(J404&amp;"-"&amp;E404&amp;"-"&amp;K404,SpecCV[ID],SpecCV[Spec]),_xlfn.XLOOKUP(J404&amp;"-"&amp;E404&amp;"-"&amp;K404,SpecCV[ID],SpecCV[Spec]))</f>
        <v>50</v>
      </c>
      <c r="R404" s="15" t="str">
        <f t="array" ref="R404">if(J404="Contact plate", _xlfn.XLOOKUP(J404&amp;"-"&amp;E404&amp;"-"&amp;K404,SpecCV[ID],SpecCV[Unit]),_xlfn.XLOOKUP(J404&amp;"-"&amp;E404&amp;"-"&amp;K404,SpecCV[ID],SpecCV[Unit]))</f>
        <v>cfu</v>
      </c>
      <c r="S404" s="24"/>
      <c r="T404" s="24"/>
      <c r="U404" s="24"/>
      <c r="V404" s="68" t="b">
        <v>0</v>
      </c>
      <c r="W404" s="24" t="s">
        <v>299</v>
      </c>
      <c r="X404" s="24"/>
    </row>
    <row r="405" ht="22.5" customHeight="1">
      <c r="A405" s="78"/>
      <c r="B405" s="74" t="b">
        <v>0</v>
      </c>
      <c r="C405" s="79">
        <v>16.0</v>
      </c>
      <c r="D405" s="48"/>
      <c r="E405" s="80" t="s">
        <v>28</v>
      </c>
      <c r="F405" s="80" t="s">
        <v>258</v>
      </c>
      <c r="G405" s="81" t="s">
        <v>259</v>
      </c>
      <c r="H405" s="81" t="s">
        <v>262</v>
      </c>
      <c r="I405" s="71">
        <v>46209.0</v>
      </c>
      <c r="J405" s="66" t="s">
        <v>30</v>
      </c>
      <c r="K405" s="66" t="s">
        <v>30</v>
      </c>
      <c r="L405" s="66" t="s">
        <v>42</v>
      </c>
      <c r="M405" s="66" t="s">
        <v>45</v>
      </c>
      <c r="N405" s="24">
        <v>2.0</v>
      </c>
      <c r="O405" s="72">
        <v>0.0</v>
      </c>
      <c r="P405" s="24">
        <f t="array" ref="P405">if(O405="","", if(O405=9999,9999,ROUNDUP(_xlfn.XLOOKUP(J405&amp;"-"&amp;E405&amp;"-"&amp;K405,SpecCV[ID],SpecCV[factor])*O405,0)))</f>
        <v>0</v>
      </c>
      <c r="Q405" s="24">
        <f t="array" ref="Q405">if(J405="Contact plate", _xlfn.XLOOKUP(J405&amp;"-"&amp;E405&amp;"-"&amp;K405,SpecCV[ID],SpecCV[Spec]),_xlfn.XLOOKUP(J405&amp;"-"&amp;E405&amp;"-"&amp;K405,SpecCV[ID],SpecCV[Spec]))</f>
        <v>50</v>
      </c>
      <c r="R405" s="15" t="str">
        <f t="array" ref="R405">if(J405="Contact plate", _xlfn.XLOOKUP(J405&amp;"-"&amp;E405&amp;"-"&amp;K405,SpecCV[ID],SpecCV[Unit]),_xlfn.XLOOKUP(J405&amp;"-"&amp;E405&amp;"-"&amp;K405,SpecCV[ID],SpecCV[Unit]))</f>
        <v>cfu</v>
      </c>
      <c r="S405" s="24"/>
      <c r="T405" s="24"/>
      <c r="U405" s="24"/>
      <c r="V405" s="68" t="b">
        <v>0</v>
      </c>
      <c r="W405" s="24" t="s">
        <v>299</v>
      </c>
      <c r="X405" s="24"/>
    </row>
    <row r="406" ht="22.5" customHeight="1">
      <c r="A406" s="68"/>
      <c r="B406" s="68" t="b">
        <v>0</v>
      </c>
      <c r="C406" s="68">
        <v>10.0</v>
      </c>
      <c r="D406" s="70"/>
      <c r="E406" s="8" t="s">
        <v>28</v>
      </c>
      <c r="F406" s="9" t="s">
        <v>278</v>
      </c>
      <c r="G406" s="15" t="s">
        <v>279</v>
      </c>
      <c r="H406" s="15" t="s">
        <v>222</v>
      </c>
      <c r="I406" s="71">
        <v>46213.0</v>
      </c>
      <c r="J406" s="66" t="s">
        <v>30</v>
      </c>
      <c r="K406" s="66" t="s">
        <v>30</v>
      </c>
      <c r="L406" s="66" t="s">
        <v>220</v>
      </c>
      <c r="M406" s="66" t="s">
        <v>45</v>
      </c>
      <c r="N406" s="24">
        <v>1.0</v>
      </c>
      <c r="O406" s="72">
        <v>0.0</v>
      </c>
      <c r="P406" s="24">
        <f t="array" ref="P406">if(O406="","", if(O406=9999,9999,ROUNDUP(_xlfn.XLOOKUP(J406&amp;"-"&amp;E406&amp;"-"&amp;K406,SpecCV[ID],SpecCV[factor])*O406,0)))</f>
        <v>0</v>
      </c>
      <c r="Q406" s="24">
        <f t="array" ref="Q406">if(J406="Contact plate", _xlfn.XLOOKUP(J406&amp;"-"&amp;E406&amp;"-"&amp;K406,SpecCV[ID],SpecCV[Spec]),_xlfn.XLOOKUP(J406&amp;"-"&amp;E406&amp;"-"&amp;K406,SpecCV[ID],SpecCV[Spec]))</f>
        <v>50</v>
      </c>
      <c r="R406" s="15" t="str">
        <f t="array" ref="R406">if(J406="Contact plate", _xlfn.XLOOKUP(J406&amp;"-"&amp;E406&amp;"-"&amp;K406,SpecCV[ID],SpecCV[Unit]),_xlfn.XLOOKUP(J406&amp;"-"&amp;E406&amp;"-"&amp;K406,SpecCV[ID],SpecCV[Unit]))</f>
        <v>cfu</v>
      </c>
      <c r="S406" s="24"/>
      <c r="T406" s="24"/>
      <c r="U406" s="24"/>
      <c r="V406" s="68" t="b">
        <v>0</v>
      </c>
      <c r="W406" s="24" t="s">
        <v>299</v>
      </c>
      <c r="X406" s="24"/>
    </row>
    <row r="407" ht="22.5" customHeight="1">
      <c r="A407" s="68"/>
      <c r="B407" s="68" t="b">
        <v>0</v>
      </c>
      <c r="C407" s="68">
        <v>10.0</v>
      </c>
      <c r="D407" s="70"/>
      <c r="E407" s="8" t="s">
        <v>28</v>
      </c>
      <c r="F407" s="9" t="s">
        <v>278</v>
      </c>
      <c r="G407" s="15" t="s">
        <v>221</v>
      </c>
      <c r="H407" s="15" t="s">
        <v>223</v>
      </c>
      <c r="I407" s="71">
        <v>46213.0</v>
      </c>
      <c r="J407" s="66" t="s">
        <v>30</v>
      </c>
      <c r="K407" s="66" t="s">
        <v>30</v>
      </c>
      <c r="L407" s="66" t="s">
        <v>220</v>
      </c>
      <c r="M407" s="66" t="s">
        <v>45</v>
      </c>
      <c r="N407" s="24">
        <v>1.0</v>
      </c>
      <c r="O407" s="72">
        <v>0.0</v>
      </c>
      <c r="P407" s="24">
        <f t="array" ref="P407">if(O407="","", if(O407=9999,9999,ROUNDUP(_xlfn.XLOOKUP(J407&amp;"-"&amp;E407&amp;"-"&amp;K407,SpecCV[ID],SpecCV[factor])*O407,0)))</f>
        <v>0</v>
      </c>
      <c r="Q407" s="24">
        <f t="array" ref="Q407">if(J407="Contact plate", _xlfn.XLOOKUP(J407&amp;"-"&amp;E407&amp;"-"&amp;K407,SpecCV[ID],SpecCV[Spec]),_xlfn.XLOOKUP(J407&amp;"-"&amp;E407&amp;"-"&amp;K407,SpecCV[ID],SpecCV[Spec]))</f>
        <v>50</v>
      </c>
      <c r="R407" s="15" t="str">
        <f t="array" ref="R407">if(J407="Contact plate", _xlfn.XLOOKUP(J407&amp;"-"&amp;E407&amp;"-"&amp;K407,SpecCV[ID],SpecCV[Unit]),_xlfn.XLOOKUP(J407&amp;"-"&amp;E407&amp;"-"&amp;K407,SpecCV[ID],SpecCV[Unit]))</f>
        <v>cfu</v>
      </c>
      <c r="S407" s="24"/>
      <c r="T407" s="24"/>
      <c r="U407" s="24"/>
      <c r="V407" s="68" t="b">
        <v>0</v>
      </c>
      <c r="W407" s="24" t="s">
        <v>299</v>
      </c>
      <c r="X407" s="24"/>
    </row>
    <row r="408" ht="22.5" customHeight="1">
      <c r="A408" s="68"/>
      <c r="B408" s="68" t="b">
        <v>0</v>
      </c>
      <c r="C408" s="68">
        <v>10.0</v>
      </c>
      <c r="D408" s="70"/>
      <c r="E408" s="8" t="s">
        <v>28</v>
      </c>
      <c r="F408" s="9" t="s">
        <v>278</v>
      </c>
      <c r="G408" s="15" t="s">
        <v>221</v>
      </c>
      <c r="H408" s="15" t="s">
        <v>224</v>
      </c>
      <c r="I408" s="71">
        <v>46213.0</v>
      </c>
      <c r="J408" s="66" t="s">
        <v>30</v>
      </c>
      <c r="K408" s="66" t="s">
        <v>30</v>
      </c>
      <c r="L408" s="66" t="s">
        <v>220</v>
      </c>
      <c r="M408" s="66" t="s">
        <v>45</v>
      </c>
      <c r="N408" s="24">
        <v>1.0</v>
      </c>
      <c r="O408" s="72">
        <v>0.0</v>
      </c>
      <c r="P408" s="24">
        <f t="array" ref="P408">if(O408="","", if(O408=9999,9999,ROUNDUP(_xlfn.XLOOKUP(J408&amp;"-"&amp;E408&amp;"-"&amp;K408,SpecCV[ID],SpecCV[factor])*O408,0)))</f>
        <v>0</v>
      </c>
      <c r="Q408" s="24">
        <f t="array" ref="Q408">if(J408="Contact plate", _xlfn.XLOOKUP(J408&amp;"-"&amp;E408&amp;"-"&amp;K408,SpecCV[ID],SpecCV[Spec]),_xlfn.XLOOKUP(J408&amp;"-"&amp;E408&amp;"-"&amp;K408,SpecCV[ID],SpecCV[Spec]))</f>
        <v>50</v>
      </c>
      <c r="R408" s="15" t="str">
        <f t="array" ref="R408">if(J408="Contact plate", _xlfn.XLOOKUP(J408&amp;"-"&amp;E408&amp;"-"&amp;K408,SpecCV[ID],SpecCV[Unit]),_xlfn.XLOOKUP(J408&amp;"-"&amp;E408&amp;"-"&amp;K408,SpecCV[ID],SpecCV[Unit]))</f>
        <v>cfu</v>
      </c>
      <c r="S408" s="24"/>
      <c r="T408" s="24"/>
      <c r="U408" s="24"/>
      <c r="V408" s="68" t="b">
        <v>0</v>
      </c>
      <c r="W408" s="24" t="s">
        <v>299</v>
      </c>
      <c r="X408" s="24"/>
    </row>
    <row r="409" ht="22.5" customHeight="1">
      <c r="A409" s="68"/>
      <c r="B409" s="68" t="b">
        <v>0</v>
      </c>
      <c r="C409" s="68">
        <v>16.0</v>
      </c>
      <c r="D409" s="70"/>
      <c r="E409" s="8" t="s">
        <v>37</v>
      </c>
      <c r="F409" s="9" t="s">
        <v>266</v>
      </c>
      <c r="G409" s="24" t="s">
        <v>267</v>
      </c>
      <c r="H409" s="15" t="s">
        <v>264</v>
      </c>
      <c r="I409" s="71">
        <v>46216.0</v>
      </c>
      <c r="J409" s="66" t="s">
        <v>52</v>
      </c>
      <c r="K409" s="66" t="s">
        <v>50</v>
      </c>
      <c r="L409" s="66" t="s">
        <v>42</v>
      </c>
      <c r="M409" s="66" t="s">
        <v>45</v>
      </c>
      <c r="N409" s="24">
        <v>2.0</v>
      </c>
      <c r="O409" s="72">
        <v>48.0</v>
      </c>
      <c r="P409" s="24">
        <f t="array" ref="P409">if(O409="","", if(O409=9999,9999,ROUNDUP(_xlfn.XLOOKUP(J409&amp;"-"&amp;E409&amp;"-"&amp;K409,SpecCV[ID],SpecCV[factor])*O409,0)))</f>
        <v>48</v>
      </c>
      <c r="Q409" s="24">
        <f t="array" ref="Q409">if(J409="Contact plate", _xlfn.XLOOKUP(J409&amp;"-"&amp;E409&amp;"-"&amp;K409,SpecCV[ID],SpecCV[Spec]),_xlfn.XLOOKUP(J409&amp;"-"&amp;E409&amp;"-"&amp;K409,SpecCV[ID],SpecCV[Spec]))</f>
        <v>10</v>
      </c>
      <c r="R409" s="15" t="str">
        <f t="array" ref="R409">if(J409="Contact plate", _xlfn.XLOOKUP(J409&amp;"-"&amp;E409&amp;"-"&amp;K409,SpecCV[ID],SpecCV[Unit]),_xlfn.XLOOKUP(J409&amp;"-"&amp;E409&amp;"-"&amp;K409,SpecCV[ID],SpecCV[Unit]))</f>
        <v>cfu/100ml</v>
      </c>
      <c r="S409" s="24"/>
      <c r="T409" s="24"/>
      <c r="U409" s="24"/>
      <c r="V409" s="68" t="b">
        <v>0</v>
      </c>
      <c r="W409" s="24"/>
      <c r="X409" s="24"/>
    </row>
    <row r="410" ht="22.5" customHeight="1">
      <c r="A410" s="68"/>
      <c r="B410" s="68" t="b">
        <v>0</v>
      </c>
      <c r="C410" s="68">
        <v>16.0</v>
      </c>
      <c r="D410" s="70"/>
      <c r="E410" s="8" t="s">
        <v>37</v>
      </c>
      <c r="F410" s="9" t="s">
        <v>268</v>
      </c>
      <c r="G410" s="24" t="s">
        <v>267</v>
      </c>
      <c r="H410" s="15" t="s">
        <v>265</v>
      </c>
      <c r="I410" s="71">
        <v>46216.0</v>
      </c>
      <c r="J410" s="66" t="s">
        <v>52</v>
      </c>
      <c r="K410" s="66" t="s">
        <v>50</v>
      </c>
      <c r="L410" s="66" t="s">
        <v>42</v>
      </c>
      <c r="M410" s="66" t="s">
        <v>45</v>
      </c>
      <c r="N410" s="24">
        <v>2.0</v>
      </c>
      <c r="O410" s="72">
        <v>43.0</v>
      </c>
      <c r="P410" s="24">
        <f t="array" ref="P410">if(O410="","", if(O410=9999,9999,ROUNDUP(_xlfn.XLOOKUP(J410&amp;"-"&amp;E410&amp;"-"&amp;K410,SpecCV[ID],SpecCV[factor])*O410,0)))</f>
        <v>43</v>
      </c>
      <c r="Q410" s="24">
        <f t="array" ref="Q410">if(J410="Contact plate", _xlfn.XLOOKUP(J410&amp;"-"&amp;E410&amp;"-"&amp;K410,SpecCV[ID],SpecCV[Spec]),_xlfn.XLOOKUP(J410&amp;"-"&amp;E410&amp;"-"&amp;K410,SpecCV[ID],SpecCV[Spec]))</f>
        <v>10</v>
      </c>
      <c r="R410" s="15" t="str">
        <f t="array" ref="R410">if(J410="Contact plate", _xlfn.XLOOKUP(J410&amp;"-"&amp;E410&amp;"-"&amp;K410,SpecCV[ID],SpecCV[Unit]),_xlfn.XLOOKUP(J410&amp;"-"&amp;E410&amp;"-"&amp;K410,SpecCV[ID],SpecCV[Unit]))</f>
        <v>cfu/100ml</v>
      </c>
      <c r="S410" s="24"/>
      <c r="T410" s="24"/>
      <c r="U410" s="24"/>
      <c r="V410" s="68" t="b">
        <v>0</v>
      </c>
      <c r="W410" s="24"/>
      <c r="X410" s="24"/>
    </row>
    <row r="411" ht="22.5" customHeight="1">
      <c r="A411" s="68"/>
      <c r="B411" s="68" t="b">
        <v>0</v>
      </c>
      <c r="C411" s="68">
        <v>16.0</v>
      </c>
      <c r="D411" s="70"/>
      <c r="E411" s="8" t="s">
        <v>37</v>
      </c>
      <c r="F411" s="9" t="s">
        <v>268</v>
      </c>
      <c r="G411" s="24" t="s">
        <v>267</v>
      </c>
      <c r="H411" s="15" t="s">
        <v>269</v>
      </c>
      <c r="I411" s="71">
        <v>46216.0</v>
      </c>
      <c r="J411" s="66" t="s">
        <v>52</v>
      </c>
      <c r="K411" s="66" t="s">
        <v>50</v>
      </c>
      <c r="L411" s="66" t="s">
        <v>42</v>
      </c>
      <c r="M411" s="66" t="s">
        <v>45</v>
      </c>
      <c r="N411" s="24">
        <v>2.0</v>
      </c>
      <c r="O411" s="72">
        <v>56.0</v>
      </c>
      <c r="P411" s="24">
        <f t="array" ref="P411">if(O411="","", if(O411=9999,9999,ROUNDUP(_xlfn.XLOOKUP(J411&amp;"-"&amp;E411&amp;"-"&amp;K411,SpecCV[ID],SpecCV[factor])*O411,0)))</f>
        <v>56</v>
      </c>
      <c r="Q411" s="24">
        <f t="array" ref="Q411">if(J411="Contact plate", _xlfn.XLOOKUP(J411&amp;"-"&amp;E411&amp;"-"&amp;K411,SpecCV[ID],SpecCV[Spec]),_xlfn.XLOOKUP(J411&amp;"-"&amp;E411&amp;"-"&amp;K411,SpecCV[ID],SpecCV[Spec]))</f>
        <v>10</v>
      </c>
      <c r="R411" s="15" t="str">
        <f t="array" ref="R411">if(J411="Contact plate", _xlfn.XLOOKUP(J411&amp;"-"&amp;E411&amp;"-"&amp;K411,SpecCV[ID],SpecCV[Unit]),_xlfn.XLOOKUP(J411&amp;"-"&amp;E411&amp;"-"&amp;K411,SpecCV[ID],SpecCV[Unit]))</f>
        <v>cfu/100ml</v>
      </c>
      <c r="S411" s="24"/>
      <c r="T411" s="24"/>
      <c r="U411" s="24"/>
      <c r="V411" s="68" t="b">
        <v>0</v>
      </c>
      <c r="W411" s="24"/>
      <c r="X411" s="24"/>
    </row>
    <row r="412" ht="22.5" customHeight="1">
      <c r="A412" s="68"/>
      <c r="B412" s="68" t="b">
        <v>0</v>
      </c>
      <c r="C412" s="68">
        <v>16.0</v>
      </c>
      <c r="D412" s="70"/>
      <c r="E412" s="8" t="s">
        <v>37</v>
      </c>
      <c r="F412" s="9" t="s">
        <v>268</v>
      </c>
      <c r="G412" s="24" t="s">
        <v>267</v>
      </c>
      <c r="H412" s="15" t="s">
        <v>270</v>
      </c>
      <c r="I412" s="71">
        <v>46216.0</v>
      </c>
      <c r="J412" s="66" t="s">
        <v>52</v>
      </c>
      <c r="K412" s="66" t="s">
        <v>50</v>
      </c>
      <c r="L412" s="66" t="s">
        <v>42</v>
      </c>
      <c r="M412" s="66" t="s">
        <v>45</v>
      </c>
      <c r="N412" s="24">
        <v>2.0</v>
      </c>
      <c r="O412" s="72">
        <v>35.0</v>
      </c>
      <c r="P412" s="24">
        <f t="array" ref="P412">if(O412="","", if(O412=9999,9999,ROUNDUP(_xlfn.XLOOKUP(J412&amp;"-"&amp;E412&amp;"-"&amp;K412,SpecCV[ID],SpecCV[factor])*O412,0)))</f>
        <v>35</v>
      </c>
      <c r="Q412" s="24">
        <f t="array" ref="Q412">if(J412="Contact plate", _xlfn.XLOOKUP(J412&amp;"-"&amp;E412&amp;"-"&amp;K412,SpecCV[ID],SpecCV[Spec]),_xlfn.XLOOKUP(J412&amp;"-"&amp;E412&amp;"-"&amp;K412,SpecCV[ID],SpecCV[Spec]))</f>
        <v>10</v>
      </c>
      <c r="R412" s="15" t="str">
        <f t="array" ref="R412">if(J412="Contact plate", _xlfn.XLOOKUP(J412&amp;"-"&amp;E412&amp;"-"&amp;K412,SpecCV[ID],SpecCV[Unit]),_xlfn.XLOOKUP(J412&amp;"-"&amp;E412&amp;"-"&amp;K412,SpecCV[ID],SpecCV[Unit]))</f>
        <v>cfu/100ml</v>
      </c>
      <c r="S412" s="24"/>
      <c r="T412" s="24"/>
      <c r="U412" s="24"/>
      <c r="V412" s="68" t="b">
        <v>0</v>
      </c>
      <c r="W412" s="24"/>
      <c r="X412" s="24"/>
    </row>
    <row r="413" ht="22.5" customHeight="1">
      <c r="A413" s="68"/>
      <c r="B413" s="68" t="b">
        <v>0</v>
      </c>
      <c r="C413" s="68">
        <v>16.0</v>
      </c>
      <c r="D413" s="70"/>
      <c r="E413" s="8" t="s">
        <v>37</v>
      </c>
      <c r="F413" s="9" t="s">
        <v>268</v>
      </c>
      <c r="G413" s="24" t="s">
        <v>267</v>
      </c>
      <c r="H413" s="15" t="s">
        <v>271</v>
      </c>
      <c r="I413" s="71">
        <v>46216.0</v>
      </c>
      <c r="J413" s="66" t="s">
        <v>52</v>
      </c>
      <c r="K413" s="66" t="s">
        <v>50</v>
      </c>
      <c r="L413" s="66" t="s">
        <v>42</v>
      </c>
      <c r="M413" s="66" t="s">
        <v>45</v>
      </c>
      <c r="N413" s="24">
        <v>2.0</v>
      </c>
      <c r="O413" s="72">
        <v>43.0</v>
      </c>
      <c r="P413" s="24">
        <f t="array" ref="P413">if(O413="","", if(O413=9999,9999,ROUNDUP(_xlfn.XLOOKUP(J413&amp;"-"&amp;E413&amp;"-"&amp;K413,SpecCV[ID],SpecCV[factor])*O413,0)))</f>
        <v>43</v>
      </c>
      <c r="Q413" s="24">
        <f t="array" ref="Q413">if(J413="Contact plate", _xlfn.XLOOKUP(J413&amp;"-"&amp;E413&amp;"-"&amp;K413,SpecCV[ID],SpecCV[Spec]),_xlfn.XLOOKUP(J413&amp;"-"&amp;E413&amp;"-"&amp;K413,SpecCV[ID],SpecCV[Spec]))</f>
        <v>10</v>
      </c>
      <c r="R413" s="15" t="str">
        <f t="array" ref="R413">if(J413="Contact plate", _xlfn.XLOOKUP(J413&amp;"-"&amp;E413&amp;"-"&amp;K413,SpecCV[ID],SpecCV[Unit]),_xlfn.XLOOKUP(J413&amp;"-"&amp;E413&amp;"-"&amp;K413,SpecCV[ID],SpecCV[Unit]))</f>
        <v>cfu/100ml</v>
      </c>
      <c r="S413" s="24"/>
      <c r="T413" s="24"/>
      <c r="U413" s="24"/>
      <c r="V413" s="68" t="b">
        <v>0</v>
      </c>
      <c r="W413" s="24"/>
      <c r="X413" s="24"/>
    </row>
    <row r="414" ht="22.5" customHeight="1">
      <c r="A414" s="68"/>
      <c r="B414" s="68" t="b">
        <v>0</v>
      </c>
      <c r="C414" s="68">
        <v>16.0</v>
      </c>
      <c r="D414" s="70"/>
      <c r="E414" s="8" t="s">
        <v>37</v>
      </c>
      <c r="F414" s="9" t="s">
        <v>268</v>
      </c>
      <c r="G414" s="24" t="s">
        <v>267</v>
      </c>
      <c r="H414" s="15" t="s">
        <v>272</v>
      </c>
      <c r="I414" s="71">
        <v>46216.0</v>
      </c>
      <c r="J414" s="66" t="s">
        <v>52</v>
      </c>
      <c r="K414" s="66" t="s">
        <v>50</v>
      </c>
      <c r="L414" s="66" t="s">
        <v>42</v>
      </c>
      <c r="M414" s="66" t="s">
        <v>45</v>
      </c>
      <c r="N414" s="24">
        <v>2.0</v>
      </c>
      <c r="O414" s="72">
        <v>58.0</v>
      </c>
      <c r="P414" s="24">
        <f t="array" ref="P414">if(O414="","", if(O414=9999,9999,ROUNDUP(_xlfn.XLOOKUP(J414&amp;"-"&amp;E414&amp;"-"&amp;K414,SpecCV[ID],SpecCV[factor])*O414,0)))</f>
        <v>58</v>
      </c>
      <c r="Q414" s="24">
        <f t="array" ref="Q414">if(J414="Contact plate", _xlfn.XLOOKUP(J414&amp;"-"&amp;E414&amp;"-"&amp;K414,SpecCV[ID],SpecCV[Spec]),_xlfn.XLOOKUP(J414&amp;"-"&amp;E414&amp;"-"&amp;K414,SpecCV[ID],SpecCV[Spec]))</f>
        <v>10</v>
      </c>
      <c r="R414" s="15" t="str">
        <f t="array" ref="R414">if(J414="Contact plate", _xlfn.XLOOKUP(J414&amp;"-"&amp;E414&amp;"-"&amp;K414,SpecCV[ID],SpecCV[Unit]),_xlfn.XLOOKUP(J414&amp;"-"&amp;E414&amp;"-"&amp;K414,SpecCV[ID],SpecCV[Unit]))</f>
        <v>cfu/100ml</v>
      </c>
      <c r="S414" s="24"/>
      <c r="T414" s="24"/>
      <c r="U414" s="24"/>
      <c r="V414" s="68" t="b">
        <v>0</v>
      </c>
      <c r="W414" s="24"/>
      <c r="X414" s="24"/>
    </row>
    <row r="415" ht="22.5" customHeight="1">
      <c r="A415" s="68"/>
      <c r="B415" s="68" t="b">
        <v>0</v>
      </c>
      <c r="C415" s="68">
        <v>16.0</v>
      </c>
      <c r="D415" s="70"/>
      <c r="E415" s="8" t="s">
        <v>37</v>
      </c>
      <c r="F415" s="9" t="s">
        <v>268</v>
      </c>
      <c r="G415" s="24" t="s">
        <v>267</v>
      </c>
      <c r="H415" s="15" t="s">
        <v>273</v>
      </c>
      <c r="I415" s="71">
        <v>46216.0</v>
      </c>
      <c r="J415" s="66" t="s">
        <v>52</v>
      </c>
      <c r="K415" s="66" t="s">
        <v>50</v>
      </c>
      <c r="L415" s="66" t="s">
        <v>42</v>
      </c>
      <c r="M415" s="66" t="s">
        <v>45</v>
      </c>
      <c r="N415" s="24">
        <v>2.0</v>
      </c>
      <c r="O415" s="72">
        <v>71.0</v>
      </c>
      <c r="P415" s="24">
        <f t="array" ref="P415">if(O415="","", if(O415=9999,9999,ROUNDUP(_xlfn.XLOOKUP(J415&amp;"-"&amp;E415&amp;"-"&amp;K415,SpecCV[ID],SpecCV[factor])*O415,0)))</f>
        <v>71</v>
      </c>
      <c r="Q415" s="24">
        <f t="array" ref="Q415">if(J415="Contact plate", _xlfn.XLOOKUP(J415&amp;"-"&amp;E415&amp;"-"&amp;K415,SpecCV[ID],SpecCV[Spec]),_xlfn.XLOOKUP(J415&amp;"-"&amp;E415&amp;"-"&amp;K415,SpecCV[ID],SpecCV[Spec]))</f>
        <v>10</v>
      </c>
      <c r="R415" s="15" t="str">
        <f t="array" ref="R415">if(J415="Contact plate", _xlfn.XLOOKUP(J415&amp;"-"&amp;E415&amp;"-"&amp;K415,SpecCV[ID],SpecCV[Unit]),_xlfn.XLOOKUP(J415&amp;"-"&amp;E415&amp;"-"&amp;K415,SpecCV[ID],SpecCV[Unit]))</f>
        <v>cfu/100ml</v>
      </c>
      <c r="S415" s="24"/>
      <c r="T415" s="24"/>
      <c r="U415" s="24"/>
      <c r="V415" s="68" t="b">
        <v>0</v>
      </c>
      <c r="W415" s="24"/>
      <c r="X415" s="24"/>
    </row>
    <row r="416" ht="22.5" customHeight="1">
      <c r="A416" s="68"/>
      <c r="B416" s="68" t="b">
        <v>0</v>
      </c>
      <c r="C416" s="68">
        <v>16.0</v>
      </c>
      <c r="D416" s="70"/>
      <c r="E416" s="8" t="s">
        <v>37</v>
      </c>
      <c r="F416" s="9" t="s">
        <v>268</v>
      </c>
      <c r="G416" s="24" t="s">
        <v>267</v>
      </c>
      <c r="H416" s="15" t="s">
        <v>274</v>
      </c>
      <c r="I416" s="71">
        <v>46216.0</v>
      </c>
      <c r="J416" s="66" t="s">
        <v>52</v>
      </c>
      <c r="K416" s="66" t="s">
        <v>50</v>
      </c>
      <c r="L416" s="66" t="s">
        <v>42</v>
      </c>
      <c r="M416" s="66" t="s">
        <v>45</v>
      </c>
      <c r="N416" s="24">
        <v>2.0</v>
      </c>
      <c r="O416" s="72">
        <v>87.0</v>
      </c>
      <c r="P416" s="24">
        <f t="array" ref="P416">if(O416="","", if(O416=9999,9999,ROUNDUP(_xlfn.XLOOKUP(J416&amp;"-"&amp;E416&amp;"-"&amp;K416,SpecCV[ID],SpecCV[factor])*O416,0)))</f>
        <v>87</v>
      </c>
      <c r="Q416" s="24">
        <f t="array" ref="Q416">if(J416="Contact plate", _xlfn.XLOOKUP(J416&amp;"-"&amp;E416&amp;"-"&amp;K416,SpecCV[ID],SpecCV[Spec]),_xlfn.XLOOKUP(J416&amp;"-"&amp;E416&amp;"-"&amp;K416,SpecCV[ID],SpecCV[Spec]))</f>
        <v>10</v>
      </c>
      <c r="R416" s="15" t="str">
        <f t="array" ref="R416">if(J416="Contact plate", _xlfn.XLOOKUP(J416&amp;"-"&amp;E416&amp;"-"&amp;K416,SpecCV[ID],SpecCV[Unit]),_xlfn.XLOOKUP(J416&amp;"-"&amp;E416&amp;"-"&amp;K416,SpecCV[ID],SpecCV[Unit]))</f>
        <v>cfu/100ml</v>
      </c>
      <c r="S416" s="24"/>
      <c r="T416" s="24"/>
      <c r="U416" s="24"/>
      <c r="V416" s="68" t="b">
        <v>0</v>
      </c>
      <c r="W416" s="24"/>
      <c r="X416" s="24"/>
    </row>
    <row r="417" ht="22.5" customHeight="1">
      <c r="A417" s="68"/>
      <c r="B417" s="68" t="b">
        <v>0</v>
      </c>
      <c r="C417" s="68">
        <v>10.0</v>
      </c>
      <c r="D417" s="70"/>
      <c r="E417" s="8" t="s">
        <v>28</v>
      </c>
      <c r="F417" s="24" t="s">
        <v>257</v>
      </c>
      <c r="G417" s="15" t="s">
        <v>221</v>
      </c>
      <c r="H417" s="15" t="s">
        <v>222</v>
      </c>
      <c r="I417" s="71">
        <v>46219.0</v>
      </c>
      <c r="J417" s="66" t="s">
        <v>30</v>
      </c>
      <c r="K417" s="66" t="s">
        <v>30</v>
      </c>
      <c r="L417" s="66" t="s">
        <v>220</v>
      </c>
      <c r="M417" s="66" t="s">
        <v>45</v>
      </c>
      <c r="N417" s="24">
        <v>1.0</v>
      </c>
      <c r="O417" s="72">
        <v>2.0</v>
      </c>
      <c r="P417" s="24">
        <f t="array" ref="P417">if(O417="","", if(O417=9999,9999,ROUNDUP(_xlfn.XLOOKUP(J417&amp;"-"&amp;E417&amp;"-"&amp;K417,SpecCV[ID],SpecCV[factor])*O417,0)))</f>
        <v>2</v>
      </c>
      <c r="Q417" s="24">
        <f t="array" ref="Q417">if(J417="Contact plate", _xlfn.XLOOKUP(J417&amp;"-"&amp;E417&amp;"-"&amp;K417,SpecCV[ID],SpecCV[Spec]),_xlfn.XLOOKUP(J417&amp;"-"&amp;E417&amp;"-"&amp;K417,SpecCV[ID],SpecCV[Spec]))</f>
        <v>50</v>
      </c>
      <c r="R417" s="15" t="str">
        <f t="array" ref="R417">if(J417="Contact plate", _xlfn.XLOOKUP(J417&amp;"-"&amp;E417&amp;"-"&amp;K417,SpecCV[ID],SpecCV[Unit]),_xlfn.XLOOKUP(J417&amp;"-"&amp;E417&amp;"-"&amp;K417,SpecCV[ID],SpecCV[Unit]))</f>
        <v>cfu</v>
      </c>
      <c r="S417" s="24"/>
      <c r="T417" s="24"/>
      <c r="U417" s="24"/>
      <c r="V417" s="68" t="b">
        <v>0</v>
      </c>
      <c r="W417" s="24"/>
      <c r="X417" s="24"/>
    </row>
    <row r="418" ht="22.5" customHeight="1">
      <c r="A418" s="68"/>
      <c r="B418" s="68" t="b">
        <v>0</v>
      </c>
      <c r="C418" s="68">
        <v>10.0</v>
      </c>
      <c r="D418" s="70"/>
      <c r="E418" s="8" t="s">
        <v>28</v>
      </c>
      <c r="F418" s="24" t="s">
        <v>257</v>
      </c>
      <c r="G418" s="15" t="s">
        <v>221</v>
      </c>
      <c r="H418" s="15" t="s">
        <v>223</v>
      </c>
      <c r="I418" s="71">
        <v>46219.0</v>
      </c>
      <c r="J418" s="66" t="s">
        <v>30</v>
      </c>
      <c r="K418" s="66" t="s">
        <v>30</v>
      </c>
      <c r="L418" s="66" t="s">
        <v>220</v>
      </c>
      <c r="M418" s="66" t="s">
        <v>45</v>
      </c>
      <c r="N418" s="24">
        <v>1.0</v>
      </c>
      <c r="O418" s="72">
        <v>2.0</v>
      </c>
      <c r="P418" s="24">
        <f t="array" ref="P418">if(O418="","", if(O418=9999,9999,ROUNDUP(_xlfn.XLOOKUP(J418&amp;"-"&amp;E418&amp;"-"&amp;K418,SpecCV[ID],SpecCV[factor])*O418,0)))</f>
        <v>2</v>
      </c>
      <c r="Q418" s="24">
        <f t="array" ref="Q418">if(J418="Contact plate", _xlfn.XLOOKUP(J418&amp;"-"&amp;E418&amp;"-"&amp;K418,SpecCV[ID],SpecCV[Spec]),_xlfn.XLOOKUP(J418&amp;"-"&amp;E418&amp;"-"&amp;K418,SpecCV[ID],SpecCV[Spec]))</f>
        <v>50</v>
      </c>
      <c r="R418" s="15" t="str">
        <f t="array" ref="R418">if(J418="Contact plate", _xlfn.XLOOKUP(J418&amp;"-"&amp;E418&amp;"-"&amp;K418,SpecCV[ID],SpecCV[Unit]),_xlfn.XLOOKUP(J418&amp;"-"&amp;E418&amp;"-"&amp;K418,SpecCV[ID],SpecCV[Unit]))</f>
        <v>cfu</v>
      </c>
      <c r="S418" s="24"/>
      <c r="T418" s="24"/>
      <c r="U418" s="24"/>
      <c r="V418" s="68" t="b">
        <v>0</v>
      </c>
      <c r="W418" s="24"/>
      <c r="X418" s="24"/>
    </row>
    <row r="419" ht="22.5" customHeight="1">
      <c r="A419" s="68"/>
      <c r="B419" s="68" t="b">
        <v>0</v>
      </c>
      <c r="C419" s="68">
        <v>10.0</v>
      </c>
      <c r="D419" s="70"/>
      <c r="E419" s="68" t="s">
        <v>28</v>
      </c>
      <c r="F419" s="24" t="s">
        <v>257</v>
      </c>
      <c r="G419" s="15" t="s">
        <v>221</v>
      </c>
      <c r="H419" s="15" t="s">
        <v>224</v>
      </c>
      <c r="I419" s="71">
        <v>46219.0</v>
      </c>
      <c r="J419" s="66" t="s">
        <v>30</v>
      </c>
      <c r="K419" s="66" t="s">
        <v>30</v>
      </c>
      <c r="L419" s="66" t="s">
        <v>220</v>
      </c>
      <c r="M419" s="66" t="s">
        <v>45</v>
      </c>
      <c r="N419" s="24">
        <v>1.0</v>
      </c>
      <c r="O419" s="72">
        <v>4.0</v>
      </c>
      <c r="P419" s="24">
        <f t="array" ref="P419">if(O419="","", if(O419=9999,9999,ROUNDUP(_xlfn.XLOOKUP(J419&amp;"-"&amp;E419&amp;"-"&amp;K419,SpecCV[ID],SpecCV[factor])*O419,0)))</f>
        <v>4</v>
      </c>
      <c r="Q419" s="24">
        <f t="array" ref="Q419">if(J419="Contact plate", _xlfn.XLOOKUP(J419&amp;"-"&amp;E419&amp;"-"&amp;K419,SpecCV[ID],SpecCV[Spec]),_xlfn.XLOOKUP(J419&amp;"-"&amp;E419&amp;"-"&amp;K419,SpecCV[ID],SpecCV[Spec]))</f>
        <v>50</v>
      </c>
      <c r="R419" s="15" t="str">
        <f t="array" ref="R419">if(J419="Contact plate", _xlfn.XLOOKUP(J419&amp;"-"&amp;E419&amp;"-"&amp;K419,SpecCV[ID],SpecCV[Unit]),_xlfn.XLOOKUP(J419&amp;"-"&amp;E419&amp;"-"&amp;K419,SpecCV[ID],SpecCV[Unit]))</f>
        <v>cfu</v>
      </c>
      <c r="S419" s="24"/>
      <c r="T419" s="24"/>
      <c r="U419" s="24"/>
      <c r="V419" s="68" t="b">
        <v>0</v>
      </c>
      <c r="W419" s="24"/>
      <c r="X419" s="24"/>
    </row>
    <row r="420" ht="22.5" customHeight="1">
      <c r="A420" s="68"/>
      <c r="B420" s="68" t="b">
        <v>0</v>
      </c>
      <c r="C420" s="68">
        <v>16.0</v>
      </c>
      <c r="D420" s="70"/>
      <c r="E420" s="8" t="s">
        <v>37</v>
      </c>
      <c r="F420" s="9" t="s">
        <v>266</v>
      </c>
      <c r="G420" s="24" t="s">
        <v>267</v>
      </c>
      <c r="H420" s="15" t="s">
        <v>264</v>
      </c>
      <c r="I420" s="71">
        <v>46219.0</v>
      </c>
      <c r="J420" s="66" t="s">
        <v>52</v>
      </c>
      <c r="K420" s="66" t="s">
        <v>50</v>
      </c>
      <c r="L420" s="66" t="s">
        <v>42</v>
      </c>
      <c r="M420" s="66" t="s">
        <v>281</v>
      </c>
      <c r="N420" s="87">
        <v>46024.0</v>
      </c>
      <c r="O420" s="72">
        <v>12.0</v>
      </c>
      <c r="P420" s="24">
        <f t="array" ref="P420">if(O420="","", if(O420=9999,9999,ROUNDUP(_xlfn.XLOOKUP(J420&amp;"-"&amp;E420&amp;"-"&amp;K420,SpecCV[ID],SpecCV[factor])*O420,0)))</f>
        <v>12</v>
      </c>
      <c r="Q420" s="24">
        <f t="array" ref="Q420">if(J420="Contact plate", _xlfn.XLOOKUP(J420&amp;"-"&amp;E420&amp;"-"&amp;K420,SpecCV[ID],SpecCV[Spec]),_xlfn.XLOOKUP(J420&amp;"-"&amp;E420&amp;"-"&amp;K420,SpecCV[ID],SpecCV[Spec]))</f>
        <v>10</v>
      </c>
      <c r="R420" s="15" t="str">
        <f t="array" ref="R420">if(J420="Contact plate", _xlfn.XLOOKUP(J420&amp;"-"&amp;E420&amp;"-"&amp;K420,SpecCV[ID],SpecCV[Unit]),_xlfn.XLOOKUP(J420&amp;"-"&amp;E420&amp;"-"&amp;K420,SpecCV[ID],SpecCV[Unit]))</f>
        <v>cfu/100ml</v>
      </c>
      <c r="S420" s="24"/>
      <c r="T420" s="24"/>
      <c r="U420" s="24"/>
      <c r="V420" s="68" t="b">
        <v>0</v>
      </c>
      <c r="W420" s="24"/>
      <c r="X420" s="24"/>
    </row>
    <row r="421" ht="22.5" customHeight="1">
      <c r="A421" s="68"/>
      <c r="B421" s="68" t="b">
        <v>0</v>
      </c>
      <c r="C421" s="68">
        <v>16.0</v>
      </c>
      <c r="D421" s="70"/>
      <c r="E421" s="8" t="s">
        <v>37</v>
      </c>
      <c r="F421" s="9" t="s">
        <v>268</v>
      </c>
      <c r="G421" s="24" t="s">
        <v>267</v>
      </c>
      <c r="H421" s="15" t="s">
        <v>265</v>
      </c>
      <c r="I421" s="71">
        <v>46219.0</v>
      </c>
      <c r="J421" s="66" t="s">
        <v>52</v>
      </c>
      <c r="K421" s="66" t="s">
        <v>50</v>
      </c>
      <c r="L421" s="66" t="s">
        <v>42</v>
      </c>
      <c r="M421" s="66" t="s">
        <v>281</v>
      </c>
      <c r="N421" s="87">
        <v>46024.0</v>
      </c>
      <c r="O421" s="72">
        <v>18.0</v>
      </c>
      <c r="P421" s="24">
        <f t="array" ref="P421">if(O421="","", if(O421=9999,9999,ROUNDUP(_xlfn.XLOOKUP(J421&amp;"-"&amp;E421&amp;"-"&amp;K421,SpecCV[ID],SpecCV[factor])*O421,0)))</f>
        <v>18</v>
      </c>
      <c r="Q421" s="24">
        <f t="array" ref="Q421">if(J421="Contact plate", _xlfn.XLOOKUP(J421&amp;"-"&amp;E421&amp;"-"&amp;K421,SpecCV[ID],SpecCV[Spec]),_xlfn.XLOOKUP(J421&amp;"-"&amp;E421&amp;"-"&amp;K421,SpecCV[ID],SpecCV[Spec]))</f>
        <v>10</v>
      </c>
      <c r="R421" s="15" t="str">
        <f t="array" ref="R421">if(J421="Contact plate", _xlfn.XLOOKUP(J421&amp;"-"&amp;E421&amp;"-"&amp;K421,SpecCV[ID],SpecCV[Unit]),_xlfn.XLOOKUP(J421&amp;"-"&amp;E421&amp;"-"&amp;K421,SpecCV[ID],SpecCV[Unit]))</f>
        <v>cfu/100ml</v>
      </c>
      <c r="S421" s="24"/>
      <c r="T421" s="24"/>
      <c r="U421" s="24"/>
      <c r="V421" s="68" t="b">
        <v>0</v>
      </c>
      <c r="W421" s="24"/>
      <c r="X421" s="24"/>
    </row>
    <row r="422" ht="22.5" customHeight="1">
      <c r="A422" s="68"/>
      <c r="B422" s="68" t="b">
        <v>0</v>
      </c>
      <c r="C422" s="68">
        <v>16.0</v>
      </c>
      <c r="D422" s="70"/>
      <c r="E422" s="8" t="s">
        <v>37</v>
      </c>
      <c r="F422" s="9" t="s">
        <v>268</v>
      </c>
      <c r="G422" s="24" t="s">
        <v>267</v>
      </c>
      <c r="H422" s="15" t="s">
        <v>269</v>
      </c>
      <c r="I422" s="71">
        <v>46219.0</v>
      </c>
      <c r="J422" s="66" t="s">
        <v>52</v>
      </c>
      <c r="K422" s="66" t="s">
        <v>50</v>
      </c>
      <c r="L422" s="66" t="s">
        <v>42</v>
      </c>
      <c r="M422" s="66" t="s">
        <v>281</v>
      </c>
      <c r="N422" s="87">
        <v>46024.0</v>
      </c>
      <c r="O422" s="72">
        <v>8.0</v>
      </c>
      <c r="P422" s="24">
        <f t="array" ref="P422">if(O422="","", if(O422=9999,9999,ROUNDUP(_xlfn.XLOOKUP(J422&amp;"-"&amp;E422&amp;"-"&amp;K422,SpecCV[ID],SpecCV[factor])*O422,0)))</f>
        <v>8</v>
      </c>
      <c r="Q422" s="24">
        <f t="array" ref="Q422">if(J422="Contact plate", _xlfn.XLOOKUP(J422&amp;"-"&amp;E422&amp;"-"&amp;K422,SpecCV[ID],SpecCV[Spec]),_xlfn.XLOOKUP(J422&amp;"-"&amp;E422&amp;"-"&amp;K422,SpecCV[ID],SpecCV[Spec]))</f>
        <v>10</v>
      </c>
      <c r="R422" s="15" t="str">
        <f t="array" ref="R422">if(J422="Contact plate", _xlfn.XLOOKUP(J422&amp;"-"&amp;E422&amp;"-"&amp;K422,SpecCV[ID],SpecCV[Unit]),_xlfn.XLOOKUP(J422&amp;"-"&amp;E422&amp;"-"&amp;K422,SpecCV[ID],SpecCV[Unit]))</f>
        <v>cfu/100ml</v>
      </c>
      <c r="S422" s="24"/>
      <c r="T422" s="24"/>
      <c r="U422" s="24"/>
      <c r="V422" s="68" t="b">
        <v>0</v>
      </c>
      <c r="W422" s="24"/>
      <c r="X422" s="24"/>
    </row>
    <row r="423" ht="22.5" customHeight="1">
      <c r="A423" s="68"/>
      <c r="B423" s="68" t="b">
        <v>0</v>
      </c>
      <c r="C423" s="68">
        <v>16.0</v>
      </c>
      <c r="D423" s="70"/>
      <c r="E423" s="8" t="s">
        <v>37</v>
      </c>
      <c r="F423" s="9" t="s">
        <v>268</v>
      </c>
      <c r="G423" s="24" t="s">
        <v>267</v>
      </c>
      <c r="H423" s="15" t="s">
        <v>270</v>
      </c>
      <c r="I423" s="71">
        <v>46219.0</v>
      </c>
      <c r="J423" s="66" t="s">
        <v>52</v>
      </c>
      <c r="K423" s="66" t="s">
        <v>50</v>
      </c>
      <c r="L423" s="66" t="s">
        <v>42</v>
      </c>
      <c r="M423" s="66" t="s">
        <v>281</v>
      </c>
      <c r="N423" s="87">
        <v>46024.0</v>
      </c>
      <c r="O423" s="72">
        <v>6.0</v>
      </c>
      <c r="P423" s="24">
        <f t="array" ref="P423">if(O423="","", if(O423=9999,9999,ROUNDUP(_xlfn.XLOOKUP(J423&amp;"-"&amp;E423&amp;"-"&amp;K423,SpecCV[ID],SpecCV[factor])*O423,0)))</f>
        <v>6</v>
      </c>
      <c r="Q423" s="24">
        <f t="array" ref="Q423">if(J423="Contact plate", _xlfn.XLOOKUP(J423&amp;"-"&amp;E423&amp;"-"&amp;K423,SpecCV[ID],SpecCV[Spec]),_xlfn.XLOOKUP(J423&amp;"-"&amp;E423&amp;"-"&amp;K423,SpecCV[ID],SpecCV[Spec]))</f>
        <v>10</v>
      </c>
      <c r="R423" s="15" t="str">
        <f t="array" ref="R423">if(J423="Contact plate", _xlfn.XLOOKUP(J423&amp;"-"&amp;E423&amp;"-"&amp;K423,SpecCV[ID],SpecCV[Unit]),_xlfn.XLOOKUP(J423&amp;"-"&amp;E423&amp;"-"&amp;K423,SpecCV[ID],SpecCV[Unit]))</f>
        <v>cfu/100ml</v>
      </c>
      <c r="S423" s="24"/>
      <c r="T423" s="24"/>
      <c r="U423" s="24"/>
      <c r="V423" s="68" t="b">
        <v>0</v>
      </c>
      <c r="W423" s="24"/>
      <c r="X423" s="24"/>
    </row>
    <row r="424" ht="22.5" customHeight="1">
      <c r="A424" s="68"/>
      <c r="B424" s="68" t="b">
        <v>0</v>
      </c>
      <c r="C424" s="68">
        <v>16.0</v>
      </c>
      <c r="D424" s="70"/>
      <c r="E424" s="8" t="s">
        <v>37</v>
      </c>
      <c r="F424" s="9" t="s">
        <v>268</v>
      </c>
      <c r="G424" s="24" t="s">
        <v>267</v>
      </c>
      <c r="H424" s="15" t="s">
        <v>271</v>
      </c>
      <c r="I424" s="71">
        <v>46219.0</v>
      </c>
      <c r="J424" s="66" t="s">
        <v>52</v>
      </c>
      <c r="K424" s="66" t="s">
        <v>50</v>
      </c>
      <c r="L424" s="66" t="s">
        <v>42</v>
      </c>
      <c r="M424" s="66" t="s">
        <v>281</v>
      </c>
      <c r="N424" s="87">
        <v>46024.0</v>
      </c>
      <c r="O424" s="72">
        <v>16.0</v>
      </c>
      <c r="P424" s="24">
        <f t="array" ref="P424">if(O424="","", if(O424=9999,9999,ROUNDUP(_xlfn.XLOOKUP(J424&amp;"-"&amp;E424&amp;"-"&amp;K424,SpecCV[ID],SpecCV[factor])*O424,0)))</f>
        <v>16</v>
      </c>
      <c r="Q424" s="24">
        <f t="array" ref="Q424">if(J424="Contact plate", _xlfn.XLOOKUP(J424&amp;"-"&amp;E424&amp;"-"&amp;K424,SpecCV[ID],SpecCV[Spec]),_xlfn.XLOOKUP(J424&amp;"-"&amp;E424&amp;"-"&amp;K424,SpecCV[ID],SpecCV[Spec]))</f>
        <v>10</v>
      </c>
      <c r="R424" s="15" t="str">
        <f t="array" ref="R424">if(J424="Contact plate", _xlfn.XLOOKUP(J424&amp;"-"&amp;E424&amp;"-"&amp;K424,SpecCV[ID],SpecCV[Unit]),_xlfn.XLOOKUP(J424&amp;"-"&amp;E424&amp;"-"&amp;K424,SpecCV[ID],SpecCV[Unit]))</f>
        <v>cfu/100ml</v>
      </c>
      <c r="S424" s="24"/>
      <c r="T424" s="24"/>
      <c r="U424" s="24"/>
      <c r="V424" s="68" t="b">
        <v>0</v>
      </c>
      <c r="W424" s="24"/>
      <c r="X424" s="24"/>
    </row>
    <row r="425" ht="22.5" customHeight="1">
      <c r="A425" s="68"/>
      <c r="B425" s="68" t="b">
        <v>0</v>
      </c>
      <c r="C425" s="68">
        <v>16.0</v>
      </c>
      <c r="D425" s="70"/>
      <c r="E425" s="8" t="s">
        <v>37</v>
      </c>
      <c r="F425" s="9" t="s">
        <v>268</v>
      </c>
      <c r="G425" s="24" t="s">
        <v>267</v>
      </c>
      <c r="H425" s="15" t="s">
        <v>272</v>
      </c>
      <c r="I425" s="71">
        <v>46219.0</v>
      </c>
      <c r="J425" s="66" t="s">
        <v>52</v>
      </c>
      <c r="K425" s="66" t="s">
        <v>50</v>
      </c>
      <c r="L425" s="66" t="s">
        <v>42</v>
      </c>
      <c r="M425" s="66" t="s">
        <v>281</v>
      </c>
      <c r="N425" s="87">
        <v>46024.0</v>
      </c>
      <c r="O425" s="72">
        <v>14.0</v>
      </c>
      <c r="P425" s="24">
        <f t="array" ref="P425">if(O425="","", if(O425=9999,9999,ROUNDUP(_xlfn.XLOOKUP(J425&amp;"-"&amp;E425&amp;"-"&amp;K425,SpecCV[ID],SpecCV[factor])*O425,0)))</f>
        <v>14</v>
      </c>
      <c r="Q425" s="24">
        <f t="array" ref="Q425">if(J425="Contact plate", _xlfn.XLOOKUP(J425&amp;"-"&amp;E425&amp;"-"&amp;K425,SpecCV[ID],SpecCV[Spec]),_xlfn.XLOOKUP(J425&amp;"-"&amp;E425&amp;"-"&amp;K425,SpecCV[ID],SpecCV[Spec]))</f>
        <v>10</v>
      </c>
      <c r="R425" s="15" t="str">
        <f t="array" ref="R425">if(J425="Contact plate", _xlfn.XLOOKUP(J425&amp;"-"&amp;E425&amp;"-"&amp;K425,SpecCV[ID],SpecCV[Unit]),_xlfn.XLOOKUP(J425&amp;"-"&amp;E425&amp;"-"&amp;K425,SpecCV[ID],SpecCV[Unit]))</f>
        <v>cfu/100ml</v>
      </c>
      <c r="S425" s="24"/>
      <c r="T425" s="24"/>
      <c r="U425" s="24"/>
      <c r="V425" s="68" t="b">
        <v>0</v>
      </c>
      <c r="W425" s="24"/>
      <c r="X425" s="24"/>
    </row>
    <row r="426" ht="22.5" customHeight="1">
      <c r="A426" s="68"/>
      <c r="B426" s="68" t="b">
        <v>0</v>
      </c>
      <c r="C426" s="68">
        <v>16.0</v>
      </c>
      <c r="D426" s="70"/>
      <c r="E426" s="8" t="s">
        <v>37</v>
      </c>
      <c r="F426" s="9" t="s">
        <v>268</v>
      </c>
      <c r="G426" s="24" t="s">
        <v>267</v>
      </c>
      <c r="H426" s="15" t="s">
        <v>273</v>
      </c>
      <c r="I426" s="71">
        <v>46219.0</v>
      </c>
      <c r="J426" s="66" t="s">
        <v>52</v>
      </c>
      <c r="K426" s="66" t="s">
        <v>50</v>
      </c>
      <c r="L426" s="66" t="s">
        <v>42</v>
      </c>
      <c r="M426" s="66" t="s">
        <v>281</v>
      </c>
      <c r="N426" s="87">
        <v>46024.0</v>
      </c>
      <c r="O426" s="72">
        <v>8.0</v>
      </c>
      <c r="P426" s="24">
        <f t="array" ref="P426">if(O426="","", if(O426=9999,9999,ROUNDUP(_xlfn.XLOOKUP(J426&amp;"-"&amp;E426&amp;"-"&amp;K426,SpecCV[ID],SpecCV[factor])*O426,0)))</f>
        <v>8</v>
      </c>
      <c r="Q426" s="24">
        <f t="array" ref="Q426">if(J426="Contact plate", _xlfn.XLOOKUP(J426&amp;"-"&amp;E426&amp;"-"&amp;K426,SpecCV[ID],SpecCV[Spec]),_xlfn.XLOOKUP(J426&amp;"-"&amp;E426&amp;"-"&amp;K426,SpecCV[ID],SpecCV[Spec]))</f>
        <v>10</v>
      </c>
      <c r="R426" s="15" t="str">
        <f t="array" ref="R426">if(J426="Contact plate", _xlfn.XLOOKUP(J426&amp;"-"&amp;E426&amp;"-"&amp;K426,SpecCV[ID],SpecCV[Unit]),_xlfn.XLOOKUP(J426&amp;"-"&amp;E426&amp;"-"&amp;K426,SpecCV[ID],SpecCV[Unit]))</f>
        <v>cfu/100ml</v>
      </c>
      <c r="S426" s="24"/>
      <c r="T426" s="24"/>
      <c r="U426" s="24"/>
      <c r="V426" s="68" t="b">
        <v>0</v>
      </c>
      <c r="W426" s="24"/>
      <c r="X426" s="24"/>
    </row>
    <row r="427" ht="22.5" customHeight="1">
      <c r="A427" s="68"/>
      <c r="B427" s="68" t="b">
        <v>0</v>
      </c>
      <c r="C427" s="68">
        <v>16.0</v>
      </c>
      <c r="D427" s="70"/>
      <c r="E427" s="8" t="s">
        <v>37</v>
      </c>
      <c r="F427" s="9" t="s">
        <v>268</v>
      </c>
      <c r="G427" s="24" t="s">
        <v>267</v>
      </c>
      <c r="H427" s="15" t="s">
        <v>274</v>
      </c>
      <c r="I427" s="71">
        <v>46219.0</v>
      </c>
      <c r="J427" s="66" t="s">
        <v>52</v>
      </c>
      <c r="K427" s="66" t="s">
        <v>50</v>
      </c>
      <c r="L427" s="66" t="s">
        <v>42</v>
      </c>
      <c r="M427" s="66" t="s">
        <v>281</v>
      </c>
      <c r="N427" s="87">
        <v>46024.0</v>
      </c>
      <c r="O427" s="72">
        <v>20.0</v>
      </c>
      <c r="P427" s="24">
        <f t="array" ref="P427">if(O427="","", if(O427=9999,9999,ROUNDUP(_xlfn.XLOOKUP(J427&amp;"-"&amp;E427&amp;"-"&amp;K427,SpecCV[ID],SpecCV[factor])*O427,0)))</f>
        <v>20</v>
      </c>
      <c r="Q427" s="24">
        <f t="array" ref="Q427">if(J427="Contact plate", _xlfn.XLOOKUP(J427&amp;"-"&amp;E427&amp;"-"&amp;K427,SpecCV[ID],SpecCV[Spec]),_xlfn.XLOOKUP(J427&amp;"-"&amp;E427&amp;"-"&amp;K427,SpecCV[ID],SpecCV[Spec]))</f>
        <v>10</v>
      </c>
      <c r="R427" s="15" t="str">
        <f t="array" ref="R427">if(J427="Contact plate", _xlfn.XLOOKUP(J427&amp;"-"&amp;E427&amp;"-"&amp;K427,SpecCV[ID],SpecCV[Unit]),_xlfn.XLOOKUP(J427&amp;"-"&amp;E427&amp;"-"&amp;K427,SpecCV[ID],SpecCV[Unit]))</f>
        <v>cfu/100ml</v>
      </c>
      <c r="S427" s="24"/>
      <c r="T427" s="24"/>
      <c r="U427" s="24"/>
      <c r="V427" s="68" t="b">
        <v>0</v>
      </c>
      <c r="W427" s="24"/>
      <c r="X427" s="24"/>
    </row>
    <row r="428" ht="22.5" customHeight="1">
      <c r="A428" s="68"/>
      <c r="B428" s="68" t="b">
        <v>0</v>
      </c>
      <c r="C428" s="68">
        <v>12.0</v>
      </c>
      <c r="D428" s="70"/>
      <c r="E428" s="8" t="s">
        <v>28</v>
      </c>
      <c r="F428" s="76" t="s">
        <v>275</v>
      </c>
      <c r="G428" s="24" t="s">
        <v>280</v>
      </c>
      <c r="H428" s="24" t="s">
        <v>249</v>
      </c>
      <c r="I428" s="71">
        <v>46223.0</v>
      </c>
      <c r="J428" s="66" t="s">
        <v>47</v>
      </c>
      <c r="K428" s="66" t="s">
        <v>48</v>
      </c>
      <c r="L428" s="66" t="s">
        <v>42</v>
      </c>
      <c r="M428" s="66" t="s">
        <v>45</v>
      </c>
      <c r="N428" s="24">
        <v>1.0</v>
      </c>
      <c r="O428" s="72">
        <v>14.0</v>
      </c>
      <c r="P428" s="24">
        <f t="array" ref="P428">if(O428="","", if(O428=9999,9999,ROUNDUP(_xlfn.XLOOKUP(J428&amp;"-"&amp;E428&amp;"-"&amp;K428,SpecCV[ID],SpecCV[factor])*O428,0)))</f>
        <v>14</v>
      </c>
      <c r="Q428" s="24">
        <f t="array" ref="Q428">if(J428="Contact plate", _xlfn.XLOOKUP(J428&amp;"-"&amp;E428&amp;"-"&amp;K428,SpecCV[ID],SpecCV[Spec]),_xlfn.XLOOKUP(J428&amp;"-"&amp;E428&amp;"-"&amp;K428,SpecCV[ID],SpecCV[Spec]))</f>
        <v>100</v>
      </c>
      <c r="R428" s="15" t="str">
        <f t="array" ref="R428">if(J428="Contact plate", _xlfn.XLOOKUP(J428&amp;"-"&amp;E428&amp;"-"&amp;K428,SpecCV[ID],SpecCV[Unit]),_xlfn.XLOOKUP(J428&amp;"-"&amp;E428&amp;"-"&amp;K428,SpecCV[ID],SpecCV[Unit]))</f>
        <v>cfu/ml</v>
      </c>
      <c r="S428" s="24"/>
      <c r="T428" s="24"/>
      <c r="U428" s="24"/>
      <c r="V428" s="68" t="b">
        <v>0</v>
      </c>
      <c r="W428" s="24"/>
      <c r="X428" s="24"/>
    </row>
    <row r="429" ht="22.5" customHeight="1">
      <c r="A429" s="68"/>
      <c r="B429" s="68" t="b">
        <v>0</v>
      </c>
      <c r="C429" s="68">
        <v>12.0</v>
      </c>
      <c r="D429" s="70"/>
      <c r="E429" s="8" t="s">
        <v>28</v>
      </c>
      <c r="F429" s="76" t="s">
        <v>275</v>
      </c>
      <c r="G429" s="24" t="s">
        <v>280</v>
      </c>
      <c r="H429" s="24" t="s">
        <v>250</v>
      </c>
      <c r="I429" s="71">
        <v>46223.0</v>
      </c>
      <c r="J429" s="66" t="s">
        <v>47</v>
      </c>
      <c r="K429" s="66" t="s">
        <v>48</v>
      </c>
      <c r="L429" s="66" t="s">
        <v>42</v>
      </c>
      <c r="M429" s="66" t="s">
        <v>45</v>
      </c>
      <c r="N429" s="24">
        <v>1.0</v>
      </c>
      <c r="O429" s="72">
        <v>14.0</v>
      </c>
      <c r="P429" s="24">
        <f t="array" ref="P429">if(O429="","", if(O429=9999,9999,ROUNDUP(_xlfn.XLOOKUP(J429&amp;"-"&amp;E429&amp;"-"&amp;K429,SpecCV[ID],SpecCV[factor])*O429,0)))</f>
        <v>14</v>
      </c>
      <c r="Q429" s="24">
        <f t="array" ref="Q429">if(J429="Contact plate", _xlfn.XLOOKUP(J429&amp;"-"&amp;E429&amp;"-"&amp;K429,SpecCV[ID],SpecCV[Spec]),_xlfn.XLOOKUP(J429&amp;"-"&amp;E429&amp;"-"&amp;K429,SpecCV[ID],SpecCV[Spec]))</f>
        <v>100</v>
      </c>
      <c r="R429" s="15" t="str">
        <f t="array" ref="R429">if(J429="Contact plate", _xlfn.XLOOKUP(J429&amp;"-"&amp;E429&amp;"-"&amp;K429,SpecCV[ID],SpecCV[Unit]),_xlfn.XLOOKUP(J429&amp;"-"&amp;E429&amp;"-"&amp;K429,SpecCV[ID],SpecCV[Unit]))</f>
        <v>cfu/ml</v>
      </c>
      <c r="S429" s="24"/>
      <c r="T429" s="24"/>
      <c r="U429" s="24"/>
      <c r="V429" s="68" t="b">
        <v>0</v>
      </c>
      <c r="W429" s="24"/>
      <c r="X429" s="24"/>
    </row>
    <row r="430" ht="22.5" customHeight="1">
      <c r="A430" s="68"/>
      <c r="B430" s="68" t="b">
        <v>0</v>
      </c>
      <c r="C430" s="68">
        <v>12.0</v>
      </c>
      <c r="D430" s="70"/>
      <c r="E430" s="8" t="s">
        <v>28</v>
      </c>
      <c r="F430" s="76" t="s">
        <v>275</v>
      </c>
      <c r="G430" s="24" t="s">
        <v>280</v>
      </c>
      <c r="H430" s="24" t="s">
        <v>251</v>
      </c>
      <c r="I430" s="71">
        <v>46223.0</v>
      </c>
      <c r="J430" s="66" t="s">
        <v>47</v>
      </c>
      <c r="K430" s="66" t="s">
        <v>48</v>
      </c>
      <c r="L430" s="66" t="s">
        <v>42</v>
      </c>
      <c r="M430" s="66" t="s">
        <v>45</v>
      </c>
      <c r="N430" s="24">
        <v>1.0</v>
      </c>
      <c r="O430" s="72">
        <v>12.0</v>
      </c>
      <c r="P430" s="24">
        <f t="array" ref="P430">if(O430="","", if(O430=9999,9999,ROUNDUP(_xlfn.XLOOKUP(J430&amp;"-"&amp;E430&amp;"-"&amp;K430,SpecCV[ID],SpecCV[factor])*O430,0)))</f>
        <v>12</v>
      </c>
      <c r="Q430" s="24">
        <f t="array" ref="Q430">if(J430="Contact plate", _xlfn.XLOOKUP(J430&amp;"-"&amp;E430&amp;"-"&amp;K430,SpecCV[ID],SpecCV[Spec]),_xlfn.XLOOKUP(J430&amp;"-"&amp;E430&amp;"-"&amp;K430,SpecCV[ID],SpecCV[Spec]))</f>
        <v>100</v>
      </c>
      <c r="R430" s="15" t="str">
        <f t="array" ref="R430">if(J430="Contact plate", _xlfn.XLOOKUP(J430&amp;"-"&amp;E430&amp;"-"&amp;K430,SpecCV[ID],SpecCV[Unit]),_xlfn.XLOOKUP(J430&amp;"-"&amp;E430&amp;"-"&amp;K430,SpecCV[ID],SpecCV[Unit]))</f>
        <v>cfu/ml</v>
      </c>
      <c r="S430" s="24"/>
      <c r="T430" s="24"/>
      <c r="U430" s="24"/>
      <c r="V430" s="68" t="b">
        <v>0</v>
      </c>
      <c r="W430" s="24"/>
      <c r="X430" s="24"/>
    </row>
    <row r="431" ht="22.5" customHeight="1">
      <c r="A431" s="68"/>
      <c r="B431" s="68" t="b">
        <v>0</v>
      </c>
      <c r="C431" s="68">
        <v>12.0</v>
      </c>
      <c r="D431" s="70"/>
      <c r="E431" s="8" t="s">
        <v>28</v>
      </c>
      <c r="F431" s="76" t="s">
        <v>275</v>
      </c>
      <c r="G431" s="24" t="s">
        <v>280</v>
      </c>
      <c r="H431" s="24" t="s">
        <v>252</v>
      </c>
      <c r="I431" s="71">
        <v>46223.0</v>
      </c>
      <c r="J431" s="66" t="s">
        <v>47</v>
      </c>
      <c r="K431" s="66" t="s">
        <v>48</v>
      </c>
      <c r="L431" s="66" t="s">
        <v>42</v>
      </c>
      <c r="M431" s="66" t="s">
        <v>45</v>
      </c>
      <c r="N431" s="24">
        <v>1.0</v>
      </c>
      <c r="O431" s="72">
        <v>14.0</v>
      </c>
      <c r="P431" s="24">
        <f t="array" ref="P431">if(O431="","", if(O431=9999,9999,ROUNDUP(_xlfn.XLOOKUP(J431&amp;"-"&amp;E431&amp;"-"&amp;K431,SpecCV[ID],SpecCV[factor])*O431,0)))</f>
        <v>14</v>
      </c>
      <c r="Q431" s="24">
        <f t="array" ref="Q431">if(J431="Contact plate", _xlfn.XLOOKUP(J431&amp;"-"&amp;E431&amp;"-"&amp;K431,SpecCV[ID],SpecCV[Spec]),_xlfn.XLOOKUP(J431&amp;"-"&amp;E431&amp;"-"&amp;K431,SpecCV[ID],SpecCV[Spec]))</f>
        <v>100</v>
      </c>
      <c r="R431" s="15" t="str">
        <f t="array" ref="R431">if(J431="Contact plate", _xlfn.XLOOKUP(J431&amp;"-"&amp;E431&amp;"-"&amp;K431,SpecCV[ID],SpecCV[Unit]),_xlfn.XLOOKUP(J431&amp;"-"&amp;E431&amp;"-"&amp;K431,SpecCV[ID],SpecCV[Unit]))</f>
        <v>cfu/ml</v>
      </c>
      <c r="S431" s="24"/>
      <c r="T431" s="24"/>
      <c r="U431" s="24"/>
      <c r="V431" s="68" t="b">
        <v>0</v>
      </c>
      <c r="W431" s="24"/>
      <c r="X431" s="24"/>
    </row>
    <row r="432" ht="22.5" customHeight="1">
      <c r="A432" s="68"/>
      <c r="B432" s="68" t="b">
        <v>0</v>
      </c>
      <c r="C432" s="68">
        <v>12.0</v>
      </c>
      <c r="D432" s="70"/>
      <c r="E432" s="8" t="s">
        <v>28</v>
      </c>
      <c r="F432" s="76" t="s">
        <v>275</v>
      </c>
      <c r="G432" s="24" t="s">
        <v>280</v>
      </c>
      <c r="H432" s="24" t="s">
        <v>282</v>
      </c>
      <c r="I432" s="71">
        <v>46223.0</v>
      </c>
      <c r="J432" s="66" t="s">
        <v>47</v>
      </c>
      <c r="K432" s="66" t="s">
        <v>48</v>
      </c>
      <c r="L432" s="66" t="s">
        <v>42</v>
      </c>
      <c r="M432" s="66" t="s">
        <v>45</v>
      </c>
      <c r="N432" s="24">
        <v>1.0</v>
      </c>
      <c r="O432" s="72">
        <v>15.0</v>
      </c>
      <c r="P432" s="24">
        <f t="array" ref="P432">if(O432="","", if(O432=9999,9999,ROUNDUP(_xlfn.XLOOKUP(J432&amp;"-"&amp;E432&amp;"-"&amp;K432,SpecCV[ID],SpecCV[factor])*O432,0)))</f>
        <v>15</v>
      </c>
      <c r="Q432" s="24">
        <f t="array" ref="Q432">if(J432="Contact plate", _xlfn.XLOOKUP(J432&amp;"-"&amp;E432&amp;"-"&amp;K432,SpecCV[ID],SpecCV[Spec]),_xlfn.XLOOKUP(J432&amp;"-"&amp;E432&amp;"-"&amp;K432,SpecCV[ID],SpecCV[Spec]))</f>
        <v>100</v>
      </c>
      <c r="R432" s="15" t="str">
        <f t="array" ref="R432">if(J432="Contact plate", _xlfn.XLOOKUP(J432&amp;"-"&amp;E432&amp;"-"&amp;K432,SpecCV[ID],SpecCV[Unit]),_xlfn.XLOOKUP(J432&amp;"-"&amp;E432&amp;"-"&amp;K432,SpecCV[ID],SpecCV[Unit]))</f>
        <v>cfu/ml</v>
      </c>
      <c r="S432" s="24"/>
      <c r="T432" s="24"/>
      <c r="U432" s="24"/>
      <c r="V432" s="68" t="b">
        <v>0</v>
      </c>
      <c r="W432" s="24"/>
      <c r="X432" s="24"/>
    </row>
    <row r="433" ht="22.5" customHeight="1">
      <c r="A433" s="68"/>
      <c r="B433" s="68" t="b">
        <v>0</v>
      </c>
      <c r="C433" s="68">
        <v>12.0</v>
      </c>
      <c r="D433" s="70"/>
      <c r="E433" s="8" t="s">
        <v>28</v>
      </c>
      <c r="F433" s="76" t="s">
        <v>275</v>
      </c>
      <c r="G433" s="24" t="s">
        <v>280</v>
      </c>
      <c r="H433" s="24" t="s">
        <v>283</v>
      </c>
      <c r="I433" s="71">
        <v>46223.0</v>
      </c>
      <c r="J433" s="66" t="s">
        <v>47</v>
      </c>
      <c r="K433" s="66" t="s">
        <v>48</v>
      </c>
      <c r="L433" s="66" t="s">
        <v>42</v>
      </c>
      <c r="M433" s="66" t="s">
        <v>45</v>
      </c>
      <c r="N433" s="24">
        <v>1.0</v>
      </c>
      <c r="O433" s="72">
        <v>14.0</v>
      </c>
      <c r="P433" s="24">
        <f t="array" ref="P433">if(O433="","", if(O433=9999,9999,ROUNDUP(_xlfn.XLOOKUP(J433&amp;"-"&amp;E433&amp;"-"&amp;K433,SpecCV[ID],SpecCV[factor])*O433,0)))</f>
        <v>14</v>
      </c>
      <c r="Q433" s="24">
        <f t="array" ref="Q433">if(J433="Contact plate", _xlfn.XLOOKUP(J433&amp;"-"&amp;E433&amp;"-"&amp;K433,SpecCV[ID],SpecCV[Spec]),_xlfn.XLOOKUP(J433&amp;"-"&amp;E433&amp;"-"&amp;K433,SpecCV[ID],SpecCV[Spec]))</f>
        <v>100</v>
      </c>
      <c r="R433" s="15" t="str">
        <f t="array" ref="R433">if(J433="Contact plate", _xlfn.XLOOKUP(J433&amp;"-"&amp;E433&amp;"-"&amp;K433,SpecCV[ID],SpecCV[Unit]),_xlfn.XLOOKUP(J433&amp;"-"&amp;E433&amp;"-"&amp;K433,SpecCV[ID],SpecCV[Unit]))</f>
        <v>cfu/ml</v>
      </c>
      <c r="S433" s="24"/>
      <c r="T433" s="24"/>
      <c r="U433" s="24"/>
      <c r="V433" s="68" t="b">
        <v>0</v>
      </c>
      <c r="W433" s="24"/>
      <c r="X433" s="24"/>
    </row>
    <row r="434" ht="22.5" customHeight="1">
      <c r="A434" s="68"/>
      <c r="B434" s="68" t="b">
        <v>0</v>
      </c>
      <c r="C434" s="68">
        <v>12.0</v>
      </c>
      <c r="D434" s="70"/>
      <c r="E434" s="8" t="s">
        <v>28</v>
      </c>
      <c r="F434" s="76" t="s">
        <v>275</v>
      </c>
      <c r="G434" s="24" t="s">
        <v>280</v>
      </c>
      <c r="H434" s="24" t="s">
        <v>284</v>
      </c>
      <c r="I434" s="71">
        <v>46223.0</v>
      </c>
      <c r="J434" s="66" t="s">
        <v>47</v>
      </c>
      <c r="K434" s="66" t="s">
        <v>48</v>
      </c>
      <c r="L434" s="66" t="s">
        <v>42</v>
      </c>
      <c r="M434" s="66" t="s">
        <v>45</v>
      </c>
      <c r="N434" s="24">
        <v>1.0</v>
      </c>
      <c r="O434" s="72">
        <v>13.0</v>
      </c>
      <c r="P434" s="24">
        <f t="array" ref="P434">if(O434="","", if(O434=9999,9999,ROUNDUP(_xlfn.XLOOKUP(J434&amp;"-"&amp;E434&amp;"-"&amp;K434,SpecCV[ID],SpecCV[factor])*O434,0)))</f>
        <v>13</v>
      </c>
      <c r="Q434" s="24">
        <f t="array" ref="Q434">if(J434="Contact plate", _xlfn.XLOOKUP(J434&amp;"-"&amp;E434&amp;"-"&amp;K434,SpecCV[ID],SpecCV[Spec]),_xlfn.XLOOKUP(J434&amp;"-"&amp;E434&amp;"-"&amp;K434,SpecCV[ID],SpecCV[Spec]))</f>
        <v>100</v>
      </c>
      <c r="R434" s="15" t="str">
        <f t="array" ref="R434">if(J434="Contact plate", _xlfn.XLOOKUP(J434&amp;"-"&amp;E434&amp;"-"&amp;K434,SpecCV[ID],SpecCV[Unit]),_xlfn.XLOOKUP(J434&amp;"-"&amp;E434&amp;"-"&amp;K434,SpecCV[ID],SpecCV[Unit]))</f>
        <v>cfu/ml</v>
      </c>
      <c r="S434" s="24"/>
      <c r="T434" s="24"/>
      <c r="U434" s="24"/>
      <c r="V434" s="68" t="b">
        <v>0</v>
      </c>
      <c r="W434" s="24"/>
      <c r="X434" s="24"/>
    </row>
    <row r="435" ht="22.5" customHeight="1">
      <c r="A435" s="68"/>
      <c r="B435" s="68" t="b">
        <v>0</v>
      </c>
      <c r="C435" s="68">
        <v>12.0</v>
      </c>
      <c r="D435" s="70"/>
      <c r="E435" s="8" t="s">
        <v>28</v>
      </c>
      <c r="F435" s="76" t="s">
        <v>275</v>
      </c>
      <c r="G435" s="24" t="s">
        <v>280</v>
      </c>
      <c r="H435" s="24" t="s">
        <v>285</v>
      </c>
      <c r="I435" s="71">
        <v>46223.0</v>
      </c>
      <c r="J435" s="66" t="s">
        <v>47</v>
      </c>
      <c r="K435" s="66" t="s">
        <v>48</v>
      </c>
      <c r="L435" s="66" t="s">
        <v>42</v>
      </c>
      <c r="M435" s="66" t="s">
        <v>45</v>
      </c>
      <c r="N435" s="24">
        <v>1.0</v>
      </c>
      <c r="O435" s="72">
        <v>38.0</v>
      </c>
      <c r="P435" s="24">
        <f t="array" ref="P435">if(O435="","", if(O435=9999,9999,ROUNDUP(_xlfn.XLOOKUP(J435&amp;"-"&amp;E435&amp;"-"&amp;K435,SpecCV[ID],SpecCV[factor])*O435,0)))</f>
        <v>38</v>
      </c>
      <c r="Q435" s="24">
        <f t="array" ref="Q435">if(J435="Contact plate", _xlfn.XLOOKUP(J435&amp;"-"&amp;E435&amp;"-"&amp;K435,SpecCV[ID],SpecCV[Spec]),_xlfn.XLOOKUP(J435&amp;"-"&amp;E435&amp;"-"&amp;K435,SpecCV[ID],SpecCV[Spec]))</f>
        <v>100</v>
      </c>
      <c r="R435" s="15" t="str">
        <f t="array" ref="R435">if(J435="Contact plate", _xlfn.XLOOKUP(J435&amp;"-"&amp;E435&amp;"-"&amp;K435,SpecCV[ID],SpecCV[Unit]),_xlfn.XLOOKUP(J435&amp;"-"&amp;E435&amp;"-"&amp;K435,SpecCV[ID],SpecCV[Unit]))</f>
        <v>cfu/ml</v>
      </c>
      <c r="S435" s="24"/>
      <c r="T435" s="24"/>
      <c r="U435" s="24"/>
      <c r="V435" s="68" t="b">
        <v>0</v>
      </c>
      <c r="W435" s="24"/>
      <c r="X435" s="24"/>
    </row>
    <row r="436" ht="22.5" customHeight="1">
      <c r="A436" s="68"/>
      <c r="B436" s="68" t="b">
        <v>0</v>
      </c>
      <c r="C436" s="68">
        <v>12.0</v>
      </c>
      <c r="D436" s="70"/>
      <c r="E436" s="8" t="s">
        <v>28</v>
      </c>
      <c r="F436" s="76" t="s">
        <v>275</v>
      </c>
      <c r="G436" s="24" t="s">
        <v>280</v>
      </c>
      <c r="H436" s="24" t="s">
        <v>286</v>
      </c>
      <c r="I436" s="71">
        <v>46223.0</v>
      </c>
      <c r="J436" s="66" t="s">
        <v>47</v>
      </c>
      <c r="K436" s="66" t="s">
        <v>48</v>
      </c>
      <c r="L436" s="66" t="s">
        <v>42</v>
      </c>
      <c r="M436" s="66" t="s">
        <v>45</v>
      </c>
      <c r="N436" s="24">
        <v>1.0</v>
      </c>
      <c r="O436" s="72">
        <v>7.0</v>
      </c>
      <c r="P436" s="24">
        <f t="array" ref="P436">if(O436="","", if(O436=9999,9999,ROUNDUP(_xlfn.XLOOKUP(J436&amp;"-"&amp;E436&amp;"-"&amp;K436,SpecCV[ID],SpecCV[factor])*O436,0)))</f>
        <v>7</v>
      </c>
      <c r="Q436" s="24">
        <f t="array" ref="Q436">if(J436="Contact plate", _xlfn.XLOOKUP(J436&amp;"-"&amp;E436&amp;"-"&amp;K436,SpecCV[ID],SpecCV[Spec]),_xlfn.XLOOKUP(J436&amp;"-"&amp;E436&amp;"-"&amp;K436,SpecCV[ID],SpecCV[Spec]))</f>
        <v>100</v>
      </c>
      <c r="R436" s="15" t="str">
        <f t="array" ref="R436">if(J436="Contact plate", _xlfn.XLOOKUP(J436&amp;"-"&amp;E436&amp;"-"&amp;K436,SpecCV[ID],SpecCV[Unit]),_xlfn.XLOOKUP(J436&amp;"-"&amp;E436&amp;"-"&amp;K436,SpecCV[ID],SpecCV[Unit]))</f>
        <v>cfu/ml</v>
      </c>
      <c r="S436" s="24"/>
      <c r="T436" s="24"/>
      <c r="U436" s="24"/>
      <c r="V436" s="68" t="b">
        <v>0</v>
      </c>
      <c r="W436" s="24"/>
      <c r="X436" s="24"/>
    </row>
    <row r="437" ht="22.5" customHeight="1">
      <c r="A437" s="68"/>
      <c r="B437" s="68" t="b">
        <v>0</v>
      </c>
      <c r="C437" s="68">
        <v>12.0</v>
      </c>
      <c r="D437" s="70"/>
      <c r="E437" s="8" t="s">
        <v>28</v>
      </c>
      <c r="F437" s="76" t="s">
        <v>275</v>
      </c>
      <c r="G437" s="24" t="s">
        <v>280</v>
      </c>
      <c r="H437" s="24" t="s">
        <v>287</v>
      </c>
      <c r="I437" s="71">
        <v>46223.0</v>
      </c>
      <c r="J437" s="66" t="s">
        <v>47</v>
      </c>
      <c r="K437" s="66" t="s">
        <v>48</v>
      </c>
      <c r="L437" s="66" t="s">
        <v>42</v>
      </c>
      <c r="M437" s="66" t="s">
        <v>45</v>
      </c>
      <c r="N437" s="24">
        <v>1.0</v>
      </c>
      <c r="O437" s="72">
        <v>9.0</v>
      </c>
      <c r="P437" s="24">
        <f t="array" ref="P437">if(O437="","", if(O437=9999,9999,ROUNDUP(_xlfn.XLOOKUP(J437&amp;"-"&amp;E437&amp;"-"&amp;K437,SpecCV[ID],SpecCV[factor])*O437,0)))</f>
        <v>9</v>
      </c>
      <c r="Q437" s="24">
        <f t="array" ref="Q437">if(J437="Contact plate", _xlfn.XLOOKUP(J437&amp;"-"&amp;E437&amp;"-"&amp;K437,SpecCV[ID],SpecCV[Spec]),_xlfn.XLOOKUP(J437&amp;"-"&amp;E437&amp;"-"&amp;K437,SpecCV[ID],SpecCV[Spec]))</f>
        <v>100</v>
      </c>
      <c r="R437" s="15" t="str">
        <f t="array" ref="R437">if(J437="Contact plate", _xlfn.XLOOKUP(J437&amp;"-"&amp;E437&amp;"-"&amp;K437,SpecCV[ID],SpecCV[Unit]),_xlfn.XLOOKUP(J437&amp;"-"&amp;E437&amp;"-"&amp;K437,SpecCV[ID],SpecCV[Unit]))</f>
        <v>cfu/ml</v>
      </c>
      <c r="S437" s="24"/>
      <c r="T437" s="24"/>
      <c r="U437" s="24"/>
      <c r="V437" s="68" t="b">
        <v>0</v>
      </c>
      <c r="W437" s="24"/>
      <c r="X437" s="24"/>
    </row>
    <row r="438" ht="22.5" customHeight="1">
      <c r="A438" s="68"/>
      <c r="B438" s="68" t="b">
        <v>0</v>
      </c>
      <c r="C438" s="68">
        <v>16.0</v>
      </c>
      <c r="D438" s="70"/>
      <c r="E438" s="8" t="s">
        <v>37</v>
      </c>
      <c r="F438" s="9" t="s">
        <v>266</v>
      </c>
      <c r="G438" s="24" t="s">
        <v>267</v>
      </c>
      <c r="H438" s="15" t="s">
        <v>264</v>
      </c>
      <c r="I438" s="71">
        <v>46224.0</v>
      </c>
      <c r="J438" s="66" t="s">
        <v>52</v>
      </c>
      <c r="K438" s="66" t="s">
        <v>50</v>
      </c>
      <c r="L438" s="66" t="s">
        <v>42</v>
      </c>
      <c r="M438" s="66" t="s">
        <v>281</v>
      </c>
      <c r="N438" s="87">
        <v>46055.0</v>
      </c>
      <c r="O438" s="72">
        <v>452.0</v>
      </c>
      <c r="P438" s="24">
        <f t="array" ref="P438">if(O438="","", if(O438=9999,9999,ROUNDUP(_xlfn.XLOOKUP(J438&amp;"-"&amp;E438&amp;"-"&amp;K438,SpecCV[ID],SpecCV[factor])*O438,0)))</f>
        <v>452</v>
      </c>
      <c r="Q438" s="24">
        <f t="array" ref="Q438">if(J438="Contact plate", _xlfn.XLOOKUP(J438&amp;"-"&amp;E438&amp;"-"&amp;K438,SpecCV[ID],SpecCV[Spec]),_xlfn.XLOOKUP(J438&amp;"-"&amp;E438&amp;"-"&amp;K438,SpecCV[ID],SpecCV[Spec]))</f>
        <v>10</v>
      </c>
      <c r="R438" s="15" t="str">
        <f t="array" ref="R438">if(J438="Contact plate", _xlfn.XLOOKUP(J438&amp;"-"&amp;E438&amp;"-"&amp;K438,SpecCV[ID],SpecCV[Unit]),_xlfn.XLOOKUP(J438&amp;"-"&amp;E438&amp;"-"&amp;K438,SpecCV[ID],SpecCV[Unit]))</f>
        <v>cfu/100ml</v>
      </c>
      <c r="S438" s="24"/>
      <c r="T438" s="24"/>
      <c r="U438" s="24"/>
      <c r="V438" s="68" t="b">
        <v>0</v>
      </c>
      <c r="W438" s="24"/>
      <c r="X438" s="24"/>
    </row>
    <row r="439" ht="22.5" customHeight="1">
      <c r="A439" s="68"/>
      <c r="B439" s="68" t="b">
        <v>0</v>
      </c>
      <c r="C439" s="68">
        <v>16.0</v>
      </c>
      <c r="D439" s="70"/>
      <c r="E439" s="8" t="s">
        <v>37</v>
      </c>
      <c r="F439" s="9" t="s">
        <v>268</v>
      </c>
      <c r="G439" s="24" t="s">
        <v>267</v>
      </c>
      <c r="H439" s="15" t="s">
        <v>265</v>
      </c>
      <c r="I439" s="71">
        <v>46224.0</v>
      </c>
      <c r="J439" s="66" t="s">
        <v>52</v>
      </c>
      <c r="K439" s="66" t="s">
        <v>50</v>
      </c>
      <c r="L439" s="66" t="s">
        <v>42</v>
      </c>
      <c r="M439" s="66" t="s">
        <v>281</v>
      </c>
      <c r="N439" s="87">
        <v>46055.0</v>
      </c>
      <c r="O439" s="72">
        <v>372.0</v>
      </c>
      <c r="P439" s="24">
        <f t="array" ref="P439">if(O439="","", if(O439=9999,9999,ROUNDUP(_xlfn.XLOOKUP(J439&amp;"-"&amp;E439&amp;"-"&amp;K439,SpecCV[ID],SpecCV[factor])*O439,0)))</f>
        <v>372</v>
      </c>
      <c r="Q439" s="24">
        <f t="array" ref="Q439">if(J439="Contact plate", _xlfn.XLOOKUP(J439&amp;"-"&amp;E439&amp;"-"&amp;K439,SpecCV[ID],SpecCV[Spec]),_xlfn.XLOOKUP(J439&amp;"-"&amp;E439&amp;"-"&amp;K439,SpecCV[ID],SpecCV[Spec]))</f>
        <v>10</v>
      </c>
      <c r="R439" s="15" t="str">
        <f t="array" ref="R439">if(J439="Contact plate", _xlfn.XLOOKUP(J439&amp;"-"&amp;E439&amp;"-"&amp;K439,SpecCV[ID],SpecCV[Unit]),_xlfn.XLOOKUP(J439&amp;"-"&amp;E439&amp;"-"&amp;K439,SpecCV[ID],SpecCV[Unit]))</f>
        <v>cfu/100ml</v>
      </c>
      <c r="S439" s="24"/>
      <c r="T439" s="24"/>
      <c r="U439" s="24"/>
      <c r="V439" s="68" t="b">
        <v>0</v>
      </c>
      <c r="W439" s="24"/>
      <c r="X439" s="24"/>
    </row>
    <row r="440" ht="22.5" customHeight="1">
      <c r="A440" s="68"/>
      <c r="B440" s="68" t="b">
        <v>0</v>
      </c>
      <c r="C440" s="68">
        <v>16.0</v>
      </c>
      <c r="D440" s="70"/>
      <c r="E440" s="8" t="s">
        <v>37</v>
      </c>
      <c r="F440" s="9" t="s">
        <v>268</v>
      </c>
      <c r="G440" s="24" t="s">
        <v>267</v>
      </c>
      <c r="H440" s="15" t="s">
        <v>269</v>
      </c>
      <c r="I440" s="71">
        <v>46224.0</v>
      </c>
      <c r="J440" s="66" t="s">
        <v>52</v>
      </c>
      <c r="K440" s="66" t="s">
        <v>50</v>
      </c>
      <c r="L440" s="66" t="s">
        <v>42</v>
      </c>
      <c r="M440" s="66" t="s">
        <v>281</v>
      </c>
      <c r="N440" s="87">
        <v>46055.0</v>
      </c>
      <c r="O440" s="72">
        <v>400.0</v>
      </c>
      <c r="P440" s="24">
        <f t="array" ref="P440">if(O440="","", if(O440=9999,9999,ROUNDUP(_xlfn.XLOOKUP(J440&amp;"-"&amp;E440&amp;"-"&amp;K440,SpecCV[ID],SpecCV[factor])*O440,0)))</f>
        <v>400</v>
      </c>
      <c r="Q440" s="24">
        <f t="array" ref="Q440">if(J440="Contact plate", _xlfn.XLOOKUP(J440&amp;"-"&amp;E440&amp;"-"&amp;K440,SpecCV[ID],SpecCV[Spec]),_xlfn.XLOOKUP(J440&amp;"-"&amp;E440&amp;"-"&amp;K440,SpecCV[ID],SpecCV[Spec]))</f>
        <v>10</v>
      </c>
      <c r="R440" s="15" t="str">
        <f t="array" ref="R440">if(J440="Contact plate", _xlfn.XLOOKUP(J440&amp;"-"&amp;E440&amp;"-"&amp;K440,SpecCV[ID],SpecCV[Unit]),_xlfn.XLOOKUP(J440&amp;"-"&amp;E440&amp;"-"&amp;K440,SpecCV[ID],SpecCV[Unit]))</f>
        <v>cfu/100ml</v>
      </c>
      <c r="S440" s="24"/>
      <c r="T440" s="24"/>
      <c r="U440" s="24"/>
      <c r="V440" s="68" t="b">
        <v>0</v>
      </c>
      <c r="W440" s="24"/>
      <c r="X440" s="24"/>
    </row>
    <row r="441" ht="22.5" customHeight="1">
      <c r="A441" s="68"/>
      <c r="B441" s="68" t="b">
        <v>0</v>
      </c>
      <c r="C441" s="68">
        <v>16.0</v>
      </c>
      <c r="D441" s="70"/>
      <c r="E441" s="8" t="s">
        <v>37</v>
      </c>
      <c r="F441" s="9" t="s">
        <v>268</v>
      </c>
      <c r="G441" s="24" t="s">
        <v>267</v>
      </c>
      <c r="H441" s="15" t="s">
        <v>270</v>
      </c>
      <c r="I441" s="71">
        <v>46224.0</v>
      </c>
      <c r="J441" s="66" t="s">
        <v>52</v>
      </c>
      <c r="K441" s="66" t="s">
        <v>50</v>
      </c>
      <c r="L441" s="66" t="s">
        <v>42</v>
      </c>
      <c r="M441" s="66" t="s">
        <v>281</v>
      </c>
      <c r="N441" s="87">
        <v>46055.0</v>
      </c>
      <c r="O441" s="72">
        <v>444.0</v>
      </c>
      <c r="P441" s="24">
        <f t="array" ref="P441">if(O441="","", if(O441=9999,9999,ROUNDUP(_xlfn.XLOOKUP(J441&amp;"-"&amp;E441&amp;"-"&amp;K441,SpecCV[ID],SpecCV[factor])*O441,0)))</f>
        <v>444</v>
      </c>
      <c r="Q441" s="24">
        <f t="array" ref="Q441">if(J441="Contact plate", _xlfn.XLOOKUP(J441&amp;"-"&amp;E441&amp;"-"&amp;K441,SpecCV[ID],SpecCV[Spec]),_xlfn.XLOOKUP(J441&amp;"-"&amp;E441&amp;"-"&amp;K441,SpecCV[ID],SpecCV[Spec]))</f>
        <v>10</v>
      </c>
      <c r="R441" s="15" t="str">
        <f t="array" ref="R441">if(J441="Contact plate", _xlfn.XLOOKUP(J441&amp;"-"&amp;E441&amp;"-"&amp;K441,SpecCV[ID],SpecCV[Unit]),_xlfn.XLOOKUP(J441&amp;"-"&amp;E441&amp;"-"&amp;K441,SpecCV[ID],SpecCV[Unit]))</f>
        <v>cfu/100ml</v>
      </c>
      <c r="S441" s="24"/>
      <c r="T441" s="24"/>
      <c r="U441" s="24"/>
      <c r="V441" s="68" t="b">
        <v>0</v>
      </c>
      <c r="W441" s="24"/>
      <c r="X441" s="24"/>
    </row>
    <row r="442" ht="22.5" customHeight="1">
      <c r="A442" s="68"/>
      <c r="B442" s="68" t="b">
        <v>0</v>
      </c>
      <c r="C442" s="68">
        <v>16.0</v>
      </c>
      <c r="D442" s="70"/>
      <c r="E442" s="8" t="s">
        <v>37</v>
      </c>
      <c r="F442" s="9" t="s">
        <v>268</v>
      </c>
      <c r="G442" s="24" t="s">
        <v>267</v>
      </c>
      <c r="H442" s="15" t="s">
        <v>271</v>
      </c>
      <c r="I442" s="71">
        <v>46224.0</v>
      </c>
      <c r="J442" s="66" t="s">
        <v>52</v>
      </c>
      <c r="K442" s="66" t="s">
        <v>50</v>
      </c>
      <c r="L442" s="66" t="s">
        <v>42</v>
      </c>
      <c r="M442" s="66" t="s">
        <v>281</v>
      </c>
      <c r="N442" s="87">
        <v>46055.0</v>
      </c>
      <c r="O442" s="72">
        <v>648.0</v>
      </c>
      <c r="P442" s="24">
        <f t="array" ref="P442">if(O442="","", if(O442=9999,9999,ROUNDUP(_xlfn.XLOOKUP(J442&amp;"-"&amp;E442&amp;"-"&amp;K442,SpecCV[ID],SpecCV[factor])*O442,0)))</f>
        <v>648</v>
      </c>
      <c r="Q442" s="24">
        <f t="array" ref="Q442">if(J442="Contact plate", _xlfn.XLOOKUP(J442&amp;"-"&amp;E442&amp;"-"&amp;K442,SpecCV[ID],SpecCV[Spec]),_xlfn.XLOOKUP(J442&amp;"-"&amp;E442&amp;"-"&amp;K442,SpecCV[ID],SpecCV[Spec]))</f>
        <v>10</v>
      </c>
      <c r="R442" s="15" t="str">
        <f t="array" ref="R442">if(J442="Contact plate", _xlfn.XLOOKUP(J442&amp;"-"&amp;E442&amp;"-"&amp;K442,SpecCV[ID],SpecCV[Unit]),_xlfn.XLOOKUP(J442&amp;"-"&amp;E442&amp;"-"&amp;K442,SpecCV[ID],SpecCV[Unit]))</f>
        <v>cfu/100ml</v>
      </c>
      <c r="S442" s="24"/>
      <c r="T442" s="24"/>
      <c r="U442" s="24"/>
      <c r="V442" s="68" t="b">
        <v>0</v>
      </c>
      <c r="W442" s="24"/>
      <c r="X442" s="24"/>
    </row>
    <row r="443" ht="22.5" customHeight="1">
      <c r="A443" s="68"/>
      <c r="B443" s="68" t="b">
        <v>0</v>
      </c>
      <c r="C443" s="68">
        <v>16.0</v>
      </c>
      <c r="D443" s="70"/>
      <c r="E443" s="8" t="s">
        <v>37</v>
      </c>
      <c r="F443" s="9" t="s">
        <v>268</v>
      </c>
      <c r="G443" s="24" t="s">
        <v>267</v>
      </c>
      <c r="H443" s="15" t="s">
        <v>272</v>
      </c>
      <c r="I443" s="71">
        <v>46224.0</v>
      </c>
      <c r="J443" s="66" t="s">
        <v>52</v>
      </c>
      <c r="K443" s="66" t="s">
        <v>50</v>
      </c>
      <c r="L443" s="66" t="s">
        <v>42</v>
      </c>
      <c r="M443" s="66" t="s">
        <v>281</v>
      </c>
      <c r="N443" s="87">
        <v>46055.0</v>
      </c>
      <c r="O443" s="72">
        <v>644.0</v>
      </c>
      <c r="P443" s="24">
        <f t="array" ref="P443">if(O443="","", if(O443=9999,9999,ROUNDUP(_xlfn.XLOOKUP(J443&amp;"-"&amp;E443&amp;"-"&amp;K443,SpecCV[ID],SpecCV[factor])*O443,0)))</f>
        <v>644</v>
      </c>
      <c r="Q443" s="24">
        <f t="array" ref="Q443">if(J443="Contact plate", _xlfn.XLOOKUP(J443&amp;"-"&amp;E443&amp;"-"&amp;K443,SpecCV[ID],SpecCV[Spec]),_xlfn.XLOOKUP(J443&amp;"-"&amp;E443&amp;"-"&amp;K443,SpecCV[ID],SpecCV[Spec]))</f>
        <v>10</v>
      </c>
      <c r="R443" s="15" t="str">
        <f t="array" ref="R443">if(J443="Contact plate", _xlfn.XLOOKUP(J443&amp;"-"&amp;E443&amp;"-"&amp;K443,SpecCV[ID],SpecCV[Unit]),_xlfn.XLOOKUP(J443&amp;"-"&amp;E443&amp;"-"&amp;K443,SpecCV[ID],SpecCV[Unit]))</f>
        <v>cfu/100ml</v>
      </c>
      <c r="S443" s="24"/>
      <c r="T443" s="24"/>
      <c r="U443" s="24"/>
      <c r="V443" s="68" t="b">
        <v>0</v>
      </c>
      <c r="W443" s="24"/>
      <c r="X443" s="24"/>
    </row>
    <row r="444" ht="22.5" customHeight="1">
      <c r="A444" s="68"/>
      <c r="B444" s="68" t="b">
        <v>0</v>
      </c>
      <c r="C444" s="68">
        <v>16.0</v>
      </c>
      <c r="D444" s="70"/>
      <c r="E444" s="8" t="s">
        <v>37</v>
      </c>
      <c r="F444" s="9" t="s">
        <v>268</v>
      </c>
      <c r="G444" s="24" t="s">
        <v>267</v>
      </c>
      <c r="H444" s="15" t="s">
        <v>273</v>
      </c>
      <c r="I444" s="71">
        <v>46224.0</v>
      </c>
      <c r="J444" s="66" t="s">
        <v>52</v>
      </c>
      <c r="K444" s="66" t="s">
        <v>50</v>
      </c>
      <c r="L444" s="66" t="s">
        <v>42</v>
      </c>
      <c r="M444" s="66" t="s">
        <v>281</v>
      </c>
      <c r="N444" s="87">
        <v>46055.0</v>
      </c>
      <c r="O444" s="72">
        <v>468.0</v>
      </c>
      <c r="P444" s="24">
        <f t="array" ref="P444">if(O444="","", if(O444=9999,9999,ROUNDUP(_xlfn.XLOOKUP(J444&amp;"-"&amp;E444&amp;"-"&amp;K444,SpecCV[ID],SpecCV[factor])*O444,0)))</f>
        <v>468</v>
      </c>
      <c r="Q444" s="24">
        <f t="array" ref="Q444">if(J444="Contact plate", _xlfn.XLOOKUP(J444&amp;"-"&amp;E444&amp;"-"&amp;K444,SpecCV[ID],SpecCV[Spec]),_xlfn.XLOOKUP(J444&amp;"-"&amp;E444&amp;"-"&amp;K444,SpecCV[ID],SpecCV[Spec]))</f>
        <v>10</v>
      </c>
      <c r="R444" s="15" t="str">
        <f t="array" ref="R444">if(J444="Contact plate", _xlfn.XLOOKUP(J444&amp;"-"&amp;E444&amp;"-"&amp;K444,SpecCV[ID],SpecCV[Unit]),_xlfn.XLOOKUP(J444&amp;"-"&amp;E444&amp;"-"&amp;K444,SpecCV[ID],SpecCV[Unit]))</f>
        <v>cfu/100ml</v>
      </c>
      <c r="S444" s="24"/>
      <c r="T444" s="24"/>
      <c r="U444" s="24"/>
      <c r="V444" s="68" t="b">
        <v>0</v>
      </c>
      <c r="W444" s="24"/>
      <c r="X444" s="24"/>
    </row>
    <row r="445" ht="22.5" customHeight="1">
      <c r="A445" s="68"/>
      <c r="B445" s="68" t="b">
        <v>0</v>
      </c>
      <c r="C445" s="68">
        <v>16.0</v>
      </c>
      <c r="D445" s="70"/>
      <c r="E445" s="8" t="s">
        <v>37</v>
      </c>
      <c r="F445" s="9" t="s">
        <v>268</v>
      </c>
      <c r="G445" s="24" t="s">
        <v>267</v>
      </c>
      <c r="H445" s="15" t="s">
        <v>274</v>
      </c>
      <c r="I445" s="71">
        <v>46224.0</v>
      </c>
      <c r="J445" s="66" t="s">
        <v>52</v>
      </c>
      <c r="K445" s="66" t="s">
        <v>50</v>
      </c>
      <c r="L445" s="66" t="s">
        <v>42</v>
      </c>
      <c r="M445" s="66" t="s">
        <v>281</v>
      </c>
      <c r="N445" s="87">
        <v>46055.0</v>
      </c>
      <c r="O445" s="72">
        <v>396.0</v>
      </c>
      <c r="P445" s="24">
        <f t="array" ref="P445">if(O445="","", if(O445=9999,9999,ROUNDUP(_xlfn.XLOOKUP(J445&amp;"-"&amp;E445&amp;"-"&amp;K445,SpecCV[ID],SpecCV[factor])*O445,0)))</f>
        <v>396</v>
      </c>
      <c r="Q445" s="24">
        <f t="array" ref="Q445">if(J445="Contact plate", _xlfn.XLOOKUP(J445&amp;"-"&amp;E445&amp;"-"&amp;K445,SpecCV[ID],SpecCV[Spec]),_xlfn.XLOOKUP(J445&amp;"-"&amp;E445&amp;"-"&amp;K445,SpecCV[ID],SpecCV[Spec]))</f>
        <v>10</v>
      </c>
      <c r="R445" s="15" t="str">
        <f t="array" ref="R445">if(J445="Contact plate", _xlfn.XLOOKUP(J445&amp;"-"&amp;E445&amp;"-"&amp;K445,SpecCV[ID],SpecCV[Unit]),_xlfn.XLOOKUP(J445&amp;"-"&amp;E445&amp;"-"&amp;K445,SpecCV[ID],SpecCV[Unit]))</f>
        <v>cfu/100ml</v>
      </c>
      <c r="S445" s="24"/>
      <c r="T445" s="24"/>
      <c r="U445" s="24"/>
      <c r="V445" s="68" t="b">
        <v>0</v>
      </c>
      <c r="W445" s="24"/>
      <c r="X445" s="24"/>
    </row>
    <row r="446" ht="22.5" customHeight="1">
      <c r="A446" s="68"/>
      <c r="B446" s="68" t="b">
        <v>0</v>
      </c>
      <c r="C446" s="68">
        <v>16.0</v>
      </c>
      <c r="D446" s="70"/>
      <c r="E446" s="8" t="s">
        <v>37</v>
      </c>
      <c r="F446" s="9" t="s">
        <v>266</v>
      </c>
      <c r="G446" s="24" t="s">
        <v>267</v>
      </c>
      <c r="H446" s="15" t="s">
        <v>264</v>
      </c>
      <c r="I446" s="71">
        <v>46225.0</v>
      </c>
      <c r="J446" s="66" t="s">
        <v>52</v>
      </c>
      <c r="K446" s="66" t="s">
        <v>50</v>
      </c>
      <c r="L446" s="66" t="s">
        <v>42</v>
      </c>
      <c r="M446" s="66" t="s">
        <v>281</v>
      </c>
      <c r="N446" s="87">
        <v>46083.0</v>
      </c>
      <c r="O446" s="72">
        <v>0.0</v>
      </c>
      <c r="P446" s="24">
        <f t="array" ref="P446">if(O446="","", if(O446=9999,9999,ROUNDUP(_xlfn.XLOOKUP(J446&amp;"-"&amp;E446&amp;"-"&amp;K446,SpecCV[ID],SpecCV[factor])*O446,0)))</f>
        <v>0</v>
      </c>
      <c r="Q446" s="24">
        <f t="array" ref="Q446">if(J446="Contact plate", _xlfn.XLOOKUP(J446&amp;"-"&amp;E446&amp;"-"&amp;K446,SpecCV[ID],SpecCV[Spec]),_xlfn.XLOOKUP(J446&amp;"-"&amp;E446&amp;"-"&amp;K446,SpecCV[ID],SpecCV[Spec]))</f>
        <v>10</v>
      </c>
      <c r="R446" s="15" t="str">
        <f t="array" ref="R446">if(J446="Contact plate", _xlfn.XLOOKUP(J446&amp;"-"&amp;E446&amp;"-"&amp;K446,SpecCV[ID],SpecCV[Unit]),_xlfn.XLOOKUP(J446&amp;"-"&amp;E446&amp;"-"&amp;K446,SpecCV[ID],SpecCV[Unit]))</f>
        <v>cfu/100ml</v>
      </c>
      <c r="S446" s="24"/>
      <c r="T446" s="24"/>
      <c r="U446" s="24"/>
      <c r="V446" s="68" t="b">
        <v>0</v>
      </c>
      <c r="W446" s="24" t="s">
        <v>321</v>
      </c>
      <c r="X446" s="24"/>
    </row>
    <row r="447" ht="22.5" customHeight="1">
      <c r="A447" s="68"/>
      <c r="B447" s="68" t="b">
        <v>0</v>
      </c>
      <c r="C447" s="68">
        <v>16.0</v>
      </c>
      <c r="D447" s="70"/>
      <c r="E447" s="8" t="s">
        <v>37</v>
      </c>
      <c r="F447" s="9" t="s">
        <v>268</v>
      </c>
      <c r="G447" s="24" t="s">
        <v>267</v>
      </c>
      <c r="H447" s="15" t="s">
        <v>265</v>
      </c>
      <c r="I447" s="71">
        <v>46225.0</v>
      </c>
      <c r="J447" s="66" t="s">
        <v>52</v>
      </c>
      <c r="K447" s="66" t="s">
        <v>50</v>
      </c>
      <c r="L447" s="66" t="s">
        <v>42</v>
      </c>
      <c r="M447" s="66" t="s">
        <v>281</v>
      </c>
      <c r="N447" s="87">
        <v>46083.0</v>
      </c>
      <c r="O447" s="72">
        <v>0.0</v>
      </c>
      <c r="P447" s="24">
        <f t="array" ref="P447">if(O447="","", if(O447=9999,9999,ROUNDUP(_xlfn.XLOOKUP(J447&amp;"-"&amp;E447&amp;"-"&amp;K447,SpecCV[ID],SpecCV[factor])*O447,0)))</f>
        <v>0</v>
      </c>
      <c r="Q447" s="24">
        <f t="array" ref="Q447">if(J447="Contact plate", _xlfn.XLOOKUP(J447&amp;"-"&amp;E447&amp;"-"&amp;K447,SpecCV[ID],SpecCV[Spec]),_xlfn.XLOOKUP(J447&amp;"-"&amp;E447&amp;"-"&amp;K447,SpecCV[ID],SpecCV[Spec]))</f>
        <v>10</v>
      </c>
      <c r="R447" s="15" t="str">
        <f t="array" ref="R447">if(J447="Contact plate", _xlfn.XLOOKUP(J447&amp;"-"&amp;E447&amp;"-"&amp;K447,SpecCV[ID],SpecCV[Unit]),_xlfn.XLOOKUP(J447&amp;"-"&amp;E447&amp;"-"&amp;K447,SpecCV[ID],SpecCV[Unit]))</f>
        <v>cfu/100ml</v>
      </c>
      <c r="S447" s="24"/>
      <c r="T447" s="24"/>
      <c r="U447" s="24"/>
      <c r="V447" s="68" t="b">
        <v>0</v>
      </c>
      <c r="W447" s="24" t="s">
        <v>321</v>
      </c>
      <c r="X447" s="24"/>
    </row>
    <row r="448" ht="22.5" customHeight="1">
      <c r="A448" s="68"/>
      <c r="B448" s="68" t="b">
        <v>0</v>
      </c>
      <c r="C448" s="68">
        <v>16.0</v>
      </c>
      <c r="D448" s="70"/>
      <c r="E448" s="8" t="s">
        <v>37</v>
      </c>
      <c r="F448" s="9" t="s">
        <v>268</v>
      </c>
      <c r="G448" s="24" t="s">
        <v>267</v>
      </c>
      <c r="H448" s="15" t="s">
        <v>269</v>
      </c>
      <c r="I448" s="71">
        <v>46225.0</v>
      </c>
      <c r="J448" s="66" t="s">
        <v>52</v>
      </c>
      <c r="K448" s="66" t="s">
        <v>50</v>
      </c>
      <c r="L448" s="66" t="s">
        <v>42</v>
      </c>
      <c r="M448" s="66" t="s">
        <v>281</v>
      </c>
      <c r="N448" s="87">
        <v>46083.0</v>
      </c>
      <c r="O448" s="72">
        <v>0.0</v>
      </c>
      <c r="P448" s="24">
        <f t="array" ref="P448">if(O448="","", if(O448=9999,9999,ROUNDUP(_xlfn.XLOOKUP(J448&amp;"-"&amp;E448&amp;"-"&amp;K448,SpecCV[ID],SpecCV[factor])*O448,0)))</f>
        <v>0</v>
      </c>
      <c r="Q448" s="24">
        <f t="array" ref="Q448">if(J448="Contact plate", _xlfn.XLOOKUP(J448&amp;"-"&amp;E448&amp;"-"&amp;K448,SpecCV[ID],SpecCV[Spec]),_xlfn.XLOOKUP(J448&amp;"-"&amp;E448&amp;"-"&amp;K448,SpecCV[ID],SpecCV[Spec]))</f>
        <v>10</v>
      </c>
      <c r="R448" s="15" t="str">
        <f t="array" ref="R448">if(J448="Contact plate", _xlfn.XLOOKUP(J448&amp;"-"&amp;E448&amp;"-"&amp;K448,SpecCV[ID],SpecCV[Unit]),_xlfn.XLOOKUP(J448&amp;"-"&amp;E448&amp;"-"&amp;K448,SpecCV[ID],SpecCV[Unit]))</f>
        <v>cfu/100ml</v>
      </c>
      <c r="S448" s="24"/>
      <c r="T448" s="24"/>
      <c r="U448" s="24"/>
      <c r="V448" s="68" t="b">
        <v>0</v>
      </c>
      <c r="W448" s="24" t="s">
        <v>321</v>
      </c>
      <c r="X448" s="24"/>
    </row>
    <row r="449" ht="22.5" customHeight="1">
      <c r="A449" s="68"/>
      <c r="B449" s="68" t="b">
        <v>0</v>
      </c>
      <c r="C449" s="68">
        <v>16.0</v>
      </c>
      <c r="D449" s="70"/>
      <c r="E449" s="8" t="s">
        <v>37</v>
      </c>
      <c r="F449" s="9" t="s">
        <v>268</v>
      </c>
      <c r="G449" s="24" t="s">
        <v>267</v>
      </c>
      <c r="H449" s="15" t="s">
        <v>270</v>
      </c>
      <c r="I449" s="71">
        <v>46225.0</v>
      </c>
      <c r="J449" s="66" t="s">
        <v>52</v>
      </c>
      <c r="K449" s="66" t="s">
        <v>50</v>
      </c>
      <c r="L449" s="66" t="s">
        <v>42</v>
      </c>
      <c r="M449" s="66" t="s">
        <v>281</v>
      </c>
      <c r="N449" s="87">
        <v>46083.0</v>
      </c>
      <c r="O449" s="72">
        <v>0.0</v>
      </c>
      <c r="P449" s="24">
        <f t="array" ref="P449">if(O449="","", if(O449=9999,9999,ROUNDUP(_xlfn.XLOOKUP(J449&amp;"-"&amp;E449&amp;"-"&amp;K449,SpecCV[ID],SpecCV[factor])*O449,0)))</f>
        <v>0</v>
      </c>
      <c r="Q449" s="24">
        <f t="array" ref="Q449">if(J449="Contact plate", _xlfn.XLOOKUP(J449&amp;"-"&amp;E449&amp;"-"&amp;K449,SpecCV[ID],SpecCV[Spec]),_xlfn.XLOOKUP(J449&amp;"-"&amp;E449&amp;"-"&amp;K449,SpecCV[ID],SpecCV[Spec]))</f>
        <v>10</v>
      </c>
      <c r="R449" s="15" t="str">
        <f t="array" ref="R449">if(J449="Contact plate", _xlfn.XLOOKUP(J449&amp;"-"&amp;E449&amp;"-"&amp;K449,SpecCV[ID],SpecCV[Unit]),_xlfn.XLOOKUP(J449&amp;"-"&amp;E449&amp;"-"&amp;K449,SpecCV[ID],SpecCV[Unit]))</f>
        <v>cfu/100ml</v>
      </c>
      <c r="S449" s="24"/>
      <c r="T449" s="24"/>
      <c r="U449" s="24"/>
      <c r="V449" s="68" t="b">
        <v>0</v>
      </c>
      <c r="W449" s="24" t="s">
        <v>321</v>
      </c>
      <c r="X449" s="24"/>
    </row>
    <row r="450" ht="22.5" customHeight="1">
      <c r="A450" s="68"/>
      <c r="B450" s="68" t="b">
        <v>0</v>
      </c>
      <c r="C450" s="68">
        <v>16.0</v>
      </c>
      <c r="D450" s="70"/>
      <c r="E450" s="8" t="s">
        <v>37</v>
      </c>
      <c r="F450" s="9" t="s">
        <v>268</v>
      </c>
      <c r="G450" s="24" t="s">
        <v>267</v>
      </c>
      <c r="H450" s="15" t="s">
        <v>271</v>
      </c>
      <c r="I450" s="71">
        <v>46225.0</v>
      </c>
      <c r="J450" s="66" t="s">
        <v>52</v>
      </c>
      <c r="K450" s="66" t="s">
        <v>50</v>
      </c>
      <c r="L450" s="66" t="s">
        <v>42</v>
      </c>
      <c r="M450" s="66" t="s">
        <v>281</v>
      </c>
      <c r="N450" s="87">
        <v>46083.0</v>
      </c>
      <c r="O450" s="72">
        <v>0.0</v>
      </c>
      <c r="P450" s="24">
        <f t="array" ref="P450">if(O450="","", if(O450=9999,9999,ROUNDUP(_xlfn.XLOOKUP(J450&amp;"-"&amp;E450&amp;"-"&amp;K450,SpecCV[ID],SpecCV[factor])*O450,0)))</f>
        <v>0</v>
      </c>
      <c r="Q450" s="24">
        <f t="array" ref="Q450">if(J450="Contact plate", _xlfn.XLOOKUP(J450&amp;"-"&amp;E450&amp;"-"&amp;K450,SpecCV[ID],SpecCV[Spec]),_xlfn.XLOOKUP(J450&amp;"-"&amp;E450&amp;"-"&amp;K450,SpecCV[ID],SpecCV[Spec]))</f>
        <v>10</v>
      </c>
      <c r="R450" s="15" t="str">
        <f t="array" ref="R450">if(J450="Contact plate", _xlfn.XLOOKUP(J450&amp;"-"&amp;E450&amp;"-"&amp;K450,SpecCV[ID],SpecCV[Unit]),_xlfn.XLOOKUP(J450&amp;"-"&amp;E450&amp;"-"&amp;K450,SpecCV[ID],SpecCV[Unit]))</f>
        <v>cfu/100ml</v>
      </c>
      <c r="S450" s="24"/>
      <c r="T450" s="24"/>
      <c r="U450" s="24"/>
      <c r="V450" s="68" t="b">
        <v>0</v>
      </c>
      <c r="W450" s="24" t="s">
        <v>321</v>
      </c>
      <c r="X450" s="24"/>
    </row>
    <row r="451" ht="22.5" customHeight="1">
      <c r="A451" s="68"/>
      <c r="B451" s="68" t="b">
        <v>0</v>
      </c>
      <c r="C451" s="68">
        <v>16.0</v>
      </c>
      <c r="D451" s="70"/>
      <c r="E451" s="8" t="s">
        <v>37</v>
      </c>
      <c r="F451" s="9" t="s">
        <v>268</v>
      </c>
      <c r="G451" s="24" t="s">
        <v>267</v>
      </c>
      <c r="H451" s="15" t="s">
        <v>272</v>
      </c>
      <c r="I451" s="71">
        <v>46225.0</v>
      </c>
      <c r="J451" s="66" t="s">
        <v>52</v>
      </c>
      <c r="K451" s="66" t="s">
        <v>50</v>
      </c>
      <c r="L451" s="66" t="s">
        <v>42</v>
      </c>
      <c r="M451" s="66" t="s">
        <v>281</v>
      </c>
      <c r="N451" s="87">
        <v>46083.0</v>
      </c>
      <c r="O451" s="72">
        <v>0.0</v>
      </c>
      <c r="P451" s="24">
        <f t="array" ref="P451">if(O451="","", if(O451=9999,9999,ROUNDUP(_xlfn.XLOOKUP(J451&amp;"-"&amp;E451&amp;"-"&amp;K451,SpecCV[ID],SpecCV[factor])*O451,0)))</f>
        <v>0</v>
      </c>
      <c r="Q451" s="24">
        <f t="array" ref="Q451">if(J451="Contact plate", _xlfn.XLOOKUP(J451&amp;"-"&amp;E451&amp;"-"&amp;K451,SpecCV[ID],SpecCV[Spec]),_xlfn.XLOOKUP(J451&amp;"-"&amp;E451&amp;"-"&amp;K451,SpecCV[ID],SpecCV[Spec]))</f>
        <v>10</v>
      </c>
      <c r="R451" s="15" t="str">
        <f t="array" ref="R451">if(J451="Contact plate", _xlfn.XLOOKUP(J451&amp;"-"&amp;E451&amp;"-"&amp;K451,SpecCV[ID],SpecCV[Unit]),_xlfn.XLOOKUP(J451&amp;"-"&amp;E451&amp;"-"&amp;K451,SpecCV[ID],SpecCV[Unit]))</f>
        <v>cfu/100ml</v>
      </c>
      <c r="S451" s="24"/>
      <c r="T451" s="24"/>
      <c r="U451" s="24"/>
      <c r="V451" s="68" t="b">
        <v>0</v>
      </c>
      <c r="W451" s="24" t="s">
        <v>321</v>
      </c>
      <c r="X451" s="24"/>
    </row>
    <row r="452" ht="22.5" customHeight="1">
      <c r="A452" s="68"/>
      <c r="B452" s="68" t="b">
        <v>0</v>
      </c>
      <c r="C452" s="68">
        <v>16.0</v>
      </c>
      <c r="D452" s="70"/>
      <c r="E452" s="8" t="s">
        <v>37</v>
      </c>
      <c r="F452" s="9" t="s">
        <v>268</v>
      </c>
      <c r="G452" s="24" t="s">
        <v>267</v>
      </c>
      <c r="H452" s="15" t="s">
        <v>273</v>
      </c>
      <c r="I452" s="71">
        <v>46225.0</v>
      </c>
      <c r="J452" s="66" t="s">
        <v>52</v>
      </c>
      <c r="K452" s="66" t="s">
        <v>50</v>
      </c>
      <c r="L452" s="66" t="s">
        <v>42</v>
      </c>
      <c r="M452" s="66" t="s">
        <v>281</v>
      </c>
      <c r="N452" s="87">
        <v>46083.0</v>
      </c>
      <c r="O452" s="72">
        <v>0.0</v>
      </c>
      <c r="P452" s="24">
        <f t="array" ref="P452">if(O452="","", if(O452=9999,9999,ROUNDUP(_xlfn.XLOOKUP(J452&amp;"-"&amp;E452&amp;"-"&amp;K452,SpecCV[ID],SpecCV[factor])*O452,0)))</f>
        <v>0</v>
      </c>
      <c r="Q452" s="24">
        <f t="array" ref="Q452">if(J452="Contact plate", _xlfn.XLOOKUP(J452&amp;"-"&amp;E452&amp;"-"&amp;K452,SpecCV[ID],SpecCV[Spec]),_xlfn.XLOOKUP(J452&amp;"-"&amp;E452&amp;"-"&amp;K452,SpecCV[ID],SpecCV[Spec]))</f>
        <v>10</v>
      </c>
      <c r="R452" s="15" t="str">
        <f t="array" ref="R452">if(J452="Contact plate", _xlfn.XLOOKUP(J452&amp;"-"&amp;E452&amp;"-"&amp;K452,SpecCV[ID],SpecCV[Unit]),_xlfn.XLOOKUP(J452&amp;"-"&amp;E452&amp;"-"&amp;K452,SpecCV[ID],SpecCV[Unit]))</f>
        <v>cfu/100ml</v>
      </c>
      <c r="S452" s="24"/>
      <c r="T452" s="24"/>
      <c r="U452" s="24"/>
      <c r="V452" s="68" t="b">
        <v>0</v>
      </c>
      <c r="W452" s="24" t="s">
        <v>321</v>
      </c>
      <c r="X452" s="24"/>
    </row>
    <row r="453" ht="22.5" customHeight="1">
      <c r="A453" s="68"/>
      <c r="B453" s="68" t="b">
        <v>0</v>
      </c>
      <c r="C453" s="68">
        <v>16.0</v>
      </c>
      <c r="D453" s="70"/>
      <c r="E453" s="8" t="s">
        <v>37</v>
      </c>
      <c r="F453" s="9" t="s">
        <v>268</v>
      </c>
      <c r="G453" s="24" t="s">
        <v>267</v>
      </c>
      <c r="H453" s="15" t="s">
        <v>274</v>
      </c>
      <c r="I453" s="71">
        <v>46225.0</v>
      </c>
      <c r="J453" s="66" t="s">
        <v>52</v>
      </c>
      <c r="K453" s="66" t="s">
        <v>50</v>
      </c>
      <c r="L453" s="66" t="s">
        <v>42</v>
      </c>
      <c r="M453" s="66" t="s">
        <v>281</v>
      </c>
      <c r="N453" s="87">
        <v>46083.0</v>
      </c>
      <c r="O453" s="72">
        <v>0.0</v>
      </c>
      <c r="P453" s="24">
        <f t="array" ref="P453">if(O453="","", if(O453=9999,9999,ROUNDUP(_xlfn.XLOOKUP(J453&amp;"-"&amp;E453&amp;"-"&amp;K453,SpecCV[ID],SpecCV[factor])*O453,0)))</f>
        <v>0</v>
      </c>
      <c r="Q453" s="24">
        <f t="array" ref="Q453">if(J453="Contact plate", _xlfn.XLOOKUP(J453&amp;"-"&amp;E453&amp;"-"&amp;K453,SpecCV[ID],SpecCV[Spec]),_xlfn.XLOOKUP(J453&amp;"-"&amp;E453&amp;"-"&amp;K453,SpecCV[ID],SpecCV[Spec]))</f>
        <v>10</v>
      </c>
      <c r="R453" s="15" t="str">
        <f t="array" ref="R453">if(J453="Contact plate", _xlfn.XLOOKUP(J453&amp;"-"&amp;E453&amp;"-"&amp;K453,SpecCV[ID],SpecCV[Unit]),_xlfn.XLOOKUP(J453&amp;"-"&amp;E453&amp;"-"&amp;K453,SpecCV[ID],SpecCV[Unit]))</f>
        <v>cfu/100ml</v>
      </c>
      <c r="S453" s="24"/>
      <c r="T453" s="24"/>
      <c r="U453" s="24"/>
      <c r="V453" s="68" t="b">
        <v>0</v>
      </c>
      <c r="W453" s="24" t="s">
        <v>321</v>
      </c>
      <c r="X453" s="24"/>
    </row>
    <row r="454" ht="22.5" customHeight="1">
      <c r="A454" s="74"/>
      <c r="B454" s="74" t="b">
        <v>0</v>
      </c>
      <c r="C454" s="74">
        <v>12.0</v>
      </c>
      <c r="D454" s="75"/>
      <c r="E454" s="74" t="s">
        <v>28</v>
      </c>
      <c r="F454" s="76" t="s">
        <v>275</v>
      </c>
      <c r="G454" s="76" t="s">
        <v>288</v>
      </c>
      <c r="H454" s="77" t="s">
        <v>289</v>
      </c>
      <c r="I454" s="71">
        <v>6686334.0</v>
      </c>
      <c r="J454" s="66" t="s">
        <v>47</v>
      </c>
      <c r="K454" s="66" t="s">
        <v>48</v>
      </c>
      <c r="L454" s="66" t="s">
        <v>42</v>
      </c>
      <c r="M454" s="66" t="s">
        <v>45</v>
      </c>
      <c r="N454" s="24">
        <v>1.0</v>
      </c>
      <c r="O454" s="72">
        <v>698.0</v>
      </c>
      <c r="P454" s="24">
        <f t="array" ref="P454">if(O454="","", if(O454=9999,9999,ROUNDUP(_xlfn.XLOOKUP(J454&amp;"-"&amp;E454&amp;"-"&amp;K454,SpecCV[ID],SpecCV[factor])*O454,0)))</f>
        <v>698</v>
      </c>
      <c r="Q454" s="24">
        <f t="array" ref="Q454">if(J454="Contact plate", _xlfn.XLOOKUP(J454&amp;"-"&amp;E454&amp;"-"&amp;K454,SpecCV[ID],SpecCV[Spec]),_xlfn.XLOOKUP(J454&amp;"-"&amp;E454&amp;"-"&amp;K454,SpecCV[ID],SpecCV[Spec]))</f>
        <v>100</v>
      </c>
      <c r="R454" s="15" t="str">
        <f t="array" ref="R454">if(J454="Contact plate", _xlfn.XLOOKUP(J454&amp;"-"&amp;E454&amp;"-"&amp;K454,SpecCV[ID],SpecCV[Unit]),_xlfn.XLOOKUP(J454&amp;"-"&amp;E454&amp;"-"&amp;K454,SpecCV[ID],SpecCV[Unit]))</f>
        <v>cfu/ml</v>
      </c>
      <c r="S454" s="24"/>
      <c r="T454" s="24"/>
      <c r="U454" s="24"/>
      <c r="V454" s="68" t="b">
        <v>0</v>
      </c>
      <c r="W454" s="24"/>
      <c r="X454" s="24"/>
    </row>
    <row r="455" ht="22.5" customHeight="1">
      <c r="A455" s="68"/>
      <c r="B455" s="68" t="b">
        <v>0</v>
      </c>
      <c r="C455" s="68">
        <v>16.0</v>
      </c>
      <c r="D455" s="70"/>
      <c r="E455" s="8" t="s">
        <v>37</v>
      </c>
      <c r="F455" s="9" t="s">
        <v>266</v>
      </c>
      <c r="G455" s="24" t="s">
        <v>267</v>
      </c>
      <c r="H455" s="15" t="s">
        <v>264</v>
      </c>
      <c r="I455" s="71">
        <v>46230.0</v>
      </c>
      <c r="J455" s="66" t="s">
        <v>52</v>
      </c>
      <c r="K455" s="66" t="s">
        <v>50</v>
      </c>
      <c r="L455" s="66" t="s">
        <v>42</v>
      </c>
      <c r="M455" s="66" t="s">
        <v>45</v>
      </c>
      <c r="N455" s="24">
        <v>3.0</v>
      </c>
      <c r="O455" s="72">
        <v>0.0</v>
      </c>
      <c r="P455" s="24">
        <f t="array" ref="P455">if(O455="","", if(O455=9999,9999,ROUNDUP(_xlfn.XLOOKUP(J455&amp;"-"&amp;E455&amp;"-"&amp;K455,SpecCV[ID],SpecCV[factor])*O455,0)))</f>
        <v>0</v>
      </c>
      <c r="Q455" s="24">
        <f t="array" ref="Q455">if(J455="Contact plate", _xlfn.XLOOKUP(J455&amp;"-"&amp;E455&amp;"-"&amp;K455,SpecCV[ID],SpecCV[Spec]),_xlfn.XLOOKUP(J455&amp;"-"&amp;E455&amp;"-"&amp;K455,SpecCV[ID],SpecCV[Spec]))</f>
        <v>10</v>
      </c>
      <c r="R455" s="15" t="str">
        <f t="array" ref="R455">if(J455="Contact plate", _xlfn.XLOOKUP(J455&amp;"-"&amp;E455&amp;"-"&amp;K455,SpecCV[ID],SpecCV[Unit]),_xlfn.XLOOKUP(J455&amp;"-"&amp;E455&amp;"-"&amp;K455,SpecCV[ID],SpecCV[Unit]))</f>
        <v>cfu/100ml</v>
      </c>
      <c r="S455" s="24"/>
      <c r="T455" s="24"/>
      <c r="U455" s="24"/>
      <c r="V455" s="68" t="b">
        <v>0</v>
      </c>
      <c r="W455" s="24"/>
      <c r="X455" s="24"/>
    </row>
    <row r="456" ht="22.5" customHeight="1">
      <c r="A456" s="68"/>
      <c r="B456" s="68" t="b">
        <v>0</v>
      </c>
      <c r="C456" s="68">
        <v>16.0</v>
      </c>
      <c r="D456" s="70"/>
      <c r="E456" s="8" t="s">
        <v>37</v>
      </c>
      <c r="F456" s="9" t="s">
        <v>268</v>
      </c>
      <c r="G456" s="24" t="s">
        <v>267</v>
      </c>
      <c r="H456" s="15" t="s">
        <v>265</v>
      </c>
      <c r="I456" s="71">
        <v>46230.0</v>
      </c>
      <c r="J456" s="66" t="s">
        <v>52</v>
      </c>
      <c r="K456" s="66" t="s">
        <v>50</v>
      </c>
      <c r="L456" s="66" t="s">
        <v>42</v>
      </c>
      <c r="M456" s="66" t="s">
        <v>45</v>
      </c>
      <c r="N456" s="24">
        <v>3.0</v>
      </c>
      <c r="O456" s="72">
        <v>0.0</v>
      </c>
      <c r="P456" s="24">
        <f t="array" ref="P456">if(O456="","", if(O456=9999,9999,ROUNDUP(_xlfn.XLOOKUP(J456&amp;"-"&amp;E456&amp;"-"&amp;K456,SpecCV[ID],SpecCV[factor])*O456,0)))</f>
        <v>0</v>
      </c>
      <c r="Q456" s="24">
        <f t="array" ref="Q456">if(J456="Contact plate", _xlfn.XLOOKUP(J456&amp;"-"&amp;E456&amp;"-"&amp;K456,SpecCV[ID],SpecCV[Spec]),_xlfn.XLOOKUP(J456&amp;"-"&amp;E456&amp;"-"&amp;K456,SpecCV[ID],SpecCV[Spec]))</f>
        <v>10</v>
      </c>
      <c r="R456" s="15" t="str">
        <f t="array" ref="R456">if(J456="Contact plate", _xlfn.XLOOKUP(J456&amp;"-"&amp;E456&amp;"-"&amp;K456,SpecCV[ID],SpecCV[Unit]),_xlfn.XLOOKUP(J456&amp;"-"&amp;E456&amp;"-"&amp;K456,SpecCV[ID],SpecCV[Unit]))</f>
        <v>cfu/100ml</v>
      </c>
      <c r="S456" s="24"/>
      <c r="T456" s="24"/>
      <c r="U456" s="24"/>
      <c r="V456" s="68" t="b">
        <v>0</v>
      </c>
      <c r="W456" s="24"/>
      <c r="X456" s="24"/>
    </row>
    <row r="457" ht="22.5" customHeight="1">
      <c r="A457" s="68"/>
      <c r="B457" s="68" t="b">
        <v>0</v>
      </c>
      <c r="C457" s="68">
        <v>16.0</v>
      </c>
      <c r="D457" s="70"/>
      <c r="E457" s="8" t="s">
        <v>37</v>
      </c>
      <c r="F457" s="9" t="s">
        <v>268</v>
      </c>
      <c r="G457" s="24" t="s">
        <v>267</v>
      </c>
      <c r="H457" s="15" t="s">
        <v>269</v>
      </c>
      <c r="I457" s="71">
        <v>46230.0</v>
      </c>
      <c r="J457" s="66" t="s">
        <v>52</v>
      </c>
      <c r="K457" s="66" t="s">
        <v>50</v>
      </c>
      <c r="L457" s="66" t="s">
        <v>42</v>
      </c>
      <c r="M457" s="66" t="s">
        <v>45</v>
      </c>
      <c r="N457" s="24">
        <v>3.0</v>
      </c>
      <c r="O457" s="72">
        <v>0.0</v>
      </c>
      <c r="P457" s="24">
        <f t="array" ref="P457">if(O457="","", if(O457=9999,9999,ROUNDUP(_xlfn.XLOOKUP(J457&amp;"-"&amp;E457&amp;"-"&amp;K457,SpecCV[ID],SpecCV[factor])*O457,0)))</f>
        <v>0</v>
      </c>
      <c r="Q457" s="24">
        <f t="array" ref="Q457">if(J457="Contact plate", _xlfn.XLOOKUP(J457&amp;"-"&amp;E457&amp;"-"&amp;K457,SpecCV[ID],SpecCV[Spec]),_xlfn.XLOOKUP(J457&amp;"-"&amp;E457&amp;"-"&amp;K457,SpecCV[ID],SpecCV[Spec]))</f>
        <v>10</v>
      </c>
      <c r="R457" s="15" t="str">
        <f t="array" ref="R457">if(J457="Contact plate", _xlfn.XLOOKUP(J457&amp;"-"&amp;E457&amp;"-"&amp;K457,SpecCV[ID],SpecCV[Unit]),_xlfn.XLOOKUP(J457&amp;"-"&amp;E457&amp;"-"&amp;K457,SpecCV[ID],SpecCV[Unit]))</f>
        <v>cfu/100ml</v>
      </c>
      <c r="S457" s="24"/>
      <c r="T457" s="24"/>
      <c r="U457" s="24"/>
      <c r="V457" s="68" t="b">
        <v>0</v>
      </c>
      <c r="W457" s="24"/>
      <c r="X457" s="24"/>
    </row>
    <row r="458" ht="22.5" customHeight="1">
      <c r="A458" s="68"/>
      <c r="B458" s="68" t="b">
        <v>0</v>
      </c>
      <c r="C458" s="68">
        <v>16.0</v>
      </c>
      <c r="D458" s="70"/>
      <c r="E458" s="8" t="s">
        <v>37</v>
      </c>
      <c r="F458" s="9" t="s">
        <v>268</v>
      </c>
      <c r="G458" s="24" t="s">
        <v>267</v>
      </c>
      <c r="H458" s="15" t="s">
        <v>270</v>
      </c>
      <c r="I458" s="71">
        <v>46230.0</v>
      </c>
      <c r="J458" s="66" t="s">
        <v>52</v>
      </c>
      <c r="K458" s="66" t="s">
        <v>50</v>
      </c>
      <c r="L458" s="66" t="s">
        <v>42</v>
      </c>
      <c r="M458" s="66" t="s">
        <v>45</v>
      </c>
      <c r="N458" s="24">
        <v>3.0</v>
      </c>
      <c r="O458" s="72">
        <v>0.0</v>
      </c>
      <c r="P458" s="24">
        <f t="array" ref="P458">if(O458="","", if(O458=9999,9999,ROUNDUP(_xlfn.XLOOKUP(J458&amp;"-"&amp;E458&amp;"-"&amp;K458,SpecCV[ID],SpecCV[factor])*O458,0)))</f>
        <v>0</v>
      </c>
      <c r="Q458" s="24">
        <f t="array" ref="Q458">if(J458="Contact plate", _xlfn.XLOOKUP(J458&amp;"-"&amp;E458&amp;"-"&amp;K458,SpecCV[ID],SpecCV[Spec]),_xlfn.XLOOKUP(J458&amp;"-"&amp;E458&amp;"-"&amp;K458,SpecCV[ID],SpecCV[Spec]))</f>
        <v>10</v>
      </c>
      <c r="R458" s="15" t="str">
        <f t="array" ref="R458">if(J458="Contact plate", _xlfn.XLOOKUP(J458&amp;"-"&amp;E458&amp;"-"&amp;K458,SpecCV[ID],SpecCV[Unit]),_xlfn.XLOOKUP(J458&amp;"-"&amp;E458&amp;"-"&amp;K458,SpecCV[ID],SpecCV[Unit]))</f>
        <v>cfu/100ml</v>
      </c>
      <c r="S458" s="24"/>
      <c r="T458" s="24"/>
      <c r="U458" s="24"/>
      <c r="V458" s="68" t="b">
        <v>0</v>
      </c>
      <c r="W458" s="24"/>
      <c r="X458" s="24"/>
    </row>
    <row r="459" ht="22.5" customHeight="1">
      <c r="A459" s="68"/>
      <c r="B459" s="68" t="b">
        <v>0</v>
      </c>
      <c r="C459" s="68">
        <v>16.0</v>
      </c>
      <c r="D459" s="70"/>
      <c r="E459" s="8" t="s">
        <v>37</v>
      </c>
      <c r="F459" s="9" t="s">
        <v>268</v>
      </c>
      <c r="G459" s="24" t="s">
        <v>267</v>
      </c>
      <c r="H459" s="15" t="s">
        <v>271</v>
      </c>
      <c r="I459" s="71">
        <v>46230.0</v>
      </c>
      <c r="J459" s="66" t="s">
        <v>52</v>
      </c>
      <c r="K459" s="66" t="s">
        <v>50</v>
      </c>
      <c r="L459" s="66" t="s">
        <v>42</v>
      </c>
      <c r="M459" s="66" t="s">
        <v>45</v>
      </c>
      <c r="N459" s="24">
        <v>3.0</v>
      </c>
      <c r="O459" s="72">
        <v>0.0</v>
      </c>
      <c r="P459" s="24">
        <f t="array" ref="P459">if(O459="","", if(O459=9999,9999,ROUNDUP(_xlfn.XLOOKUP(J459&amp;"-"&amp;E459&amp;"-"&amp;K459,SpecCV[ID],SpecCV[factor])*O459,0)))</f>
        <v>0</v>
      </c>
      <c r="Q459" s="24">
        <f t="array" ref="Q459">if(J459="Contact plate", _xlfn.XLOOKUP(J459&amp;"-"&amp;E459&amp;"-"&amp;K459,SpecCV[ID],SpecCV[Spec]),_xlfn.XLOOKUP(J459&amp;"-"&amp;E459&amp;"-"&amp;K459,SpecCV[ID],SpecCV[Spec]))</f>
        <v>10</v>
      </c>
      <c r="R459" s="15" t="str">
        <f t="array" ref="R459">if(J459="Contact plate", _xlfn.XLOOKUP(J459&amp;"-"&amp;E459&amp;"-"&amp;K459,SpecCV[ID],SpecCV[Unit]),_xlfn.XLOOKUP(J459&amp;"-"&amp;E459&amp;"-"&amp;K459,SpecCV[ID],SpecCV[Unit]))</f>
        <v>cfu/100ml</v>
      </c>
      <c r="S459" s="24"/>
      <c r="T459" s="24"/>
      <c r="U459" s="24"/>
      <c r="V459" s="68" t="b">
        <v>0</v>
      </c>
      <c r="W459" s="24"/>
      <c r="X459" s="24"/>
    </row>
    <row r="460" ht="22.5" customHeight="1">
      <c r="A460" s="68"/>
      <c r="B460" s="68" t="b">
        <v>0</v>
      </c>
      <c r="C460" s="68">
        <v>16.0</v>
      </c>
      <c r="D460" s="70"/>
      <c r="E460" s="8" t="s">
        <v>37</v>
      </c>
      <c r="F460" s="9" t="s">
        <v>268</v>
      </c>
      <c r="G460" s="24" t="s">
        <v>267</v>
      </c>
      <c r="H460" s="15" t="s">
        <v>272</v>
      </c>
      <c r="I460" s="71">
        <v>46230.0</v>
      </c>
      <c r="J460" s="66" t="s">
        <v>52</v>
      </c>
      <c r="K460" s="66" t="s">
        <v>50</v>
      </c>
      <c r="L460" s="66" t="s">
        <v>42</v>
      </c>
      <c r="M460" s="66" t="s">
        <v>45</v>
      </c>
      <c r="N460" s="24">
        <v>3.0</v>
      </c>
      <c r="O460" s="72">
        <v>0.0</v>
      </c>
      <c r="P460" s="24">
        <f t="array" ref="P460">if(O460="","", if(O460=9999,9999,ROUNDUP(_xlfn.XLOOKUP(J460&amp;"-"&amp;E460&amp;"-"&amp;K460,SpecCV[ID],SpecCV[factor])*O460,0)))</f>
        <v>0</v>
      </c>
      <c r="Q460" s="24">
        <f t="array" ref="Q460">if(J460="Contact plate", _xlfn.XLOOKUP(J460&amp;"-"&amp;E460&amp;"-"&amp;K460,SpecCV[ID],SpecCV[Spec]),_xlfn.XLOOKUP(J460&amp;"-"&amp;E460&amp;"-"&amp;K460,SpecCV[ID],SpecCV[Spec]))</f>
        <v>10</v>
      </c>
      <c r="R460" s="15" t="str">
        <f t="array" ref="R460">if(J460="Contact plate", _xlfn.XLOOKUP(J460&amp;"-"&amp;E460&amp;"-"&amp;K460,SpecCV[ID],SpecCV[Unit]),_xlfn.XLOOKUP(J460&amp;"-"&amp;E460&amp;"-"&amp;K460,SpecCV[ID],SpecCV[Unit]))</f>
        <v>cfu/100ml</v>
      </c>
      <c r="S460" s="24"/>
      <c r="T460" s="24"/>
      <c r="U460" s="24"/>
      <c r="V460" s="68" t="b">
        <v>0</v>
      </c>
      <c r="W460" s="24"/>
      <c r="X460" s="24"/>
    </row>
    <row r="461" ht="22.5" customHeight="1">
      <c r="A461" s="68"/>
      <c r="B461" s="68" t="b">
        <v>0</v>
      </c>
      <c r="C461" s="68">
        <v>16.0</v>
      </c>
      <c r="D461" s="70"/>
      <c r="E461" s="8" t="s">
        <v>37</v>
      </c>
      <c r="F461" s="9" t="s">
        <v>268</v>
      </c>
      <c r="G461" s="24" t="s">
        <v>267</v>
      </c>
      <c r="H461" s="15" t="s">
        <v>273</v>
      </c>
      <c r="I461" s="71">
        <v>46230.0</v>
      </c>
      <c r="J461" s="66" t="s">
        <v>52</v>
      </c>
      <c r="K461" s="66" t="s">
        <v>50</v>
      </c>
      <c r="L461" s="66" t="s">
        <v>42</v>
      </c>
      <c r="M461" s="66" t="s">
        <v>45</v>
      </c>
      <c r="N461" s="24">
        <v>3.0</v>
      </c>
      <c r="O461" s="72">
        <v>0.0</v>
      </c>
      <c r="P461" s="24">
        <f t="array" ref="P461">if(O461="","", if(O461=9999,9999,ROUNDUP(_xlfn.XLOOKUP(J461&amp;"-"&amp;E461&amp;"-"&amp;K461,SpecCV[ID],SpecCV[factor])*O461,0)))</f>
        <v>0</v>
      </c>
      <c r="Q461" s="24">
        <f t="array" ref="Q461">if(J461="Contact plate", _xlfn.XLOOKUP(J461&amp;"-"&amp;E461&amp;"-"&amp;K461,SpecCV[ID],SpecCV[Spec]),_xlfn.XLOOKUP(J461&amp;"-"&amp;E461&amp;"-"&amp;K461,SpecCV[ID],SpecCV[Spec]))</f>
        <v>10</v>
      </c>
      <c r="R461" s="15" t="str">
        <f t="array" ref="R461">if(J461="Contact plate", _xlfn.XLOOKUP(J461&amp;"-"&amp;E461&amp;"-"&amp;K461,SpecCV[ID],SpecCV[Unit]),_xlfn.XLOOKUP(J461&amp;"-"&amp;E461&amp;"-"&amp;K461,SpecCV[ID],SpecCV[Unit]))</f>
        <v>cfu/100ml</v>
      </c>
      <c r="S461" s="24"/>
      <c r="T461" s="24"/>
      <c r="U461" s="24"/>
      <c r="V461" s="68" t="b">
        <v>0</v>
      </c>
      <c r="W461" s="24"/>
      <c r="X461" s="24"/>
    </row>
    <row r="462" ht="22.5" customHeight="1">
      <c r="A462" s="68"/>
      <c r="B462" s="68" t="b">
        <v>0</v>
      </c>
      <c r="C462" s="68">
        <v>16.0</v>
      </c>
      <c r="D462" s="70"/>
      <c r="E462" s="8" t="s">
        <v>37</v>
      </c>
      <c r="F462" s="9" t="s">
        <v>268</v>
      </c>
      <c r="G462" s="24" t="s">
        <v>267</v>
      </c>
      <c r="H462" s="15" t="s">
        <v>274</v>
      </c>
      <c r="I462" s="71">
        <v>46230.0</v>
      </c>
      <c r="J462" s="66" t="s">
        <v>52</v>
      </c>
      <c r="K462" s="66" t="s">
        <v>50</v>
      </c>
      <c r="L462" s="66" t="s">
        <v>42</v>
      </c>
      <c r="M462" s="66" t="s">
        <v>45</v>
      </c>
      <c r="N462" s="24">
        <v>3.0</v>
      </c>
      <c r="O462" s="72">
        <v>0.0</v>
      </c>
      <c r="P462" s="24">
        <f t="array" ref="P462">if(O462="","", if(O462=9999,9999,ROUNDUP(_xlfn.XLOOKUP(J462&amp;"-"&amp;E462&amp;"-"&amp;K462,SpecCV[ID],SpecCV[factor])*O462,0)))</f>
        <v>0</v>
      </c>
      <c r="Q462" s="24">
        <f t="array" ref="Q462">if(J462="Contact plate", _xlfn.XLOOKUP(J462&amp;"-"&amp;E462&amp;"-"&amp;K462,SpecCV[ID],SpecCV[Spec]),_xlfn.XLOOKUP(J462&amp;"-"&amp;E462&amp;"-"&amp;K462,SpecCV[ID],SpecCV[Spec]))</f>
        <v>10</v>
      </c>
      <c r="R462" s="15" t="str">
        <f t="array" ref="R462">if(J462="Contact plate", _xlfn.XLOOKUP(J462&amp;"-"&amp;E462&amp;"-"&amp;K462,SpecCV[ID],SpecCV[Unit]),_xlfn.XLOOKUP(J462&amp;"-"&amp;E462&amp;"-"&amp;K462,SpecCV[ID],SpecCV[Unit]))</f>
        <v>cfu/100ml</v>
      </c>
      <c r="S462" s="24"/>
      <c r="T462" s="24"/>
      <c r="U462" s="24"/>
      <c r="V462" s="68" t="b">
        <v>0</v>
      </c>
      <c r="W462" s="24"/>
      <c r="X462" s="24"/>
    </row>
    <row r="463" ht="22.5" customHeight="1">
      <c r="A463" s="68"/>
      <c r="B463" s="68" t="b">
        <v>0</v>
      </c>
      <c r="C463" s="68">
        <v>16.0</v>
      </c>
      <c r="D463" s="70"/>
      <c r="E463" s="8" t="s">
        <v>28</v>
      </c>
      <c r="F463" s="68" t="s">
        <v>258</v>
      </c>
      <c r="G463" s="24" t="s">
        <v>248</v>
      </c>
      <c r="H463" s="15" t="s">
        <v>264</v>
      </c>
      <c r="I463" s="71">
        <v>46245.0</v>
      </c>
      <c r="J463" s="66" t="s">
        <v>47</v>
      </c>
      <c r="K463" s="66" t="s">
        <v>48</v>
      </c>
      <c r="L463" s="66" t="s">
        <v>42</v>
      </c>
      <c r="M463" s="66" t="s">
        <v>45</v>
      </c>
      <c r="N463" s="24">
        <v>2.0</v>
      </c>
      <c r="O463" s="72">
        <v>1.0</v>
      </c>
      <c r="P463" s="24">
        <f t="array" ref="P463">if(O463="","", if(O463=9999,9999,ROUNDUP(_xlfn.XLOOKUP(J463&amp;"-"&amp;E463&amp;"-"&amp;K463,SpecCV[ID],SpecCV[factor])*O463,0)))</f>
        <v>1</v>
      </c>
      <c r="Q463" s="24">
        <f t="array" ref="Q463">if(J463="Contact plate", _xlfn.XLOOKUP(J463&amp;"-"&amp;E463&amp;"-"&amp;K463,SpecCV[ID],SpecCV[Spec]),_xlfn.XLOOKUP(J463&amp;"-"&amp;E463&amp;"-"&amp;K463,SpecCV[ID],SpecCV[Spec]))</f>
        <v>100</v>
      </c>
      <c r="R463" s="15" t="str">
        <f t="array" ref="R463">if(J463="Contact plate", _xlfn.XLOOKUP(J463&amp;"-"&amp;E463&amp;"-"&amp;K463,SpecCV[ID],SpecCV[Unit]),_xlfn.XLOOKUP(J463&amp;"-"&amp;E463&amp;"-"&amp;K463,SpecCV[ID],SpecCV[Unit]))</f>
        <v>cfu/ml</v>
      </c>
      <c r="S463" s="24"/>
      <c r="T463" s="24"/>
      <c r="U463" s="24"/>
      <c r="V463" s="68" t="b">
        <v>0</v>
      </c>
      <c r="W463" s="24"/>
      <c r="X463" s="24"/>
    </row>
    <row r="464" ht="22.5" customHeight="1">
      <c r="A464" s="68"/>
      <c r="B464" s="68" t="b">
        <v>0</v>
      </c>
      <c r="C464" s="68">
        <v>16.0</v>
      </c>
      <c r="D464" s="70"/>
      <c r="E464" s="8" t="s">
        <v>28</v>
      </c>
      <c r="F464" s="68" t="s">
        <v>258</v>
      </c>
      <c r="G464" s="24" t="s">
        <v>248</v>
      </c>
      <c r="H464" s="15" t="s">
        <v>265</v>
      </c>
      <c r="I464" s="71">
        <v>46245.0</v>
      </c>
      <c r="J464" s="66" t="s">
        <v>47</v>
      </c>
      <c r="K464" s="66" t="s">
        <v>48</v>
      </c>
      <c r="L464" s="66" t="s">
        <v>42</v>
      </c>
      <c r="M464" s="66" t="s">
        <v>45</v>
      </c>
      <c r="N464" s="24">
        <v>2.0</v>
      </c>
      <c r="O464" s="72">
        <v>1.0</v>
      </c>
      <c r="P464" s="24">
        <f t="array" ref="P464">if(O464="","", if(O464=9999,9999,ROUNDUP(_xlfn.XLOOKUP(J464&amp;"-"&amp;E464&amp;"-"&amp;K464,SpecCV[ID],SpecCV[factor])*O464,0)))</f>
        <v>1</v>
      </c>
      <c r="Q464" s="24">
        <f t="array" ref="Q464">if(J464="Contact plate", _xlfn.XLOOKUP(J464&amp;"-"&amp;E464&amp;"-"&amp;K464,SpecCV[ID],SpecCV[Spec]),_xlfn.XLOOKUP(J464&amp;"-"&amp;E464&amp;"-"&amp;K464,SpecCV[ID],SpecCV[Spec]))</f>
        <v>100</v>
      </c>
      <c r="R464" s="15" t="str">
        <f t="array" ref="R464">if(J464="Contact plate", _xlfn.XLOOKUP(J464&amp;"-"&amp;E464&amp;"-"&amp;K464,SpecCV[ID],SpecCV[Unit]),_xlfn.XLOOKUP(J464&amp;"-"&amp;E464&amp;"-"&amp;K464,SpecCV[ID],SpecCV[Unit]))</f>
        <v>cfu/ml</v>
      </c>
      <c r="S464" s="24"/>
      <c r="T464" s="24"/>
      <c r="U464" s="24"/>
      <c r="V464" s="68" t="b">
        <v>0</v>
      </c>
      <c r="W464" s="24"/>
      <c r="X464" s="24"/>
    </row>
    <row r="465" ht="22.5" customHeight="1">
      <c r="A465" s="68"/>
      <c r="B465" s="68" t="b">
        <v>0</v>
      </c>
      <c r="C465" s="68">
        <v>16.0</v>
      </c>
      <c r="D465" s="70"/>
      <c r="E465" s="8" t="s">
        <v>28</v>
      </c>
      <c r="F465" s="68" t="s">
        <v>258</v>
      </c>
      <c r="G465" s="15" t="s">
        <v>259</v>
      </c>
      <c r="H465" s="15" t="s">
        <v>260</v>
      </c>
      <c r="I465" s="71">
        <v>46247.0</v>
      </c>
      <c r="J465" s="66" t="s">
        <v>30</v>
      </c>
      <c r="K465" s="66" t="s">
        <v>30</v>
      </c>
      <c r="L465" s="66" t="s">
        <v>42</v>
      </c>
      <c r="M465" s="66" t="s">
        <v>45</v>
      </c>
      <c r="N465" s="24">
        <v>3.0</v>
      </c>
      <c r="O465" s="72">
        <v>0.0</v>
      </c>
      <c r="P465" s="24">
        <f t="array" ref="P465">if(O465="","", if(O465=9999,9999,ROUNDUP(_xlfn.XLOOKUP(J465&amp;"-"&amp;E465&amp;"-"&amp;K465,SpecCV[ID],SpecCV[factor])*O465,0)))</f>
        <v>0</v>
      </c>
      <c r="Q465" s="24">
        <f t="array" ref="Q465">if(J465="Contact plate", _xlfn.XLOOKUP(J465&amp;"-"&amp;E465&amp;"-"&amp;K465,SpecCV[ID],SpecCV[Spec]),_xlfn.XLOOKUP(J465&amp;"-"&amp;E465&amp;"-"&amp;K465,SpecCV[ID],SpecCV[Spec]))</f>
        <v>50</v>
      </c>
      <c r="R465" s="15" t="str">
        <f t="array" ref="R465">if(J465="Contact plate", _xlfn.XLOOKUP(J465&amp;"-"&amp;E465&amp;"-"&amp;K465,SpecCV[ID],SpecCV[Unit]),_xlfn.XLOOKUP(J465&amp;"-"&amp;E465&amp;"-"&amp;K465,SpecCV[ID],SpecCV[Unit]))</f>
        <v>cfu</v>
      </c>
      <c r="S465" s="24">
        <v>0.0</v>
      </c>
      <c r="T465" s="24">
        <v>0.0</v>
      </c>
      <c r="U465" s="24">
        <v>1.0</v>
      </c>
      <c r="V465" s="68" t="b">
        <v>0</v>
      </c>
      <c r="W465" s="24"/>
      <c r="X465" s="24"/>
    </row>
    <row r="466" ht="22.5" customHeight="1">
      <c r="A466" s="68"/>
      <c r="B466" s="68" t="b">
        <v>0</v>
      </c>
      <c r="C466" s="68">
        <v>16.0</v>
      </c>
      <c r="D466" s="70"/>
      <c r="E466" s="8" t="s">
        <v>28</v>
      </c>
      <c r="F466" s="68" t="s">
        <v>258</v>
      </c>
      <c r="G466" s="15" t="s">
        <v>259</v>
      </c>
      <c r="H466" s="15" t="s">
        <v>261</v>
      </c>
      <c r="I466" s="71">
        <v>46247.0</v>
      </c>
      <c r="J466" s="66" t="s">
        <v>30</v>
      </c>
      <c r="K466" s="66" t="s">
        <v>30</v>
      </c>
      <c r="L466" s="66" t="s">
        <v>42</v>
      </c>
      <c r="M466" s="66" t="s">
        <v>45</v>
      </c>
      <c r="N466" s="24">
        <v>3.0</v>
      </c>
      <c r="O466" s="72">
        <v>0.0</v>
      </c>
      <c r="P466" s="24">
        <f t="array" ref="P466">if(O466="","", if(O466=9999,9999,ROUNDUP(_xlfn.XLOOKUP(J466&amp;"-"&amp;E466&amp;"-"&amp;K466,SpecCV[ID],SpecCV[factor])*O466,0)))</f>
        <v>0</v>
      </c>
      <c r="Q466" s="24">
        <f t="array" ref="Q466">if(J466="Contact plate", _xlfn.XLOOKUP(J466&amp;"-"&amp;E466&amp;"-"&amp;K466,SpecCV[ID],SpecCV[Spec]),_xlfn.XLOOKUP(J466&amp;"-"&amp;E466&amp;"-"&amp;K466,SpecCV[ID],SpecCV[Spec]))</f>
        <v>50</v>
      </c>
      <c r="R466" s="15" t="str">
        <f t="array" ref="R466">if(J466="Contact plate", _xlfn.XLOOKUP(J466&amp;"-"&amp;E466&amp;"-"&amp;K466,SpecCV[ID],SpecCV[Unit]),_xlfn.XLOOKUP(J466&amp;"-"&amp;E466&amp;"-"&amp;K466,SpecCV[ID],SpecCV[Unit]))</f>
        <v>cfu</v>
      </c>
      <c r="S466" s="24">
        <v>0.0</v>
      </c>
      <c r="T466" s="24">
        <v>0.0</v>
      </c>
      <c r="U466" s="24">
        <v>1.0</v>
      </c>
      <c r="V466" s="68" t="b">
        <v>0</v>
      </c>
      <c r="W466" s="24"/>
      <c r="X466" s="24"/>
    </row>
    <row r="467" ht="22.5" customHeight="1">
      <c r="A467" s="68"/>
      <c r="B467" s="68" t="b">
        <v>0</v>
      </c>
      <c r="C467" s="68">
        <v>16.0</v>
      </c>
      <c r="D467" s="70"/>
      <c r="E467" s="68" t="s">
        <v>28</v>
      </c>
      <c r="F467" s="68" t="s">
        <v>258</v>
      </c>
      <c r="G467" s="15" t="s">
        <v>259</v>
      </c>
      <c r="H467" s="15" t="s">
        <v>262</v>
      </c>
      <c r="I467" s="71">
        <v>46247.0</v>
      </c>
      <c r="J467" s="66" t="s">
        <v>30</v>
      </c>
      <c r="K467" s="66" t="s">
        <v>30</v>
      </c>
      <c r="L467" s="66" t="s">
        <v>42</v>
      </c>
      <c r="M467" s="66" t="s">
        <v>45</v>
      </c>
      <c r="N467" s="24">
        <v>3.0</v>
      </c>
      <c r="O467" s="72">
        <v>0.0</v>
      </c>
      <c r="P467" s="24">
        <f t="array" ref="P467">if(O467="","", if(O467=9999,9999,ROUNDUP(_xlfn.XLOOKUP(J467&amp;"-"&amp;E467&amp;"-"&amp;K467,SpecCV[ID],SpecCV[factor])*O467,0)))</f>
        <v>0</v>
      </c>
      <c r="Q467" s="24">
        <f t="array" ref="Q467">if(J467="Contact plate", _xlfn.XLOOKUP(J467&amp;"-"&amp;E467&amp;"-"&amp;K467,SpecCV[ID],SpecCV[Spec]),_xlfn.XLOOKUP(J467&amp;"-"&amp;E467&amp;"-"&amp;K467,SpecCV[ID],SpecCV[Spec]))</f>
        <v>50</v>
      </c>
      <c r="R467" s="15" t="str">
        <f t="array" ref="R467">if(J467="Contact plate", _xlfn.XLOOKUP(J467&amp;"-"&amp;E467&amp;"-"&amp;K467,SpecCV[ID],SpecCV[Unit]),_xlfn.XLOOKUP(J467&amp;"-"&amp;E467&amp;"-"&amp;K467,SpecCV[ID],SpecCV[Unit]))</f>
        <v>cfu</v>
      </c>
      <c r="S467" s="24">
        <v>0.0</v>
      </c>
      <c r="T467" s="24">
        <v>0.0</v>
      </c>
      <c r="U467" s="24">
        <v>1.0</v>
      </c>
      <c r="V467" s="68" t="b">
        <v>0</v>
      </c>
      <c r="W467" s="24"/>
      <c r="X467" s="24"/>
    </row>
    <row r="468" ht="22.5" customHeight="1">
      <c r="A468" s="68"/>
      <c r="B468" s="68" t="b">
        <v>0</v>
      </c>
      <c r="C468" s="68">
        <v>10.0</v>
      </c>
      <c r="D468" s="70"/>
      <c r="E468" s="8" t="s">
        <v>28</v>
      </c>
      <c r="F468" s="24" t="s">
        <v>257</v>
      </c>
      <c r="G468" s="15" t="s">
        <v>221</v>
      </c>
      <c r="H468" s="15" t="s">
        <v>222</v>
      </c>
      <c r="I468" s="71">
        <v>46251.0</v>
      </c>
      <c r="J468" s="66" t="s">
        <v>30</v>
      </c>
      <c r="K468" s="66" t="s">
        <v>30</v>
      </c>
      <c r="L468" s="66" t="s">
        <v>220</v>
      </c>
      <c r="M468" s="66" t="s">
        <v>45</v>
      </c>
      <c r="N468" s="24"/>
      <c r="O468" s="72">
        <v>9.0</v>
      </c>
      <c r="P468" s="24">
        <f t="array" ref="P468">if(O468="","", if(O468=9999,9999,ROUNDUP(_xlfn.XLOOKUP(J468&amp;"-"&amp;E468&amp;"-"&amp;K468,SpecCV[ID],SpecCV[factor])*O468,0)))</f>
        <v>9</v>
      </c>
      <c r="Q468" s="24">
        <f t="array" ref="Q468">if(J468="Contact plate", _xlfn.XLOOKUP(J468&amp;"-"&amp;E468&amp;"-"&amp;K468,SpecCV[ID],SpecCV[Spec]),_xlfn.XLOOKUP(J468&amp;"-"&amp;E468&amp;"-"&amp;K468,SpecCV[ID],SpecCV[Spec]))</f>
        <v>50</v>
      </c>
      <c r="R468" s="15" t="str">
        <f t="array" ref="R468">if(J468="Contact plate", _xlfn.XLOOKUP(J468&amp;"-"&amp;E468&amp;"-"&amp;K468,SpecCV[ID],SpecCV[Unit]),_xlfn.XLOOKUP(J468&amp;"-"&amp;E468&amp;"-"&amp;K468,SpecCV[ID],SpecCV[Unit]))</f>
        <v>cfu</v>
      </c>
      <c r="S468" s="24">
        <v>0.0</v>
      </c>
      <c r="T468" s="24">
        <v>0.0</v>
      </c>
      <c r="U468" s="24">
        <v>0.0</v>
      </c>
      <c r="V468" s="68" t="b">
        <v>0</v>
      </c>
      <c r="W468" s="24"/>
      <c r="X468" s="24"/>
    </row>
    <row r="469" ht="22.5" customHeight="1">
      <c r="A469" s="68"/>
      <c r="B469" s="68" t="b">
        <v>0</v>
      </c>
      <c r="C469" s="68">
        <v>10.0</v>
      </c>
      <c r="D469" s="70"/>
      <c r="E469" s="8" t="s">
        <v>28</v>
      </c>
      <c r="F469" s="24" t="s">
        <v>257</v>
      </c>
      <c r="G469" s="15" t="s">
        <v>221</v>
      </c>
      <c r="H469" s="15" t="s">
        <v>223</v>
      </c>
      <c r="I469" s="71">
        <v>46251.0</v>
      </c>
      <c r="J469" s="66" t="s">
        <v>30</v>
      </c>
      <c r="K469" s="66" t="s">
        <v>30</v>
      </c>
      <c r="L469" s="66" t="s">
        <v>220</v>
      </c>
      <c r="M469" s="66" t="s">
        <v>45</v>
      </c>
      <c r="N469" s="24"/>
      <c r="O469" s="72">
        <v>1.0</v>
      </c>
      <c r="P469" s="24">
        <f t="array" ref="P469">if(O469="","", if(O469=9999,9999,ROUNDUP(_xlfn.XLOOKUP(J469&amp;"-"&amp;E469&amp;"-"&amp;K469,SpecCV[ID],SpecCV[factor])*O469,0)))</f>
        <v>1</v>
      </c>
      <c r="Q469" s="24">
        <f t="array" ref="Q469">if(J469="Contact plate", _xlfn.XLOOKUP(J469&amp;"-"&amp;E469&amp;"-"&amp;K469,SpecCV[ID],SpecCV[Spec]),_xlfn.XLOOKUP(J469&amp;"-"&amp;E469&amp;"-"&amp;K469,SpecCV[ID],SpecCV[Spec]))</f>
        <v>50</v>
      </c>
      <c r="R469" s="15" t="str">
        <f t="array" ref="R469">if(J469="Contact plate", _xlfn.XLOOKUP(J469&amp;"-"&amp;E469&amp;"-"&amp;K469,SpecCV[ID],SpecCV[Unit]),_xlfn.XLOOKUP(J469&amp;"-"&amp;E469&amp;"-"&amp;K469,SpecCV[ID],SpecCV[Unit]))</f>
        <v>cfu</v>
      </c>
      <c r="S469" s="24">
        <v>0.0</v>
      </c>
      <c r="T469" s="24">
        <v>0.0</v>
      </c>
      <c r="U469" s="24">
        <v>0.0</v>
      </c>
      <c r="V469" s="68" t="b">
        <v>0</v>
      </c>
      <c r="W469" s="24"/>
      <c r="X469" s="24"/>
    </row>
    <row r="470" ht="22.5" customHeight="1">
      <c r="A470" s="68"/>
      <c r="B470" s="68" t="b">
        <v>0</v>
      </c>
      <c r="C470" s="68">
        <v>10.0</v>
      </c>
      <c r="D470" s="70"/>
      <c r="E470" s="68" t="s">
        <v>28</v>
      </c>
      <c r="F470" s="24" t="s">
        <v>257</v>
      </c>
      <c r="G470" s="15" t="s">
        <v>221</v>
      </c>
      <c r="H470" s="15" t="s">
        <v>224</v>
      </c>
      <c r="I470" s="71">
        <v>46251.0</v>
      </c>
      <c r="J470" s="66" t="s">
        <v>30</v>
      </c>
      <c r="K470" s="66" t="s">
        <v>30</v>
      </c>
      <c r="L470" s="66" t="s">
        <v>220</v>
      </c>
      <c r="M470" s="66" t="s">
        <v>45</v>
      </c>
      <c r="N470" s="24"/>
      <c r="O470" s="72">
        <v>1.0</v>
      </c>
      <c r="P470" s="24">
        <f t="array" ref="P470">if(O470="","", if(O470=9999,9999,ROUNDUP(_xlfn.XLOOKUP(J470&amp;"-"&amp;E470&amp;"-"&amp;K470,SpecCV[ID],SpecCV[factor])*O470,0)))</f>
        <v>1</v>
      </c>
      <c r="Q470" s="24">
        <f t="array" ref="Q470">if(J470="Contact plate", _xlfn.XLOOKUP(J470&amp;"-"&amp;E470&amp;"-"&amp;K470,SpecCV[ID],SpecCV[Spec]),_xlfn.XLOOKUP(J470&amp;"-"&amp;E470&amp;"-"&amp;K470,SpecCV[ID],SpecCV[Spec]))</f>
        <v>50</v>
      </c>
      <c r="R470" s="15" t="str">
        <f t="array" ref="R470">if(J470="Contact plate", _xlfn.XLOOKUP(J470&amp;"-"&amp;E470&amp;"-"&amp;K470,SpecCV[ID],SpecCV[Unit]),_xlfn.XLOOKUP(J470&amp;"-"&amp;E470&amp;"-"&amp;K470,SpecCV[ID],SpecCV[Unit]))</f>
        <v>cfu</v>
      </c>
      <c r="S470" s="24">
        <v>0.0</v>
      </c>
      <c r="T470" s="24">
        <v>0.0</v>
      </c>
      <c r="U470" s="24">
        <v>0.0</v>
      </c>
      <c r="V470" s="68" t="b">
        <v>0</v>
      </c>
      <c r="W470" s="24"/>
      <c r="X470" s="24"/>
    </row>
    <row r="471" ht="22.5" customHeight="1">
      <c r="A471" s="68"/>
      <c r="B471" s="68" t="b">
        <v>0</v>
      </c>
      <c r="C471" s="68">
        <v>16.0</v>
      </c>
      <c r="D471" s="70"/>
      <c r="E471" s="8" t="s">
        <v>28</v>
      </c>
      <c r="F471" s="68" t="s">
        <v>258</v>
      </c>
      <c r="G471" s="24" t="s">
        <v>248</v>
      </c>
      <c r="H471" s="15" t="s">
        <v>264</v>
      </c>
      <c r="I471" s="71">
        <v>46267.0</v>
      </c>
      <c r="J471" s="66" t="s">
        <v>47</v>
      </c>
      <c r="K471" s="66" t="s">
        <v>48</v>
      </c>
      <c r="L471" s="66" t="s">
        <v>42</v>
      </c>
      <c r="M471" s="66" t="s">
        <v>45</v>
      </c>
      <c r="N471" s="24">
        <v>3.0</v>
      </c>
      <c r="O471" s="72"/>
      <c r="P471" s="24" t="str">
        <f t="array" ref="P471">if(O471="","", if(O471=9999,9999,ROUNDUP(_xlfn.XLOOKUP(J471&amp;"-"&amp;E471&amp;"-"&amp;K471,SpecCV[ID],SpecCV[factor])*O471,0)))</f>
        <v/>
      </c>
      <c r="Q471" s="24">
        <f t="array" ref="Q471">if(J471="Contact plate", _xlfn.XLOOKUP(J471&amp;"-"&amp;E471&amp;"-"&amp;K471,SpecCV[ID],SpecCV[Spec]),_xlfn.XLOOKUP(J471&amp;"-"&amp;E471&amp;"-"&amp;K471,SpecCV[ID],SpecCV[Spec]))</f>
        <v>100</v>
      </c>
      <c r="R471" s="15" t="str">
        <f t="array" ref="R471">if(J471="Contact plate", _xlfn.XLOOKUP(J471&amp;"-"&amp;E471&amp;"-"&amp;K471,SpecCV[ID],SpecCV[Unit]),_xlfn.XLOOKUP(J471&amp;"-"&amp;E471&amp;"-"&amp;K471,SpecCV[ID],SpecCV[Unit]))</f>
        <v>cfu/ml</v>
      </c>
      <c r="S471" s="24"/>
      <c r="T471" s="24"/>
      <c r="U471" s="24"/>
      <c r="V471" s="68" t="b">
        <v>0</v>
      </c>
      <c r="W471" s="24"/>
      <c r="X471" s="24"/>
    </row>
    <row r="472" ht="22.5" customHeight="1">
      <c r="A472" s="68"/>
      <c r="B472" s="68" t="b">
        <v>0</v>
      </c>
      <c r="C472" s="68">
        <v>16.0</v>
      </c>
      <c r="D472" s="70"/>
      <c r="E472" s="8" t="s">
        <v>28</v>
      </c>
      <c r="F472" s="68" t="s">
        <v>258</v>
      </c>
      <c r="G472" s="24" t="s">
        <v>248</v>
      </c>
      <c r="H472" s="15" t="s">
        <v>265</v>
      </c>
      <c r="I472" s="71">
        <v>46267.0</v>
      </c>
      <c r="J472" s="66" t="s">
        <v>47</v>
      </c>
      <c r="K472" s="66" t="s">
        <v>48</v>
      </c>
      <c r="L472" s="66" t="s">
        <v>42</v>
      </c>
      <c r="M472" s="66" t="s">
        <v>45</v>
      </c>
      <c r="N472" s="24">
        <v>3.0</v>
      </c>
      <c r="O472" s="72"/>
      <c r="P472" s="24" t="str">
        <f t="array" ref="P472">if(O472="","", if(O472=9999,9999,ROUNDUP(_xlfn.XLOOKUP(J472&amp;"-"&amp;E472&amp;"-"&amp;K472,SpecCV[ID],SpecCV[factor])*O472,0)))</f>
        <v/>
      </c>
      <c r="Q472" s="24">
        <f t="array" ref="Q472">if(J472="Contact plate", _xlfn.XLOOKUP(J472&amp;"-"&amp;E472&amp;"-"&amp;K472,SpecCV[ID],SpecCV[Spec]),_xlfn.XLOOKUP(J472&amp;"-"&amp;E472&amp;"-"&amp;K472,SpecCV[ID],SpecCV[Spec]))</f>
        <v>100</v>
      </c>
      <c r="R472" s="15" t="str">
        <f t="array" ref="R472">if(J472="Contact plate", _xlfn.XLOOKUP(J472&amp;"-"&amp;E472&amp;"-"&amp;K472,SpecCV[ID],SpecCV[Unit]),_xlfn.XLOOKUP(J472&amp;"-"&amp;E472&amp;"-"&amp;K472,SpecCV[ID],SpecCV[Unit]))</f>
        <v>cfu/ml</v>
      </c>
      <c r="S472" s="24"/>
      <c r="T472" s="24"/>
      <c r="U472" s="24"/>
      <c r="V472" s="68" t="b">
        <v>0</v>
      </c>
      <c r="W472" s="24"/>
      <c r="X472" s="24"/>
    </row>
  </sheetData>
  <conditionalFormatting sqref="A2:A472">
    <cfRule type="notContainsBlanks" dxfId="6" priority="1">
      <formula>LEN(TRIM(A2))&gt;0</formula>
    </cfRule>
  </conditionalFormatting>
  <dataValidations>
    <dataValidation type="list" allowBlank="1" sqref="J2:J472">
      <formula1>"Contact plate,Rinse-PW,Rinse-WFI"</formula1>
    </dataValidation>
    <dataValidation type="list" allowBlank="1" sqref="L2:L472">
      <formula1>"CV,CEHT"</formula1>
    </dataValidation>
    <dataValidation type="list" allowBlank="1" sqref="M2:M472">
      <formula1>"Normal,Re-Sampling"</formula1>
    </dataValidation>
    <dataValidation type="custom" allowBlank="1" showDropDown="1" sqref="I2:I472">
      <formula1>OR(NOT(ISERROR(DATEVALUE(I2))), AND(ISNUMBER(I2), LEFT(CELL("format", I2))="D"))</formula1>
    </dataValidation>
    <dataValidation type="list" allowBlank="1" sqref="K2:K472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25"/>
    <col customWidth="1" min="4" max="4" width="17.88"/>
    <col customWidth="1" min="5" max="5" width="27.63"/>
    <col customWidth="1" min="6" max="6" width="28.75"/>
    <col customWidth="1" min="7" max="8" width="19.5"/>
  </cols>
  <sheetData>
    <row r="1" ht="22.5" customHeight="1">
      <c r="A1" s="2" t="s">
        <v>2</v>
      </c>
      <c r="B1" s="5" t="s">
        <v>6</v>
      </c>
      <c r="C1" s="2" t="s">
        <v>10</v>
      </c>
      <c r="D1" s="5" t="s">
        <v>12</v>
      </c>
      <c r="E1" s="5" t="s">
        <v>14</v>
      </c>
      <c r="F1" s="5" t="s">
        <v>15</v>
      </c>
      <c r="G1" s="5" t="s">
        <v>16</v>
      </c>
      <c r="H1" s="5" t="s">
        <v>4</v>
      </c>
      <c r="I1" s="10" t="s">
        <v>5</v>
      </c>
      <c r="J1" s="10" t="s">
        <v>21</v>
      </c>
    </row>
    <row r="2" ht="22.5" customHeight="1">
      <c r="A2" s="13">
        <v>10.0</v>
      </c>
      <c r="B2" s="16"/>
      <c r="C2" s="17" t="s">
        <v>28</v>
      </c>
      <c r="D2" s="20" t="s">
        <v>33</v>
      </c>
      <c r="E2" s="20" t="s">
        <v>38</v>
      </c>
      <c r="F2" s="20" t="s">
        <v>39</v>
      </c>
      <c r="G2" s="27">
        <v>45856.0</v>
      </c>
      <c r="H2" s="29" t="s">
        <v>30</v>
      </c>
      <c r="I2" s="29" t="s">
        <v>30</v>
      </c>
      <c r="J2" s="30" t="s">
        <v>42</v>
      </c>
    </row>
    <row r="3" ht="22.5" customHeight="1">
      <c r="A3" s="34">
        <v>10.0</v>
      </c>
      <c r="B3" s="35"/>
      <c r="C3" s="36" t="s">
        <v>28</v>
      </c>
      <c r="D3" s="37" t="s">
        <v>33</v>
      </c>
      <c r="E3" s="37" t="s">
        <v>38</v>
      </c>
      <c r="F3" s="37" t="s">
        <v>55</v>
      </c>
      <c r="G3" s="40">
        <v>45856.0</v>
      </c>
      <c r="H3" s="44" t="s">
        <v>30</v>
      </c>
      <c r="I3" s="44" t="s">
        <v>30</v>
      </c>
      <c r="J3" s="46" t="s">
        <v>42</v>
      </c>
    </row>
    <row r="4" ht="22.5" customHeight="1">
      <c r="A4" s="13">
        <v>10.0</v>
      </c>
      <c r="B4" s="47"/>
      <c r="C4" s="17" t="s">
        <v>28</v>
      </c>
      <c r="D4" s="20" t="s">
        <v>33</v>
      </c>
      <c r="E4" s="20" t="s">
        <v>38</v>
      </c>
      <c r="F4" s="20" t="s">
        <v>72</v>
      </c>
      <c r="G4" s="27">
        <v>45856.0</v>
      </c>
      <c r="H4" s="29" t="s">
        <v>30</v>
      </c>
      <c r="I4" s="29" t="s">
        <v>30</v>
      </c>
      <c r="J4" s="30" t="s">
        <v>42</v>
      </c>
    </row>
    <row r="5" ht="22.5" customHeight="1">
      <c r="A5" s="34">
        <v>10.0</v>
      </c>
      <c r="B5" s="35"/>
      <c r="C5" s="36" t="s">
        <v>28</v>
      </c>
      <c r="D5" s="37" t="s">
        <v>33</v>
      </c>
      <c r="E5" s="37" t="s">
        <v>75</v>
      </c>
      <c r="F5" s="37" t="s">
        <v>78</v>
      </c>
      <c r="G5" s="40">
        <v>45856.0</v>
      </c>
      <c r="H5" s="44" t="s">
        <v>30</v>
      </c>
      <c r="I5" s="44" t="s">
        <v>30</v>
      </c>
      <c r="J5" s="46" t="s">
        <v>42</v>
      </c>
    </row>
    <row r="6" ht="22.5" customHeight="1">
      <c r="A6" s="13">
        <v>10.0</v>
      </c>
      <c r="B6" s="47"/>
      <c r="C6" s="17" t="s">
        <v>28</v>
      </c>
      <c r="D6" s="20" t="s">
        <v>33</v>
      </c>
      <c r="E6" s="20" t="s">
        <v>75</v>
      </c>
      <c r="F6" s="20" t="s">
        <v>81</v>
      </c>
      <c r="G6" s="27">
        <v>45856.0</v>
      </c>
      <c r="H6" s="29" t="s">
        <v>30</v>
      </c>
      <c r="I6" s="29" t="s">
        <v>30</v>
      </c>
      <c r="J6" s="30" t="s">
        <v>42</v>
      </c>
    </row>
    <row r="7" ht="22.5" customHeight="1">
      <c r="A7" s="34">
        <v>10.0</v>
      </c>
      <c r="B7" s="35"/>
      <c r="C7" s="36" t="s">
        <v>28</v>
      </c>
      <c r="D7" s="37" t="s">
        <v>33</v>
      </c>
      <c r="E7" s="37" t="s">
        <v>86</v>
      </c>
      <c r="F7" s="37" t="s">
        <v>87</v>
      </c>
      <c r="G7" s="40">
        <v>45856.0</v>
      </c>
      <c r="H7" s="44" t="s">
        <v>30</v>
      </c>
      <c r="I7" s="44" t="s">
        <v>30</v>
      </c>
      <c r="J7" s="46" t="s">
        <v>42</v>
      </c>
    </row>
    <row r="8" ht="22.5" customHeight="1">
      <c r="A8" s="13">
        <v>10.0</v>
      </c>
      <c r="B8" s="47"/>
      <c r="C8" s="17" t="s">
        <v>28</v>
      </c>
      <c r="D8" s="20" t="s">
        <v>33</v>
      </c>
      <c r="E8" s="20" t="s">
        <v>86</v>
      </c>
      <c r="F8" s="20" t="s">
        <v>90</v>
      </c>
      <c r="G8" s="27">
        <v>45856.0</v>
      </c>
      <c r="H8" s="29" t="s">
        <v>30</v>
      </c>
      <c r="I8" s="29" t="s">
        <v>30</v>
      </c>
      <c r="J8" s="30" t="s">
        <v>42</v>
      </c>
    </row>
    <row r="9" ht="22.5" customHeight="1">
      <c r="A9" s="34">
        <v>10.0</v>
      </c>
      <c r="B9" s="35"/>
      <c r="C9" s="36" t="s">
        <v>28</v>
      </c>
      <c r="D9" s="37" t="s">
        <v>33</v>
      </c>
      <c r="E9" s="37" t="s">
        <v>95</v>
      </c>
      <c r="F9" s="37" t="s">
        <v>96</v>
      </c>
      <c r="G9" s="40">
        <v>45856.0</v>
      </c>
      <c r="H9" s="44" t="s">
        <v>30</v>
      </c>
      <c r="I9" s="44" t="s">
        <v>30</v>
      </c>
      <c r="J9" s="46" t="s">
        <v>42</v>
      </c>
    </row>
    <row r="10" ht="22.5" customHeight="1">
      <c r="A10" s="13">
        <v>10.0</v>
      </c>
      <c r="B10" s="47"/>
      <c r="C10" s="17" t="s">
        <v>28</v>
      </c>
      <c r="D10" s="20" t="s">
        <v>33</v>
      </c>
      <c r="E10" s="20" t="s">
        <v>95</v>
      </c>
      <c r="F10" s="20" t="s">
        <v>99</v>
      </c>
      <c r="G10" s="27">
        <v>45856.0</v>
      </c>
      <c r="H10" s="29" t="s">
        <v>30</v>
      </c>
      <c r="I10" s="29" t="s">
        <v>30</v>
      </c>
      <c r="J10" s="30" t="s">
        <v>42</v>
      </c>
    </row>
    <row r="11" ht="22.5" customHeight="1">
      <c r="A11" s="34">
        <v>10.0</v>
      </c>
      <c r="B11" s="35"/>
      <c r="C11" s="36" t="s">
        <v>28</v>
      </c>
      <c r="D11" s="37" t="s">
        <v>33</v>
      </c>
      <c r="E11" s="37" t="s">
        <v>102</v>
      </c>
      <c r="F11" s="37" t="s">
        <v>105</v>
      </c>
      <c r="G11" s="40">
        <v>45867.0</v>
      </c>
      <c r="H11" s="44" t="s">
        <v>30</v>
      </c>
      <c r="I11" s="44" t="s">
        <v>30</v>
      </c>
      <c r="J11" s="46" t="s">
        <v>42</v>
      </c>
    </row>
    <row r="12" ht="22.5" customHeight="1">
      <c r="A12" s="13">
        <v>10.0</v>
      </c>
      <c r="B12" s="47"/>
      <c r="C12" s="17" t="s">
        <v>28</v>
      </c>
      <c r="D12" s="20" t="s">
        <v>33</v>
      </c>
      <c r="E12" s="20" t="s">
        <v>102</v>
      </c>
      <c r="F12" s="20" t="s">
        <v>108</v>
      </c>
      <c r="G12" s="27">
        <v>45867.0</v>
      </c>
      <c r="H12" s="29" t="s">
        <v>30</v>
      </c>
      <c r="I12" s="29" t="s">
        <v>30</v>
      </c>
      <c r="J12" s="30" t="s">
        <v>42</v>
      </c>
    </row>
    <row r="13" ht="22.5" customHeight="1">
      <c r="A13" s="34">
        <v>10.0</v>
      </c>
      <c r="B13" s="35"/>
      <c r="C13" s="36" t="s">
        <v>28</v>
      </c>
      <c r="D13" s="37" t="s">
        <v>33</v>
      </c>
      <c r="E13" s="37" t="s">
        <v>102</v>
      </c>
      <c r="F13" s="37" t="s">
        <v>111</v>
      </c>
      <c r="G13" s="40">
        <v>45867.0</v>
      </c>
      <c r="H13" s="44" t="s">
        <v>30</v>
      </c>
      <c r="I13" s="44" t="s">
        <v>30</v>
      </c>
      <c r="J13" s="46" t="s">
        <v>42</v>
      </c>
    </row>
    <row r="14" ht="22.5" customHeight="1">
      <c r="A14" s="13">
        <v>10.0</v>
      </c>
      <c r="B14" s="47"/>
      <c r="C14" s="17" t="s">
        <v>28</v>
      </c>
      <c r="D14" s="20" t="s">
        <v>33</v>
      </c>
      <c r="E14" s="20" t="s">
        <v>102</v>
      </c>
      <c r="F14" s="20" t="s">
        <v>116</v>
      </c>
      <c r="G14" s="27">
        <v>45867.0</v>
      </c>
      <c r="H14" s="29" t="s">
        <v>30</v>
      </c>
      <c r="I14" s="29" t="s">
        <v>30</v>
      </c>
      <c r="J14" s="30" t="s">
        <v>42</v>
      </c>
    </row>
    <row r="15" ht="22.5" customHeight="1">
      <c r="A15" s="34">
        <v>10.0</v>
      </c>
      <c r="B15" s="35"/>
      <c r="C15" s="36" t="s">
        <v>28</v>
      </c>
      <c r="D15" s="37" t="s">
        <v>33</v>
      </c>
      <c r="E15" s="37" t="s">
        <v>119</v>
      </c>
      <c r="F15" s="37" t="s">
        <v>120</v>
      </c>
      <c r="G15" s="40">
        <v>45867.0</v>
      </c>
      <c r="H15" s="44" t="s">
        <v>30</v>
      </c>
      <c r="I15" s="44" t="s">
        <v>30</v>
      </c>
      <c r="J15" s="46" t="s">
        <v>42</v>
      </c>
    </row>
    <row r="16" ht="22.5" customHeight="1">
      <c r="A16" s="13">
        <v>10.0</v>
      </c>
      <c r="B16" s="47"/>
      <c r="C16" s="17" t="s">
        <v>28</v>
      </c>
      <c r="D16" s="20" t="s">
        <v>33</v>
      </c>
      <c r="E16" s="20" t="s">
        <v>119</v>
      </c>
      <c r="F16" s="20" t="s">
        <v>123</v>
      </c>
      <c r="G16" s="27">
        <v>45867.0</v>
      </c>
      <c r="H16" s="29" t="s">
        <v>30</v>
      </c>
      <c r="I16" s="29" t="s">
        <v>30</v>
      </c>
      <c r="J16" s="30" t="s">
        <v>42</v>
      </c>
    </row>
    <row r="17" ht="22.5" customHeight="1">
      <c r="A17" s="34">
        <v>10.0</v>
      </c>
      <c r="B17" s="35"/>
      <c r="C17" s="36" t="s">
        <v>28</v>
      </c>
      <c r="D17" s="37" t="s">
        <v>33</v>
      </c>
      <c r="E17" s="37" t="s">
        <v>127</v>
      </c>
      <c r="F17" s="37" t="s">
        <v>129</v>
      </c>
      <c r="G17" s="40">
        <v>45867.0</v>
      </c>
      <c r="H17" s="44" t="s">
        <v>30</v>
      </c>
      <c r="I17" s="44" t="s">
        <v>30</v>
      </c>
      <c r="J17" s="46" t="s">
        <v>42</v>
      </c>
    </row>
    <row r="18" ht="22.5" customHeight="1">
      <c r="A18" s="13">
        <v>10.0</v>
      </c>
      <c r="B18" s="47"/>
      <c r="C18" s="17" t="s">
        <v>28</v>
      </c>
      <c r="D18" s="20" t="s">
        <v>33</v>
      </c>
      <c r="E18" s="20" t="s">
        <v>127</v>
      </c>
      <c r="F18" s="20" t="s">
        <v>132</v>
      </c>
      <c r="G18" s="27">
        <v>45867.0</v>
      </c>
      <c r="H18" s="29" t="s">
        <v>30</v>
      </c>
      <c r="I18" s="29" t="s">
        <v>30</v>
      </c>
      <c r="J18" s="30" t="s">
        <v>42</v>
      </c>
    </row>
    <row r="19" ht="22.5" customHeight="1">
      <c r="A19" s="34">
        <v>10.0</v>
      </c>
      <c r="B19" s="48"/>
      <c r="C19" s="36" t="s">
        <v>28</v>
      </c>
      <c r="D19" s="37" t="s">
        <v>135</v>
      </c>
      <c r="E19" s="37" t="s">
        <v>38</v>
      </c>
      <c r="F19" s="37" t="s">
        <v>138</v>
      </c>
      <c r="G19" s="40">
        <v>45873.0</v>
      </c>
      <c r="H19" s="44" t="s">
        <v>30</v>
      </c>
      <c r="I19" s="44" t="s">
        <v>30</v>
      </c>
      <c r="J19" s="46" t="s">
        <v>42</v>
      </c>
    </row>
    <row r="20" ht="22.5" customHeight="1">
      <c r="A20" s="13">
        <v>10.0</v>
      </c>
      <c r="B20" s="16"/>
      <c r="C20" s="17" t="s">
        <v>28</v>
      </c>
      <c r="D20" s="20" t="s">
        <v>135</v>
      </c>
      <c r="E20" s="20" t="s">
        <v>38</v>
      </c>
      <c r="F20" s="20" t="s">
        <v>55</v>
      </c>
      <c r="G20" s="27">
        <v>45873.0</v>
      </c>
      <c r="H20" s="29" t="s">
        <v>30</v>
      </c>
      <c r="I20" s="29" t="s">
        <v>30</v>
      </c>
      <c r="J20" s="30" t="s">
        <v>42</v>
      </c>
    </row>
    <row r="21" ht="22.5" customHeight="1">
      <c r="A21" s="34">
        <v>10.0</v>
      </c>
      <c r="B21" s="48"/>
      <c r="C21" s="36" t="s">
        <v>28</v>
      </c>
      <c r="D21" s="37" t="s">
        <v>135</v>
      </c>
      <c r="E21" s="37" t="s">
        <v>38</v>
      </c>
      <c r="F21" s="37" t="s">
        <v>72</v>
      </c>
      <c r="G21" s="40">
        <v>45873.0</v>
      </c>
      <c r="H21" s="44" t="s">
        <v>30</v>
      </c>
      <c r="I21" s="44" t="s">
        <v>30</v>
      </c>
      <c r="J21" s="46" t="s">
        <v>42</v>
      </c>
    </row>
    <row r="22" ht="22.5" customHeight="1">
      <c r="A22" s="13">
        <v>10.0</v>
      </c>
      <c r="B22" s="16"/>
      <c r="C22" s="17" t="s">
        <v>28</v>
      </c>
      <c r="D22" s="20" t="s">
        <v>135</v>
      </c>
      <c r="E22" s="20" t="s">
        <v>75</v>
      </c>
      <c r="F22" s="20" t="s">
        <v>146</v>
      </c>
      <c r="G22" s="27">
        <v>45873.0</v>
      </c>
      <c r="H22" s="29" t="s">
        <v>30</v>
      </c>
      <c r="I22" s="29" t="s">
        <v>30</v>
      </c>
      <c r="J22" s="30" t="s">
        <v>42</v>
      </c>
    </row>
    <row r="23" ht="22.5" customHeight="1">
      <c r="A23" s="34">
        <v>10.0</v>
      </c>
      <c r="B23" s="48"/>
      <c r="C23" s="36" t="s">
        <v>28</v>
      </c>
      <c r="D23" s="37" t="s">
        <v>135</v>
      </c>
      <c r="E23" s="37" t="s">
        <v>75</v>
      </c>
      <c r="F23" s="37" t="s">
        <v>81</v>
      </c>
      <c r="G23" s="40">
        <v>45873.0</v>
      </c>
      <c r="H23" s="44" t="s">
        <v>30</v>
      </c>
      <c r="I23" s="44" t="s">
        <v>30</v>
      </c>
      <c r="J23" s="46" t="s">
        <v>42</v>
      </c>
    </row>
    <row r="24" ht="22.5" customHeight="1">
      <c r="A24" s="13">
        <v>10.0</v>
      </c>
      <c r="B24" s="16"/>
      <c r="C24" s="17" t="s">
        <v>28</v>
      </c>
      <c r="D24" s="20" t="s">
        <v>135</v>
      </c>
      <c r="E24" s="20" t="s">
        <v>86</v>
      </c>
      <c r="F24" s="20" t="s">
        <v>87</v>
      </c>
      <c r="G24" s="27">
        <v>45873.0</v>
      </c>
      <c r="H24" s="29" t="s">
        <v>30</v>
      </c>
      <c r="I24" s="29" t="s">
        <v>30</v>
      </c>
      <c r="J24" s="30" t="s">
        <v>42</v>
      </c>
    </row>
    <row r="25" ht="22.5" customHeight="1">
      <c r="A25" s="34">
        <v>10.0</v>
      </c>
      <c r="B25" s="48"/>
      <c r="C25" s="36" t="s">
        <v>28</v>
      </c>
      <c r="D25" s="37" t="s">
        <v>135</v>
      </c>
      <c r="E25" s="37" t="s">
        <v>86</v>
      </c>
      <c r="F25" s="37" t="s">
        <v>90</v>
      </c>
      <c r="G25" s="40">
        <v>45873.0</v>
      </c>
      <c r="H25" s="44" t="s">
        <v>30</v>
      </c>
      <c r="I25" s="44" t="s">
        <v>30</v>
      </c>
      <c r="J25" s="46" t="s">
        <v>42</v>
      </c>
    </row>
    <row r="26" ht="22.5" customHeight="1">
      <c r="A26" s="13">
        <v>10.0</v>
      </c>
      <c r="B26" s="16"/>
      <c r="C26" s="17" t="s">
        <v>28</v>
      </c>
      <c r="D26" s="20" t="s">
        <v>135</v>
      </c>
      <c r="E26" s="20" t="s">
        <v>95</v>
      </c>
      <c r="F26" s="20" t="s">
        <v>96</v>
      </c>
      <c r="G26" s="27">
        <v>45873.0</v>
      </c>
      <c r="H26" s="29" t="s">
        <v>30</v>
      </c>
      <c r="I26" s="29" t="s">
        <v>30</v>
      </c>
      <c r="J26" s="30" t="s">
        <v>42</v>
      </c>
    </row>
    <row r="27" ht="22.5" customHeight="1">
      <c r="A27" s="34">
        <v>10.0</v>
      </c>
      <c r="B27" s="48"/>
      <c r="C27" s="36" t="s">
        <v>28</v>
      </c>
      <c r="D27" s="37" t="s">
        <v>135</v>
      </c>
      <c r="E27" s="37" t="s">
        <v>95</v>
      </c>
      <c r="F27" s="37" t="s">
        <v>99</v>
      </c>
      <c r="G27" s="40">
        <v>45873.0</v>
      </c>
      <c r="H27" s="44" t="s">
        <v>30</v>
      </c>
      <c r="I27" s="44" t="s">
        <v>30</v>
      </c>
      <c r="J27" s="46" t="s">
        <v>42</v>
      </c>
    </row>
    <row r="28" ht="22.5" customHeight="1">
      <c r="A28" s="13">
        <v>10.0</v>
      </c>
      <c r="B28" s="16"/>
      <c r="C28" s="17" t="s">
        <v>28</v>
      </c>
      <c r="D28" s="20" t="s">
        <v>33</v>
      </c>
      <c r="E28" s="20" t="s">
        <v>162</v>
      </c>
      <c r="F28" s="20" t="s">
        <v>165</v>
      </c>
      <c r="G28" s="27">
        <v>45873.0</v>
      </c>
      <c r="H28" s="29" t="s">
        <v>30</v>
      </c>
      <c r="I28" s="29" t="s">
        <v>30</v>
      </c>
      <c r="J28" s="30" t="s">
        <v>42</v>
      </c>
    </row>
    <row r="29" ht="22.5" customHeight="1">
      <c r="A29" s="34">
        <v>10.0</v>
      </c>
      <c r="B29" s="48"/>
      <c r="C29" s="36" t="s">
        <v>28</v>
      </c>
      <c r="D29" s="37" t="s">
        <v>33</v>
      </c>
      <c r="E29" s="37" t="s">
        <v>162</v>
      </c>
      <c r="F29" s="37" t="s">
        <v>168</v>
      </c>
      <c r="G29" s="40">
        <v>45873.0</v>
      </c>
      <c r="H29" s="44" t="s">
        <v>30</v>
      </c>
      <c r="I29" s="44" t="s">
        <v>30</v>
      </c>
      <c r="J29" s="46" t="s">
        <v>42</v>
      </c>
    </row>
    <row r="30" ht="22.5" customHeight="1">
      <c r="A30" s="13">
        <v>10.0</v>
      </c>
      <c r="B30" s="16"/>
      <c r="C30" s="17" t="s">
        <v>28</v>
      </c>
      <c r="D30" s="20" t="s">
        <v>33</v>
      </c>
      <c r="E30" s="20" t="s">
        <v>162</v>
      </c>
      <c r="F30" s="20" t="s">
        <v>171</v>
      </c>
      <c r="G30" s="27">
        <v>45873.0</v>
      </c>
      <c r="H30" s="29" t="s">
        <v>30</v>
      </c>
      <c r="I30" s="29" t="s">
        <v>30</v>
      </c>
      <c r="J30" s="30" t="s">
        <v>42</v>
      </c>
    </row>
    <row r="31" ht="22.5" customHeight="1">
      <c r="A31" s="34">
        <v>10.0</v>
      </c>
      <c r="B31" s="48"/>
      <c r="C31" s="36" t="s">
        <v>28</v>
      </c>
      <c r="D31" s="37" t="s">
        <v>135</v>
      </c>
      <c r="E31" s="37" t="s">
        <v>102</v>
      </c>
      <c r="F31" s="37" t="s">
        <v>174</v>
      </c>
      <c r="G31" s="40">
        <v>45883.0</v>
      </c>
      <c r="H31" s="44" t="s">
        <v>30</v>
      </c>
      <c r="I31" s="44" t="s">
        <v>30</v>
      </c>
      <c r="J31" s="46" t="s">
        <v>42</v>
      </c>
    </row>
    <row r="32" ht="22.5" customHeight="1">
      <c r="A32" s="13">
        <v>10.0</v>
      </c>
      <c r="B32" s="16"/>
      <c r="C32" s="17" t="s">
        <v>28</v>
      </c>
      <c r="D32" s="20" t="s">
        <v>135</v>
      </c>
      <c r="E32" s="20" t="s">
        <v>102</v>
      </c>
      <c r="F32" s="20" t="s">
        <v>108</v>
      </c>
      <c r="G32" s="27">
        <v>45883.0</v>
      </c>
      <c r="H32" s="29" t="s">
        <v>30</v>
      </c>
      <c r="I32" s="29" t="s">
        <v>30</v>
      </c>
      <c r="J32" s="30" t="s">
        <v>42</v>
      </c>
    </row>
    <row r="33" ht="22.5" customHeight="1">
      <c r="A33" s="34">
        <v>10.0</v>
      </c>
      <c r="B33" s="48"/>
      <c r="C33" s="36" t="s">
        <v>28</v>
      </c>
      <c r="D33" s="37" t="s">
        <v>135</v>
      </c>
      <c r="E33" s="37" t="s">
        <v>102</v>
      </c>
      <c r="F33" s="37" t="s">
        <v>105</v>
      </c>
      <c r="G33" s="40">
        <v>45883.0</v>
      </c>
      <c r="H33" s="44" t="s">
        <v>30</v>
      </c>
      <c r="I33" s="44" t="s">
        <v>30</v>
      </c>
      <c r="J33" s="46" t="s">
        <v>42</v>
      </c>
    </row>
    <row r="34" ht="22.5" customHeight="1">
      <c r="A34" s="13">
        <v>10.0</v>
      </c>
      <c r="B34" s="16"/>
      <c r="C34" s="17" t="s">
        <v>28</v>
      </c>
      <c r="D34" s="20" t="s">
        <v>135</v>
      </c>
      <c r="E34" s="20" t="s">
        <v>127</v>
      </c>
      <c r="F34" s="20" t="s">
        <v>72</v>
      </c>
      <c r="G34" s="27">
        <v>45883.0</v>
      </c>
      <c r="H34" s="29" t="s">
        <v>30</v>
      </c>
      <c r="I34" s="29" t="s">
        <v>30</v>
      </c>
      <c r="J34" s="30" t="s">
        <v>42</v>
      </c>
    </row>
    <row r="35" ht="22.5" customHeight="1">
      <c r="A35" s="34">
        <v>10.0</v>
      </c>
      <c r="B35" s="48"/>
      <c r="C35" s="36" t="s">
        <v>28</v>
      </c>
      <c r="D35" s="37" t="s">
        <v>135</v>
      </c>
      <c r="E35" s="37" t="s">
        <v>119</v>
      </c>
      <c r="F35" s="37" t="s">
        <v>187</v>
      </c>
      <c r="G35" s="40">
        <v>45883.0</v>
      </c>
      <c r="H35" s="44" t="s">
        <v>30</v>
      </c>
      <c r="I35" s="44" t="s">
        <v>30</v>
      </c>
      <c r="J35" s="46" t="s">
        <v>42</v>
      </c>
    </row>
    <row r="36" ht="22.5" customHeight="1">
      <c r="A36" s="13">
        <v>10.0</v>
      </c>
      <c r="B36" s="47"/>
      <c r="C36" s="17" t="s">
        <v>28</v>
      </c>
      <c r="D36" s="20" t="s">
        <v>33</v>
      </c>
      <c r="E36" s="20" t="s">
        <v>190</v>
      </c>
      <c r="F36" s="20" t="s">
        <v>191</v>
      </c>
      <c r="G36" s="27">
        <v>45888.0</v>
      </c>
      <c r="H36" s="29" t="s">
        <v>30</v>
      </c>
      <c r="I36" s="29" t="s">
        <v>30</v>
      </c>
      <c r="J36" s="30" t="s">
        <v>42</v>
      </c>
    </row>
    <row r="37" ht="22.5" customHeight="1">
      <c r="A37" s="34">
        <v>10.0</v>
      </c>
      <c r="B37" s="35"/>
      <c r="C37" s="36" t="s">
        <v>28</v>
      </c>
      <c r="D37" s="37" t="s">
        <v>33</v>
      </c>
      <c r="E37" s="37" t="s">
        <v>190</v>
      </c>
      <c r="F37" s="37" t="s">
        <v>194</v>
      </c>
      <c r="G37" s="40">
        <v>45888.0</v>
      </c>
      <c r="H37" s="44" t="s">
        <v>30</v>
      </c>
      <c r="I37" s="44" t="s">
        <v>30</v>
      </c>
      <c r="J37" s="46" t="s">
        <v>42</v>
      </c>
    </row>
    <row r="38" ht="22.5" customHeight="1">
      <c r="A38" s="13">
        <v>10.0</v>
      </c>
      <c r="B38" s="16"/>
      <c r="C38" s="17" t="s">
        <v>28</v>
      </c>
      <c r="D38" s="20" t="s">
        <v>135</v>
      </c>
      <c r="E38" s="20" t="s">
        <v>162</v>
      </c>
      <c r="F38" s="20" t="s">
        <v>165</v>
      </c>
      <c r="G38" s="27">
        <v>45889.0</v>
      </c>
      <c r="H38" s="29" t="s">
        <v>30</v>
      </c>
      <c r="I38" s="29" t="s">
        <v>30</v>
      </c>
      <c r="J38" s="30" t="s">
        <v>42</v>
      </c>
    </row>
    <row r="39" ht="22.5" customHeight="1">
      <c r="A39" s="34">
        <v>10.0</v>
      </c>
      <c r="B39" s="48"/>
      <c r="C39" s="36" t="s">
        <v>28</v>
      </c>
      <c r="D39" s="37" t="s">
        <v>135</v>
      </c>
      <c r="E39" s="37" t="s">
        <v>162</v>
      </c>
      <c r="F39" s="37" t="s">
        <v>168</v>
      </c>
      <c r="G39" s="40">
        <v>45889.0</v>
      </c>
      <c r="H39" s="44" t="s">
        <v>30</v>
      </c>
      <c r="I39" s="44" t="s">
        <v>30</v>
      </c>
      <c r="J39" s="46" t="s">
        <v>42</v>
      </c>
    </row>
    <row r="40" ht="22.5" customHeight="1">
      <c r="A40" s="13">
        <v>10.0</v>
      </c>
      <c r="B40" s="16"/>
      <c r="C40" s="17" t="s">
        <v>28</v>
      </c>
      <c r="D40" s="20" t="s">
        <v>135</v>
      </c>
      <c r="E40" s="20" t="s">
        <v>162</v>
      </c>
      <c r="F40" s="20" t="s">
        <v>171</v>
      </c>
      <c r="G40" s="27">
        <v>45889.0</v>
      </c>
      <c r="H40" s="29" t="s">
        <v>30</v>
      </c>
      <c r="I40" s="29" t="s">
        <v>30</v>
      </c>
      <c r="J40" s="30" t="s">
        <v>42</v>
      </c>
    </row>
    <row r="41" ht="22.5" customHeight="1">
      <c r="A41" s="34">
        <v>10.0</v>
      </c>
      <c r="B41" s="48"/>
      <c r="C41" s="36" t="s">
        <v>28</v>
      </c>
      <c r="D41" s="37" t="s">
        <v>135</v>
      </c>
      <c r="E41" s="37" t="s">
        <v>190</v>
      </c>
      <c r="F41" s="37" t="s">
        <v>209</v>
      </c>
      <c r="G41" s="40">
        <v>45891.0</v>
      </c>
      <c r="H41" s="44" t="s">
        <v>30</v>
      </c>
      <c r="I41" s="44" t="s">
        <v>30</v>
      </c>
      <c r="J41" s="46" t="s">
        <v>42</v>
      </c>
    </row>
    <row r="42" ht="22.5" customHeight="1">
      <c r="A42" s="13">
        <v>10.0</v>
      </c>
      <c r="B42" s="16"/>
      <c r="C42" s="17" t="s">
        <v>28</v>
      </c>
      <c r="D42" s="20" t="s">
        <v>135</v>
      </c>
      <c r="E42" s="20" t="s">
        <v>190</v>
      </c>
      <c r="F42" s="20" t="s">
        <v>194</v>
      </c>
      <c r="G42" s="27">
        <v>45891.0</v>
      </c>
      <c r="H42" s="29" t="s">
        <v>30</v>
      </c>
      <c r="I42" s="29" t="s">
        <v>30</v>
      </c>
      <c r="J42" s="30" t="s">
        <v>42</v>
      </c>
    </row>
    <row r="43" ht="22.5" customHeight="1">
      <c r="A43" s="34">
        <v>10.0</v>
      </c>
      <c r="B43" s="48"/>
      <c r="C43" s="36" t="s">
        <v>28</v>
      </c>
      <c r="D43" s="37" t="s">
        <v>135</v>
      </c>
      <c r="E43" s="37" t="s">
        <v>216</v>
      </c>
      <c r="F43" s="37" t="s">
        <v>217</v>
      </c>
      <c r="G43" s="40">
        <v>45902.0</v>
      </c>
      <c r="H43" s="44" t="s">
        <v>30</v>
      </c>
      <c r="I43" s="44" t="s">
        <v>30</v>
      </c>
      <c r="J43" s="46" t="s">
        <v>42</v>
      </c>
    </row>
    <row r="44" ht="22.5" customHeight="1">
      <c r="A44" s="13">
        <v>10.0</v>
      </c>
      <c r="B44" s="16"/>
      <c r="C44" s="17" t="s">
        <v>28</v>
      </c>
      <c r="D44" s="20" t="s">
        <v>135</v>
      </c>
      <c r="E44" s="20" t="s">
        <v>216</v>
      </c>
      <c r="F44" s="20" t="s">
        <v>218</v>
      </c>
      <c r="G44" s="27">
        <v>45902.0</v>
      </c>
      <c r="H44" s="29" t="s">
        <v>30</v>
      </c>
      <c r="I44" s="29" t="s">
        <v>30</v>
      </c>
      <c r="J44" s="30" t="s">
        <v>42</v>
      </c>
    </row>
    <row r="45" ht="22.5" customHeight="1">
      <c r="A45" s="34">
        <v>10.0</v>
      </c>
      <c r="B45" s="48"/>
      <c r="C45" s="36" t="s">
        <v>28</v>
      </c>
      <c r="D45" s="37" t="s">
        <v>135</v>
      </c>
      <c r="E45" s="37" t="s">
        <v>216</v>
      </c>
      <c r="F45" s="37" t="s">
        <v>219</v>
      </c>
      <c r="G45" s="40">
        <v>45902.0</v>
      </c>
      <c r="H45" s="44" t="s">
        <v>30</v>
      </c>
      <c r="I45" s="44" t="s">
        <v>30</v>
      </c>
      <c r="J45" s="46" t="s">
        <v>42</v>
      </c>
    </row>
    <row r="46" ht="22.5" customHeight="1">
      <c r="A46" s="13">
        <v>10.0</v>
      </c>
      <c r="B46" s="16"/>
      <c r="C46" s="17" t="s">
        <v>28</v>
      </c>
      <c r="D46" s="20" t="s">
        <v>135</v>
      </c>
      <c r="E46" s="20" t="s">
        <v>162</v>
      </c>
      <c r="F46" s="20" t="s">
        <v>165</v>
      </c>
      <c r="G46" s="27">
        <v>45904.0</v>
      </c>
      <c r="H46" s="29" t="s">
        <v>30</v>
      </c>
      <c r="I46" s="29" t="s">
        <v>30</v>
      </c>
      <c r="J46" s="49" t="s">
        <v>220</v>
      </c>
    </row>
    <row r="47" ht="22.5" customHeight="1">
      <c r="A47" s="34">
        <v>10.0</v>
      </c>
      <c r="B47" s="48"/>
      <c r="C47" s="36" t="s">
        <v>28</v>
      </c>
      <c r="D47" s="37" t="s">
        <v>135</v>
      </c>
      <c r="E47" s="37" t="s">
        <v>162</v>
      </c>
      <c r="F47" s="37" t="s">
        <v>168</v>
      </c>
      <c r="G47" s="40">
        <v>45904.0</v>
      </c>
      <c r="H47" s="44" t="s">
        <v>30</v>
      </c>
      <c r="I47" s="44" t="s">
        <v>30</v>
      </c>
      <c r="J47" s="50" t="s">
        <v>220</v>
      </c>
    </row>
    <row r="48" ht="22.5" customHeight="1">
      <c r="A48" s="13">
        <v>10.0</v>
      </c>
      <c r="B48" s="16"/>
      <c r="C48" s="17" t="s">
        <v>28</v>
      </c>
      <c r="D48" s="20" t="s">
        <v>135</v>
      </c>
      <c r="E48" s="20" t="s">
        <v>162</v>
      </c>
      <c r="F48" s="20" t="s">
        <v>171</v>
      </c>
      <c r="G48" s="27">
        <v>45904.0</v>
      </c>
      <c r="H48" s="29" t="s">
        <v>30</v>
      </c>
      <c r="I48" s="29" t="s">
        <v>30</v>
      </c>
      <c r="J48" s="49" t="s">
        <v>220</v>
      </c>
    </row>
    <row r="49" ht="22.5" customHeight="1">
      <c r="A49" s="34">
        <v>10.0</v>
      </c>
      <c r="B49" s="48"/>
      <c r="C49" s="36" t="s">
        <v>28</v>
      </c>
      <c r="D49" s="37" t="s">
        <v>135</v>
      </c>
      <c r="E49" s="37" t="s">
        <v>216</v>
      </c>
      <c r="F49" s="37" t="s">
        <v>217</v>
      </c>
      <c r="G49" s="40">
        <v>45908.0</v>
      </c>
      <c r="H49" s="44" t="s">
        <v>30</v>
      </c>
      <c r="I49" s="44" t="s">
        <v>30</v>
      </c>
      <c r="J49" s="50" t="s">
        <v>220</v>
      </c>
    </row>
    <row r="50" ht="22.5" customHeight="1">
      <c r="A50" s="13">
        <v>10.0</v>
      </c>
      <c r="B50" s="16"/>
      <c r="C50" s="17" t="s">
        <v>28</v>
      </c>
      <c r="D50" s="20" t="s">
        <v>135</v>
      </c>
      <c r="E50" s="20" t="s">
        <v>216</v>
      </c>
      <c r="F50" s="20" t="s">
        <v>218</v>
      </c>
      <c r="G50" s="27">
        <v>45908.0</v>
      </c>
      <c r="H50" s="29" t="s">
        <v>30</v>
      </c>
      <c r="I50" s="29" t="s">
        <v>30</v>
      </c>
      <c r="J50" s="49" t="s">
        <v>220</v>
      </c>
    </row>
    <row r="51" ht="22.5" customHeight="1">
      <c r="A51" s="34">
        <v>10.0</v>
      </c>
      <c r="B51" s="48"/>
      <c r="C51" s="36" t="s">
        <v>28</v>
      </c>
      <c r="D51" s="37" t="s">
        <v>135</v>
      </c>
      <c r="E51" s="37" t="s">
        <v>216</v>
      </c>
      <c r="F51" s="37" t="s">
        <v>219</v>
      </c>
      <c r="G51" s="40">
        <v>45908.0</v>
      </c>
      <c r="H51" s="44" t="s">
        <v>30</v>
      </c>
      <c r="I51" s="44" t="s">
        <v>30</v>
      </c>
      <c r="J51" s="50" t="s">
        <v>220</v>
      </c>
    </row>
    <row r="52" ht="22.5" customHeight="1">
      <c r="A52" s="13">
        <v>10.0</v>
      </c>
      <c r="B52" s="47"/>
      <c r="C52" s="17" t="s">
        <v>28</v>
      </c>
      <c r="D52" s="20" t="s">
        <v>33</v>
      </c>
      <c r="E52" s="20" t="s">
        <v>221</v>
      </c>
      <c r="F52" s="20" t="s">
        <v>222</v>
      </c>
      <c r="G52" s="27">
        <v>45923.0</v>
      </c>
      <c r="H52" s="29" t="s">
        <v>30</v>
      </c>
      <c r="I52" s="29" t="s">
        <v>30</v>
      </c>
      <c r="J52" s="30" t="s">
        <v>42</v>
      </c>
    </row>
    <row r="53" ht="22.5" customHeight="1">
      <c r="A53" s="34">
        <v>10.0</v>
      </c>
      <c r="B53" s="35"/>
      <c r="C53" s="36" t="s">
        <v>28</v>
      </c>
      <c r="D53" s="37" t="s">
        <v>33</v>
      </c>
      <c r="E53" s="37" t="s">
        <v>221</v>
      </c>
      <c r="F53" s="37" t="s">
        <v>223</v>
      </c>
      <c r="G53" s="40">
        <v>45923.0</v>
      </c>
      <c r="H53" s="44" t="s">
        <v>30</v>
      </c>
      <c r="I53" s="44" t="s">
        <v>30</v>
      </c>
      <c r="J53" s="46" t="s">
        <v>42</v>
      </c>
    </row>
    <row r="54" ht="22.5" customHeight="1">
      <c r="A54" s="13">
        <v>10.0</v>
      </c>
      <c r="B54" s="47"/>
      <c r="C54" s="17" t="s">
        <v>28</v>
      </c>
      <c r="D54" s="20" t="s">
        <v>33</v>
      </c>
      <c r="E54" s="20" t="s">
        <v>221</v>
      </c>
      <c r="F54" s="20" t="s">
        <v>224</v>
      </c>
      <c r="G54" s="27">
        <v>45923.0</v>
      </c>
      <c r="H54" s="29" t="s">
        <v>30</v>
      </c>
      <c r="I54" s="29" t="s">
        <v>30</v>
      </c>
      <c r="J54" s="30" t="s">
        <v>42</v>
      </c>
    </row>
    <row r="55" ht="22.5" customHeight="1">
      <c r="A55" s="34">
        <v>10.0</v>
      </c>
      <c r="B55" s="48"/>
      <c r="C55" s="36" t="s">
        <v>28</v>
      </c>
      <c r="D55" s="37" t="s">
        <v>33</v>
      </c>
      <c r="E55" s="37" t="s">
        <v>38</v>
      </c>
      <c r="F55" s="37" t="s">
        <v>39</v>
      </c>
      <c r="G55" s="40">
        <v>45933.0</v>
      </c>
      <c r="H55" s="44" t="s">
        <v>30</v>
      </c>
      <c r="I55" s="44" t="s">
        <v>30</v>
      </c>
      <c r="J55" s="50" t="s">
        <v>220</v>
      </c>
    </row>
    <row r="56" ht="22.5" customHeight="1">
      <c r="A56" s="13">
        <v>10.0</v>
      </c>
      <c r="B56" s="47"/>
      <c r="C56" s="17" t="s">
        <v>28</v>
      </c>
      <c r="D56" s="20" t="s">
        <v>33</v>
      </c>
      <c r="E56" s="20" t="s">
        <v>38</v>
      </c>
      <c r="F56" s="20" t="s">
        <v>55</v>
      </c>
      <c r="G56" s="27">
        <v>45933.0</v>
      </c>
      <c r="H56" s="29" t="s">
        <v>30</v>
      </c>
      <c r="I56" s="29" t="s">
        <v>30</v>
      </c>
      <c r="J56" s="49" t="s">
        <v>220</v>
      </c>
    </row>
    <row r="57" ht="22.5" customHeight="1">
      <c r="A57" s="34">
        <v>10.0</v>
      </c>
      <c r="B57" s="35"/>
      <c r="C57" s="36" t="s">
        <v>28</v>
      </c>
      <c r="D57" s="37" t="s">
        <v>33</v>
      </c>
      <c r="E57" s="37" t="s">
        <v>38</v>
      </c>
      <c r="F57" s="37" t="s">
        <v>72</v>
      </c>
      <c r="G57" s="40">
        <v>45933.0</v>
      </c>
      <c r="H57" s="44" t="s">
        <v>30</v>
      </c>
      <c r="I57" s="44" t="s">
        <v>30</v>
      </c>
      <c r="J57" s="50" t="s">
        <v>220</v>
      </c>
    </row>
    <row r="58" ht="22.5" customHeight="1">
      <c r="A58" s="13">
        <v>10.0</v>
      </c>
      <c r="B58" s="47"/>
      <c r="C58" s="17" t="s">
        <v>28</v>
      </c>
      <c r="D58" s="20" t="s">
        <v>33</v>
      </c>
      <c r="E58" s="20" t="s">
        <v>75</v>
      </c>
      <c r="F58" s="20" t="s">
        <v>78</v>
      </c>
      <c r="G58" s="27">
        <v>45933.0</v>
      </c>
      <c r="H58" s="29" t="s">
        <v>30</v>
      </c>
      <c r="I58" s="29" t="s">
        <v>30</v>
      </c>
      <c r="J58" s="49" t="s">
        <v>220</v>
      </c>
    </row>
    <row r="59" ht="22.5" customHeight="1">
      <c r="A59" s="34">
        <v>10.0</v>
      </c>
      <c r="B59" s="35"/>
      <c r="C59" s="36" t="s">
        <v>28</v>
      </c>
      <c r="D59" s="37" t="s">
        <v>33</v>
      </c>
      <c r="E59" s="37" t="s">
        <v>75</v>
      </c>
      <c r="F59" s="37" t="s">
        <v>81</v>
      </c>
      <c r="G59" s="40">
        <v>45933.0</v>
      </c>
      <c r="H59" s="44" t="s">
        <v>30</v>
      </c>
      <c r="I59" s="44" t="s">
        <v>30</v>
      </c>
      <c r="J59" s="50" t="s">
        <v>220</v>
      </c>
    </row>
    <row r="60" ht="22.5" customHeight="1">
      <c r="A60" s="13">
        <v>10.0</v>
      </c>
      <c r="B60" s="47"/>
      <c r="C60" s="17" t="s">
        <v>28</v>
      </c>
      <c r="D60" s="20" t="s">
        <v>33</v>
      </c>
      <c r="E60" s="20" t="s">
        <v>86</v>
      </c>
      <c r="F60" s="20" t="s">
        <v>87</v>
      </c>
      <c r="G60" s="27">
        <v>45933.0</v>
      </c>
      <c r="H60" s="29" t="s">
        <v>30</v>
      </c>
      <c r="I60" s="29" t="s">
        <v>30</v>
      </c>
      <c r="J60" s="49" t="s">
        <v>220</v>
      </c>
    </row>
    <row r="61" ht="22.5" customHeight="1">
      <c r="A61" s="34">
        <v>10.0</v>
      </c>
      <c r="B61" s="35"/>
      <c r="C61" s="36" t="s">
        <v>28</v>
      </c>
      <c r="D61" s="37" t="s">
        <v>33</v>
      </c>
      <c r="E61" s="37" t="s">
        <v>86</v>
      </c>
      <c r="F61" s="37" t="s">
        <v>90</v>
      </c>
      <c r="G61" s="40">
        <v>45933.0</v>
      </c>
      <c r="H61" s="44" t="s">
        <v>30</v>
      </c>
      <c r="I61" s="44" t="s">
        <v>30</v>
      </c>
      <c r="J61" s="50" t="s">
        <v>220</v>
      </c>
    </row>
    <row r="62" ht="22.5" customHeight="1">
      <c r="A62" s="13">
        <v>10.0</v>
      </c>
      <c r="B62" s="47"/>
      <c r="C62" s="17" t="s">
        <v>28</v>
      </c>
      <c r="D62" s="20" t="s">
        <v>33</v>
      </c>
      <c r="E62" s="20" t="s">
        <v>95</v>
      </c>
      <c r="F62" s="20" t="s">
        <v>96</v>
      </c>
      <c r="G62" s="27">
        <v>45933.0</v>
      </c>
      <c r="H62" s="29" t="s">
        <v>30</v>
      </c>
      <c r="I62" s="29" t="s">
        <v>30</v>
      </c>
      <c r="J62" s="49" t="s">
        <v>220</v>
      </c>
    </row>
    <row r="63" ht="22.5" customHeight="1">
      <c r="A63" s="34">
        <v>10.0</v>
      </c>
      <c r="B63" s="35"/>
      <c r="C63" s="36" t="s">
        <v>28</v>
      </c>
      <c r="D63" s="37" t="s">
        <v>33</v>
      </c>
      <c r="E63" s="37" t="s">
        <v>95</v>
      </c>
      <c r="F63" s="37" t="s">
        <v>99</v>
      </c>
      <c r="G63" s="40">
        <v>45933.0</v>
      </c>
      <c r="H63" s="44" t="s">
        <v>30</v>
      </c>
      <c r="I63" s="44" t="s">
        <v>30</v>
      </c>
      <c r="J63" s="50" t="s">
        <v>220</v>
      </c>
    </row>
    <row r="64" ht="22.5" customHeight="1">
      <c r="A64" s="13">
        <v>10.0</v>
      </c>
      <c r="B64" s="47"/>
      <c r="C64" s="17" t="s">
        <v>28</v>
      </c>
      <c r="D64" s="20" t="s">
        <v>33</v>
      </c>
      <c r="E64" s="20" t="s">
        <v>102</v>
      </c>
      <c r="F64" s="20" t="s">
        <v>105</v>
      </c>
      <c r="G64" s="27">
        <v>45986.0</v>
      </c>
      <c r="H64" s="29" t="s">
        <v>30</v>
      </c>
      <c r="I64" s="29" t="s">
        <v>30</v>
      </c>
      <c r="J64" s="49" t="s">
        <v>220</v>
      </c>
    </row>
    <row r="65" ht="22.5" customHeight="1">
      <c r="A65" s="34">
        <v>10.0</v>
      </c>
      <c r="B65" s="35"/>
      <c r="C65" s="36" t="s">
        <v>28</v>
      </c>
      <c r="D65" s="37" t="s">
        <v>33</v>
      </c>
      <c r="E65" s="37" t="s">
        <v>102</v>
      </c>
      <c r="F65" s="37" t="s">
        <v>108</v>
      </c>
      <c r="G65" s="40">
        <v>45986.0</v>
      </c>
      <c r="H65" s="44" t="s">
        <v>30</v>
      </c>
      <c r="I65" s="44" t="s">
        <v>30</v>
      </c>
      <c r="J65" s="50" t="s">
        <v>220</v>
      </c>
    </row>
    <row r="66" ht="22.5" customHeight="1">
      <c r="A66" s="13">
        <v>10.0</v>
      </c>
      <c r="B66" s="47"/>
      <c r="C66" s="17" t="s">
        <v>28</v>
      </c>
      <c r="D66" s="20" t="s">
        <v>33</v>
      </c>
      <c r="E66" s="20" t="s">
        <v>102</v>
      </c>
      <c r="F66" s="20" t="s">
        <v>111</v>
      </c>
      <c r="G66" s="27">
        <v>45986.0</v>
      </c>
      <c r="H66" s="29" t="s">
        <v>30</v>
      </c>
      <c r="I66" s="29" t="s">
        <v>30</v>
      </c>
      <c r="J66" s="49" t="s">
        <v>220</v>
      </c>
    </row>
    <row r="67" ht="22.5" customHeight="1">
      <c r="A67" s="34">
        <v>10.0</v>
      </c>
      <c r="B67" s="35"/>
      <c r="C67" s="36" t="s">
        <v>28</v>
      </c>
      <c r="D67" s="37" t="s">
        <v>33</v>
      </c>
      <c r="E67" s="37" t="s">
        <v>102</v>
      </c>
      <c r="F67" s="37" t="s">
        <v>116</v>
      </c>
      <c r="G67" s="40">
        <v>45986.0</v>
      </c>
      <c r="H67" s="44" t="s">
        <v>30</v>
      </c>
      <c r="I67" s="44" t="s">
        <v>30</v>
      </c>
      <c r="J67" s="50" t="s">
        <v>220</v>
      </c>
    </row>
    <row r="68" ht="22.5" customHeight="1">
      <c r="A68" s="13">
        <v>10.0</v>
      </c>
      <c r="B68" s="47"/>
      <c r="C68" s="17" t="s">
        <v>28</v>
      </c>
      <c r="D68" s="20" t="s">
        <v>33</v>
      </c>
      <c r="E68" s="20" t="s">
        <v>119</v>
      </c>
      <c r="F68" s="20" t="s">
        <v>120</v>
      </c>
      <c r="G68" s="27">
        <v>45986.0</v>
      </c>
      <c r="H68" s="29" t="s">
        <v>30</v>
      </c>
      <c r="I68" s="29" t="s">
        <v>30</v>
      </c>
      <c r="J68" s="49" t="s">
        <v>220</v>
      </c>
    </row>
    <row r="69" ht="22.5" customHeight="1">
      <c r="A69" s="34">
        <v>10.0</v>
      </c>
      <c r="B69" s="35"/>
      <c r="C69" s="36" t="s">
        <v>28</v>
      </c>
      <c r="D69" s="37" t="s">
        <v>33</v>
      </c>
      <c r="E69" s="37" t="s">
        <v>119</v>
      </c>
      <c r="F69" s="37" t="s">
        <v>123</v>
      </c>
      <c r="G69" s="40">
        <v>45986.0</v>
      </c>
      <c r="H69" s="44" t="s">
        <v>30</v>
      </c>
      <c r="I69" s="44" t="s">
        <v>30</v>
      </c>
      <c r="J69" s="50" t="s">
        <v>220</v>
      </c>
    </row>
    <row r="70" ht="22.5" customHeight="1">
      <c r="A70" s="13">
        <v>10.0</v>
      </c>
      <c r="B70" s="47"/>
      <c r="C70" s="17" t="s">
        <v>28</v>
      </c>
      <c r="D70" s="20" t="s">
        <v>33</v>
      </c>
      <c r="E70" s="20" t="s">
        <v>127</v>
      </c>
      <c r="F70" s="20" t="s">
        <v>129</v>
      </c>
      <c r="G70" s="27">
        <v>45986.0</v>
      </c>
      <c r="H70" s="29" t="s">
        <v>30</v>
      </c>
      <c r="I70" s="29" t="s">
        <v>30</v>
      </c>
      <c r="J70" s="49" t="s">
        <v>220</v>
      </c>
    </row>
    <row r="71" ht="22.5" customHeight="1">
      <c r="A71" s="34">
        <v>10.0</v>
      </c>
      <c r="B71" s="35"/>
      <c r="C71" s="36" t="s">
        <v>28</v>
      </c>
      <c r="D71" s="37" t="s">
        <v>33</v>
      </c>
      <c r="E71" s="37" t="s">
        <v>127</v>
      </c>
      <c r="F71" s="37" t="s">
        <v>132</v>
      </c>
      <c r="G71" s="40">
        <v>45986.0</v>
      </c>
      <c r="H71" s="44" t="s">
        <v>30</v>
      </c>
      <c r="I71" s="44" t="s">
        <v>30</v>
      </c>
      <c r="J71" s="50" t="s">
        <v>220</v>
      </c>
    </row>
    <row r="72" ht="22.5" customHeight="1">
      <c r="A72" s="13">
        <v>16.0</v>
      </c>
      <c r="B72" s="16"/>
      <c r="C72" s="17" t="s">
        <v>28</v>
      </c>
      <c r="D72" s="20" t="s">
        <v>225</v>
      </c>
      <c r="E72" s="20" t="s">
        <v>226</v>
      </c>
      <c r="F72" s="20" t="s">
        <v>227</v>
      </c>
      <c r="G72" s="27">
        <v>46077.0</v>
      </c>
      <c r="H72" s="29" t="s">
        <v>30</v>
      </c>
      <c r="I72" s="29" t="s">
        <v>30</v>
      </c>
      <c r="J72" s="30" t="s">
        <v>42</v>
      </c>
    </row>
    <row r="73" ht="22.5" customHeight="1">
      <c r="A73" s="34">
        <v>16.0</v>
      </c>
      <c r="B73" s="48"/>
      <c r="C73" s="36" t="s">
        <v>28</v>
      </c>
      <c r="D73" s="37" t="s">
        <v>225</v>
      </c>
      <c r="E73" s="37" t="s">
        <v>226</v>
      </c>
      <c r="F73" s="37" t="s">
        <v>228</v>
      </c>
      <c r="G73" s="40">
        <v>46077.0</v>
      </c>
      <c r="H73" s="44" t="s">
        <v>30</v>
      </c>
      <c r="I73" s="44" t="s">
        <v>30</v>
      </c>
      <c r="J73" s="46" t="s">
        <v>42</v>
      </c>
    </row>
    <row r="74" ht="22.5" customHeight="1">
      <c r="A74" s="13">
        <v>16.0</v>
      </c>
      <c r="B74" s="16"/>
      <c r="C74" s="17" t="s">
        <v>28</v>
      </c>
      <c r="D74" s="20" t="s">
        <v>225</v>
      </c>
      <c r="E74" s="20" t="s">
        <v>216</v>
      </c>
      <c r="F74" s="20" t="s">
        <v>229</v>
      </c>
      <c r="G74" s="27">
        <v>46077.0</v>
      </c>
      <c r="H74" s="30" t="s">
        <v>47</v>
      </c>
      <c r="I74" s="51" t="s">
        <v>48</v>
      </c>
      <c r="J74" s="30" t="s">
        <v>42</v>
      </c>
    </row>
    <row r="75" ht="22.5" customHeight="1">
      <c r="A75" s="34">
        <v>16.0</v>
      </c>
      <c r="B75" s="48"/>
      <c r="C75" s="36" t="s">
        <v>28</v>
      </c>
      <c r="D75" s="37" t="s">
        <v>225</v>
      </c>
      <c r="E75" s="37" t="s">
        <v>216</v>
      </c>
      <c r="F75" s="37" t="s">
        <v>230</v>
      </c>
      <c r="G75" s="40">
        <v>46077.0</v>
      </c>
      <c r="H75" s="46" t="s">
        <v>47</v>
      </c>
      <c r="I75" s="52" t="s">
        <v>48</v>
      </c>
      <c r="J75" s="46" t="s">
        <v>42</v>
      </c>
    </row>
    <row r="76" ht="22.5" customHeight="1">
      <c r="A76" s="13">
        <v>16.0</v>
      </c>
      <c r="B76" s="16"/>
      <c r="C76" s="17" t="s">
        <v>43</v>
      </c>
      <c r="D76" s="20" t="s">
        <v>231</v>
      </c>
      <c r="E76" s="20" t="s">
        <v>232</v>
      </c>
      <c r="F76" s="20" t="s">
        <v>233</v>
      </c>
      <c r="G76" s="27">
        <v>46083.0</v>
      </c>
      <c r="H76" s="53" t="s">
        <v>52</v>
      </c>
      <c r="I76" s="54" t="s">
        <v>50</v>
      </c>
      <c r="J76" s="30" t="s">
        <v>42</v>
      </c>
    </row>
    <row r="77" ht="22.5" customHeight="1">
      <c r="A77" s="34">
        <v>16.0</v>
      </c>
      <c r="B77" s="48"/>
      <c r="C77" s="36" t="s">
        <v>37</v>
      </c>
      <c r="D77" s="37" t="s">
        <v>231</v>
      </c>
      <c r="E77" s="37" t="s">
        <v>234</v>
      </c>
      <c r="F77" s="37" t="s">
        <v>235</v>
      </c>
      <c r="G77" s="40">
        <v>46083.0</v>
      </c>
      <c r="H77" s="55" t="s">
        <v>52</v>
      </c>
      <c r="I77" s="56" t="s">
        <v>50</v>
      </c>
      <c r="J77" s="46" t="s">
        <v>42</v>
      </c>
    </row>
    <row r="78" ht="22.5" customHeight="1">
      <c r="A78" s="13">
        <v>16.0</v>
      </c>
      <c r="B78" s="16"/>
      <c r="C78" s="17" t="s">
        <v>37</v>
      </c>
      <c r="D78" s="20" t="s">
        <v>231</v>
      </c>
      <c r="E78" s="20" t="s">
        <v>234</v>
      </c>
      <c r="F78" s="20" t="s">
        <v>236</v>
      </c>
      <c r="G78" s="27">
        <v>46083.0</v>
      </c>
      <c r="H78" s="53" t="s">
        <v>52</v>
      </c>
      <c r="I78" s="54" t="s">
        <v>50</v>
      </c>
      <c r="J78" s="30" t="s">
        <v>42</v>
      </c>
    </row>
    <row r="79" ht="22.5" customHeight="1">
      <c r="A79" s="34">
        <v>16.0</v>
      </c>
      <c r="B79" s="48"/>
      <c r="C79" s="36" t="s">
        <v>37</v>
      </c>
      <c r="D79" s="37" t="s">
        <v>231</v>
      </c>
      <c r="E79" s="37" t="s">
        <v>234</v>
      </c>
      <c r="F79" s="37" t="s">
        <v>237</v>
      </c>
      <c r="G79" s="40">
        <v>46083.0</v>
      </c>
      <c r="H79" s="55" t="s">
        <v>52</v>
      </c>
      <c r="I79" s="56" t="s">
        <v>50</v>
      </c>
      <c r="J79" s="46" t="s">
        <v>42</v>
      </c>
    </row>
    <row r="80" ht="22.5" customHeight="1">
      <c r="A80" s="13">
        <v>16.0</v>
      </c>
      <c r="B80" s="16"/>
      <c r="C80" s="17" t="s">
        <v>37</v>
      </c>
      <c r="D80" s="20" t="s">
        <v>231</v>
      </c>
      <c r="E80" s="20" t="s">
        <v>234</v>
      </c>
      <c r="F80" s="20" t="s">
        <v>238</v>
      </c>
      <c r="G80" s="27">
        <v>46083.0</v>
      </c>
      <c r="H80" s="53" t="s">
        <v>52</v>
      </c>
      <c r="I80" s="54" t="s">
        <v>50</v>
      </c>
      <c r="J80" s="30" t="s">
        <v>42</v>
      </c>
    </row>
    <row r="81" ht="22.5" customHeight="1">
      <c r="A81" s="34">
        <v>16.0</v>
      </c>
      <c r="B81" s="48"/>
      <c r="C81" s="36" t="s">
        <v>37</v>
      </c>
      <c r="D81" s="37" t="s">
        <v>231</v>
      </c>
      <c r="E81" s="37" t="s">
        <v>234</v>
      </c>
      <c r="F81" s="37" t="s">
        <v>239</v>
      </c>
      <c r="G81" s="40">
        <v>46083.0</v>
      </c>
      <c r="H81" s="55" t="s">
        <v>52</v>
      </c>
      <c r="I81" s="56" t="s">
        <v>50</v>
      </c>
      <c r="J81" s="46" t="s">
        <v>42</v>
      </c>
    </row>
    <row r="82" ht="22.5" customHeight="1">
      <c r="A82" s="13">
        <v>16.0</v>
      </c>
      <c r="B82" s="16"/>
      <c r="C82" s="17" t="s">
        <v>37</v>
      </c>
      <c r="D82" s="20" t="s">
        <v>231</v>
      </c>
      <c r="E82" s="20" t="s">
        <v>234</v>
      </c>
      <c r="F82" s="20" t="s">
        <v>240</v>
      </c>
      <c r="G82" s="27">
        <v>46083.0</v>
      </c>
      <c r="H82" s="53" t="s">
        <v>52</v>
      </c>
      <c r="I82" s="54" t="s">
        <v>50</v>
      </c>
      <c r="J82" s="30" t="s">
        <v>42</v>
      </c>
    </row>
    <row r="83" ht="22.5" customHeight="1">
      <c r="A83" s="34">
        <v>16.0</v>
      </c>
      <c r="B83" s="48"/>
      <c r="C83" s="36" t="s">
        <v>37</v>
      </c>
      <c r="D83" s="37" t="s">
        <v>231</v>
      </c>
      <c r="E83" s="37" t="s">
        <v>241</v>
      </c>
      <c r="F83" s="37" t="s">
        <v>242</v>
      </c>
      <c r="G83" s="40">
        <v>46083.0</v>
      </c>
      <c r="H83" s="44" t="s">
        <v>30</v>
      </c>
      <c r="I83" s="44" t="s">
        <v>30</v>
      </c>
      <c r="J83" s="46" t="s">
        <v>42</v>
      </c>
    </row>
    <row r="84" ht="22.5" customHeight="1">
      <c r="A84" s="13">
        <v>16.0</v>
      </c>
      <c r="B84" s="16"/>
      <c r="C84" s="17" t="s">
        <v>37</v>
      </c>
      <c r="D84" s="20" t="s">
        <v>231</v>
      </c>
      <c r="E84" s="20" t="s">
        <v>241</v>
      </c>
      <c r="F84" s="20" t="s">
        <v>243</v>
      </c>
      <c r="G84" s="27">
        <v>46083.0</v>
      </c>
      <c r="H84" s="29" t="s">
        <v>30</v>
      </c>
      <c r="I84" s="29" t="s">
        <v>30</v>
      </c>
      <c r="J84" s="30" t="s">
        <v>42</v>
      </c>
    </row>
    <row r="85" ht="22.5" customHeight="1">
      <c r="A85" s="34">
        <v>16.0</v>
      </c>
      <c r="B85" s="48"/>
      <c r="C85" s="36" t="s">
        <v>28</v>
      </c>
      <c r="D85" s="37" t="s">
        <v>244</v>
      </c>
      <c r="E85" s="37" t="s">
        <v>245</v>
      </c>
      <c r="F85" s="37" t="s">
        <v>246</v>
      </c>
      <c r="G85" s="40">
        <v>46085.0</v>
      </c>
      <c r="H85" s="46" t="s">
        <v>47</v>
      </c>
      <c r="I85" s="56" t="s">
        <v>50</v>
      </c>
      <c r="J85" s="46" t="s">
        <v>42</v>
      </c>
    </row>
    <row r="86" ht="22.5" customHeight="1">
      <c r="A86" s="13">
        <v>12.0</v>
      </c>
      <c r="B86" s="16"/>
      <c r="C86" s="17" t="s">
        <v>28</v>
      </c>
      <c r="D86" s="20" t="s">
        <v>247</v>
      </c>
      <c r="E86" s="20" t="s">
        <v>248</v>
      </c>
      <c r="F86" s="20" t="s">
        <v>249</v>
      </c>
      <c r="G86" s="27">
        <v>46092.0</v>
      </c>
      <c r="H86" s="30" t="s">
        <v>47</v>
      </c>
      <c r="I86" s="54" t="s">
        <v>50</v>
      </c>
      <c r="J86" s="30" t="s">
        <v>42</v>
      </c>
    </row>
    <row r="87" ht="22.5" customHeight="1">
      <c r="A87" s="34">
        <v>12.0</v>
      </c>
      <c r="B87" s="48"/>
      <c r="C87" s="36" t="s">
        <v>28</v>
      </c>
      <c r="D87" s="37" t="s">
        <v>247</v>
      </c>
      <c r="E87" s="37" t="s">
        <v>248</v>
      </c>
      <c r="F87" s="37" t="s">
        <v>250</v>
      </c>
      <c r="G87" s="40">
        <v>46092.0</v>
      </c>
      <c r="H87" s="46" t="s">
        <v>47</v>
      </c>
      <c r="I87" s="56" t="s">
        <v>50</v>
      </c>
      <c r="J87" s="46" t="s">
        <v>42</v>
      </c>
    </row>
    <row r="88" ht="22.5" customHeight="1">
      <c r="A88" s="13">
        <v>12.0</v>
      </c>
      <c r="B88" s="16"/>
      <c r="C88" s="17" t="s">
        <v>28</v>
      </c>
      <c r="D88" s="20" t="s">
        <v>247</v>
      </c>
      <c r="E88" s="20" t="s">
        <v>248</v>
      </c>
      <c r="F88" s="20" t="s">
        <v>251</v>
      </c>
      <c r="G88" s="27">
        <v>46092.0</v>
      </c>
      <c r="H88" s="30" t="s">
        <v>47</v>
      </c>
      <c r="I88" s="54" t="s">
        <v>50</v>
      </c>
      <c r="J88" s="30" t="s">
        <v>42</v>
      </c>
    </row>
    <row r="89" ht="22.5" customHeight="1">
      <c r="A89" s="34">
        <v>12.0</v>
      </c>
      <c r="B89" s="48"/>
      <c r="C89" s="36" t="s">
        <v>28</v>
      </c>
      <c r="D89" s="37" t="s">
        <v>247</v>
      </c>
      <c r="E89" s="37" t="s">
        <v>248</v>
      </c>
      <c r="F89" s="37" t="s">
        <v>252</v>
      </c>
      <c r="G89" s="40">
        <v>46092.0</v>
      </c>
      <c r="H89" s="46" t="s">
        <v>47</v>
      </c>
      <c r="I89" s="56" t="s">
        <v>50</v>
      </c>
      <c r="J89" s="46" t="s">
        <v>42</v>
      </c>
    </row>
    <row r="90" ht="22.5" customHeight="1">
      <c r="A90" s="13">
        <v>12.0</v>
      </c>
      <c r="B90" s="16"/>
      <c r="C90" s="17" t="s">
        <v>28</v>
      </c>
      <c r="D90" s="20" t="s">
        <v>247</v>
      </c>
      <c r="E90" s="20" t="s">
        <v>253</v>
      </c>
      <c r="F90" s="20" t="s">
        <v>253</v>
      </c>
      <c r="G90" s="27">
        <v>46092.0</v>
      </c>
      <c r="H90" s="30" t="s">
        <v>47</v>
      </c>
      <c r="I90" s="54" t="s">
        <v>50</v>
      </c>
      <c r="J90" s="30" t="s">
        <v>42</v>
      </c>
    </row>
    <row r="91" ht="22.5" customHeight="1">
      <c r="A91" s="34">
        <v>12.0</v>
      </c>
      <c r="B91" s="48"/>
      <c r="C91" s="36" t="s">
        <v>28</v>
      </c>
      <c r="D91" s="37" t="s">
        <v>247</v>
      </c>
      <c r="E91" s="37" t="s">
        <v>248</v>
      </c>
      <c r="F91" s="37" t="s">
        <v>249</v>
      </c>
      <c r="G91" s="40">
        <v>46094.0</v>
      </c>
      <c r="H91" s="46" t="s">
        <v>47</v>
      </c>
      <c r="I91" s="52" t="s">
        <v>48</v>
      </c>
      <c r="J91" s="46" t="s">
        <v>42</v>
      </c>
    </row>
    <row r="92" ht="22.5" customHeight="1">
      <c r="A92" s="13">
        <v>12.0</v>
      </c>
      <c r="B92" s="16"/>
      <c r="C92" s="17" t="s">
        <v>28</v>
      </c>
      <c r="D92" s="20" t="s">
        <v>247</v>
      </c>
      <c r="E92" s="20" t="s">
        <v>248</v>
      </c>
      <c r="F92" s="20" t="s">
        <v>250</v>
      </c>
      <c r="G92" s="27">
        <v>46094.0</v>
      </c>
      <c r="H92" s="30" t="s">
        <v>47</v>
      </c>
      <c r="I92" s="51" t="s">
        <v>48</v>
      </c>
      <c r="J92" s="30" t="s">
        <v>42</v>
      </c>
    </row>
    <row r="93" ht="22.5" customHeight="1">
      <c r="A93" s="34">
        <v>12.0</v>
      </c>
      <c r="B93" s="48"/>
      <c r="C93" s="36" t="s">
        <v>28</v>
      </c>
      <c r="D93" s="37" t="s">
        <v>247</v>
      </c>
      <c r="E93" s="37" t="s">
        <v>248</v>
      </c>
      <c r="F93" s="37" t="s">
        <v>251</v>
      </c>
      <c r="G93" s="40">
        <v>46094.0</v>
      </c>
      <c r="H93" s="46" t="s">
        <v>47</v>
      </c>
      <c r="I93" s="52" t="s">
        <v>48</v>
      </c>
      <c r="J93" s="46" t="s">
        <v>42</v>
      </c>
    </row>
    <row r="94" ht="22.5" customHeight="1">
      <c r="A94" s="13">
        <v>12.0</v>
      </c>
      <c r="B94" s="16"/>
      <c r="C94" s="17" t="s">
        <v>28</v>
      </c>
      <c r="D94" s="20" t="s">
        <v>247</v>
      </c>
      <c r="E94" s="20" t="s">
        <v>248</v>
      </c>
      <c r="F94" s="20" t="s">
        <v>252</v>
      </c>
      <c r="G94" s="27">
        <v>46094.0</v>
      </c>
      <c r="H94" s="30" t="s">
        <v>47</v>
      </c>
      <c r="I94" s="51" t="s">
        <v>48</v>
      </c>
      <c r="J94" s="30" t="s">
        <v>42</v>
      </c>
    </row>
    <row r="95" ht="22.5" customHeight="1">
      <c r="A95" s="34">
        <v>12.0</v>
      </c>
      <c r="B95" s="48"/>
      <c r="C95" s="36" t="s">
        <v>28</v>
      </c>
      <c r="D95" s="37" t="s">
        <v>247</v>
      </c>
      <c r="E95" s="37" t="s">
        <v>253</v>
      </c>
      <c r="F95" s="37" t="s">
        <v>253</v>
      </c>
      <c r="G95" s="40">
        <v>46094.0</v>
      </c>
      <c r="H95" s="46" t="s">
        <v>47</v>
      </c>
      <c r="I95" s="52" t="s">
        <v>48</v>
      </c>
      <c r="J95" s="46" t="s">
        <v>42</v>
      </c>
    </row>
    <row r="96" ht="22.5" customHeight="1">
      <c r="A96" s="13">
        <v>16.0</v>
      </c>
      <c r="B96" s="16"/>
      <c r="C96" s="17" t="s">
        <v>28</v>
      </c>
      <c r="D96" s="20" t="s">
        <v>244</v>
      </c>
      <c r="E96" s="20" t="s">
        <v>254</v>
      </c>
      <c r="F96" s="20" t="s">
        <v>249</v>
      </c>
      <c r="G96" s="27">
        <v>46108.0</v>
      </c>
      <c r="H96" s="30" t="s">
        <v>47</v>
      </c>
      <c r="I96" s="54" t="s">
        <v>50</v>
      </c>
      <c r="J96" s="30" t="s">
        <v>42</v>
      </c>
    </row>
    <row r="97" ht="22.5" customHeight="1">
      <c r="A97" s="34">
        <v>16.0</v>
      </c>
      <c r="B97" s="48"/>
      <c r="C97" s="36" t="s">
        <v>28</v>
      </c>
      <c r="D97" s="37" t="s">
        <v>244</v>
      </c>
      <c r="E97" s="37" t="s">
        <v>254</v>
      </c>
      <c r="F97" s="37" t="s">
        <v>250</v>
      </c>
      <c r="G97" s="40">
        <v>46108.0</v>
      </c>
      <c r="H97" s="46" t="s">
        <v>47</v>
      </c>
      <c r="I97" s="56" t="s">
        <v>50</v>
      </c>
      <c r="J97" s="46" t="s">
        <v>42</v>
      </c>
    </row>
    <row r="98" ht="22.5" customHeight="1">
      <c r="A98" s="13">
        <v>16.0</v>
      </c>
      <c r="B98" s="16"/>
      <c r="C98" s="17" t="s">
        <v>28</v>
      </c>
      <c r="D98" s="20" t="s">
        <v>244</v>
      </c>
      <c r="E98" s="20" t="s">
        <v>255</v>
      </c>
      <c r="F98" s="20" t="s">
        <v>255</v>
      </c>
      <c r="G98" s="27">
        <v>46115.0</v>
      </c>
      <c r="H98" s="30" t="s">
        <v>47</v>
      </c>
      <c r="I98" s="54" t="s">
        <v>50</v>
      </c>
      <c r="J98" s="30" t="s">
        <v>42</v>
      </c>
    </row>
    <row r="99" ht="22.5" customHeight="1">
      <c r="A99" s="34">
        <v>10.0</v>
      </c>
      <c r="B99" s="48"/>
      <c r="C99" s="36" t="s">
        <v>28</v>
      </c>
      <c r="D99" s="37" t="s">
        <v>256</v>
      </c>
      <c r="E99" s="37" t="s">
        <v>38</v>
      </c>
      <c r="F99" s="37" t="s">
        <v>138</v>
      </c>
      <c r="G99" s="40">
        <v>46134.0</v>
      </c>
      <c r="H99" s="44" t="s">
        <v>30</v>
      </c>
      <c r="I99" s="44" t="s">
        <v>30</v>
      </c>
      <c r="J99" s="46" t="s">
        <v>42</v>
      </c>
    </row>
    <row r="100" ht="22.5" customHeight="1">
      <c r="A100" s="13">
        <v>10.0</v>
      </c>
      <c r="B100" s="16"/>
      <c r="C100" s="17" t="s">
        <v>28</v>
      </c>
      <c r="D100" s="20" t="s">
        <v>256</v>
      </c>
      <c r="E100" s="20" t="s">
        <v>38</v>
      </c>
      <c r="F100" s="20" t="s">
        <v>55</v>
      </c>
      <c r="G100" s="27">
        <v>46134.0</v>
      </c>
      <c r="H100" s="29" t="s">
        <v>30</v>
      </c>
      <c r="I100" s="29" t="s">
        <v>30</v>
      </c>
      <c r="J100" s="30" t="s">
        <v>42</v>
      </c>
    </row>
    <row r="101" ht="22.5" customHeight="1">
      <c r="A101" s="34">
        <v>10.0</v>
      </c>
      <c r="B101" s="48"/>
      <c r="C101" s="36" t="s">
        <v>28</v>
      </c>
      <c r="D101" s="37" t="s">
        <v>256</v>
      </c>
      <c r="E101" s="37" t="s">
        <v>38</v>
      </c>
      <c r="F101" s="37" t="s">
        <v>72</v>
      </c>
      <c r="G101" s="40">
        <v>46134.0</v>
      </c>
      <c r="H101" s="44" t="s">
        <v>30</v>
      </c>
      <c r="I101" s="44" t="s">
        <v>30</v>
      </c>
      <c r="J101" s="46" t="s">
        <v>42</v>
      </c>
    </row>
    <row r="102" ht="22.5" customHeight="1">
      <c r="A102" s="13">
        <v>10.0</v>
      </c>
      <c r="B102" s="16"/>
      <c r="C102" s="17" t="s">
        <v>28</v>
      </c>
      <c r="D102" s="20" t="s">
        <v>256</v>
      </c>
      <c r="E102" s="20" t="s">
        <v>75</v>
      </c>
      <c r="F102" s="20" t="s">
        <v>146</v>
      </c>
      <c r="G102" s="27">
        <v>46134.0</v>
      </c>
      <c r="H102" s="29" t="s">
        <v>30</v>
      </c>
      <c r="I102" s="29" t="s">
        <v>30</v>
      </c>
      <c r="J102" s="30" t="s">
        <v>42</v>
      </c>
    </row>
    <row r="103" ht="22.5" customHeight="1">
      <c r="A103" s="34">
        <v>10.0</v>
      </c>
      <c r="B103" s="48"/>
      <c r="C103" s="36" t="s">
        <v>28</v>
      </c>
      <c r="D103" s="37" t="s">
        <v>256</v>
      </c>
      <c r="E103" s="37" t="s">
        <v>75</v>
      </c>
      <c r="F103" s="37" t="s">
        <v>81</v>
      </c>
      <c r="G103" s="40">
        <v>46134.0</v>
      </c>
      <c r="H103" s="44" t="s">
        <v>30</v>
      </c>
      <c r="I103" s="44" t="s">
        <v>30</v>
      </c>
      <c r="J103" s="46" t="s">
        <v>42</v>
      </c>
    </row>
    <row r="104" ht="22.5" customHeight="1">
      <c r="A104" s="13">
        <v>10.0</v>
      </c>
      <c r="B104" s="16"/>
      <c r="C104" s="17" t="s">
        <v>28</v>
      </c>
      <c r="D104" s="20" t="s">
        <v>256</v>
      </c>
      <c r="E104" s="20" t="s">
        <v>86</v>
      </c>
      <c r="F104" s="20" t="s">
        <v>87</v>
      </c>
      <c r="G104" s="27">
        <v>46134.0</v>
      </c>
      <c r="H104" s="29" t="s">
        <v>30</v>
      </c>
      <c r="I104" s="29" t="s">
        <v>30</v>
      </c>
      <c r="J104" s="30" t="s">
        <v>42</v>
      </c>
    </row>
    <row r="105" ht="22.5" customHeight="1">
      <c r="A105" s="34">
        <v>10.0</v>
      </c>
      <c r="B105" s="48"/>
      <c r="C105" s="36" t="s">
        <v>28</v>
      </c>
      <c r="D105" s="37" t="s">
        <v>256</v>
      </c>
      <c r="E105" s="37" t="s">
        <v>86</v>
      </c>
      <c r="F105" s="37" t="s">
        <v>90</v>
      </c>
      <c r="G105" s="40">
        <v>46134.0</v>
      </c>
      <c r="H105" s="44" t="s">
        <v>30</v>
      </c>
      <c r="I105" s="44" t="s">
        <v>30</v>
      </c>
      <c r="J105" s="46" t="s">
        <v>42</v>
      </c>
    </row>
    <row r="106" ht="22.5" customHeight="1">
      <c r="A106" s="13">
        <v>10.0</v>
      </c>
      <c r="B106" s="16"/>
      <c r="C106" s="17" t="s">
        <v>28</v>
      </c>
      <c r="D106" s="20" t="s">
        <v>256</v>
      </c>
      <c r="E106" s="20" t="s">
        <v>95</v>
      </c>
      <c r="F106" s="20" t="s">
        <v>96</v>
      </c>
      <c r="G106" s="27">
        <v>46134.0</v>
      </c>
      <c r="H106" s="29" t="s">
        <v>30</v>
      </c>
      <c r="I106" s="29" t="s">
        <v>30</v>
      </c>
      <c r="J106" s="30" t="s">
        <v>42</v>
      </c>
    </row>
    <row r="107" ht="22.5" customHeight="1">
      <c r="A107" s="34">
        <v>10.0</v>
      </c>
      <c r="B107" s="48"/>
      <c r="C107" s="36" t="s">
        <v>28</v>
      </c>
      <c r="D107" s="37" t="s">
        <v>256</v>
      </c>
      <c r="E107" s="37" t="s">
        <v>95</v>
      </c>
      <c r="F107" s="37" t="s">
        <v>99</v>
      </c>
      <c r="G107" s="40">
        <v>46134.0</v>
      </c>
      <c r="H107" s="44" t="s">
        <v>30</v>
      </c>
      <c r="I107" s="44" t="s">
        <v>30</v>
      </c>
      <c r="J107" s="46" t="s">
        <v>42</v>
      </c>
    </row>
    <row r="108" ht="22.5" customHeight="1">
      <c r="A108" s="13">
        <v>10.0</v>
      </c>
      <c r="B108" s="16"/>
      <c r="C108" s="17" t="s">
        <v>28</v>
      </c>
      <c r="D108" s="20" t="s">
        <v>257</v>
      </c>
      <c r="E108" s="20" t="s">
        <v>221</v>
      </c>
      <c r="F108" s="20" t="s">
        <v>222</v>
      </c>
      <c r="G108" s="27">
        <v>46161.0</v>
      </c>
      <c r="H108" s="29" t="s">
        <v>30</v>
      </c>
      <c r="I108" s="29" t="s">
        <v>30</v>
      </c>
      <c r="J108" s="49" t="s">
        <v>220</v>
      </c>
    </row>
    <row r="109" ht="22.5" customHeight="1">
      <c r="A109" s="34">
        <v>10.0</v>
      </c>
      <c r="B109" s="48"/>
      <c r="C109" s="36" t="s">
        <v>28</v>
      </c>
      <c r="D109" s="37" t="s">
        <v>257</v>
      </c>
      <c r="E109" s="37" t="s">
        <v>221</v>
      </c>
      <c r="F109" s="37" t="s">
        <v>223</v>
      </c>
      <c r="G109" s="40">
        <v>46161.0</v>
      </c>
      <c r="H109" s="44" t="s">
        <v>30</v>
      </c>
      <c r="I109" s="44" t="s">
        <v>30</v>
      </c>
      <c r="J109" s="50" t="s">
        <v>220</v>
      </c>
    </row>
    <row r="110" ht="22.5" customHeight="1">
      <c r="A110" s="13">
        <v>10.0</v>
      </c>
      <c r="B110" s="16"/>
      <c r="C110" s="17" t="s">
        <v>28</v>
      </c>
      <c r="D110" s="20" t="s">
        <v>257</v>
      </c>
      <c r="E110" s="20" t="s">
        <v>221</v>
      </c>
      <c r="F110" s="20" t="s">
        <v>224</v>
      </c>
      <c r="G110" s="27">
        <v>46161.0</v>
      </c>
      <c r="H110" s="29" t="s">
        <v>30</v>
      </c>
      <c r="I110" s="29" t="s">
        <v>30</v>
      </c>
      <c r="J110" s="49" t="s">
        <v>220</v>
      </c>
    </row>
    <row r="111" ht="22.5" customHeight="1">
      <c r="A111" s="34">
        <v>16.0</v>
      </c>
      <c r="B111" s="48"/>
      <c r="C111" s="36" t="s">
        <v>28</v>
      </c>
      <c r="D111" s="57" t="s">
        <v>258</v>
      </c>
      <c r="E111" s="37" t="s">
        <v>259</v>
      </c>
      <c r="F111" s="37" t="s">
        <v>260</v>
      </c>
      <c r="G111" s="40">
        <v>46170.0</v>
      </c>
      <c r="H111" s="44" t="s">
        <v>30</v>
      </c>
      <c r="I111" s="44" t="s">
        <v>30</v>
      </c>
      <c r="J111" s="46" t="s">
        <v>42</v>
      </c>
    </row>
    <row r="112" ht="22.5" customHeight="1">
      <c r="A112" s="13">
        <v>16.0</v>
      </c>
      <c r="B112" s="16"/>
      <c r="C112" s="17" t="s">
        <v>28</v>
      </c>
      <c r="D112" s="58" t="s">
        <v>258</v>
      </c>
      <c r="E112" s="20" t="s">
        <v>259</v>
      </c>
      <c r="F112" s="20" t="s">
        <v>261</v>
      </c>
      <c r="G112" s="27">
        <v>46170.0</v>
      </c>
      <c r="H112" s="29" t="s">
        <v>30</v>
      </c>
      <c r="I112" s="29" t="s">
        <v>30</v>
      </c>
      <c r="J112" s="30" t="s">
        <v>42</v>
      </c>
    </row>
    <row r="113" ht="22.5" customHeight="1">
      <c r="A113" s="34">
        <v>16.0</v>
      </c>
      <c r="B113" s="48"/>
      <c r="C113" s="36" t="s">
        <v>28</v>
      </c>
      <c r="D113" s="57" t="s">
        <v>258</v>
      </c>
      <c r="E113" s="37" t="s">
        <v>259</v>
      </c>
      <c r="F113" s="37" t="s">
        <v>262</v>
      </c>
      <c r="G113" s="40">
        <v>46170.0</v>
      </c>
      <c r="H113" s="44" t="s">
        <v>30</v>
      </c>
      <c r="I113" s="44" t="s">
        <v>30</v>
      </c>
      <c r="J113" s="46" t="s">
        <v>42</v>
      </c>
    </row>
    <row r="114" ht="22.5" customHeight="1">
      <c r="A114" s="13">
        <v>10.0</v>
      </c>
      <c r="B114" s="16"/>
      <c r="C114" s="17" t="s">
        <v>28</v>
      </c>
      <c r="D114" s="20" t="s">
        <v>263</v>
      </c>
      <c r="E114" s="20" t="s">
        <v>221</v>
      </c>
      <c r="F114" s="20" t="s">
        <v>222</v>
      </c>
      <c r="G114" s="27">
        <v>46183.0</v>
      </c>
      <c r="H114" s="29" t="s">
        <v>30</v>
      </c>
      <c r="I114" s="29" t="s">
        <v>30</v>
      </c>
      <c r="J114" s="49" t="s">
        <v>220</v>
      </c>
    </row>
    <row r="115" ht="22.5" customHeight="1">
      <c r="A115" s="34">
        <v>10.0</v>
      </c>
      <c r="B115" s="48"/>
      <c r="C115" s="36" t="s">
        <v>28</v>
      </c>
      <c r="D115" s="37" t="s">
        <v>263</v>
      </c>
      <c r="E115" s="37" t="s">
        <v>221</v>
      </c>
      <c r="F115" s="37" t="s">
        <v>223</v>
      </c>
      <c r="G115" s="40">
        <v>46183.0</v>
      </c>
      <c r="H115" s="44" t="s">
        <v>30</v>
      </c>
      <c r="I115" s="44" t="s">
        <v>30</v>
      </c>
      <c r="J115" s="50" t="s">
        <v>220</v>
      </c>
    </row>
    <row r="116" ht="22.5" customHeight="1">
      <c r="A116" s="13">
        <v>10.0</v>
      </c>
      <c r="B116" s="16"/>
      <c r="C116" s="17" t="s">
        <v>28</v>
      </c>
      <c r="D116" s="20" t="s">
        <v>263</v>
      </c>
      <c r="E116" s="20" t="s">
        <v>221</v>
      </c>
      <c r="F116" s="20" t="s">
        <v>224</v>
      </c>
      <c r="G116" s="27">
        <v>46183.0</v>
      </c>
      <c r="H116" s="29" t="s">
        <v>30</v>
      </c>
      <c r="I116" s="29" t="s">
        <v>30</v>
      </c>
      <c r="J116" s="49" t="s">
        <v>220</v>
      </c>
    </row>
    <row r="117" ht="22.5" customHeight="1">
      <c r="A117" s="34">
        <v>16.0</v>
      </c>
      <c r="B117" s="48"/>
      <c r="C117" s="36" t="s">
        <v>28</v>
      </c>
      <c r="D117" s="57" t="s">
        <v>258</v>
      </c>
      <c r="E117" s="37" t="s">
        <v>248</v>
      </c>
      <c r="F117" s="37" t="s">
        <v>264</v>
      </c>
      <c r="G117" s="40">
        <v>46197.0</v>
      </c>
      <c r="H117" s="46" t="s">
        <v>47</v>
      </c>
      <c r="I117" s="52" t="s">
        <v>48</v>
      </c>
      <c r="J117" s="46" t="s">
        <v>42</v>
      </c>
    </row>
    <row r="118" ht="22.5" customHeight="1">
      <c r="A118" s="13">
        <v>16.0</v>
      </c>
      <c r="B118" s="16"/>
      <c r="C118" s="17" t="s">
        <v>28</v>
      </c>
      <c r="D118" s="58" t="s">
        <v>258</v>
      </c>
      <c r="E118" s="20" t="s">
        <v>248</v>
      </c>
      <c r="F118" s="20" t="s">
        <v>265</v>
      </c>
      <c r="G118" s="27">
        <v>46197.0</v>
      </c>
      <c r="H118" s="30" t="s">
        <v>47</v>
      </c>
      <c r="I118" s="51" t="s">
        <v>48</v>
      </c>
      <c r="J118" s="30" t="s">
        <v>42</v>
      </c>
    </row>
    <row r="119" ht="22.5" customHeight="1">
      <c r="A119" s="34">
        <v>16.0</v>
      </c>
      <c r="B119" s="48"/>
      <c r="C119" s="36" t="s">
        <v>37</v>
      </c>
      <c r="D119" s="37" t="s">
        <v>266</v>
      </c>
      <c r="E119" s="37" t="s">
        <v>267</v>
      </c>
      <c r="F119" s="37" t="s">
        <v>264</v>
      </c>
      <c r="G119" s="40">
        <v>46202.0</v>
      </c>
      <c r="H119" s="55" t="s">
        <v>52</v>
      </c>
      <c r="I119" s="56" t="s">
        <v>50</v>
      </c>
      <c r="J119" s="46" t="s">
        <v>42</v>
      </c>
    </row>
    <row r="120" ht="22.5" customHeight="1">
      <c r="A120" s="13">
        <v>16.0</v>
      </c>
      <c r="B120" s="16"/>
      <c r="C120" s="17" t="s">
        <v>37</v>
      </c>
      <c r="D120" s="20" t="s">
        <v>268</v>
      </c>
      <c r="E120" s="20" t="s">
        <v>267</v>
      </c>
      <c r="F120" s="20" t="s">
        <v>265</v>
      </c>
      <c r="G120" s="27">
        <v>46202.0</v>
      </c>
      <c r="H120" s="53" t="s">
        <v>52</v>
      </c>
      <c r="I120" s="54" t="s">
        <v>50</v>
      </c>
      <c r="J120" s="30" t="s">
        <v>42</v>
      </c>
    </row>
    <row r="121" ht="22.5" customHeight="1">
      <c r="A121" s="34">
        <v>16.0</v>
      </c>
      <c r="B121" s="48"/>
      <c r="C121" s="36" t="s">
        <v>37</v>
      </c>
      <c r="D121" s="37" t="s">
        <v>268</v>
      </c>
      <c r="E121" s="37" t="s">
        <v>267</v>
      </c>
      <c r="F121" s="37" t="s">
        <v>269</v>
      </c>
      <c r="G121" s="40">
        <v>46202.0</v>
      </c>
      <c r="H121" s="55" t="s">
        <v>52</v>
      </c>
      <c r="I121" s="56" t="s">
        <v>50</v>
      </c>
      <c r="J121" s="46" t="s">
        <v>42</v>
      </c>
    </row>
    <row r="122" ht="22.5" customHeight="1">
      <c r="A122" s="13">
        <v>16.0</v>
      </c>
      <c r="B122" s="16"/>
      <c r="C122" s="17" t="s">
        <v>37</v>
      </c>
      <c r="D122" s="20" t="s">
        <v>268</v>
      </c>
      <c r="E122" s="20" t="s">
        <v>267</v>
      </c>
      <c r="F122" s="20" t="s">
        <v>270</v>
      </c>
      <c r="G122" s="27">
        <v>46202.0</v>
      </c>
      <c r="H122" s="53" t="s">
        <v>52</v>
      </c>
      <c r="I122" s="54" t="s">
        <v>50</v>
      </c>
      <c r="J122" s="30" t="s">
        <v>42</v>
      </c>
    </row>
    <row r="123" ht="22.5" customHeight="1">
      <c r="A123" s="34">
        <v>16.0</v>
      </c>
      <c r="B123" s="48"/>
      <c r="C123" s="36" t="s">
        <v>37</v>
      </c>
      <c r="D123" s="37" t="s">
        <v>268</v>
      </c>
      <c r="E123" s="37" t="s">
        <v>267</v>
      </c>
      <c r="F123" s="37" t="s">
        <v>271</v>
      </c>
      <c r="G123" s="40">
        <v>46202.0</v>
      </c>
      <c r="H123" s="55" t="s">
        <v>52</v>
      </c>
      <c r="I123" s="56" t="s">
        <v>50</v>
      </c>
      <c r="J123" s="46" t="s">
        <v>42</v>
      </c>
    </row>
    <row r="124" ht="22.5" customHeight="1">
      <c r="A124" s="13">
        <v>16.0</v>
      </c>
      <c r="B124" s="16"/>
      <c r="C124" s="17" t="s">
        <v>37</v>
      </c>
      <c r="D124" s="20" t="s">
        <v>268</v>
      </c>
      <c r="E124" s="20" t="s">
        <v>267</v>
      </c>
      <c r="F124" s="20" t="s">
        <v>272</v>
      </c>
      <c r="G124" s="27">
        <v>46202.0</v>
      </c>
      <c r="H124" s="53" t="s">
        <v>52</v>
      </c>
      <c r="I124" s="54" t="s">
        <v>50</v>
      </c>
      <c r="J124" s="30" t="s">
        <v>42</v>
      </c>
    </row>
    <row r="125" ht="22.5" customHeight="1">
      <c r="A125" s="34">
        <v>16.0</v>
      </c>
      <c r="B125" s="48"/>
      <c r="C125" s="36" t="s">
        <v>37</v>
      </c>
      <c r="D125" s="37" t="s">
        <v>268</v>
      </c>
      <c r="E125" s="37" t="s">
        <v>267</v>
      </c>
      <c r="F125" s="37" t="s">
        <v>273</v>
      </c>
      <c r="G125" s="40">
        <v>46202.0</v>
      </c>
      <c r="H125" s="55" t="s">
        <v>52</v>
      </c>
      <c r="I125" s="56" t="s">
        <v>50</v>
      </c>
      <c r="J125" s="46" t="s">
        <v>42</v>
      </c>
    </row>
    <row r="126" ht="22.5" customHeight="1">
      <c r="A126" s="13">
        <v>16.0</v>
      </c>
      <c r="B126" s="16"/>
      <c r="C126" s="17" t="s">
        <v>37</v>
      </c>
      <c r="D126" s="20" t="s">
        <v>268</v>
      </c>
      <c r="E126" s="20" t="s">
        <v>267</v>
      </c>
      <c r="F126" s="20" t="s">
        <v>274</v>
      </c>
      <c r="G126" s="27">
        <v>46202.0</v>
      </c>
      <c r="H126" s="53" t="s">
        <v>52</v>
      </c>
      <c r="I126" s="54" t="s">
        <v>50</v>
      </c>
      <c r="J126" s="30" t="s">
        <v>42</v>
      </c>
    </row>
    <row r="127" ht="22.5" customHeight="1">
      <c r="A127" s="34">
        <v>12.0</v>
      </c>
      <c r="B127" s="48"/>
      <c r="C127" s="36" t="s">
        <v>28</v>
      </c>
      <c r="D127" s="37" t="s">
        <v>275</v>
      </c>
      <c r="E127" s="37" t="s">
        <v>276</v>
      </c>
      <c r="F127" s="37" t="s">
        <v>277</v>
      </c>
      <c r="G127" s="40">
        <v>46206.0</v>
      </c>
      <c r="H127" s="46" t="s">
        <v>47</v>
      </c>
      <c r="I127" s="52" t="s">
        <v>48</v>
      </c>
      <c r="J127" s="46" t="s">
        <v>42</v>
      </c>
    </row>
    <row r="128" ht="22.5" customHeight="1">
      <c r="A128" s="13">
        <v>10.0</v>
      </c>
      <c r="B128" s="16"/>
      <c r="C128" s="17" t="s">
        <v>28</v>
      </c>
      <c r="D128" s="20" t="s">
        <v>278</v>
      </c>
      <c r="E128" s="20" t="s">
        <v>279</v>
      </c>
      <c r="F128" s="20" t="s">
        <v>222</v>
      </c>
      <c r="G128" s="27">
        <v>46213.0</v>
      </c>
      <c r="H128" s="29" t="s">
        <v>30</v>
      </c>
      <c r="I128" s="29" t="s">
        <v>30</v>
      </c>
      <c r="J128" s="49" t="s">
        <v>220</v>
      </c>
    </row>
    <row r="129" ht="22.5" customHeight="1">
      <c r="A129" s="34">
        <v>10.0</v>
      </c>
      <c r="B129" s="48"/>
      <c r="C129" s="36" t="s">
        <v>28</v>
      </c>
      <c r="D129" s="37" t="s">
        <v>278</v>
      </c>
      <c r="E129" s="37" t="s">
        <v>221</v>
      </c>
      <c r="F129" s="37" t="s">
        <v>223</v>
      </c>
      <c r="G129" s="40">
        <v>46213.0</v>
      </c>
      <c r="H129" s="44" t="s">
        <v>30</v>
      </c>
      <c r="I129" s="44" t="s">
        <v>30</v>
      </c>
      <c r="J129" s="50" t="s">
        <v>220</v>
      </c>
    </row>
    <row r="130" ht="22.5" customHeight="1">
      <c r="A130" s="13">
        <v>10.0</v>
      </c>
      <c r="B130" s="16"/>
      <c r="C130" s="17" t="s">
        <v>28</v>
      </c>
      <c r="D130" s="20" t="s">
        <v>278</v>
      </c>
      <c r="E130" s="20" t="s">
        <v>221</v>
      </c>
      <c r="F130" s="20" t="s">
        <v>224</v>
      </c>
      <c r="G130" s="27">
        <v>46213.0</v>
      </c>
      <c r="H130" s="29" t="s">
        <v>30</v>
      </c>
      <c r="I130" s="29" t="s">
        <v>30</v>
      </c>
      <c r="J130" s="49" t="s">
        <v>220</v>
      </c>
    </row>
    <row r="131" ht="22.5" customHeight="1">
      <c r="A131" s="34">
        <v>10.0</v>
      </c>
      <c r="B131" s="48"/>
      <c r="C131" s="36" t="s">
        <v>28</v>
      </c>
      <c r="D131" s="37" t="s">
        <v>257</v>
      </c>
      <c r="E131" s="37" t="s">
        <v>221</v>
      </c>
      <c r="F131" s="37" t="s">
        <v>222</v>
      </c>
      <c r="G131" s="40">
        <v>46219.0</v>
      </c>
      <c r="H131" s="44" t="s">
        <v>30</v>
      </c>
      <c r="I131" s="44" t="s">
        <v>30</v>
      </c>
      <c r="J131" s="50" t="s">
        <v>220</v>
      </c>
    </row>
    <row r="132" ht="22.5" customHeight="1">
      <c r="A132" s="13">
        <v>10.0</v>
      </c>
      <c r="B132" s="16"/>
      <c r="C132" s="17" t="s">
        <v>28</v>
      </c>
      <c r="D132" s="20" t="s">
        <v>257</v>
      </c>
      <c r="E132" s="20" t="s">
        <v>221</v>
      </c>
      <c r="F132" s="20" t="s">
        <v>223</v>
      </c>
      <c r="G132" s="27">
        <v>46219.0</v>
      </c>
      <c r="H132" s="29" t="s">
        <v>30</v>
      </c>
      <c r="I132" s="29" t="s">
        <v>30</v>
      </c>
      <c r="J132" s="49" t="s">
        <v>220</v>
      </c>
    </row>
    <row r="133" ht="22.5" customHeight="1">
      <c r="A133" s="34">
        <v>10.0</v>
      </c>
      <c r="B133" s="48"/>
      <c r="C133" s="36" t="s">
        <v>28</v>
      </c>
      <c r="D133" s="37" t="s">
        <v>257</v>
      </c>
      <c r="E133" s="37" t="s">
        <v>221</v>
      </c>
      <c r="F133" s="37" t="s">
        <v>224</v>
      </c>
      <c r="G133" s="40">
        <v>46219.0</v>
      </c>
      <c r="H133" s="44" t="s">
        <v>30</v>
      </c>
      <c r="I133" s="44" t="s">
        <v>30</v>
      </c>
      <c r="J133" s="50" t="s">
        <v>220</v>
      </c>
    </row>
    <row r="134" ht="22.5" customHeight="1">
      <c r="A134" s="13">
        <v>12.0</v>
      </c>
      <c r="B134" s="16"/>
      <c r="C134" s="17" t="s">
        <v>28</v>
      </c>
      <c r="D134" s="20" t="s">
        <v>275</v>
      </c>
      <c r="E134" s="20" t="s">
        <v>280</v>
      </c>
      <c r="F134" s="20" t="s">
        <v>249</v>
      </c>
      <c r="G134" s="27">
        <v>46223.0</v>
      </c>
      <c r="H134" s="30" t="s">
        <v>47</v>
      </c>
      <c r="I134" s="51" t="s">
        <v>48</v>
      </c>
      <c r="J134" s="30" t="s">
        <v>42</v>
      </c>
    </row>
    <row r="135" ht="22.5" customHeight="1">
      <c r="A135" s="34">
        <v>12.0</v>
      </c>
      <c r="B135" s="48"/>
      <c r="C135" s="36" t="s">
        <v>28</v>
      </c>
      <c r="D135" s="37" t="s">
        <v>275</v>
      </c>
      <c r="E135" s="37" t="s">
        <v>280</v>
      </c>
      <c r="F135" s="37" t="s">
        <v>250</v>
      </c>
      <c r="G135" s="40">
        <v>46223.0</v>
      </c>
      <c r="H135" s="46" t="s">
        <v>47</v>
      </c>
      <c r="I135" s="52" t="s">
        <v>48</v>
      </c>
      <c r="J135" s="46" t="s">
        <v>42</v>
      </c>
    </row>
    <row r="136" ht="22.5" customHeight="1">
      <c r="A136" s="13">
        <v>12.0</v>
      </c>
      <c r="B136" s="16"/>
      <c r="C136" s="17" t="s">
        <v>28</v>
      </c>
      <c r="D136" s="20" t="s">
        <v>275</v>
      </c>
      <c r="E136" s="20" t="s">
        <v>280</v>
      </c>
      <c r="F136" s="20" t="s">
        <v>251</v>
      </c>
      <c r="G136" s="27">
        <v>46223.0</v>
      </c>
      <c r="H136" s="30" t="s">
        <v>47</v>
      </c>
      <c r="I136" s="51" t="s">
        <v>48</v>
      </c>
      <c r="J136" s="30" t="s">
        <v>42</v>
      </c>
    </row>
    <row r="137" ht="22.5" customHeight="1">
      <c r="A137" s="34">
        <v>12.0</v>
      </c>
      <c r="B137" s="48"/>
      <c r="C137" s="36" t="s">
        <v>28</v>
      </c>
      <c r="D137" s="37" t="s">
        <v>275</v>
      </c>
      <c r="E137" s="37" t="s">
        <v>280</v>
      </c>
      <c r="F137" s="37" t="s">
        <v>252</v>
      </c>
      <c r="G137" s="40">
        <v>46223.0</v>
      </c>
      <c r="H137" s="46" t="s">
        <v>47</v>
      </c>
      <c r="I137" s="52" t="s">
        <v>48</v>
      </c>
      <c r="J137" s="46" t="s">
        <v>42</v>
      </c>
    </row>
    <row r="138" ht="22.5" customHeight="1">
      <c r="A138" s="13">
        <v>12.0</v>
      </c>
      <c r="B138" s="16"/>
      <c r="C138" s="17" t="s">
        <v>28</v>
      </c>
      <c r="D138" s="20" t="s">
        <v>275</v>
      </c>
      <c r="E138" s="20" t="s">
        <v>280</v>
      </c>
      <c r="F138" s="20" t="s">
        <v>282</v>
      </c>
      <c r="G138" s="27">
        <v>46223.0</v>
      </c>
      <c r="H138" s="30" t="s">
        <v>47</v>
      </c>
      <c r="I138" s="51" t="s">
        <v>48</v>
      </c>
      <c r="J138" s="30" t="s">
        <v>42</v>
      </c>
    </row>
    <row r="139" ht="22.5" customHeight="1">
      <c r="A139" s="34">
        <v>12.0</v>
      </c>
      <c r="B139" s="48"/>
      <c r="C139" s="36" t="s">
        <v>28</v>
      </c>
      <c r="D139" s="37" t="s">
        <v>275</v>
      </c>
      <c r="E139" s="37" t="s">
        <v>280</v>
      </c>
      <c r="F139" s="37" t="s">
        <v>283</v>
      </c>
      <c r="G139" s="40">
        <v>46223.0</v>
      </c>
      <c r="H139" s="46" t="s">
        <v>47</v>
      </c>
      <c r="I139" s="52" t="s">
        <v>48</v>
      </c>
      <c r="J139" s="46" t="s">
        <v>42</v>
      </c>
    </row>
    <row r="140" ht="22.5" customHeight="1">
      <c r="A140" s="13">
        <v>12.0</v>
      </c>
      <c r="B140" s="16"/>
      <c r="C140" s="17" t="s">
        <v>28</v>
      </c>
      <c r="D140" s="20" t="s">
        <v>275</v>
      </c>
      <c r="E140" s="20" t="s">
        <v>280</v>
      </c>
      <c r="F140" s="20" t="s">
        <v>284</v>
      </c>
      <c r="G140" s="27">
        <v>46223.0</v>
      </c>
      <c r="H140" s="30" t="s">
        <v>47</v>
      </c>
      <c r="I140" s="51" t="s">
        <v>48</v>
      </c>
      <c r="J140" s="30" t="s">
        <v>42</v>
      </c>
    </row>
    <row r="141" ht="22.5" customHeight="1">
      <c r="A141" s="34">
        <v>12.0</v>
      </c>
      <c r="B141" s="48"/>
      <c r="C141" s="36" t="s">
        <v>28</v>
      </c>
      <c r="D141" s="37" t="s">
        <v>275</v>
      </c>
      <c r="E141" s="37" t="s">
        <v>280</v>
      </c>
      <c r="F141" s="37" t="s">
        <v>285</v>
      </c>
      <c r="G141" s="40">
        <v>46223.0</v>
      </c>
      <c r="H141" s="46" t="s">
        <v>47</v>
      </c>
      <c r="I141" s="52" t="s">
        <v>48</v>
      </c>
      <c r="J141" s="46" t="s">
        <v>42</v>
      </c>
    </row>
    <row r="142" ht="22.5" customHeight="1">
      <c r="A142" s="13">
        <v>12.0</v>
      </c>
      <c r="B142" s="16"/>
      <c r="C142" s="17" t="s">
        <v>28</v>
      </c>
      <c r="D142" s="20" t="s">
        <v>275</v>
      </c>
      <c r="E142" s="20" t="s">
        <v>280</v>
      </c>
      <c r="F142" s="20" t="s">
        <v>286</v>
      </c>
      <c r="G142" s="27">
        <v>46223.0</v>
      </c>
      <c r="H142" s="30" t="s">
        <v>47</v>
      </c>
      <c r="I142" s="51" t="s">
        <v>48</v>
      </c>
      <c r="J142" s="30" t="s">
        <v>42</v>
      </c>
    </row>
    <row r="143" ht="22.5" customHeight="1">
      <c r="A143" s="34">
        <v>12.0</v>
      </c>
      <c r="B143" s="48"/>
      <c r="C143" s="36" t="s">
        <v>28</v>
      </c>
      <c r="D143" s="37" t="s">
        <v>275</v>
      </c>
      <c r="E143" s="37" t="s">
        <v>280</v>
      </c>
      <c r="F143" s="37" t="s">
        <v>287</v>
      </c>
      <c r="G143" s="40">
        <v>46223.0</v>
      </c>
      <c r="H143" s="46" t="s">
        <v>47</v>
      </c>
      <c r="I143" s="52" t="s">
        <v>48</v>
      </c>
      <c r="J143" s="46" t="s">
        <v>42</v>
      </c>
    </row>
    <row r="144" ht="22.5" customHeight="1">
      <c r="A144" s="13">
        <v>12.0</v>
      </c>
      <c r="B144" s="16"/>
      <c r="C144" s="17" t="s">
        <v>28</v>
      </c>
      <c r="D144" s="20" t="s">
        <v>275</v>
      </c>
      <c r="E144" s="20" t="s">
        <v>288</v>
      </c>
      <c r="F144" s="20" t="s">
        <v>289</v>
      </c>
      <c r="G144" s="27">
        <v>6686334.0</v>
      </c>
      <c r="H144" s="30" t="s">
        <v>47</v>
      </c>
      <c r="I144" s="51" t="s">
        <v>48</v>
      </c>
      <c r="J144" s="30" t="s">
        <v>42</v>
      </c>
    </row>
  </sheetData>
  <dataValidations>
    <dataValidation type="list" allowBlank="1" sqref="C2:C144">
      <formula1>"D,C,A"</formula1>
    </dataValidation>
    <dataValidation type="list" allowBlank="1" sqref="H2:H144">
      <formula1>"Contact plate,Rinse-PW,Rinse-WFI"</formula1>
    </dataValidation>
    <dataValidation type="list" allowBlank="1" sqref="J2:J144">
      <formula1>"CV,CEHT"</formula1>
    </dataValidation>
    <dataValidation type="custom" allowBlank="1" showDropDown="1" sqref="G2:G144">
      <formula1>OR(NOT(ISERROR(DATEVALUE(G2))), AND(ISNUMBER(G2), LEFT(CELL("format", G2))="D"))</formula1>
    </dataValidation>
    <dataValidation type="list" allowBlank="1" sqref="I2:I144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3" max="3" width="25.25"/>
    <col customWidth="1" min="4" max="4" width="27.38"/>
  </cols>
  <sheetData>
    <row r="1" ht="22.5" customHeight="1">
      <c r="A1" s="7" t="s">
        <v>1</v>
      </c>
      <c r="B1" s="7" t="s">
        <v>17</v>
      </c>
      <c r="C1" s="7" t="s">
        <v>18</v>
      </c>
      <c r="D1" s="7" t="s">
        <v>19</v>
      </c>
    </row>
    <row r="2" ht="22.5" customHeight="1">
      <c r="A2" s="11" t="s">
        <v>20</v>
      </c>
      <c r="B2" s="12" t="s">
        <v>22</v>
      </c>
      <c r="C2" s="14"/>
      <c r="D2" s="14"/>
      <c r="G2" s="18" t="str">
        <f t="array" ref="G2:G69">UNIQUE(A:A)</f>
        <v>รหัสหน่วยงาน</v>
      </c>
      <c r="H2" s="19" t="s">
        <v>35</v>
      </c>
    </row>
    <row r="3" ht="22.5" customHeight="1">
      <c r="A3" s="21" t="s">
        <v>20</v>
      </c>
      <c r="B3" s="23" t="s">
        <v>22</v>
      </c>
      <c r="C3" s="25"/>
      <c r="D3" s="25"/>
      <c r="G3" s="18" t="s">
        <v>20</v>
      </c>
      <c r="H3" s="19" t="s">
        <v>22</v>
      </c>
      <c r="I3" s="18" t="str">
        <f t="array" ref="I3">_xlfn.XLOOKUP(G3, name[รหัสหน่วยงาน], name[กอง])</f>
        <v/>
      </c>
    </row>
    <row r="4" ht="22.5" customHeight="1">
      <c r="A4" s="11" t="s">
        <v>44</v>
      </c>
      <c r="B4" s="33" t="s">
        <v>22</v>
      </c>
      <c r="C4" s="33" t="s">
        <v>46</v>
      </c>
      <c r="D4" s="14"/>
      <c r="G4" s="18" t="s">
        <v>44</v>
      </c>
      <c r="H4" s="18" t="s">
        <v>46</v>
      </c>
      <c r="I4" s="18" t="str">
        <f t="array" ref="I4">_xlfn.XLOOKUP(G4, name[รหัสหน่วยงาน], name[กอง])</f>
        <v>กองตรวจสอบความถูกต้องกระบวนการผลิด</v>
      </c>
    </row>
    <row r="5" ht="22.5" customHeight="1">
      <c r="A5" s="21" t="s">
        <v>51</v>
      </c>
      <c r="B5" s="23" t="s">
        <v>22</v>
      </c>
      <c r="C5" s="23" t="s">
        <v>46</v>
      </c>
      <c r="D5" s="23" t="s">
        <v>53</v>
      </c>
      <c r="G5" s="18" t="s">
        <v>51</v>
      </c>
      <c r="H5" s="18" t="s">
        <v>53</v>
      </c>
      <c r="I5" s="18" t="str">
        <f t="array" ref="I5">_xlfn.XLOOKUP(G5, name[รหัสหน่วยงาน], name[กอง])</f>
        <v>กองตรวจสอบความถูกต้องกระบวนการผลิด</v>
      </c>
    </row>
    <row r="6" ht="22.5" customHeight="1">
      <c r="A6" s="11" t="s">
        <v>51</v>
      </c>
      <c r="B6" s="33" t="s">
        <v>22</v>
      </c>
      <c r="C6" s="33" t="s">
        <v>46</v>
      </c>
      <c r="D6" s="33" t="s">
        <v>53</v>
      </c>
      <c r="G6" s="18" t="s">
        <v>56</v>
      </c>
      <c r="H6" s="18" t="s">
        <v>57</v>
      </c>
      <c r="I6" s="18" t="str">
        <f t="array" ref="I6">_xlfn.XLOOKUP(G6, name[รหัสหน่วยงาน], name[กอง])</f>
        <v>กองตรวจสอบความถูกต้องกระบวนการผลิด</v>
      </c>
    </row>
    <row r="7" ht="22.5" customHeight="1">
      <c r="A7" s="21" t="s">
        <v>51</v>
      </c>
      <c r="B7" s="23" t="s">
        <v>22</v>
      </c>
      <c r="C7" s="23" t="s">
        <v>46</v>
      </c>
      <c r="D7" s="23" t="s">
        <v>53</v>
      </c>
      <c r="G7" s="18" t="s">
        <v>58</v>
      </c>
      <c r="H7" s="18" t="s">
        <v>59</v>
      </c>
      <c r="I7" s="18" t="str">
        <f t="array" ref="I7">_xlfn.XLOOKUP(G7, name[รหัสหน่วยงาน], name[กอง])</f>
        <v>กองตรวจสอบความถูกต้องกระบวนการผลิด</v>
      </c>
    </row>
    <row r="8" ht="22.5" customHeight="1">
      <c r="A8" s="11" t="s">
        <v>51</v>
      </c>
      <c r="B8" s="33" t="s">
        <v>22</v>
      </c>
      <c r="C8" s="33" t="s">
        <v>46</v>
      </c>
      <c r="D8" s="33" t="s">
        <v>53</v>
      </c>
      <c r="G8" s="18" t="s">
        <v>60</v>
      </c>
      <c r="H8" s="18" t="s">
        <v>61</v>
      </c>
      <c r="I8" s="18" t="str">
        <f t="array" ref="I8">_xlfn.XLOOKUP(G8, name[รหัสหน่วยงาน], name[กอง])</f>
        <v>กองตรวจสอบความถูกต้องกระบวนการผลิด</v>
      </c>
    </row>
    <row r="9" ht="22.5" customHeight="1">
      <c r="A9" s="21" t="s">
        <v>51</v>
      </c>
      <c r="B9" s="23" t="s">
        <v>22</v>
      </c>
      <c r="C9" s="23" t="s">
        <v>46</v>
      </c>
      <c r="D9" s="23" t="s">
        <v>53</v>
      </c>
      <c r="G9" s="18" t="s">
        <v>62</v>
      </c>
      <c r="H9" s="18" t="s">
        <v>63</v>
      </c>
      <c r="I9" s="18" t="str">
        <f t="array" ref="I9">_xlfn.XLOOKUP(G9, name[รหัสหน่วยงาน], name[กอง])</f>
        <v>กองประกันคุณภาพผลิตภัณฑ์ 1</v>
      </c>
    </row>
    <row r="10" ht="22.5" customHeight="1">
      <c r="A10" s="11" t="s">
        <v>56</v>
      </c>
      <c r="B10" s="33" t="s">
        <v>22</v>
      </c>
      <c r="C10" s="33" t="s">
        <v>46</v>
      </c>
      <c r="D10" s="33" t="s">
        <v>57</v>
      </c>
      <c r="G10" s="18" t="s">
        <v>64</v>
      </c>
      <c r="H10" s="18" t="s">
        <v>65</v>
      </c>
      <c r="I10" s="18" t="str">
        <f t="array" ref="I10">_xlfn.XLOOKUP(G10, name[รหัสหน่วยงาน], name[กอง])</f>
        <v>กองประกันคุณภาพผลิตภัณฑ์ 1</v>
      </c>
    </row>
    <row r="11" ht="22.5" customHeight="1">
      <c r="A11" s="21" t="s">
        <v>56</v>
      </c>
      <c r="B11" s="23" t="s">
        <v>22</v>
      </c>
      <c r="C11" s="23" t="s">
        <v>46</v>
      </c>
      <c r="D11" s="23" t="s">
        <v>57</v>
      </c>
      <c r="G11" s="18" t="s">
        <v>66</v>
      </c>
      <c r="H11" s="18" t="s">
        <v>67</v>
      </c>
      <c r="I11" s="18" t="str">
        <f t="array" ref="I11">_xlfn.XLOOKUP(G11, name[รหัสหน่วยงาน], name[กอง])</f>
        <v>กองประกันคุณภาพผลิตภัณฑ์ 1</v>
      </c>
    </row>
    <row r="12" ht="22.5" customHeight="1">
      <c r="A12" s="11" t="s">
        <v>56</v>
      </c>
      <c r="B12" s="33" t="s">
        <v>22</v>
      </c>
      <c r="C12" s="33" t="s">
        <v>46</v>
      </c>
      <c r="D12" s="33" t="s">
        <v>57</v>
      </c>
      <c r="G12" s="18" t="s">
        <v>68</v>
      </c>
      <c r="H12" s="18" t="s">
        <v>69</v>
      </c>
      <c r="I12" s="18" t="str">
        <f t="array" ref="I12">_xlfn.XLOOKUP(G12, name[รหัสหน่วยงาน], name[กอง])</f>
        <v>กองประกันคุณภาพผลิตภัณฑ์ 1</v>
      </c>
    </row>
    <row r="13" ht="22.5" customHeight="1">
      <c r="A13" s="21" t="s">
        <v>56</v>
      </c>
      <c r="B13" s="23" t="s">
        <v>22</v>
      </c>
      <c r="C13" s="23" t="s">
        <v>46</v>
      </c>
      <c r="D13" s="23" t="s">
        <v>57</v>
      </c>
      <c r="G13" s="18" t="s">
        <v>70</v>
      </c>
      <c r="H13" s="18" t="s">
        <v>71</v>
      </c>
      <c r="I13" s="18" t="str">
        <f t="array" ref="I13">_xlfn.XLOOKUP(G13, name[รหัสหน่วยงาน], name[กอง])</f>
        <v>กองประกันคุณภาพผลิตภัณฑ์ 1</v>
      </c>
    </row>
    <row r="14" ht="22.5" customHeight="1">
      <c r="A14" s="11" t="s">
        <v>56</v>
      </c>
      <c r="B14" s="33" t="s">
        <v>22</v>
      </c>
      <c r="C14" s="33" t="s">
        <v>46</v>
      </c>
      <c r="D14" s="33" t="s">
        <v>57</v>
      </c>
      <c r="G14" s="18" t="s">
        <v>73</v>
      </c>
      <c r="H14" s="18" t="s">
        <v>74</v>
      </c>
      <c r="I14" s="18" t="str">
        <f t="array" ref="I14">_xlfn.XLOOKUP(G14, name[รหัสหน่วยงาน], name[กอง])</f>
        <v>กองบริหารงานระบบประกันคุณภาพ</v>
      </c>
    </row>
    <row r="15" ht="22.5" customHeight="1">
      <c r="A15" s="21" t="s">
        <v>56</v>
      </c>
      <c r="B15" s="23" t="s">
        <v>22</v>
      </c>
      <c r="C15" s="23" t="s">
        <v>46</v>
      </c>
      <c r="D15" s="23" t="s">
        <v>57</v>
      </c>
      <c r="G15" s="18" t="s">
        <v>76</v>
      </c>
      <c r="H15" s="18" t="s">
        <v>77</v>
      </c>
      <c r="I15" s="18" t="str">
        <f t="array" ref="I15">_xlfn.XLOOKUP(G15, name[รหัสหน่วยงาน], name[กอง])</f>
        <v>กองบริหารงานระบบประกันคุณภาพ</v>
      </c>
    </row>
    <row r="16" ht="22.5" customHeight="1">
      <c r="A16" s="11" t="s">
        <v>56</v>
      </c>
      <c r="B16" s="33" t="s">
        <v>22</v>
      </c>
      <c r="C16" s="33" t="s">
        <v>46</v>
      </c>
      <c r="D16" s="33" t="s">
        <v>57</v>
      </c>
      <c r="G16" s="18" t="s">
        <v>79</v>
      </c>
      <c r="H16" s="18" t="s">
        <v>80</v>
      </c>
      <c r="I16" s="18" t="str">
        <f t="array" ref="I16">_xlfn.XLOOKUP(G16, name[รหัสหน่วยงาน], name[กอง])</f>
        <v>กองบริหารงานระบบประกันคุณภาพ</v>
      </c>
    </row>
    <row r="17" ht="22.5" customHeight="1">
      <c r="A17" s="21" t="s">
        <v>56</v>
      </c>
      <c r="B17" s="23" t="s">
        <v>22</v>
      </c>
      <c r="C17" s="23" t="s">
        <v>46</v>
      </c>
      <c r="D17" s="23" t="s">
        <v>57</v>
      </c>
      <c r="G17" s="18" t="s">
        <v>82</v>
      </c>
      <c r="H17" s="18" t="s">
        <v>83</v>
      </c>
      <c r="I17" s="18" t="str">
        <f t="array" ref="I17">_xlfn.XLOOKUP(G17, name[รหัสหน่วยงาน], name[กอง])</f>
        <v>กองบริหารงานระบบประกันคุณภาพ</v>
      </c>
    </row>
    <row r="18" ht="22.5" customHeight="1">
      <c r="A18" s="11" t="s">
        <v>58</v>
      </c>
      <c r="B18" s="33" t="s">
        <v>22</v>
      </c>
      <c r="C18" s="33" t="s">
        <v>46</v>
      </c>
      <c r="D18" s="33" t="s">
        <v>59</v>
      </c>
      <c r="G18" s="18" t="s">
        <v>84</v>
      </c>
      <c r="H18" s="18" t="s">
        <v>85</v>
      </c>
      <c r="I18" s="18" t="str">
        <f t="array" ref="I18">_xlfn.XLOOKUP(G18, name[รหัสหน่วยงาน], name[กอง])</f>
        <v>กองมาตรฐานวัตถุดิบและบรรจุภัณฑ์</v>
      </c>
    </row>
    <row r="19" ht="22.5" customHeight="1">
      <c r="A19" s="21" t="s">
        <v>58</v>
      </c>
      <c r="B19" s="23" t="s">
        <v>22</v>
      </c>
      <c r="C19" s="23" t="s">
        <v>46</v>
      </c>
      <c r="D19" s="23" t="s">
        <v>59</v>
      </c>
      <c r="G19" s="18" t="s">
        <v>88</v>
      </c>
      <c r="H19" s="18" t="s">
        <v>89</v>
      </c>
      <c r="I19" s="18" t="str">
        <f t="array" ref="I19">_xlfn.XLOOKUP(G19, name[รหัสหน่วยงาน], name[กอง])</f>
        <v>กองมาตรฐานวัตถุดิบและบรรจุภัณฑ์</v>
      </c>
    </row>
    <row r="20" ht="22.5" customHeight="1">
      <c r="A20" s="11" t="s">
        <v>58</v>
      </c>
      <c r="B20" s="33" t="s">
        <v>22</v>
      </c>
      <c r="C20" s="33" t="s">
        <v>46</v>
      </c>
      <c r="D20" s="33" t="s">
        <v>59</v>
      </c>
      <c r="G20" s="18" t="s">
        <v>91</v>
      </c>
      <c r="H20" s="18" t="s">
        <v>92</v>
      </c>
      <c r="I20" s="18" t="str">
        <f t="array" ref="I20">_xlfn.XLOOKUP(G20, name[รหัสหน่วยงาน], name[กอง])</f>
        <v>กองมาตรฐานวัตถุดิบและบรรจุภัณฑ์</v>
      </c>
    </row>
    <row r="21" ht="22.5" customHeight="1">
      <c r="A21" s="21" t="s">
        <v>58</v>
      </c>
      <c r="B21" s="23" t="s">
        <v>22</v>
      </c>
      <c r="C21" s="23" t="s">
        <v>46</v>
      </c>
      <c r="D21" s="23" t="s">
        <v>59</v>
      </c>
      <c r="G21" s="18" t="s">
        <v>93</v>
      </c>
      <c r="H21" s="18" t="s">
        <v>94</v>
      </c>
      <c r="I21" s="18" t="str">
        <f t="array" ref="I21">_xlfn.XLOOKUP(G21, name[รหัสหน่วยงาน], name[กอง])</f>
        <v>กองมาตรฐานวัตถุดิบและบรรจุภัณฑ์</v>
      </c>
    </row>
    <row r="22" ht="22.5" customHeight="1">
      <c r="A22" s="11" t="s">
        <v>58</v>
      </c>
      <c r="B22" s="33" t="s">
        <v>22</v>
      </c>
      <c r="C22" s="33" t="s">
        <v>46</v>
      </c>
      <c r="D22" s="33" t="s">
        <v>59</v>
      </c>
      <c r="G22" s="18" t="s">
        <v>97</v>
      </c>
      <c r="H22" s="18" t="s">
        <v>98</v>
      </c>
      <c r="I22" s="18" t="str">
        <f t="array" ref="I22">_xlfn.XLOOKUP(G22, name[รหัสหน่วยงาน], name[กอง])</f>
        <v>กองมาตรฐานวัตถุดิบและบรรจุภัณฑ์</v>
      </c>
    </row>
    <row r="23" ht="22.5" customHeight="1">
      <c r="A23" s="21" t="s">
        <v>60</v>
      </c>
      <c r="B23" s="23" t="s">
        <v>22</v>
      </c>
      <c r="C23" s="23" t="s">
        <v>46</v>
      </c>
      <c r="D23" s="23" t="s">
        <v>61</v>
      </c>
      <c r="G23" s="18" t="s">
        <v>100</v>
      </c>
      <c r="H23" s="18" t="s">
        <v>101</v>
      </c>
      <c r="I23" s="18" t="str">
        <f t="array" ref="I23">_xlfn.XLOOKUP(G23, name[รหัสหน่วยงาน], name[กอง])</f>
        <v>กองมาตรฐานวัตถุดิบและบรรจุภัณฑ์</v>
      </c>
    </row>
    <row r="24" ht="22.5" customHeight="1">
      <c r="A24" s="11" t="s">
        <v>60</v>
      </c>
      <c r="B24" s="33" t="s">
        <v>22</v>
      </c>
      <c r="C24" s="33" t="s">
        <v>46</v>
      </c>
      <c r="D24" s="33" t="s">
        <v>61</v>
      </c>
      <c r="G24" s="18" t="s">
        <v>103</v>
      </c>
      <c r="H24" s="18" t="s">
        <v>104</v>
      </c>
      <c r="I24" s="18" t="str">
        <f t="array" ref="I24">_xlfn.XLOOKUP(G24, name[รหัสหน่วยงาน], name[กอง])</f>
        <v>กองตรวจสอบคุณภาพทางจุลชีววิทยา</v>
      </c>
    </row>
    <row r="25" ht="22.5" customHeight="1">
      <c r="A25" s="21" t="s">
        <v>60</v>
      </c>
      <c r="B25" s="23" t="s">
        <v>22</v>
      </c>
      <c r="C25" s="23" t="s">
        <v>46</v>
      </c>
      <c r="D25" s="23" t="s">
        <v>61</v>
      </c>
      <c r="G25" s="18" t="s">
        <v>106</v>
      </c>
      <c r="H25" s="18" t="s">
        <v>107</v>
      </c>
      <c r="I25" s="18" t="str">
        <f t="array" ref="I25">_xlfn.XLOOKUP(G25, name[รหัสหน่วยงาน], name[กอง])</f>
        <v>กองตรวจสอบคุณภาพทางจุลชีววิทยา</v>
      </c>
    </row>
    <row r="26" ht="22.5" customHeight="1">
      <c r="A26" s="11" t="s">
        <v>60</v>
      </c>
      <c r="B26" s="33" t="s">
        <v>22</v>
      </c>
      <c r="C26" s="33" t="s">
        <v>46</v>
      </c>
      <c r="D26" s="33" t="s">
        <v>61</v>
      </c>
      <c r="G26" s="18" t="s">
        <v>109</v>
      </c>
      <c r="H26" s="18" t="s">
        <v>110</v>
      </c>
      <c r="I26" s="18" t="str">
        <f t="array" ref="I26">_xlfn.XLOOKUP(G26, name[รหัสหน่วยงาน], name[กอง])</f>
        <v>กองตรวจสอบคุณภาพทางจุลชีววิทยา</v>
      </c>
    </row>
    <row r="27" ht="22.5" customHeight="1">
      <c r="A27" s="21" t="s">
        <v>60</v>
      </c>
      <c r="B27" s="23" t="s">
        <v>22</v>
      </c>
      <c r="C27" s="23" t="s">
        <v>46</v>
      </c>
      <c r="D27" s="23" t="s">
        <v>61</v>
      </c>
      <c r="G27" s="18" t="s">
        <v>112</v>
      </c>
      <c r="H27" s="18" t="s">
        <v>113</v>
      </c>
      <c r="I27" s="18" t="str">
        <f t="array" ref="I27">_xlfn.XLOOKUP(G27, name[รหัสหน่วยงาน], name[กอง])</f>
        <v>กองตรวจสอบคุณภาพทางจุลชีววิทยา</v>
      </c>
    </row>
    <row r="28" ht="22.5" customHeight="1">
      <c r="A28" s="11" t="s">
        <v>60</v>
      </c>
      <c r="B28" s="33" t="s">
        <v>22</v>
      </c>
      <c r="C28" s="33" t="s">
        <v>46</v>
      </c>
      <c r="D28" s="33" t="s">
        <v>61</v>
      </c>
      <c r="G28" s="18" t="s">
        <v>114</v>
      </c>
      <c r="H28" s="18" t="s">
        <v>115</v>
      </c>
      <c r="I28" s="18" t="str">
        <f t="array" ref="I28">_xlfn.XLOOKUP(G28, name[รหัสหน่วยงาน], name[กอง])</f>
        <v>กองตรวจสอบคุณภาพผลิตภัณฑ์</v>
      </c>
    </row>
    <row r="29" ht="22.5" customHeight="1">
      <c r="A29" s="21" t="s">
        <v>60</v>
      </c>
      <c r="B29" s="23" t="s">
        <v>22</v>
      </c>
      <c r="C29" s="23" t="s">
        <v>46</v>
      </c>
      <c r="D29" s="23" t="s">
        <v>61</v>
      </c>
      <c r="G29" s="18" t="s">
        <v>117</v>
      </c>
      <c r="H29" s="18" t="s">
        <v>118</v>
      </c>
      <c r="I29" s="18" t="str">
        <f t="array" ref="I29">_xlfn.XLOOKUP(G29, name[รหัสหน่วยงาน], name[กอง])</f>
        <v>กองตรวจสอบคุณภาพผลิตภัณฑ์</v>
      </c>
    </row>
    <row r="30" ht="22.5" customHeight="1">
      <c r="A30" s="11" t="s">
        <v>60</v>
      </c>
      <c r="B30" s="33" t="s">
        <v>22</v>
      </c>
      <c r="C30" s="33" t="s">
        <v>46</v>
      </c>
      <c r="D30" s="33" t="s">
        <v>61</v>
      </c>
      <c r="G30" s="18" t="s">
        <v>121</v>
      </c>
      <c r="H30" s="18" t="s">
        <v>122</v>
      </c>
      <c r="I30" s="18" t="str">
        <f t="array" ref="I30">_xlfn.XLOOKUP(G30, name[รหัสหน่วยงาน], name[กอง])</f>
        <v>กองตรวจสอบคุณภาพผลิตภัณฑ์</v>
      </c>
    </row>
    <row r="31" ht="22.5" customHeight="1">
      <c r="A31" s="21" t="s">
        <v>62</v>
      </c>
      <c r="B31" s="23" t="s">
        <v>22</v>
      </c>
      <c r="C31" s="23" t="s">
        <v>63</v>
      </c>
      <c r="D31" s="25"/>
      <c r="G31" s="18" t="s">
        <v>124</v>
      </c>
      <c r="H31" s="18" t="s">
        <v>125</v>
      </c>
      <c r="I31" s="18" t="str">
        <f t="array" ref="I31">_xlfn.XLOOKUP(G31, name[รหัสหน่วยงาน], name[กอง])</f>
        <v>กองตรวจสอบคุณภาพผลิตภัณฑ์</v>
      </c>
    </row>
    <row r="32" ht="22.5" customHeight="1">
      <c r="A32" s="11" t="s">
        <v>64</v>
      </c>
      <c r="B32" s="33" t="s">
        <v>22</v>
      </c>
      <c r="C32" s="33" t="s">
        <v>63</v>
      </c>
      <c r="D32" s="33" t="s">
        <v>65</v>
      </c>
      <c r="G32" s="18" t="s">
        <v>126</v>
      </c>
      <c r="H32" s="18" t="s">
        <v>128</v>
      </c>
      <c r="I32" s="18" t="str">
        <f t="array" ref="I32">_xlfn.XLOOKUP(G32, name[รหัสหน่วยงาน], name[กอง])</f>
        <v>กองตรวจสอบคุณภาพผลิตภัณฑ์</v>
      </c>
    </row>
    <row r="33" ht="22.5" customHeight="1">
      <c r="A33" s="21" t="s">
        <v>64</v>
      </c>
      <c r="B33" s="23" t="s">
        <v>22</v>
      </c>
      <c r="C33" s="23" t="s">
        <v>63</v>
      </c>
      <c r="D33" s="23" t="s">
        <v>65</v>
      </c>
      <c r="G33" s="18" t="s">
        <v>130</v>
      </c>
      <c r="H33" s="18" t="s">
        <v>131</v>
      </c>
      <c r="I33" s="18" t="str">
        <f t="array" ref="I33">_xlfn.XLOOKUP(G33, name[รหัสหน่วยงาน], name[กอง])</f>
        <v>กองตรวจสอบคุณภาพผลิตภัณฑ์</v>
      </c>
    </row>
    <row r="34" ht="22.5" customHeight="1">
      <c r="A34" s="11" t="s">
        <v>64</v>
      </c>
      <c r="B34" s="33" t="s">
        <v>22</v>
      </c>
      <c r="C34" s="33" t="s">
        <v>63</v>
      </c>
      <c r="D34" s="33" t="s">
        <v>65</v>
      </c>
      <c r="G34" s="18" t="s">
        <v>133</v>
      </c>
      <c r="H34" s="18" t="s">
        <v>134</v>
      </c>
      <c r="I34" s="18" t="str">
        <f t="array" ref="I34">_xlfn.XLOOKUP(G34, name[รหัสหน่วยงาน], name[กอง])</f>
        <v>กองบริหารคุณภาพผลิตภัณฑ์ผู้ผลิตอื่น</v>
      </c>
    </row>
    <row r="35" ht="22.5" customHeight="1">
      <c r="A35" s="21" t="s">
        <v>64</v>
      </c>
      <c r="B35" s="23" t="s">
        <v>22</v>
      </c>
      <c r="C35" s="23" t="s">
        <v>63</v>
      </c>
      <c r="D35" s="23" t="s">
        <v>65</v>
      </c>
      <c r="G35" s="18" t="s">
        <v>136</v>
      </c>
      <c r="H35" s="18" t="s">
        <v>137</v>
      </c>
      <c r="I35" s="18" t="str">
        <f t="array" ref="I35">_xlfn.XLOOKUP(G35, name[รหัสหน่วยงาน], name[กอง])</f>
        <v>กองบริหารคุณภาพผลิตภัณฑ์ผู้ผลิตอื่น</v>
      </c>
    </row>
    <row r="36" ht="22.5" customHeight="1">
      <c r="A36" s="11" t="s">
        <v>64</v>
      </c>
      <c r="B36" s="33" t="s">
        <v>22</v>
      </c>
      <c r="C36" s="33" t="s">
        <v>63</v>
      </c>
      <c r="D36" s="33" t="s">
        <v>65</v>
      </c>
      <c r="G36" s="18" t="s">
        <v>139</v>
      </c>
      <c r="H36" s="18" t="s">
        <v>140</v>
      </c>
      <c r="I36" s="18" t="str">
        <f t="array" ref="I36">_xlfn.XLOOKUP(G36, name[รหัสหน่วยงาน], name[กอง])</f>
        <v>กองบริหารคุณภาพผลิตภัณฑ์ผู้ผลิตอื่น</v>
      </c>
    </row>
    <row r="37" ht="22.5" customHeight="1">
      <c r="A37" s="21" t="s">
        <v>64</v>
      </c>
      <c r="B37" s="23" t="s">
        <v>22</v>
      </c>
      <c r="C37" s="23" t="s">
        <v>63</v>
      </c>
      <c r="D37" s="23" t="s">
        <v>65</v>
      </c>
      <c r="G37" s="18" t="s">
        <v>141</v>
      </c>
      <c r="H37" s="18" t="s">
        <v>142</v>
      </c>
      <c r="I37" s="18" t="str">
        <f t="array" ref="I37">_xlfn.XLOOKUP(G37, name[รหัสหน่วยงาน], name[กอง])</f>
        <v>กองบริหารคุณภาพผลิตภัณฑ์ผู้ผลิตอื่น</v>
      </c>
    </row>
    <row r="38" ht="22.5" customHeight="1">
      <c r="A38" s="11" t="s">
        <v>66</v>
      </c>
      <c r="B38" s="33" t="s">
        <v>22</v>
      </c>
      <c r="C38" s="33" t="s">
        <v>63</v>
      </c>
      <c r="D38" s="33" t="s">
        <v>67</v>
      </c>
      <c r="G38" s="18" t="s">
        <v>143</v>
      </c>
      <c r="H38" s="18" t="s">
        <v>144</v>
      </c>
      <c r="I38" s="18" t="str">
        <f t="array" ref="I38">_xlfn.XLOOKUP(G38, name[รหัสหน่วยงาน], name[กอง])</f>
        <v>กองการประกันคุณภาพพระราม 6</v>
      </c>
    </row>
    <row r="39" ht="22.5" customHeight="1">
      <c r="A39" s="21" t="s">
        <v>66</v>
      </c>
      <c r="B39" s="23" t="s">
        <v>22</v>
      </c>
      <c r="C39" s="23" t="s">
        <v>63</v>
      </c>
      <c r="D39" s="23" t="s">
        <v>67</v>
      </c>
      <c r="G39" s="18" t="s">
        <v>145</v>
      </c>
      <c r="H39" s="18" t="s">
        <v>147</v>
      </c>
      <c r="I39" s="18" t="str">
        <f t="array" ref="I39">_xlfn.XLOOKUP(G39, name[รหัสหน่วยงาน], name[กอง])</f>
        <v>กองการประกันคุณภาพพระราม 6</v>
      </c>
    </row>
    <row r="40" ht="22.5" customHeight="1">
      <c r="A40" s="11" t="s">
        <v>66</v>
      </c>
      <c r="B40" s="33" t="s">
        <v>22</v>
      </c>
      <c r="C40" s="33" t="s">
        <v>63</v>
      </c>
      <c r="D40" s="33" t="s">
        <v>67</v>
      </c>
      <c r="G40" s="18" t="s">
        <v>148</v>
      </c>
      <c r="H40" s="18" t="s">
        <v>149</v>
      </c>
      <c r="I40" s="18" t="str">
        <f t="array" ref="I40">_xlfn.XLOOKUP(G40, name[รหัสหน่วยงาน], name[กอง])</f>
        <v>กองการประกันคุณภาพพระราม 6</v>
      </c>
    </row>
    <row r="41" ht="22.5" customHeight="1">
      <c r="A41" s="21" t="s">
        <v>66</v>
      </c>
      <c r="B41" s="23" t="s">
        <v>22</v>
      </c>
      <c r="C41" s="23" t="s">
        <v>63</v>
      </c>
      <c r="D41" s="23" t="s">
        <v>67</v>
      </c>
      <c r="G41" s="18" t="s">
        <v>150</v>
      </c>
      <c r="H41" s="18" t="s">
        <v>151</v>
      </c>
      <c r="I41" s="18" t="str">
        <f t="array" ref="I41">_xlfn.XLOOKUP(G41, name[รหัสหน่วยงาน], name[กอง])</f>
        <v>กองการประกันคุณภาพพระราม 6</v>
      </c>
    </row>
    <row r="42" ht="22.5" customHeight="1">
      <c r="A42" s="11" t="s">
        <v>68</v>
      </c>
      <c r="B42" s="33" t="s">
        <v>22</v>
      </c>
      <c r="C42" s="33" t="s">
        <v>63</v>
      </c>
      <c r="D42" s="33" t="s">
        <v>69</v>
      </c>
      <c r="G42" s="18" t="s">
        <v>152</v>
      </c>
      <c r="H42" s="18" t="s">
        <v>153</v>
      </c>
      <c r="I42" s="18" t="str">
        <f t="array" ref="I42">_xlfn.XLOOKUP(G42, name[รหัสหน่วยงาน], name[กอง])</f>
        <v>กองการประกันคุณภาพสมุนไพรและเภสัชเคมีภัณฑ์</v>
      </c>
    </row>
    <row r="43" ht="22.5" customHeight="1">
      <c r="A43" s="21" t="s">
        <v>68</v>
      </c>
      <c r="B43" s="23" t="s">
        <v>22</v>
      </c>
      <c r="C43" s="23" t="s">
        <v>63</v>
      </c>
      <c r="D43" s="23" t="s">
        <v>69</v>
      </c>
      <c r="G43" s="18" t="s">
        <v>154</v>
      </c>
      <c r="H43" s="18" t="s">
        <v>155</v>
      </c>
      <c r="I43" s="18" t="str">
        <f t="array" ref="I43">_xlfn.XLOOKUP(G43, name[รหัสหน่วยงาน], name[กอง])</f>
        <v>กองการประกันคุณภาพสมุนไพรและเภสัชเคมีภัณฑ์</v>
      </c>
    </row>
    <row r="44" ht="22.5" customHeight="1">
      <c r="A44" s="11" t="s">
        <v>68</v>
      </c>
      <c r="B44" s="33" t="s">
        <v>22</v>
      </c>
      <c r="C44" s="33" t="s">
        <v>63</v>
      </c>
      <c r="D44" s="33" t="s">
        <v>69</v>
      </c>
      <c r="G44" s="18" t="s">
        <v>156</v>
      </c>
      <c r="H44" s="18" t="s">
        <v>157</v>
      </c>
      <c r="I44" s="18" t="str">
        <f t="array" ref="I44">_xlfn.XLOOKUP(G44, name[รหัสหน่วยงาน], name[กอง])</f>
        <v>กองการประกันคุณภาพสมุนไพรและเภสัชเคมีภัณฑ์</v>
      </c>
    </row>
    <row r="45" ht="22.5" customHeight="1">
      <c r="A45" s="21" t="s">
        <v>68</v>
      </c>
      <c r="B45" s="23" t="s">
        <v>22</v>
      </c>
      <c r="C45" s="23" t="s">
        <v>63</v>
      </c>
      <c r="D45" s="23" t="s">
        <v>69</v>
      </c>
      <c r="G45" s="18" t="s">
        <v>158</v>
      </c>
      <c r="H45" s="18" t="s">
        <v>159</v>
      </c>
      <c r="I45" s="18" t="str">
        <f t="array" ref="I45">_xlfn.XLOOKUP(G45, name[รหัสหน่วยงาน], name[กอง])</f>
        <v>กองการประกันคุณภาพสมุนไพรและเภสัชเคมีภัณฑ์</v>
      </c>
    </row>
    <row r="46" ht="22.5" customHeight="1">
      <c r="A46" s="11" t="s">
        <v>68</v>
      </c>
      <c r="B46" s="33" t="s">
        <v>22</v>
      </c>
      <c r="C46" s="33" t="s">
        <v>63</v>
      </c>
      <c r="D46" s="33" t="s">
        <v>69</v>
      </c>
      <c r="G46" s="18" t="s">
        <v>160</v>
      </c>
      <c r="H46" s="18" t="s">
        <v>161</v>
      </c>
      <c r="I46" s="18" t="str">
        <f t="array" ref="I46">_xlfn.XLOOKUP(G46, name[รหัสหน่วยงาน], name[กอง])</f>
        <v>กองการประกันคุณภาพสมุนไพรและเภสัชเคมีภัณฑ์</v>
      </c>
    </row>
    <row r="47" ht="22.5" customHeight="1">
      <c r="A47" s="21" t="s">
        <v>68</v>
      </c>
      <c r="B47" s="23" t="s">
        <v>22</v>
      </c>
      <c r="C47" s="23" t="s">
        <v>63</v>
      </c>
      <c r="D47" s="23" t="s">
        <v>69</v>
      </c>
      <c r="G47" s="18" t="s">
        <v>163</v>
      </c>
      <c r="H47" s="18" t="s">
        <v>164</v>
      </c>
      <c r="I47" s="18" t="str">
        <f t="array" ref="I47">_xlfn.XLOOKUP(G47, name[รหัสหน่วยงาน], name[กอง])</f>
        <v>กองการประกันคุณภาพวัคซีน</v>
      </c>
    </row>
    <row r="48" ht="22.5" customHeight="1">
      <c r="A48" s="11" t="s">
        <v>68</v>
      </c>
      <c r="B48" s="33" t="s">
        <v>22</v>
      </c>
      <c r="C48" s="33" t="s">
        <v>63</v>
      </c>
      <c r="D48" s="33" t="s">
        <v>69</v>
      </c>
      <c r="G48" s="18" t="s">
        <v>166</v>
      </c>
      <c r="H48" s="18" t="s">
        <v>167</v>
      </c>
      <c r="I48" s="18" t="str">
        <f t="array" ref="I48">_xlfn.XLOOKUP(G48, name[รหัสหน่วยงาน], name[กอง])</f>
        <v>กองการประกันคุณภาพวัคซีน</v>
      </c>
    </row>
    <row r="49" ht="22.5" customHeight="1">
      <c r="A49" s="21" t="s">
        <v>68</v>
      </c>
      <c r="B49" s="23" t="s">
        <v>22</v>
      </c>
      <c r="C49" s="23" t="s">
        <v>63</v>
      </c>
      <c r="D49" s="23" t="s">
        <v>69</v>
      </c>
      <c r="G49" s="18" t="s">
        <v>169</v>
      </c>
      <c r="H49" s="18" t="s">
        <v>170</v>
      </c>
      <c r="I49" s="18" t="str">
        <f t="array" ref="I49">_xlfn.XLOOKUP(G49, name[รหัสหน่วยงาน], name[กอง])</f>
        <v>กองการประกันคุณภาพวัคซีน</v>
      </c>
    </row>
    <row r="50" ht="22.5" customHeight="1">
      <c r="A50" s="11" t="s">
        <v>70</v>
      </c>
      <c r="B50" s="33" t="s">
        <v>22</v>
      </c>
      <c r="C50" s="33" t="s">
        <v>63</v>
      </c>
      <c r="D50" s="33" t="s">
        <v>71</v>
      </c>
      <c r="G50" s="18" t="s">
        <v>172</v>
      </c>
      <c r="H50" s="18" t="s">
        <v>173</v>
      </c>
      <c r="I50" s="18" t="str">
        <f t="array" ref="I50">_xlfn.XLOOKUP(G50, name[รหัสหน่วยงาน], name[กอง])</f>
        <v>กองการประกันคุณภาพวัคซีน</v>
      </c>
    </row>
    <row r="51" ht="22.5" customHeight="1">
      <c r="A51" s="21" t="s">
        <v>70</v>
      </c>
      <c r="B51" s="23" t="s">
        <v>22</v>
      </c>
      <c r="C51" s="23" t="s">
        <v>63</v>
      </c>
      <c r="D51" s="23" t="s">
        <v>71</v>
      </c>
      <c r="G51" s="18" t="s">
        <v>175</v>
      </c>
      <c r="H51" s="18" t="s">
        <v>176</v>
      </c>
      <c r="I51" s="18" t="str">
        <f t="array" ref="I51">_xlfn.XLOOKUP(G51, name[รหัสหน่วยงาน], name[กอง])</f>
        <v>กองการประกันคุณภาพวัคซีน</v>
      </c>
    </row>
    <row r="52" ht="22.5" customHeight="1">
      <c r="A52" s="11" t="s">
        <v>70</v>
      </c>
      <c r="B52" s="33" t="s">
        <v>22</v>
      </c>
      <c r="C52" s="33" t="s">
        <v>63</v>
      </c>
      <c r="D52" s="33" t="s">
        <v>71</v>
      </c>
      <c r="G52" s="18" t="s">
        <v>177</v>
      </c>
      <c r="H52" s="18" t="s">
        <v>178</v>
      </c>
      <c r="I52" s="18" t="str">
        <f t="array" ref="I52">_xlfn.XLOOKUP(G52, name[รหัสหน่วยงาน], name[กอง])</f>
        <v>กองตรวจสอบความถูกต้องระบบผลิต</v>
      </c>
    </row>
    <row r="53" ht="22.5" customHeight="1">
      <c r="A53" s="21" t="s">
        <v>73</v>
      </c>
      <c r="B53" s="23" t="s">
        <v>22</v>
      </c>
      <c r="C53" s="23" t="s">
        <v>74</v>
      </c>
      <c r="D53" s="25"/>
      <c r="G53" s="18" t="s">
        <v>179</v>
      </c>
      <c r="H53" s="18" t="s">
        <v>180</v>
      </c>
      <c r="I53" s="18" t="str">
        <f t="array" ref="I53">_xlfn.XLOOKUP(G53, name[รหัสหน่วยงาน], name[กอง])</f>
        <v>กองตรวจสอบความถูกต้องระบบผลิต</v>
      </c>
    </row>
    <row r="54" ht="22.5" customHeight="1">
      <c r="A54" s="11" t="s">
        <v>76</v>
      </c>
      <c r="B54" s="33" t="s">
        <v>22</v>
      </c>
      <c r="C54" s="33" t="s">
        <v>74</v>
      </c>
      <c r="D54" s="33" t="s">
        <v>77</v>
      </c>
      <c r="G54" s="18" t="s">
        <v>181</v>
      </c>
      <c r="H54" s="18" t="s">
        <v>182</v>
      </c>
      <c r="I54" s="18" t="str">
        <f t="array" ref="I54">_xlfn.XLOOKUP(G54, name[รหัสหน่วยงาน], name[กอง])</f>
        <v>กองตรวจสอบความถูกต้องระบบผลิต</v>
      </c>
    </row>
    <row r="55" ht="22.5" customHeight="1">
      <c r="A55" s="21" t="s">
        <v>76</v>
      </c>
      <c r="B55" s="23" t="s">
        <v>22</v>
      </c>
      <c r="C55" s="23" t="s">
        <v>74</v>
      </c>
      <c r="D55" s="23" t="s">
        <v>77</v>
      </c>
      <c r="G55" s="18" t="s">
        <v>183</v>
      </c>
      <c r="H55" s="18" t="s">
        <v>184</v>
      </c>
      <c r="I55" s="18" t="str">
        <f t="array" ref="I55">_xlfn.XLOOKUP(G55, name[รหัสหน่วยงาน], name[กอง])</f>
        <v>กองประกันคุณภาพผลิตภัณฑ์ 2</v>
      </c>
    </row>
    <row r="56" ht="22.5" customHeight="1">
      <c r="A56" s="11" t="s">
        <v>76</v>
      </c>
      <c r="B56" s="33" t="s">
        <v>22</v>
      </c>
      <c r="C56" s="33" t="s">
        <v>74</v>
      </c>
      <c r="D56" s="33" t="s">
        <v>77</v>
      </c>
      <c r="G56" s="18" t="s">
        <v>185</v>
      </c>
      <c r="H56" s="18" t="s">
        <v>186</v>
      </c>
      <c r="I56" s="18" t="str">
        <f t="array" ref="I56">_xlfn.XLOOKUP(G56, name[รหัสหน่วยงาน], name[กอง])</f>
        <v>กองประกันคุณภาพผลิตภัณฑ์ 2</v>
      </c>
    </row>
    <row r="57" ht="22.5" customHeight="1">
      <c r="A57" s="21" t="s">
        <v>76</v>
      </c>
      <c r="B57" s="23" t="s">
        <v>22</v>
      </c>
      <c r="C57" s="23" t="s">
        <v>74</v>
      </c>
      <c r="D57" s="23" t="s">
        <v>77</v>
      </c>
      <c r="G57" s="18" t="s">
        <v>188</v>
      </c>
      <c r="H57" s="18" t="s">
        <v>189</v>
      </c>
      <c r="I57" s="18" t="str">
        <f t="array" ref="I57">_xlfn.XLOOKUP(G57, name[รหัสหน่วยงาน], name[กอง])</f>
        <v>กองประกันคุณภาพผลิตภัณฑ์ 2</v>
      </c>
    </row>
    <row r="58" ht="22.5" customHeight="1">
      <c r="A58" s="11" t="s">
        <v>76</v>
      </c>
      <c r="B58" s="33" t="s">
        <v>22</v>
      </c>
      <c r="C58" s="33" t="s">
        <v>74</v>
      </c>
      <c r="D58" s="33" t="s">
        <v>77</v>
      </c>
      <c r="G58" s="18" t="s">
        <v>192</v>
      </c>
      <c r="H58" s="18" t="s">
        <v>193</v>
      </c>
      <c r="I58" s="18" t="str">
        <f t="array" ref="I58">_xlfn.XLOOKUP(G58, name[รหัสหน่วยงาน], name[กอง])</f>
        <v>กองประกันคุณภาพผลิตภัณฑ์ 2</v>
      </c>
    </row>
    <row r="59" ht="22.5" customHeight="1">
      <c r="A59" s="21" t="s">
        <v>76</v>
      </c>
      <c r="B59" s="23" t="s">
        <v>22</v>
      </c>
      <c r="C59" s="23" t="s">
        <v>74</v>
      </c>
      <c r="D59" s="23" t="s">
        <v>77</v>
      </c>
      <c r="G59" s="18" t="s">
        <v>195</v>
      </c>
      <c r="H59" s="18" t="s">
        <v>196</v>
      </c>
      <c r="I59" s="18" t="str">
        <f t="array" ref="I59">_xlfn.XLOOKUP(G59, name[รหัสหน่วยงาน], name[กอง])</f>
        <v>กองประกันคุณภาพผลิตภัณฑ์ 2</v>
      </c>
    </row>
    <row r="60" ht="22.5" customHeight="1">
      <c r="A60" s="11" t="s">
        <v>76</v>
      </c>
      <c r="B60" s="33" t="s">
        <v>22</v>
      </c>
      <c r="C60" s="33" t="s">
        <v>74</v>
      </c>
      <c r="D60" s="33" t="s">
        <v>77</v>
      </c>
      <c r="G60" s="18" t="s">
        <v>197</v>
      </c>
      <c r="H60" s="18" t="s">
        <v>198</v>
      </c>
      <c r="I60" s="18" t="str">
        <f t="array" ref="I60">_xlfn.XLOOKUP(G60, name[รหัสหน่วยงาน], name[กอง])</f>
        <v>กองการควบคุมคุณภาพ 1</v>
      </c>
    </row>
    <row r="61" ht="22.5" customHeight="1">
      <c r="A61" s="21" t="s">
        <v>76</v>
      </c>
      <c r="B61" s="23" t="s">
        <v>22</v>
      </c>
      <c r="C61" s="23" t="s">
        <v>74</v>
      </c>
      <c r="D61" s="23" t="s">
        <v>77</v>
      </c>
      <c r="G61" s="18" t="s">
        <v>199</v>
      </c>
      <c r="H61" s="18" t="s">
        <v>200</v>
      </c>
      <c r="I61" s="18" t="str">
        <f t="array" ref="I61">_xlfn.XLOOKUP(G61, name[รหัสหน่วยงาน], name[กอง])</f>
        <v>กองการควบคุมคุณภาพ 1</v>
      </c>
    </row>
    <row r="62" ht="22.5" customHeight="1">
      <c r="A62" s="11" t="s">
        <v>76</v>
      </c>
      <c r="B62" s="33" t="s">
        <v>22</v>
      </c>
      <c r="C62" s="33" t="s">
        <v>74</v>
      </c>
      <c r="D62" s="33" t="s">
        <v>77</v>
      </c>
      <c r="G62" s="18" t="s">
        <v>201</v>
      </c>
      <c r="H62" s="18" t="s">
        <v>202</v>
      </c>
      <c r="I62" s="18" t="str">
        <f t="array" ref="I62">_xlfn.XLOOKUP(G62, name[รหัสหน่วยงาน], name[กอง])</f>
        <v>กองการควบคุมคุณภาพ 1</v>
      </c>
    </row>
    <row r="63" ht="22.5" customHeight="1">
      <c r="A63" s="21" t="s">
        <v>76</v>
      </c>
      <c r="B63" s="23" t="s">
        <v>22</v>
      </c>
      <c r="C63" s="23" t="s">
        <v>74</v>
      </c>
      <c r="D63" s="23" t="s">
        <v>77</v>
      </c>
      <c r="G63" s="18" t="s">
        <v>203</v>
      </c>
      <c r="H63" s="18" t="s">
        <v>204</v>
      </c>
      <c r="I63" s="18" t="str">
        <f t="array" ref="I63">_xlfn.XLOOKUP(G63, name[รหัสหน่วยงาน], name[กอง])</f>
        <v>กองการควบคุมคุณภาพ 1</v>
      </c>
    </row>
    <row r="64" ht="22.5" customHeight="1">
      <c r="A64" s="11" t="s">
        <v>79</v>
      </c>
      <c r="B64" s="33" t="s">
        <v>22</v>
      </c>
      <c r="C64" s="33" t="s">
        <v>74</v>
      </c>
      <c r="D64" s="33" t="s">
        <v>80</v>
      </c>
      <c r="G64" s="18" t="s">
        <v>205</v>
      </c>
      <c r="H64" s="18" t="s">
        <v>206</v>
      </c>
      <c r="I64" s="18" t="str">
        <f t="array" ref="I64">_xlfn.XLOOKUP(G64, name[รหัสหน่วยงาน], name[กอง])</f>
        <v>กองการควบคุมคุณภาพ 2</v>
      </c>
    </row>
    <row r="65" ht="22.5" customHeight="1">
      <c r="A65" s="21" t="s">
        <v>79</v>
      </c>
      <c r="B65" s="23" t="s">
        <v>22</v>
      </c>
      <c r="C65" s="23" t="s">
        <v>74</v>
      </c>
      <c r="D65" s="23" t="s">
        <v>80</v>
      </c>
      <c r="G65" s="18" t="s">
        <v>207</v>
      </c>
      <c r="H65" s="18" t="s">
        <v>208</v>
      </c>
      <c r="I65" s="18" t="str">
        <f t="array" ref="I65">_xlfn.XLOOKUP(G65, name[รหัสหน่วยงาน], name[กอง])</f>
        <v>กองการควบคุมคุณภาพ 2</v>
      </c>
    </row>
    <row r="66" ht="22.5" customHeight="1">
      <c r="A66" s="11" t="s">
        <v>79</v>
      </c>
      <c r="B66" s="33" t="s">
        <v>22</v>
      </c>
      <c r="C66" s="33" t="s">
        <v>74</v>
      </c>
      <c r="D66" s="33" t="s">
        <v>80</v>
      </c>
      <c r="G66" s="18" t="s">
        <v>210</v>
      </c>
      <c r="H66" s="18" t="s">
        <v>211</v>
      </c>
      <c r="I66" s="18" t="str">
        <f t="array" ref="I66">_xlfn.XLOOKUP(G66, name[รหัสหน่วยงาน], name[กอง])</f>
        <v>กองการควบคุมคุณภาพ 2</v>
      </c>
    </row>
    <row r="67" ht="22.5" customHeight="1">
      <c r="A67" s="21" t="s">
        <v>79</v>
      </c>
      <c r="B67" s="23" t="s">
        <v>22</v>
      </c>
      <c r="C67" s="23" t="s">
        <v>74</v>
      </c>
      <c r="D67" s="23" t="s">
        <v>80</v>
      </c>
      <c r="G67" s="18" t="s">
        <v>212</v>
      </c>
      <c r="H67" s="18" t="s">
        <v>213</v>
      </c>
      <c r="I67" s="18" t="str">
        <f t="array" ref="I67">_xlfn.XLOOKUP(G67, name[รหัสหน่วยงาน], name[กอง])</f>
        <v>กองการควบคุมคุณภาพ 2</v>
      </c>
    </row>
    <row r="68" ht="22.5" customHeight="1">
      <c r="A68" s="11" t="s">
        <v>79</v>
      </c>
      <c r="B68" s="33" t="s">
        <v>22</v>
      </c>
      <c r="C68" s="33" t="s">
        <v>74</v>
      </c>
      <c r="D68" s="33" t="s">
        <v>80</v>
      </c>
      <c r="G68" s="18" t="s">
        <v>214</v>
      </c>
      <c r="H68" s="18" t="s">
        <v>215</v>
      </c>
      <c r="I68" s="18" t="str">
        <f t="array" ref="I68">_xlfn.XLOOKUP(G68, name[รหัสหน่วยงาน], name[กอง])</f>
        <v>กองการควบคุมคุณภาพ 2</v>
      </c>
    </row>
    <row r="69" ht="22.5" customHeight="1">
      <c r="A69" s="21" t="s">
        <v>79</v>
      </c>
      <c r="B69" s="23" t="s">
        <v>22</v>
      </c>
      <c r="C69" s="23" t="s">
        <v>74</v>
      </c>
      <c r="D69" s="23" t="s">
        <v>80</v>
      </c>
      <c r="G69" s="18"/>
    </row>
    <row r="70" ht="22.5" customHeight="1">
      <c r="A70" s="11" t="s">
        <v>79</v>
      </c>
      <c r="B70" s="33" t="s">
        <v>22</v>
      </c>
      <c r="C70" s="33" t="s">
        <v>74</v>
      </c>
      <c r="D70" s="33" t="s">
        <v>80</v>
      </c>
    </row>
    <row r="71" ht="22.5" customHeight="1">
      <c r="A71" s="21" t="s">
        <v>79</v>
      </c>
      <c r="B71" s="23" t="s">
        <v>22</v>
      </c>
      <c r="C71" s="23" t="s">
        <v>74</v>
      </c>
      <c r="D71" s="23" t="s">
        <v>80</v>
      </c>
    </row>
    <row r="72" ht="22.5" customHeight="1">
      <c r="A72" s="11" t="s">
        <v>79</v>
      </c>
      <c r="B72" s="33" t="s">
        <v>22</v>
      </c>
      <c r="C72" s="33" t="s">
        <v>74</v>
      </c>
      <c r="D72" s="33" t="s">
        <v>80</v>
      </c>
    </row>
    <row r="73" ht="22.5" customHeight="1">
      <c r="A73" s="21" t="s">
        <v>82</v>
      </c>
      <c r="B73" s="23" t="s">
        <v>22</v>
      </c>
      <c r="C73" s="23" t="s">
        <v>74</v>
      </c>
      <c r="D73" s="23" t="s">
        <v>83</v>
      </c>
    </row>
    <row r="74" ht="22.5" customHeight="1">
      <c r="A74" s="11" t="s">
        <v>82</v>
      </c>
      <c r="B74" s="33" t="s">
        <v>22</v>
      </c>
      <c r="C74" s="33" t="s">
        <v>74</v>
      </c>
      <c r="D74" s="33" t="s">
        <v>83</v>
      </c>
    </row>
    <row r="75" ht="22.5" customHeight="1">
      <c r="A75" s="21" t="s">
        <v>82</v>
      </c>
      <c r="B75" s="23" t="s">
        <v>22</v>
      </c>
      <c r="C75" s="23" t="s">
        <v>74</v>
      </c>
      <c r="D75" s="23" t="s">
        <v>83</v>
      </c>
    </row>
    <row r="76" ht="22.5" customHeight="1">
      <c r="A76" s="11" t="s">
        <v>82</v>
      </c>
      <c r="B76" s="33" t="s">
        <v>22</v>
      </c>
      <c r="C76" s="33" t="s">
        <v>74</v>
      </c>
      <c r="D76" s="33" t="s">
        <v>83</v>
      </c>
    </row>
    <row r="77" ht="22.5" customHeight="1">
      <c r="A77" s="21" t="s">
        <v>82</v>
      </c>
      <c r="B77" s="23" t="s">
        <v>22</v>
      </c>
      <c r="C77" s="23" t="s">
        <v>74</v>
      </c>
      <c r="D77" s="23" t="s">
        <v>83</v>
      </c>
    </row>
    <row r="78" ht="22.5" customHeight="1">
      <c r="A78" s="11" t="s">
        <v>82</v>
      </c>
      <c r="B78" s="33" t="s">
        <v>22</v>
      </c>
      <c r="C78" s="33" t="s">
        <v>74</v>
      </c>
      <c r="D78" s="33" t="s">
        <v>83</v>
      </c>
    </row>
    <row r="79" ht="22.5" customHeight="1">
      <c r="A79" s="21" t="s">
        <v>82</v>
      </c>
      <c r="B79" s="23" t="s">
        <v>22</v>
      </c>
      <c r="C79" s="23" t="s">
        <v>74</v>
      </c>
      <c r="D79" s="23" t="s">
        <v>83</v>
      </c>
    </row>
    <row r="80" ht="22.5" customHeight="1">
      <c r="A80" s="11" t="s">
        <v>84</v>
      </c>
      <c r="B80" s="33" t="s">
        <v>22</v>
      </c>
      <c r="C80" s="33" t="s">
        <v>85</v>
      </c>
      <c r="D80" s="14"/>
    </row>
    <row r="81" ht="22.5" customHeight="1">
      <c r="A81" s="21" t="s">
        <v>88</v>
      </c>
      <c r="B81" s="23" t="s">
        <v>22</v>
      </c>
      <c r="C81" s="23" t="s">
        <v>85</v>
      </c>
      <c r="D81" s="23" t="s">
        <v>89</v>
      </c>
    </row>
    <row r="82" ht="22.5" customHeight="1">
      <c r="A82" s="11" t="s">
        <v>88</v>
      </c>
      <c r="B82" s="33" t="s">
        <v>22</v>
      </c>
      <c r="C82" s="33" t="s">
        <v>85</v>
      </c>
      <c r="D82" s="33" t="s">
        <v>89</v>
      </c>
    </row>
    <row r="83" ht="22.5" customHeight="1">
      <c r="A83" s="21" t="s">
        <v>88</v>
      </c>
      <c r="B83" s="23" t="s">
        <v>22</v>
      </c>
      <c r="C83" s="23" t="s">
        <v>85</v>
      </c>
      <c r="D83" s="23" t="s">
        <v>89</v>
      </c>
    </row>
    <row r="84" ht="22.5" customHeight="1">
      <c r="A84" s="11" t="s">
        <v>88</v>
      </c>
      <c r="B84" s="33" t="s">
        <v>22</v>
      </c>
      <c r="C84" s="33" t="s">
        <v>85</v>
      </c>
      <c r="D84" s="33" t="s">
        <v>89</v>
      </c>
    </row>
    <row r="85" ht="22.5" customHeight="1">
      <c r="A85" s="21" t="s">
        <v>88</v>
      </c>
      <c r="B85" s="23" t="s">
        <v>22</v>
      </c>
      <c r="C85" s="23" t="s">
        <v>85</v>
      </c>
      <c r="D85" s="23" t="s">
        <v>89</v>
      </c>
    </row>
    <row r="86" ht="22.5" customHeight="1">
      <c r="A86" s="11" t="s">
        <v>88</v>
      </c>
      <c r="B86" s="33" t="s">
        <v>22</v>
      </c>
      <c r="C86" s="33" t="s">
        <v>85</v>
      </c>
      <c r="D86" s="33" t="s">
        <v>89</v>
      </c>
    </row>
    <row r="87" ht="22.5" customHeight="1">
      <c r="A87" s="21" t="s">
        <v>88</v>
      </c>
      <c r="B87" s="23" t="s">
        <v>22</v>
      </c>
      <c r="C87" s="23" t="s">
        <v>85</v>
      </c>
      <c r="D87" s="23" t="s">
        <v>89</v>
      </c>
    </row>
    <row r="88" ht="22.5" customHeight="1">
      <c r="A88" s="11" t="s">
        <v>88</v>
      </c>
      <c r="B88" s="33" t="s">
        <v>22</v>
      </c>
      <c r="C88" s="33" t="s">
        <v>85</v>
      </c>
      <c r="D88" s="33" t="s">
        <v>89</v>
      </c>
    </row>
    <row r="89" ht="22.5" customHeight="1">
      <c r="A89" s="21" t="s">
        <v>88</v>
      </c>
      <c r="B89" s="23" t="s">
        <v>22</v>
      </c>
      <c r="C89" s="23" t="s">
        <v>85</v>
      </c>
      <c r="D89" s="23" t="s">
        <v>89</v>
      </c>
    </row>
    <row r="90" ht="22.5" customHeight="1">
      <c r="A90" s="11" t="s">
        <v>88</v>
      </c>
      <c r="B90" s="33" t="s">
        <v>22</v>
      </c>
      <c r="C90" s="33" t="s">
        <v>85</v>
      </c>
      <c r="D90" s="33" t="s">
        <v>89</v>
      </c>
    </row>
    <row r="91" ht="22.5" customHeight="1">
      <c r="A91" s="21" t="s">
        <v>88</v>
      </c>
      <c r="B91" s="23" t="s">
        <v>22</v>
      </c>
      <c r="C91" s="23" t="s">
        <v>85</v>
      </c>
      <c r="D91" s="23" t="s">
        <v>89</v>
      </c>
    </row>
    <row r="92" ht="22.5" customHeight="1">
      <c r="A92" s="11" t="s">
        <v>88</v>
      </c>
      <c r="B92" s="33" t="s">
        <v>22</v>
      </c>
      <c r="C92" s="33" t="s">
        <v>85</v>
      </c>
      <c r="D92" s="33" t="s">
        <v>89</v>
      </c>
    </row>
    <row r="93" ht="22.5" customHeight="1">
      <c r="A93" s="21" t="s">
        <v>91</v>
      </c>
      <c r="B93" s="23" t="s">
        <v>22</v>
      </c>
      <c r="C93" s="23" t="s">
        <v>85</v>
      </c>
      <c r="D93" s="23" t="s">
        <v>92</v>
      </c>
    </row>
    <row r="94" ht="22.5" customHeight="1">
      <c r="A94" s="11" t="s">
        <v>91</v>
      </c>
      <c r="B94" s="33" t="s">
        <v>22</v>
      </c>
      <c r="C94" s="33" t="s">
        <v>85</v>
      </c>
      <c r="D94" s="33" t="s">
        <v>92</v>
      </c>
    </row>
    <row r="95" ht="22.5" customHeight="1">
      <c r="A95" s="21" t="s">
        <v>91</v>
      </c>
      <c r="B95" s="23" t="s">
        <v>22</v>
      </c>
      <c r="C95" s="23" t="s">
        <v>85</v>
      </c>
      <c r="D95" s="23" t="s">
        <v>92</v>
      </c>
    </row>
    <row r="96" ht="22.5" customHeight="1">
      <c r="A96" s="11" t="s">
        <v>91</v>
      </c>
      <c r="B96" s="33" t="s">
        <v>22</v>
      </c>
      <c r="C96" s="33" t="s">
        <v>85</v>
      </c>
      <c r="D96" s="33" t="s">
        <v>92</v>
      </c>
    </row>
    <row r="97" ht="22.5" customHeight="1">
      <c r="A97" s="21" t="s">
        <v>91</v>
      </c>
      <c r="B97" s="23" t="s">
        <v>22</v>
      </c>
      <c r="C97" s="23" t="s">
        <v>85</v>
      </c>
      <c r="D97" s="23" t="s">
        <v>92</v>
      </c>
    </row>
    <row r="98" ht="22.5" customHeight="1">
      <c r="A98" s="11" t="s">
        <v>91</v>
      </c>
      <c r="B98" s="33" t="s">
        <v>22</v>
      </c>
      <c r="C98" s="33" t="s">
        <v>85</v>
      </c>
      <c r="D98" s="33" t="s">
        <v>92</v>
      </c>
    </row>
    <row r="99" ht="22.5" customHeight="1">
      <c r="A99" s="21" t="s">
        <v>91</v>
      </c>
      <c r="B99" s="23" t="s">
        <v>22</v>
      </c>
      <c r="C99" s="23" t="s">
        <v>85</v>
      </c>
      <c r="D99" s="23" t="s">
        <v>92</v>
      </c>
    </row>
    <row r="100" ht="22.5" customHeight="1">
      <c r="A100" s="11" t="s">
        <v>91</v>
      </c>
      <c r="B100" s="33" t="s">
        <v>22</v>
      </c>
      <c r="C100" s="33" t="s">
        <v>85</v>
      </c>
      <c r="D100" s="33" t="s">
        <v>92</v>
      </c>
    </row>
    <row r="101" ht="22.5" customHeight="1">
      <c r="A101" s="21" t="s">
        <v>93</v>
      </c>
      <c r="B101" s="23" t="s">
        <v>22</v>
      </c>
      <c r="C101" s="23" t="s">
        <v>85</v>
      </c>
      <c r="D101" s="23" t="s">
        <v>94</v>
      </c>
    </row>
    <row r="102" ht="22.5" customHeight="1">
      <c r="A102" s="11" t="s">
        <v>93</v>
      </c>
      <c r="B102" s="33" t="s">
        <v>22</v>
      </c>
      <c r="C102" s="33" t="s">
        <v>85</v>
      </c>
      <c r="D102" s="33" t="s">
        <v>94</v>
      </c>
    </row>
    <row r="103" ht="22.5" customHeight="1">
      <c r="A103" s="21" t="s">
        <v>93</v>
      </c>
      <c r="B103" s="23" t="s">
        <v>22</v>
      </c>
      <c r="C103" s="23" t="s">
        <v>85</v>
      </c>
      <c r="D103" s="23" t="s">
        <v>94</v>
      </c>
    </row>
    <row r="104" ht="22.5" customHeight="1">
      <c r="A104" s="11" t="s">
        <v>93</v>
      </c>
      <c r="B104" s="33" t="s">
        <v>22</v>
      </c>
      <c r="C104" s="33" t="s">
        <v>85</v>
      </c>
      <c r="D104" s="33" t="s">
        <v>94</v>
      </c>
    </row>
    <row r="105" ht="22.5" customHeight="1">
      <c r="A105" s="21" t="s">
        <v>93</v>
      </c>
      <c r="B105" s="23" t="s">
        <v>22</v>
      </c>
      <c r="C105" s="23" t="s">
        <v>85</v>
      </c>
      <c r="D105" s="23" t="s">
        <v>94</v>
      </c>
    </row>
    <row r="106" ht="22.5" customHeight="1">
      <c r="A106" s="11" t="s">
        <v>93</v>
      </c>
      <c r="B106" s="33" t="s">
        <v>22</v>
      </c>
      <c r="C106" s="33" t="s">
        <v>85</v>
      </c>
      <c r="D106" s="33" t="s">
        <v>94</v>
      </c>
    </row>
    <row r="107" ht="22.5" customHeight="1">
      <c r="A107" s="21" t="s">
        <v>93</v>
      </c>
      <c r="B107" s="23" t="s">
        <v>22</v>
      </c>
      <c r="C107" s="23" t="s">
        <v>85</v>
      </c>
      <c r="D107" s="23" t="s">
        <v>94</v>
      </c>
    </row>
    <row r="108" ht="22.5" customHeight="1">
      <c r="A108" s="11" t="s">
        <v>97</v>
      </c>
      <c r="B108" s="33" t="s">
        <v>22</v>
      </c>
      <c r="C108" s="33" t="s">
        <v>85</v>
      </c>
      <c r="D108" s="33" t="s">
        <v>98</v>
      </c>
    </row>
    <row r="109" ht="22.5" customHeight="1">
      <c r="A109" s="21" t="s">
        <v>97</v>
      </c>
      <c r="B109" s="23" t="s">
        <v>22</v>
      </c>
      <c r="C109" s="23" t="s">
        <v>85</v>
      </c>
      <c r="D109" s="23" t="s">
        <v>98</v>
      </c>
    </row>
    <row r="110" ht="22.5" customHeight="1">
      <c r="A110" s="11" t="s">
        <v>97</v>
      </c>
      <c r="B110" s="33" t="s">
        <v>22</v>
      </c>
      <c r="C110" s="33" t="s">
        <v>85</v>
      </c>
      <c r="D110" s="33" t="s">
        <v>98</v>
      </c>
    </row>
    <row r="111" ht="22.5" customHeight="1">
      <c r="A111" s="21" t="s">
        <v>97</v>
      </c>
      <c r="B111" s="23" t="s">
        <v>22</v>
      </c>
      <c r="C111" s="23" t="s">
        <v>85</v>
      </c>
      <c r="D111" s="23" t="s">
        <v>98</v>
      </c>
    </row>
    <row r="112" ht="22.5" customHeight="1">
      <c r="A112" s="11" t="s">
        <v>97</v>
      </c>
      <c r="B112" s="33" t="s">
        <v>22</v>
      </c>
      <c r="C112" s="33" t="s">
        <v>85</v>
      </c>
      <c r="D112" s="33" t="s">
        <v>98</v>
      </c>
    </row>
    <row r="113" ht="22.5" customHeight="1">
      <c r="A113" s="21" t="s">
        <v>100</v>
      </c>
      <c r="B113" s="23" t="s">
        <v>22</v>
      </c>
      <c r="C113" s="23" t="s">
        <v>85</v>
      </c>
      <c r="D113" s="23" t="s">
        <v>101</v>
      </c>
    </row>
    <row r="114" ht="22.5" customHeight="1">
      <c r="A114" s="11" t="s">
        <v>100</v>
      </c>
      <c r="B114" s="33" t="s">
        <v>22</v>
      </c>
      <c r="C114" s="33" t="s">
        <v>85</v>
      </c>
      <c r="D114" s="33" t="s">
        <v>101</v>
      </c>
    </row>
    <row r="115" ht="22.5" customHeight="1">
      <c r="A115" s="21" t="s">
        <v>100</v>
      </c>
      <c r="B115" s="23" t="s">
        <v>22</v>
      </c>
      <c r="C115" s="23" t="s">
        <v>85</v>
      </c>
      <c r="D115" s="23" t="s">
        <v>101</v>
      </c>
    </row>
    <row r="116" ht="22.5" customHeight="1">
      <c r="A116" s="11" t="s">
        <v>100</v>
      </c>
      <c r="B116" s="33" t="s">
        <v>22</v>
      </c>
      <c r="C116" s="33" t="s">
        <v>85</v>
      </c>
      <c r="D116" s="33" t="s">
        <v>101</v>
      </c>
    </row>
    <row r="117" ht="22.5" customHeight="1">
      <c r="A117" s="21" t="s">
        <v>100</v>
      </c>
      <c r="B117" s="23" t="s">
        <v>22</v>
      </c>
      <c r="C117" s="23" t="s">
        <v>85</v>
      </c>
      <c r="D117" s="23" t="s">
        <v>101</v>
      </c>
    </row>
    <row r="118" ht="22.5" customHeight="1">
      <c r="A118" s="11" t="s">
        <v>100</v>
      </c>
      <c r="B118" s="33" t="s">
        <v>22</v>
      </c>
      <c r="C118" s="33" t="s">
        <v>85</v>
      </c>
      <c r="D118" s="33" t="s">
        <v>101</v>
      </c>
    </row>
    <row r="119" ht="22.5" customHeight="1">
      <c r="A119" s="21" t="s">
        <v>100</v>
      </c>
      <c r="B119" s="23" t="s">
        <v>22</v>
      </c>
      <c r="C119" s="23" t="s">
        <v>85</v>
      </c>
      <c r="D119" s="23" t="s">
        <v>101</v>
      </c>
    </row>
    <row r="120" ht="22.5" customHeight="1">
      <c r="A120" s="11" t="s">
        <v>100</v>
      </c>
      <c r="B120" s="33" t="s">
        <v>22</v>
      </c>
      <c r="C120" s="33" t="s">
        <v>85</v>
      </c>
      <c r="D120" s="33" t="s">
        <v>101</v>
      </c>
    </row>
    <row r="121" ht="22.5" customHeight="1">
      <c r="A121" s="21" t="s">
        <v>100</v>
      </c>
      <c r="B121" s="23" t="s">
        <v>22</v>
      </c>
      <c r="C121" s="23" t="s">
        <v>85</v>
      </c>
      <c r="D121" s="23" t="s">
        <v>101</v>
      </c>
    </row>
    <row r="122" ht="22.5" customHeight="1">
      <c r="A122" s="11" t="s">
        <v>100</v>
      </c>
      <c r="B122" s="33" t="s">
        <v>22</v>
      </c>
      <c r="C122" s="33" t="s">
        <v>85</v>
      </c>
      <c r="D122" s="33" t="s">
        <v>101</v>
      </c>
    </row>
    <row r="123" ht="22.5" customHeight="1">
      <c r="A123" s="21" t="s">
        <v>103</v>
      </c>
      <c r="B123" s="23" t="s">
        <v>22</v>
      </c>
      <c r="C123" s="23" t="s">
        <v>104</v>
      </c>
      <c r="D123" s="25"/>
    </row>
    <row r="124" ht="22.5" customHeight="1">
      <c r="A124" s="11" t="s">
        <v>106</v>
      </c>
      <c r="B124" s="33" t="s">
        <v>22</v>
      </c>
      <c r="C124" s="33" t="s">
        <v>104</v>
      </c>
      <c r="D124" s="33" t="s">
        <v>107</v>
      </c>
    </row>
    <row r="125" ht="22.5" customHeight="1">
      <c r="A125" s="21" t="s">
        <v>106</v>
      </c>
      <c r="B125" s="23" t="s">
        <v>22</v>
      </c>
      <c r="C125" s="23" t="s">
        <v>104</v>
      </c>
      <c r="D125" s="23" t="s">
        <v>107</v>
      </c>
    </row>
    <row r="126" ht="22.5" customHeight="1">
      <c r="A126" s="11" t="s">
        <v>106</v>
      </c>
      <c r="B126" s="33" t="s">
        <v>22</v>
      </c>
      <c r="C126" s="33" t="s">
        <v>104</v>
      </c>
      <c r="D126" s="33" t="s">
        <v>107</v>
      </c>
    </row>
    <row r="127" ht="22.5" customHeight="1">
      <c r="A127" s="21" t="s">
        <v>106</v>
      </c>
      <c r="B127" s="23" t="s">
        <v>22</v>
      </c>
      <c r="C127" s="23" t="s">
        <v>104</v>
      </c>
      <c r="D127" s="23" t="s">
        <v>107</v>
      </c>
    </row>
    <row r="128" ht="22.5" customHeight="1">
      <c r="A128" s="11" t="s">
        <v>106</v>
      </c>
      <c r="B128" s="33" t="s">
        <v>22</v>
      </c>
      <c r="C128" s="33" t="s">
        <v>104</v>
      </c>
      <c r="D128" s="33" t="s">
        <v>107</v>
      </c>
    </row>
    <row r="129" ht="22.5" customHeight="1">
      <c r="A129" s="21" t="s">
        <v>106</v>
      </c>
      <c r="B129" s="23" t="s">
        <v>22</v>
      </c>
      <c r="C129" s="23" t="s">
        <v>104</v>
      </c>
      <c r="D129" s="23" t="s">
        <v>107</v>
      </c>
    </row>
    <row r="130" ht="22.5" customHeight="1">
      <c r="A130" s="11" t="s">
        <v>106</v>
      </c>
      <c r="B130" s="33" t="s">
        <v>22</v>
      </c>
      <c r="C130" s="33" t="s">
        <v>104</v>
      </c>
      <c r="D130" s="33" t="s">
        <v>107</v>
      </c>
    </row>
    <row r="131" ht="22.5" customHeight="1">
      <c r="A131" s="21" t="s">
        <v>106</v>
      </c>
      <c r="B131" s="23" t="s">
        <v>22</v>
      </c>
      <c r="C131" s="23" t="s">
        <v>104</v>
      </c>
      <c r="D131" s="23" t="s">
        <v>107</v>
      </c>
    </row>
    <row r="132" ht="22.5" customHeight="1">
      <c r="A132" s="11" t="s">
        <v>106</v>
      </c>
      <c r="B132" s="33" t="s">
        <v>22</v>
      </c>
      <c r="C132" s="33" t="s">
        <v>104</v>
      </c>
      <c r="D132" s="33" t="s">
        <v>107</v>
      </c>
    </row>
    <row r="133" ht="22.5" customHeight="1">
      <c r="A133" s="21" t="s">
        <v>106</v>
      </c>
      <c r="B133" s="23" t="s">
        <v>22</v>
      </c>
      <c r="C133" s="23" t="s">
        <v>104</v>
      </c>
      <c r="D133" s="23" t="s">
        <v>107</v>
      </c>
    </row>
    <row r="134" ht="22.5" customHeight="1">
      <c r="A134" s="11" t="s">
        <v>109</v>
      </c>
      <c r="B134" s="33" t="s">
        <v>22</v>
      </c>
      <c r="C134" s="33" t="s">
        <v>104</v>
      </c>
      <c r="D134" s="33" t="s">
        <v>110</v>
      </c>
    </row>
    <row r="135" ht="22.5" customHeight="1">
      <c r="A135" s="21" t="s">
        <v>109</v>
      </c>
      <c r="B135" s="23" t="s">
        <v>22</v>
      </c>
      <c r="C135" s="23" t="s">
        <v>104</v>
      </c>
      <c r="D135" s="23" t="s">
        <v>110</v>
      </c>
    </row>
    <row r="136" ht="22.5" customHeight="1">
      <c r="A136" s="11" t="s">
        <v>109</v>
      </c>
      <c r="B136" s="33" t="s">
        <v>22</v>
      </c>
      <c r="C136" s="33" t="s">
        <v>104</v>
      </c>
      <c r="D136" s="33" t="s">
        <v>110</v>
      </c>
    </row>
    <row r="137" ht="22.5" customHeight="1">
      <c r="A137" s="21" t="s">
        <v>109</v>
      </c>
      <c r="B137" s="23" t="s">
        <v>22</v>
      </c>
      <c r="C137" s="23" t="s">
        <v>104</v>
      </c>
      <c r="D137" s="23" t="s">
        <v>110</v>
      </c>
    </row>
    <row r="138" ht="22.5" customHeight="1">
      <c r="A138" s="11" t="s">
        <v>109</v>
      </c>
      <c r="B138" s="33" t="s">
        <v>22</v>
      </c>
      <c r="C138" s="33" t="s">
        <v>104</v>
      </c>
      <c r="D138" s="33" t="s">
        <v>110</v>
      </c>
    </row>
    <row r="139" ht="22.5" customHeight="1">
      <c r="A139" s="21" t="s">
        <v>109</v>
      </c>
      <c r="B139" s="23" t="s">
        <v>22</v>
      </c>
      <c r="C139" s="23" t="s">
        <v>104</v>
      </c>
      <c r="D139" s="23" t="s">
        <v>110</v>
      </c>
    </row>
    <row r="140" ht="22.5" customHeight="1">
      <c r="A140" s="11" t="s">
        <v>109</v>
      </c>
      <c r="B140" s="33" t="s">
        <v>22</v>
      </c>
      <c r="C140" s="33" t="s">
        <v>104</v>
      </c>
      <c r="D140" s="33" t="s">
        <v>110</v>
      </c>
    </row>
    <row r="141" ht="22.5" customHeight="1">
      <c r="A141" s="21" t="s">
        <v>109</v>
      </c>
      <c r="B141" s="23" t="s">
        <v>22</v>
      </c>
      <c r="C141" s="23" t="s">
        <v>104</v>
      </c>
      <c r="D141" s="23" t="s">
        <v>110</v>
      </c>
    </row>
    <row r="142" ht="22.5" customHeight="1">
      <c r="A142" s="11" t="s">
        <v>109</v>
      </c>
      <c r="B142" s="33" t="s">
        <v>22</v>
      </c>
      <c r="C142" s="33" t="s">
        <v>104</v>
      </c>
      <c r="D142" s="33" t="s">
        <v>110</v>
      </c>
    </row>
    <row r="143" ht="22.5" customHeight="1">
      <c r="A143" s="21" t="s">
        <v>109</v>
      </c>
      <c r="B143" s="23" t="s">
        <v>22</v>
      </c>
      <c r="C143" s="23" t="s">
        <v>104</v>
      </c>
      <c r="D143" s="23" t="s">
        <v>110</v>
      </c>
    </row>
    <row r="144" ht="22.5" customHeight="1">
      <c r="A144" s="11" t="s">
        <v>109</v>
      </c>
      <c r="B144" s="33" t="s">
        <v>22</v>
      </c>
      <c r="C144" s="33" t="s">
        <v>104</v>
      </c>
      <c r="D144" s="33" t="s">
        <v>110</v>
      </c>
    </row>
    <row r="145" ht="22.5" customHeight="1">
      <c r="A145" s="21" t="s">
        <v>109</v>
      </c>
      <c r="B145" s="23" t="s">
        <v>22</v>
      </c>
      <c r="C145" s="23" t="s">
        <v>104</v>
      </c>
      <c r="D145" s="23" t="s">
        <v>110</v>
      </c>
    </row>
    <row r="146" ht="22.5" customHeight="1">
      <c r="A146" s="11" t="s">
        <v>112</v>
      </c>
      <c r="B146" s="33" t="s">
        <v>22</v>
      </c>
      <c r="C146" s="33" t="s">
        <v>104</v>
      </c>
      <c r="D146" s="33" t="s">
        <v>113</v>
      </c>
    </row>
    <row r="147" ht="22.5" customHeight="1">
      <c r="A147" s="21" t="s">
        <v>112</v>
      </c>
      <c r="B147" s="23" t="s">
        <v>22</v>
      </c>
      <c r="C147" s="23" t="s">
        <v>104</v>
      </c>
      <c r="D147" s="23" t="s">
        <v>113</v>
      </c>
    </row>
    <row r="148" ht="22.5" customHeight="1">
      <c r="A148" s="11" t="s">
        <v>112</v>
      </c>
      <c r="B148" s="33" t="s">
        <v>22</v>
      </c>
      <c r="C148" s="33" t="s">
        <v>104</v>
      </c>
      <c r="D148" s="33" t="s">
        <v>113</v>
      </c>
    </row>
    <row r="149" ht="22.5" customHeight="1">
      <c r="A149" s="21" t="s">
        <v>112</v>
      </c>
      <c r="B149" s="23" t="s">
        <v>22</v>
      </c>
      <c r="C149" s="23" t="s">
        <v>104</v>
      </c>
      <c r="D149" s="23" t="s">
        <v>113</v>
      </c>
    </row>
    <row r="150" ht="22.5" customHeight="1">
      <c r="A150" s="11" t="s">
        <v>112</v>
      </c>
      <c r="B150" s="33" t="s">
        <v>22</v>
      </c>
      <c r="C150" s="33" t="s">
        <v>104</v>
      </c>
      <c r="D150" s="33" t="s">
        <v>113</v>
      </c>
    </row>
    <row r="151" ht="22.5" customHeight="1">
      <c r="A151" s="21" t="s">
        <v>112</v>
      </c>
      <c r="B151" s="23" t="s">
        <v>22</v>
      </c>
      <c r="C151" s="23" t="s">
        <v>104</v>
      </c>
      <c r="D151" s="23" t="s">
        <v>113</v>
      </c>
    </row>
    <row r="152" ht="22.5" customHeight="1">
      <c r="A152" s="11" t="s">
        <v>112</v>
      </c>
      <c r="B152" s="33" t="s">
        <v>22</v>
      </c>
      <c r="C152" s="33" t="s">
        <v>104</v>
      </c>
      <c r="D152" s="33" t="s">
        <v>113</v>
      </c>
    </row>
    <row r="153" ht="22.5" customHeight="1">
      <c r="A153" s="21" t="s">
        <v>112</v>
      </c>
      <c r="B153" s="23" t="s">
        <v>22</v>
      </c>
      <c r="C153" s="23" t="s">
        <v>104</v>
      </c>
      <c r="D153" s="23" t="s">
        <v>113</v>
      </c>
    </row>
    <row r="154" ht="22.5" customHeight="1">
      <c r="A154" s="11" t="s">
        <v>112</v>
      </c>
      <c r="B154" s="33" t="s">
        <v>22</v>
      </c>
      <c r="C154" s="33" t="s">
        <v>104</v>
      </c>
      <c r="D154" s="33" t="s">
        <v>113</v>
      </c>
    </row>
    <row r="155" ht="22.5" customHeight="1">
      <c r="A155" s="21" t="s">
        <v>112</v>
      </c>
      <c r="B155" s="23" t="s">
        <v>22</v>
      </c>
      <c r="C155" s="23" t="s">
        <v>104</v>
      </c>
      <c r="D155" s="23" t="s">
        <v>113</v>
      </c>
    </row>
    <row r="156" ht="22.5" customHeight="1">
      <c r="A156" s="11" t="s">
        <v>112</v>
      </c>
      <c r="B156" s="33" t="s">
        <v>22</v>
      </c>
      <c r="C156" s="33" t="s">
        <v>104</v>
      </c>
      <c r="D156" s="33" t="s">
        <v>113</v>
      </c>
    </row>
    <row r="157" ht="22.5" customHeight="1">
      <c r="A157" s="21" t="s">
        <v>114</v>
      </c>
      <c r="B157" s="23" t="s">
        <v>22</v>
      </c>
      <c r="C157" s="23" t="s">
        <v>115</v>
      </c>
      <c r="D157" s="25"/>
    </row>
    <row r="158" ht="22.5" customHeight="1">
      <c r="A158" s="11" t="s">
        <v>117</v>
      </c>
      <c r="B158" s="33" t="s">
        <v>22</v>
      </c>
      <c r="C158" s="33" t="s">
        <v>115</v>
      </c>
      <c r="D158" s="33" t="s">
        <v>118</v>
      </c>
    </row>
    <row r="159" ht="22.5" customHeight="1">
      <c r="A159" s="21" t="s">
        <v>117</v>
      </c>
      <c r="B159" s="23" t="s">
        <v>22</v>
      </c>
      <c r="C159" s="23" t="s">
        <v>115</v>
      </c>
      <c r="D159" s="23" t="s">
        <v>118</v>
      </c>
    </row>
    <row r="160" ht="22.5" customHeight="1">
      <c r="A160" s="11" t="s">
        <v>117</v>
      </c>
      <c r="B160" s="33" t="s">
        <v>22</v>
      </c>
      <c r="C160" s="33" t="s">
        <v>115</v>
      </c>
      <c r="D160" s="33" t="s">
        <v>118</v>
      </c>
    </row>
    <row r="161" ht="22.5" customHeight="1">
      <c r="A161" s="21" t="s">
        <v>117</v>
      </c>
      <c r="B161" s="23" t="s">
        <v>22</v>
      </c>
      <c r="C161" s="23" t="s">
        <v>115</v>
      </c>
      <c r="D161" s="23" t="s">
        <v>118</v>
      </c>
    </row>
    <row r="162" ht="22.5" customHeight="1">
      <c r="A162" s="11" t="s">
        <v>117</v>
      </c>
      <c r="B162" s="33" t="s">
        <v>22</v>
      </c>
      <c r="C162" s="33" t="s">
        <v>115</v>
      </c>
      <c r="D162" s="33" t="s">
        <v>118</v>
      </c>
    </row>
    <row r="163" ht="22.5" customHeight="1">
      <c r="A163" s="21" t="s">
        <v>117</v>
      </c>
      <c r="B163" s="23" t="s">
        <v>22</v>
      </c>
      <c r="C163" s="23" t="s">
        <v>115</v>
      </c>
      <c r="D163" s="23" t="s">
        <v>118</v>
      </c>
    </row>
    <row r="164" ht="22.5" customHeight="1">
      <c r="A164" s="11" t="s">
        <v>117</v>
      </c>
      <c r="B164" s="33" t="s">
        <v>22</v>
      </c>
      <c r="C164" s="33" t="s">
        <v>115</v>
      </c>
      <c r="D164" s="33" t="s">
        <v>118</v>
      </c>
    </row>
    <row r="165" ht="22.5" customHeight="1">
      <c r="A165" s="21" t="s">
        <v>117</v>
      </c>
      <c r="B165" s="23" t="s">
        <v>22</v>
      </c>
      <c r="C165" s="23" t="s">
        <v>115</v>
      </c>
      <c r="D165" s="23" t="s">
        <v>118</v>
      </c>
    </row>
    <row r="166" ht="22.5" customHeight="1">
      <c r="A166" s="11" t="s">
        <v>117</v>
      </c>
      <c r="B166" s="33" t="s">
        <v>22</v>
      </c>
      <c r="C166" s="33" t="s">
        <v>115</v>
      </c>
      <c r="D166" s="33" t="s">
        <v>118</v>
      </c>
    </row>
    <row r="167" ht="22.5" customHeight="1">
      <c r="A167" s="21" t="s">
        <v>117</v>
      </c>
      <c r="B167" s="23" t="s">
        <v>22</v>
      </c>
      <c r="C167" s="23" t="s">
        <v>115</v>
      </c>
      <c r="D167" s="23" t="s">
        <v>118</v>
      </c>
    </row>
    <row r="168" ht="22.5" customHeight="1">
      <c r="A168" s="11" t="s">
        <v>117</v>
      </c>
      <c r="B168" s="33" t="s">
        <v>22</v>
      </c>
      <c r="C168" s="33" t="s">
        <v>115</v>
      </c>
      <c r="D168" s="33" t="s">
        <v>118</v>
      </c>
    </row>
    <row r="169" ht="22.5" customHeight="1">
      <c r="A169" s="21" t="s">
        <v>117</v>
      </c>
      <c r="B169" s="23" t="s">
        <v>22</v>
      </c>
      <c r="C169" s="23" t="s">
        <v>115</v>
      </c>
      <c r="D169" s="23" t="s">
        <v>118</v>
      </c>
    </row>
    <row r="170" ht="22.5" customHeight="1">
      <c r="A170" s="11" t="s">
        <v>121</v>
      </c>
      <c r="B170" s="33" t="s">
        <v>22</v>
      </c>
      <c r="C170" s="33" t="s">
        <v>115</v>
      </c>
      <c r="D170" s="33" t="s">
        <v>122</v>
      </c>
    </row>
    <row r="171" ht="22.5" customHeight="1">
      <c r="A171" s="21" t="s">
        <v>121</v>
      </c>
      <c r="B171" s="23" t="s">
        <v>22</v>
      </c>
      <c r="C171" s="23" t="s">
        <v>115</v>
      </c>
      <c r="D171" s="23" t="s">
        <v>122</v>
      </c>
    </row>
    <row r="172" ht="22.5" customHeight="1">
      <c r="A172" s="11" t="s">
        <v>121</v>
      </c>
      <c r="B172" s="33" t="s">
        <v>22</v>
      </c>
      <c r="C172" s="33" t="s">
        <v>115</v>
      </c>
      <c r="D172" s="33" t="s">
        <v>122</v>
      </c>
    </row>
    <row r="173" ht="22.5" customHeight="1">
      <c r="A173" s="21" t="s">
        <v>121</v>
      </c>
      <c r="B173" s="23" t="s">
        <v>22</v>
      </c>
      <c r="C173" s="23" t="s">
        <v>115</v>
      </c>
      <c r="D173" s="23" t="s">
        <v>122</v>
      </c>
    </row>
    <row r="174" ht="22.5" customHeight="1">
      <c r="A174" s="11" t="s">
        <v>124</v>
      </c>
      <c r="B174" s="33" t="s">
        <v>22</v>
      </c>
      <c r="C174" s="33" t="s">
        <v>115</v>
      </c>
      <c r="D174" s="33" t="s">
        <v>125</v>
      </c>
    </row>
    <row r="175" ht="22.5" customHeight="1">
      <c r="A175" s="21" t="s">
        <v>124</v>
      </c>
      <c r="B175" s="23" t="s">
        <v>22</v>
      </c>
      <c r="C175" s="23" t="s">
        <v>115</v>
      </c>
      <c r="D175" s="23" t="s">
        <v>125</v>
      </c>
    </row>
    <row r="176" ht="22.5" customHeight="1">
      <c r="A176" s="11" t="s">
        <v>124</v>
      </c>
      <c r="B176" s="33" t="s">
        <v>22</v>
      </c>
      <c r="C176" s="33" t="s">
        <v>115</v>
      </c>
      <c r="D176" s="33" t="s">
        <v>125</v>
      </c>
    </row>
    <row r="177" ht="22.5" customHeight="1">
      <c r="A177" s="21" t="s">
        <v>124</v>
      </c>
      <c r="B177" s="23" t="s">
        <v>22</v>
      </c>
      <c r="C177" s="23" t="s">
        <v>115</v>
      </c>
      <c r="D177" s="23" t="s">
        <v>125</v>
      </c>
    </row>
    <row r="178" ht="22.5" customHeight="1">
      <c r="A178" s="11" t="s">
        <v>124</v>
      </c>
      <c r="B178" s="33" t="s">
        <v>22</v>
      </c>
      <c r="C178" s="33" t="s">
        <v>115</v>
      </c>
      <c r="D178" s="33" t="s">
        <v>125</v>
      </c>
    </row>
    <row r="179" ht="22.5" customHeight="1">
      <c r="A179" s="21" t="s">
        <v>124</v>
      </c>
      <c r="B179" s="23" t="s">
        <v>22</v>
      </c>
      <c r="C179" s="23" t="s">
        <v>115</v>
      </c>
      <c r="D179" s="23" t="s">
        <v>125</v>
      </c>
    </row>
    <row r="180" ht="22.5" customHeight="1">
      <c r="A180" s="11" t="s">
        <v>124</v>
      </c>
      <c r="B180" s="33" t="s">
        <v>22</v>
      </c>
      <c r="C180" s="33" t="s">
        <v>115</v>
      </c>
      <c r="D180" s="33" t="s">
        <v>125</v>
      </c>
    </row>
    <row r="181" ht="22.5" customHeight="1">
      <c r="A181" s="21" t="s">
        <v>124</v>
      </c>
      <c r="B181" s="23" t="s">
        <v>22</v>
      </c>
      <c r="C181" s="23" t="s">
        <v>115</v>
      </c>
      <c r="D181" s="23" t="s">
        <v>125</v>
      </c>
    </row>
    <row r="182" ht="22.5" customHeight="1">
      <c r="A182" s="11" t="s">
        <v>126</v>
      </c>
      <c r="B182" s="33" t="s">
        <v>22</v>
      </c>
      <c r="C182" s="33" t="s">
        <v>115</v>
      </c>
      <c r="D182" s="33" t="s">
        <v>128</v>
      </c>
    </row>
    <row r="183" ht="22.5" customHeight="1">
      <c r="A183" s="21" t="s">
        <v>126</v>
      </c>
      <c r="B183" s="23" t="s">
        <v>22</v>
      </c>
      <c r="C183" s="23" t="s">
        <v>115</v>
      </c>
      <c r="D183" s="23" t="s">
        <v>128</v>
      </c>
    </row>
    <row r="184" ht="22.5" customHeight="1">
      <c r="A184" s="11" t="s">
        <v>126</v>
      </c>
      <c r="B184" s="33" t="s">
        <v>22</v>
      </c>
      <c r="C184" s="33" t="s">
        <v>115</v>
      </c>
      <c r="D184" s="33" t="s">
        <v>128</v>
      </c>
    </row>
    <row r="185" ht="22.5" customHeight="1">
      <c r="A185" s="21" t="s">
        <v>126</v>
      </c>
      <c r="B185" s="23" t="s">
        <v>22</v>
      </c>
      <c r="C185" s="23" t="s">
        <v>115</v>
      </c>
      <c r="D185" s="23" t="s">
        <v>128</v>
      </c>
    </row>
    <row r="186" ht="22.5" customHeight="1">
      <c r="A186" s="11" t="s">
        <v>126</v>
      </c>
      <c r="B186" s="33" t="s">
        <v>22</v>
      </c>
      <c r="C186" s="33" t="s">
        <v>115</v>
      </c>
      <c r="D186" s="33" t="s">
        <v>128</v>
      </c>
    </row>
    <row r="187" ht="22.5" customHeight="1">
      <c r="A187" s="21" t="s">
        <v>126</v>
      </c>
      <c r="B187" s="23" t="s">
        <v>22</v>
      </c>
      <c r="C187" s="23" t="s">
        <v>115</v>
      </c>
      <c r="D187" s="23" t="s">
        <v>128</v>
      </c>
    </row>
    <row r="188" ht="22.5" customHeight="1">
      <c r="A188" s="11" t="s">
        <v>126</v>
      </c>
      <c r="B188" s="33" t="s">
        <v>22</v>
      </c>
      <c r="C188" s="33" t="s">
        <v>115</v>
      </c>
      <c r="D188" s="33" t="s">
        <v>128</v>
      </c>
    </row>
    <row r="189" ht="22.5" customHeight="1">
      <c r="A189" s="21" t="s">
        <v>126</v>
      </c>
      <c r="B189" s="23" t="s">
        <v>22</v>
      </c>
      <c r="C189" s="23" t="s">
        <v>115</v>
      </c>
      <c r="D189" s="23" t="s">
        <v>128</v>
      </c>
    </row>
    <row r="190" ht="22.5" customHeight="1">
      <c r="A190" s="11" t="s">
        <v>126</v>
      </c>
      <c r="B190" s="33" t="s">
        <v>22</v>
      </c>
      <c r="C190" s="33" t="s">
        <v>115</v>
      </c>
      <c r="D190" s="33" t="s">
        <v>128</v>
      </c>
    </row>
    <row r="191" ht="22.5" customHeight="1">
      <c r="A191" s="21" t="s">
        <v>126</v>
      </c>
      <c r="B191" s="23" t="s">
        <v>22</v>
      </c>
      <c r="C191" s="23" t="s">
        <v>115</v>
      </c>
      <c r="D191" s="23" t="s">
        <v>128</v>
      </c>
    </row>
    <row r="192" ht="22.5" customHeight="1">
      <c r="A192" s="11" t="s">
        <v>126</v>
      </c>
      <c r="B192" s="33" t="s">
        <v>22</v>
      </c>
      <c r="C192" s="33" t="s">
        <v>115</v>
      </c>
      <c r="D192" s="33" t="s">
        <v>128</v>
      </c>
    </row>
    <row r="193" ht="22.5" customHeight="1">
      <c r="A193" s="21" t="s">
        <v>126</v>
      </c>
      <c r="B193" s="23" t="s">
        <v>22</v>
      </c>
      <c r="C193" s="23" t="s">
        <v>115</v>
      </c>
      <c r="D193" s="23" t="s">
        <v>128</v>
      </c>
    </row>
    <row r="194" ht="22.5" customHeight="1">
      <c r="A194" s="11" t="s">
        <v>126</v>
      </c>
      <c r="B194" s="33" t="s">
        <v>22</v>
      </c>
      <c r="C194" s="33" t="s">
        <v>115</v>
      </c>
      <c r="D194" s="33" t="s">
        <v>128</v>
      </c>
    </row>
    <row r="195" ht="22.5" customHeight="1">
      <c r="A195" s="21" t="s">
        <v>126</v>
      </c>
      <c r="B195" s="23" t="s">
        <v>22</v>
      </c>
      <c r="C195" s="23" t="s">
        <v>115</v>
      </c>
      <c r="D195" s="23" t="s">
        <v>128</v>
      </c>
    </row>
    <row r="196" ht="22.5" customHeight="1">
      <c r="A196" s="11" t="s">
        <v>126</v>
      </c>
      <c r="B196" s="33" t="s">
        <v>22</v>
      </c>
      <c r="C196" s="33" t="s">
        <v>115</v>
      </c>
      <c r="D196" s="33" t="s">
        <v>128</v>
      </c>
    </row>
    <row r="197" ht="22.5" customHeight="1">
      <c r="A197" s="21" t="s">
        <v>130</v>
      </c>
      <c r="B197" s="23" t="s">
        <v>22</v>
      </c>
      <c r="C197" s="23" t="s">
        <v>115</v>
      </c>
      <c r="D197" s="23" t="s">
        <v>131</v>
      </c>
    </row>
    <row r="198" ht="22.5" customHeight="1">
      <c r="A198" s="11" t="s">
        <v>130</v>
      </c>
      <c r="B198" s="33" t="s">
        <v>22</v>
      </c>
      <c r="C198" s="33" t="s">
        <v>115</v>
      </c>
      <c r="D198" s="33" t="s">
        <v>131</v>
      </c>
    </row>
    <row r="199" ht="22.5" customHeight="1">
      <c r="A199" s="21" t="s">
        <v>130</v>
      </c>
      <c r="B199" s="23" t="s">
        <v>22</v>
      </c>
      <c r="C199" s="23" t="s">
        <v>115</v>
      </c>
      <c r="D199" s="23" t="s">
        <v>131</v>
      </c>
    </row>
    <row r="200" ht="22.5" customHeight="1">
      <c r="A200" s="11" t="s">
        <v>130</v>
      </c>
      <c r="B200" s="33" t="s">
        <v>22</v>
      </c>
      <c r="C200" s="33" t="s">
        <v>115</v>
      </c>
      <c r="D200" s="33" t="s">
        <v>131</v>
      </c>
    </row>
    <row r="201" ht="22.5" customHeight="1">
      <c r="A201" s="21" t="s">
        <v>130</v>
      </c>
      <c r="B201" s="23" t="s">
        <v>22</v>
      </c>
      <c r="C201" s="23" t="s">
        <v>115</v>
      </c>
      <c r="D201" s="23" t="s">
        <v>131</v>
      </c>
    </row>
    <row r="202" ht="22.5" customHeight="1">
      <c r="A202" s="11" t="s">
        <v>130</v>
      </c>
      <c r="B202" s="33" t="s">
        <v>22</v>
      </c>
      <c r="C202" s="33" t="s">
        <v>115</v>
      </c>
      <c r="D202" s="33" t="s">
        <v>131</v>
      </c>
    </row>
    <row r="203" ht="22.5" customHeight="1">
      <c r="A203" s="21" t="s">
        <v>130</v>
      </c>
      <c r="B203" s="23" t="s">
        <v>22</v>
      </c>
      <c r="C203" s="23" t="s">
        <v>115</v>
      </c>
      <c r="D203" s="23" t="s">
        <v>131</v>
      </c>
    </row>
    <row r="204" ht="22.5" customHeight="1">
      <c r="A204" s="11" t="s">
        <v>133</v>
      </c>
      <c r="B204" s="33" t="s">
        <v>22</v>
      </c>
      <c r="C204" s="33" t="s">
        <v>134</v>
      </c>
      <c r="D204" s="14"/>
    </row>
    <row r="205" ht="22.5" customHeight="1">
      <c r="A205" s="21" t="s">
        <v>136</v>
      </c>
      <c r="B205" s="23" t="s">
        <v>22</v>
      </c>
      <c r="C205" s="23" t="s">
        <v>134</v>
      </c>
      <c r="D205" s="23" t="s">
        <v>137</v>
      </c>
    </row>
    <row r="206" ht="22.5" customHeight="1">
      <c r="A206" s="11" t="s">
        <v>136</v>
      </c>
      <c r="B206" s="33" t="s">
        <v>22</v>
      </c>
      <c r="C206" s="33" t="s">
        <v>134</v>
      </c>
      <c r="D206" s="33" t="s">
        <v>137</v>
      </c>
    </row>
    <row r="207" ht="22.5" customHeight="1">
      <c r="A207" s="21" t="s">
        <v>136</v>
      </c>
      <c r="B207" s="23" t="s">
        <v>22</v>
      </c>
      <c r="C207" s="23" t="s">
        <v>134</v>
      </c>
      <c r="D207" s="23" t="s">
        <v>137</v>
      </c>
    </row>
    <row r="208" ht="22.5" customHeight="1">
      <c r="A208" s="11" t="s">
        <v>136</v>
      </c>
      <c r="B208" s="33" t="s">
        <v>22</v>
      </c>
      <c r="C208" s="33" t="s">
        <v>134</v>
      </c>
      <c r="D208" s="33" t="s">
        <v>137</v>
      </c>
    </row>
    <row r="209" ht="22.5" customHeight="1">
      <c r="A209" s="21" t="s">
        <v>139</v>
      </c>
      <c r="B209" s="23" t="s">
        <v>22</v>
      </c>
      <c r="C209" s="23" t="s">
        <v>134</v>
      </c>
      <c r="D209" s="23" t="s">
        <v>140</v>
      </c>
    </row>
    <row r="210" ht="22.5" customHeight="1">
      <c r="A210" s="11" t="s">
        <v>139</v>
      </c>
      <c r="B210" s="33" t="s">
        <v>22</v>
      </c>
      <c r="C210" s="33" t="s">
        <v>134</v>
      </c>
      <c r="D210" s="33" t="s">
        <v>140</v>
      </c>
    </row>
    <row r="211" ht="22.5" customHeight="1">
      <c r="A211" s="21" t="s">
        <v>139</v>
      </c>
      <c r="B211" s="23" t="s">
        <v>22</v>
      </c>
      <c r="C211" s="23" t="s">
        <v>134</v>
      </c>
      <c r="D211" s="23" t="s">
        <v>140</v>
      </c>
    </row>
    <row r="212" ht="22.5" customHeight="1">
      <c r="A212" s="11" t="s">
        <v>139</v>
      </c>
      <c r="B212" s="33" t="s">
        <v>22</v>
      </c>
      <c r="C212" s="33" t="s">
        <v>134</v>
      </c>
      <c r="D212" s="33" t="s">
        <v>140</v>
      </c>
    </row>
    <row r="213" ht="22.5" customHeight="1">
      <c r="A213" s="21" t="s">
        <v>141</v>
      </c>
      <c r="B213" s="23" t="s">
        <v>22</v>
      </c>
      <c r="C213" s="23" t="s">
        <v>134</v>
      </c>
      <c r="D213" s="23" t="s">
        <v>142</v>
      </c>
    </row>
    <row r="214" ht="22.5" customHeight="1">
      <c r="A214" s="11" t="s">
        <v>141</v>
      </c>
      <c r="B214" s="33" t="s">
        <v>22</v>
      </c>
      <c r="C214" s="33" t="s">
        <v>134</v>
      </c>
      <c r="D214" s="33" t="s">
        <v>142</v>
      </c>
    </row>
    <row r="215" ht="22.5" customHeight="1">
      <c r="A215" s="21" t="s">
        <v>141</v>
      </c>
      <c r="B215" s="23" t="s">
        <v>22</v>
      </c>
      <c r="C215" s="23" t="s">
        <v>134</v>
      </c>
      <c r="D215" s="23" t="s">
        <v>142</v>
      </c>
    </row>
    <row r="216" ht="22.5" customHeight="1">
      <c r="A216" s="11" t="s">
        <v>141</v>
      </c>
      <c r="B216" s="33" t="s">
        <v>22</v>
      </c>
      <c r="C216" s="33" t="s">
        <v>134</v>
      </c>
      <c r="D216" s="33" t="s">
        <v>142</v>
      </c>
    </row>
    <row r="217" ht="22.5" customHeight="1">
      <c r="A217" s="21" t="s">
        <v>141</v>
      </c>
      <c r="B217" s="23" t="s">
        <v>22</v>
      </c>
      <c r="C217" s="23" t="s">
        <v>134</v>
      </c>
      <c r="D217" s="23" t="s">
        <v>142</v>
      </c>
    </row>
    <row r="218" ht="22.5" customHeight="1">
      <c r="A218" s="11" t="s">
        <v>141</v>
      </c>
      <c r="B218" s="33" t="s">
        <v>22</v>
      </c>
      <c r="C218" s="33" t="s">
        <v>134</v>
      </c>
      <c r="D218" s="33" t="s">
        <v>142</v>
      </c>
    </row>
    <row r="219" ht="22.5" customHeight="1">
      <c r="A219" s="21" t="s">
        <v>141</v>
      </c>
      <c r="B219" s="23" t="s">
        <v>22</v>
      </c>
      <c r="C219" s="23" t="s">
        <v>134</v>
      </c>
      <c r="D219" s="23" t="s">
        <v>142</v>
      </c>
    </row>
    <row r="220" ht="22.5" customHeight="1">
      <c r="A220" s="11" t="s">
        <v>141</v>
      </c>
      <c r="B220" s="33" t="s">
        <v>22</v>
      </c>
      <c r="C220" s="33" t="s">
        <v>134</v>
      </c>
      <c r="D220" s="33" t="s">
        <v>142</v>
      </c>
    </row>
    <row r="221" ht="22.5" customHeight="1">
      <c r="A221" s="21" t="s">
        <v>141</v>
      </c>
      <c r="B221" s="23" t="s">
        <v>22</v>
      </c>
      <c r="C221" s="23" t="s">
        <v>134</v>
      </c>
      <c r="D221" s="23" t="s">
        <v>142</v>
      </c>
    </row>
    <row r="222" ht="22.5" customHeight="1">
      <c r="A222" s="11" t="s">
        <v>141</v>
      </c>
      <c r="B222" s="33" t="s">
        <v>22</v>
      </c>
      <c r="C222" s="33" t="s">
        <v>134</v>
      </c>
      <c r="D222" s="33" t="s">
        <v>142</v>
      </c>
    </row>
    <row r="223" ht="22.5" customHeight="1">
      <c r="A223" s="21" t="s">
        <v>141</v>
      </c>
      <c r="B223" s="23" t="s">
        <v>22</v>
      </c>
      <c r="C223" s="23" t="s">
        <v>134</v>
      </c>
      <c r="D223" s="23" t="s">
        <v>142</v>
      </c>
    </row>
    <row r="224" ht="22.5" customHeight="1">
      <c r="A224" s="11" t="s">
        <v>143</v>
      </c>
      <c r="B224" s="33" t="s">
        <v>22</v>
      </c>
      <c r="C224" s="33" t="s">
        <v>144</v>
      </c>
      <c r="D224" s="14"/>
    </row>
    <row r="225" ht="22.5" customHeight="1">
      <c r="A225" s="21" t="s">
        <v>145</v>
      </c>
      <c r="B225" s="23" t="s">
        <v>22</v>
      </c>
      <c r="C225" s="23" t="s">
        <v>144</v>
      </c>
      <c r="D225" s="23" t="s">
        <v>147</v>
      </c>
    </row>
    <row r="226" ht="22.5" customHeight="1">
      <c r="A226" s="11" t="s">
        <v>145</v>
      </c>
      <c r="B226" s="33" t="s">
        <v>22</v>
      </c>
      <c r="C226" s="33" t="s">
        <v>144</v>
      </c>
      <c r="D226" s="33" t="s">
        <v>147</v>
      </c>
    </row>
    <row r="227" ht="22.5" customHeight="1">
      <c r="A227" s="21" t="s">
        <v>145</v>
      </c>
      <c r="B227" s="23" t="s">
        <v>22</v>
      </c>
      <c r="C227" s="23" t="s">
        <v>144</v>
      </c>
      <c r="D227" s="23" t="s">
        <v>147</v>
      </c>
    </row>
    <row r="228" ht="22.5" customHeight="1">
      <c r="A228" s="11" t="s">
        <v>145</v>
      </c>
      <c r="B228" s="33" t="s">
        <v>22</v>
      </c>
      <c r="C228" s="33" t="s">
        <v>144</v>
      </c>
      <c r="D228" s="33" t="s">
        <v>147</v>
      </c>
    </row>
    <row r="229" ht="22.5" customHeight="1">
      <c r="A229" s="21" t="s">
        <v>145</v>
      </c>
      <c r="B229" s="23" t="s">
        <v>22</v>
      </c>
      <c r="C229" s="23" t="s">
        <v>144</v>
      </c>
      <c r="D229" s="23" t="s">
        <v>147</v>
      </c>
    </row>
    <row r="230" ht="22.5" customHeight="1">
      <c r="A230" s="11" t="s">
        <v>145</v>
      </c>
      <c r="B230" s="33" t="s">
        <v>22</v>
      </c>
      <c r="C230" s="33" t="s">
        <v>144</v>
      </c>
      <c r="D230" s="33" t="s">
        <v>147</v>
      </c>
    </row>
    <row r="231" ht="22.5" customHeight="1">
      <c r="A231" s="21" t="s">
        <v>145</v>
      </c>
      <c r="B231" s="23" t="s">
        <v>22</v>
      </c>
      <c r="C231" s="23" t="s">
        <v>144</v>
      </c>
      <c r="D231" s="23" t="s">
        <v>147</v>
      </c>
    </row>
    <row r="232" ht="22.5" customHeight="1">
      <c r="A232" s="11" t="s">
        <v>145</v>
      </c>
      <c r="B232" s="33" t="s">
        <v>22</v>
      </c>
      <c r="C232" s="33" t="s">
        <v>144</v>
      </c>
      <c r="D232" s="33" t="s">
        <v>147</v>
      </c>
    </row>
    <row r="233" ht="22.5" customHeight="1">
      <c r="A233" s="21" t="s">
        <v>145</v>
      </c>
      <c r="B233" s="23" t="s">
        <v>22</v>
      </c>
      <c r="C233" s="23" t="s">
        <v>144</v>
      </c>
      <c r="D233" s="23" t="s">
        <v>147</v>
      </c>
    </row>
    <row r="234" ht="22.5" customHeight="1">
      <c r="A234" s="11" t="s">
        <v>145</v>
      </c>
      <c r="B234" s="33" t="s">
        <v>22</v>
      </c>
      <c r="C234" s="33" t="s">
        <v>144</v>
      </c>
      <c r="D234" s="33" t="s">
        <v>147</v>
      </c>
    </row>
    <row r="235" ht="22.5" customHeight="1">
      <c r="A235" s="21" t="s">
        <v>145</v>
      </c>
      <c r="B235" s="23" t="s">
        <v>22</v>
      </c>
      <c r="C235" s="23" t="s">
        <v>144</v>
      </c>
      <c r="D235" s="23" t="s">
        <v>147</v>
      </c>
    </row>
    <row r="236" ht="22.5" customHeight="1">
      <c r="A236" s="11" t="s">
        <v>148</v>
      </c>
      <c r="B236" s="33" t="s">
        <v>22</v>
      </c>
      <c r="C236" s="33" t="s">
        <v>144</v>
      </c>
      <c r="D236" s="33" t="s">
        <v>149</v>
      </c>
    </row>
    <row r="237" ht="22.5" customHeight="1">
      <c r="A237" s="21" t="s">
        <v>148</v>
      </c>
      <c r="B237" s="23" t="s">
        <v>22</v>
      </c>
      <c r="C237" s="23" t="s">
        <v>144</v>
      </c>
      <c r="D237" s="23" t="s">
        <v>149</v>
      </c>
    </row>
    <row r="238" ht="22.5" customHeight="1">
      <c r="A238" s="11" t="s">
        <v>148</v>
      </c>
      <c r="B238" s="33" t="s">
        <v>22</v>
      </c>
      <c r="C238" s="33" t="s">
        <v>144</v>
      </c>
      <c r="D238" s="33" t="s">
        <v>149</v>
      </c>
    </row>
    <row r="239" ht="22.5" customHeight="1">
      <c r="A239" s="21" t="s">
        <v>148</v>
      </c>
      <c r="B239" s="23" t="s">
        <v>22</v>
      </c>
      <c r="C239" s="23" t="s">
        <v>144</v>
      </c>
      <c r="D239" s="23" t="s">
        <v>149</v>
      </c>
    </row>
    <row r="240" ht="22.5" customHeight="1">
      <c r="A240" s="11" t="s">
        <v>148</v>
      </c>
      <c r="B240" s="33" t="s">
        <v>22</v>
      </c>
      <c r="C240" s="33" t="s">
        <v>144</v>
      </c>
      <c r="D240" s="33" t="s">
        <v>149</v>
      </c>
    </row>
    <row r="241" ht="22.5" customHeight="1">
      <c r="A241" s="21" t="s">
        <v>148</v>
      </c>
      <c r="B241" s="23" t="s">
        <v>22</v>
      </c>
      <c r="C241" s="23" t="s">
        <v>144</v>
      </c>
      <c r="D241" s="23" t="s">
        <v>149</v>
      </c>
    </row>
    <row r="242" ht="22.5" customHeight="1">
      <c r="A242" s="11" t="s">
        <v>148</v>
      </c>
      <c r="B242" s="33" t="s">
        <v>22</v>
      </c>
      <c r="C242" s="33" t="s">
        <v>144</v>
      </c>
      <c r="D242" s="33" t="s">
        <v>149</v>
      </c>
    </row>
    <row r="243" ht="22.5" customHeight="1">
      <c r="A243" s="21" t="s">
        <v>148</v>
      </c>
      <c r="B243" s="23" t="s">
        <v>22</v>
      </c>
      <c r="C243" s="23" t="s">
        <v>144</v>
      </c>
      <c r="D243" s="23" t="s">
        <v>149</v>
      </c>
    </row>
    <row r="244" ht="22.5" customHeight="1">
      <c r="A244" s="11" t="s">
        <v>148</v>
      </c>
      <c r="B244" s="33" t="s">
        <v>22</v>
      </c>
      <c r="C244" s="33" t="s">
        <v>144</v>
      </c>
      <c r="D244" s="33" t="s">
        <v>149</v>
      </c>
    </row>
    <row r="245" ht="22.5" customHeight="1">
      <c r="A245" s="21" t="s">
        <v>148</v>
      </c>
      <c r="B245" s="23" t="s">
        <v>22</v>
      </c>
      <c r="C245" s="23" t="s">
        <v>144</v>
      </c>
      <c r="D245" s="23" t="s">
        <v>149</v>
      </c>
    </row>
    <row r="246" ht="22.5" customHeight="1">
      <c r="A246" s="11" t="s">
        <v>148</v>
      </c>
      <c r="B246" s="33" t="s">
        <v>22</v>
      </c>
      <c r="C246" s="33" t="s">
        <v>144</v>
      </c>
      <c r="D246" s="33" t="s">
        <v>149</v>
      </c>
    </row>
    <row r="247" ht="22.5" customHeight="1">
      <c r="A247" s="21" t="s">
        <v>148</v>
      </c>
      <c r="B247" s="23" t="s">
        <v>22</v>
      </c>
      <c r="C247" s="23" t="s">
        <v>144</v>
      </c>
      <c r="D247" s="23" t="s">
        <v>149</v>
      </c>
    </row>
    <row r="248" ht="22.5" customHeight="1">
      <c r="A248" s="11" t="s">
        <v>148</v>
      </c>
      <c r="B248" s="33" t="s">
        <v>22</v>
      </c>
      <c r="C248" s="33" t="s">
        <v>144</v>
      </c>
      <c r="D248" s="33" t="s">
        <v>149</v>
      </c>
    </row>
    <row r="249" ht="22.5" customHeight="1">
      <c r="A249" s="21" t="s">
        <v>148</v>
      </c>
      <c r="B249" s="23" t="s">
        <v>22</v>
      </c>
      <c r="C249" s="23" t="s">
        <v>144</v>
      </c>
      <c r="D249" s="23" t="s">
        <v>149</v>
      </c>
    </row>
    <row r="250" ht="22.5" customHeight="1">
      <c r="A250" s="11" t="s">
        <v>148</v>
      </c>
      <c r="B250" s="33" t="s">
        <v>22</v>
      </c>
      <c r="C250" s="33" t="s">
        <v>144</v>
      </c>
      <c r="D250" s="33" t="s">
        <v>149</v>
      </c>
    </row>
    <row r="251" ht="22.5" customHeight="1">
      <c r="A251" s="21" t="s">
        <v>148</v>
      </c>
      <c r="B251" s="23" t="s">
        <v>22</v>
      </c>
      <c r="C251" s="23" t="s">
        <v>144</v>
      </c>
      <c r="D251" s="23" t="s">
        <v>149</v>
      </c>
    </row>
    <row r="252" ht="22.5" customHeight="1">
      <c r="A252" s="11" t="s">
        <v>148</v>
      </c>
      <c r="B252" s="33" t="s">
        <v>22</v>
      </c>
      <c r="C252" s="33" t="s">
        <v>144</v>
      </c>
      <c r="D252" s="33" t="s">
        <v>149</v>
      </c>
    </row>
    <row r="253" ht="22.5" customHeight="1">
      <c r="A253" s="21" t="s">
        <v>148</v>
      </c>
      <c r="B253" s="23" t="s">
        <v>22</v>
      </c>
      <c r="C253" s="23" t="s">
        <v>144</v>
      </c>
      <c r="D253" s="23" t="s">
        <v>149</v>
      </c>
    </row>
    <row r="254" ht="22.5" customHeight="1">
      <c r="A254" s="11" t="s">
        <v>148</v>
      </c>
      <c r="B254" s="33" t="s">
        <v>22</v>
      </c>
      <c r="C254" s="33" t="s">
        <v>144</v>
      </c>
      <c r="D254" s="33" t="s">
        <v>149</v>
      </c>
    </row>
    <row r="255" ht="22.5" customHeight="1">
      <c r="A255" s="21" t="s">
        <v>148</v>
      </c>
      <c r="B255" s="23" t="s">
        <v>22</v>
      </c>
      <c r="C255" s="23" t="s">
        <v>144</v>
      </c>
      <c r="D255" s="23" t="s">
        <v>149</v>
      </c>
    </row>
    <row r="256" ht="22.5" customHeight="1">
      <c r="A256" s="11" t="s">
        <v>148</v>
      </c>
      <c r="B256" s="33" t="s">
        <v>22</v>
      </c>
      <c r="C256" s="33" t="s">
        <v>144</v>
      </c>
      <c r="D256" s="33" t="s">
        <v>149</v>
      </c>
    </row>
    <row r="257" ht="22.5" customHeight="1">
      <c r="A257" s="21" t="s">
        <v>148</v>
      </c>
      <c r="B257" s="23" t="s">
        <v>22</v>
      </c>
      <c r="C257" s="23" t="s">
        <v>144</v>
      </c>
      <c r="D257" s="23" t="s">
        <v>149</v>
      </c>
    </row>
    <row r="258" ht="22.5" customHeight="1">
      <c r="A258" s="11" t="s">
        <v>150</v>
      </c>
      <c r="B258" s="33" t="s">
        <v>22</v>
      </c>
      <c r="C258" s="33" t="s">
        <v>144</v>
      </c>
      <c r="D258" s="33" t="s">
        <v>151</v>
      </c>
    </row>
    <row r="259" ht="22.5" customHeight="1">
      <c r="A259" s="21" t="s">
        <v>150</v>
      </c>
      <c r="B259" s="23" t="s">
        <v>22</v>
      </c>
      <c r="C259" s="23" t="s">
        <v>144</v>
      </c>
      <c r="D259" s="23" t="s">
        <v>151</v>
      </c>
    </row>
    <row r="260" ht="22.5" customHeight="1">
      <c r="A260" s="11" t="s">
        <v>150</v>
      </c>
      <c r="B260" s="33" t="s">
        <v>22</v>
      </c>
      <c r="C260" s="33" t="s">
        <v>144</v>
      </c>
      <c r="D260" s="33" t="s">
        <v>151</v>
      </c>
    </row>
    <row r="261" ht="22.5" customHeight="1">
      <c r="A261" s="21" t="s">
        <v>150</v>
      </c>
      <c r="B261" s="23" t="s">
        <v>22</v>
      </c>
      <c r="C261" s="23" t="s">
        <v>144</v>
      </c>
      <c r="D261" s="23" t="s">
        <v>151</v>
      </c>
    </row>
    <row r="262" ht="22.5" customHeight="1">
      <c r="A262" s="11" t="s">
        <v>152</v>
      </c>
      <c r="B262" s="33" t="s">
        <v>22</v>
      </c>
      <c r="C262" s="33" t="s">
        <v>153</v>
      </c>
      <c r="D262" s="14"/>
    </row>
    <row r="263" ht="22.5" customHeight="1">
      <c r="A263" s="21" t="s">
        <v>154</v>
      </c>
      <c r="B263" s="23" t="s">
        <v>22</v>
      </c>
      <c r="C263" s="23" t="s">
        <v>153</v>
      </c>
      <c r="D263" s="23" t="s">
        <v>155</v>
      </c>
    </row>
    <row r="264" ht="22.5" customHeight="1">
      <c r="A264" s="11" t="s">
        <v>154</v>
      </c>
      <c r="B264" s="33" t="s">
        <v>22</v>
      </c>
      <c r="C264" s="33" t="s">
        <v>153</v>
      </c>
      <c r="D264" s="33" t="s">
        <v>155</v>
      </c>
    </row>
    <row r="265" ht="22.5" customHeight="1">
      <c r="A265" s="21" t="s">
        <v>154</v>
      </c>
      <c r="B265" s="23" t="s">
        <v>22</v>
      </c>
      <c r="C265" s="23" t="s">
        <v>153</v>
      </c>
      <c r="D265" s="23" t="s">
        <v>155</v>
      </c>
    </row>
    <row r="266" ht="22.5" customHeight="1">
      <c r="A266" s="11" t="s">
        <v>154</v>
      </c>
      <c r="B266" s="33" t="s">
        <v>22</v>
      </c>
      <c r="C266" s="33" t="s">
        <v>153</v>
      </c>
      <c r="D266" s="33" t="s">
        <v>155</v>
      </c>
    </row>
    <row r="267" ht="22.5" customHeight="1">
      <c r="A267" s="21" t="s">
        <v>154</v>
      </c>
      <c r="B267" s="23" t="s">
        <v>22</v>
      </c>
      <c r="C267" s="23" t="s">
        <v>153</v>
      </c>
      <c r="D267" s="23" t="s">
        <v>155</v>
      </c>
    </row>
    <row r="268" ht="22.5" customHeight="1">
      <c r="A268" s="11" t="s">
        <v>154</v>
      </c>
      <c r="B268" s="33" t="s">
        <v>22</v>
      </c>
      <c r="C268" s="33" t="s">
        <v>153</v>
      </c>
      <c r="D268" s="33" t="s">
        <v>155</v>
      </c>
    </row>
    <row r="269" ht="22.5" customHeight="1">
      <c r="A269" s="21" t="s">
        <v>156</v>
      </c>
      <c r="B269" s="23" t="s">
        <v>22</v>
      </c>
      <c r="C269" s="23" t="s">
        <v>153</v>
      </c>
      <c r="D269" s="23" t="s">
        <v>157</v>
      </c>
    </row>
    <row r="270" ht="22.5" customHeight="1">
      <c r="A270" s="11" t="s">
        <v>156</v>
      </c>
      <c r="B270" s="33" t="s">
        <v>22</v>
      </c>
      <c r="C270" s="33" t="s">
        <v>153</v>
      </c>
      <c r="D270" s="33" t="s">
        <v>157</v>
      </c>
    </row>
    <row r="271" ht="22.5" customHeight="1">
      <c r="A271" s="21" t="s">
        <v>156</v>
      </c>
      <c r="B271" s="23" t="s">
        <v>22</v>
      </c>
      <c r="C271" s="23" t="s">
        <v>153</v>
      </c>
      <c r="D271" s="23" t="s">
        <v>157</v>
      </c>
    </row>
    <row r="272" ht="22.5" customHeight="1">
      <c r="A272" s="11" t="s">
        <v>156</v>
      </c>
      <c r="B272" s="33" t="s">
        <v>22</v>
      </c>
      <c r="C272" s="33" t="s">
        <v>153</v>
      </c>
      <c r="D272" s="33" t="s">
        <v>157</v>
      </c>
    </row>
    <row r="273" ht="22.5" customHeight="1">
      <c r="A273" s="21" t="s">
        <v>156</v>
      </c>
      <c r="B273" s="23" t="s">
        <v>22</v>
      </c>
      <c r="C273" s="23" t="s">
        <v>153</v>
      </c>
      <c r="D273" s="23" t="s">
        <v>157</v>
      </c>
    </row>
    <row r="274" ht="22.5" customHeight="1">
      <c r="A274" s="11" t="s">
        <v>156</v>
      </c>
      <c r="B274" s="33" t="s">
        <v>22</v>
      </c>
      <c r="C274" s="33" t="s">
        <v>153</v>
      </c>
      <c r="D274" s="33" t="s">
        <v>157</v>
      </c>
    </row>
    <row r="275" ht="22.5" customHeight="1">
      <c r="A275" s="21" t="s">
        <v>156</v>
      </c>
      <c r="B275" s="23" t="s">
        <v>22</v>
      </c>
      <c r="C275" s="23" t="s">
        <v>153</v>
      </c>
      <c r="D275" s="23" t="s">
        <v>157</v>
      </c>
    </row>
    <row r="276" ht="22.5" customHeight="1">
      <c r="A276" s="11" t="s">
        <v>156</v>
      </c>
      <c r="B276" s="33" t="s">
        <v>22</v>
      </c>
      <c r="C276" s="33" t="s">
        <v>153</v>
      </c>
      <c r="D276" s="33" t="s">
        <v>157</v>
      </c>
    </row>
    <row r="277" ht="22.5" customHeight="1">
      <c r="A277" s="21" t="s">
        <v>156</v>
      </c>
      <c r="B277" s="23" t="s">
        <v>22</v>
      </c>
      <c r="C277" s="23" t="s">
        <v>153</v>
      </c>
      <c r="D277" s="23" t="s">
        <v>157</v>
      </c>
    </row>
    <row r="278" ht="22.5" customHeight="1">
      <c r="A278" s="11" t="s">
        <v>156</v>
      </c>
      <c r="B278" s="33" t="s">
        <v>22</v>
      </c>
      <c r="C278" s="33" t="s">
        <v>153</v>
      </c>
      <c r="D278" s="33" t="s">
        <v>157</v>
      </c>
    </row>
    <row r="279" ht="22.5" customHeight="1">
      <c r="A279" s="21" t="s">
        <v>156</v>
      </c>
      <c r="B279" s="23" t="s">
        <v>22</v>
      </c>
      <c r="C279" s="23" t="s">
        <v>153</v>
      </c>
      <c r="D279" s="23" t="s">
        <v>157</v>
      </c>
    </row>
    <row r="280" ht="22.5" customHeight="1">
      <c r="A280" s="11" t="s">
        <v>156</v>
      </c>
      <c r="B280" s="33" t="s">
        <v>22</v>
      </c>
      <c r="C280" s="33" t="s">
        <v>153</v>
      </c>
      <c r="D280" s="33" t="s">
        <v>157</v>
      </c>
    </row>
    <row r="281" ht="22.5" customHeight="1">
      <c r="A281" s="21" t="s">
        <v>156</v>
      </c>
      <c r="B281" s="23" t="s">
        <v>22</v>
      </c>
      <c r="C281" s="23" t="s">
        <v>153</v>
      </c>
      <c r="D281" s="23" t="s">
        <v>157</v>
      </c>
    </row>
    <row r="282" ht="22.5" customHeight="1">
      <c r="A282" s="11" t="s">
        <v>156</v>
      </c>
      <c r="B282" s="33" t="s">
        <v>22</v>
      </c>
      <c r="C282" s="33" t="s">
        <v>153</v>
      </c>
      <c r="D282" s="33" t="s">
        <v>157</v>
      </c>
    </row>
    <row r="283" ht="22.5" customHeight="1">
      <c r="A283" s="21" t="s">
        <v>156</v>
      </c>
      <c r="B283" s="23" t="s">
        <v>22</v>
      </c>
      <c r="C283" s="23" t="s">
        <v>153</v>
      </c>
      <c r="D283" s="23" t="s">
        <v>157</v>
      </c>
    </row>
    <row r="284" ht="22.5" customHeight="1">
      <c r="A284" s="11" t="s">
        <v>156</v>
      </c>
      <c r="B284" s="33" t="s">
        <v>22</v>
      </c>
      <c r="C284" s="33" t="s">
        <v>153</v>
      </c>
      <c r="D284" s="33" t="s">
        <v>157</v>
      </c>
    </row>
    <row r="285" ht="22.5" customHeight="1">
      <c r="A285" s="21" t="s">
        <v>156</v>
      </c>
      <c r="B285" s="23" t="s">
        <v>22</v>
      </c>
      <c r="C285" s="23" t="s">
        <v>153</v>
      </c>
      <c r="D285" s="23" t="s">
        <v>157</v>
      </c>
    </row>
    <row r="286" ht="22.5" customHeight="1">
      <c r="A286" s="11" t="s">
        <v>156</v>
      </c>
      <c r="B286" s="33" t="s">
        <v>22</v>
      </c>
      <c r="C286" s="33" t="s">
        <v>153</v>
      </c>
      <c r="D286" s="33" t="s">
        <v>157</v>
      </c>
    </row>
    <row r="287" ht="22.5" customHeight="1">
      <c r="A287" s="21" t="s">
        <v>156</v>
      </c>
      <c r="B287" s="23" t="s">
        <v>22</v>
      </c>
      <c r="C287" s="23" t="s">
        <v>153</v>
      </c>
      <c r="D287" s="23" t="s">
        <v>157</v>
      </c>
    </row>
    <row r="288" ht="22.5" customHeight="1">
      <c r="A288" s="11" t="s">
        <v>158</v>
      </c>
      <c r="B288" s="33" t="s">
        <v>22</v>
      </c>
      <c r="C288" s="33" t="s">
        <v>153</v>
      </c>
      <c r="D288" s="33" t="s">
        <v>159</v>
      </c>
    </row>
    <row r="289" ht="22.5" customHeight="1">
      <c r="A289" s="21" t="s">
        <v>158</v>
      </c>
      <c r="B289" s="23" t="s">
        <v>22</v>
      </c>
      <c r="C289" s="23" t="s">
        <v>153</v>
      </c>
      <c r="D289" s="23" t="s">
        <v>159</v>
      </c>
    </row>
    <row r="290" ht="22.5" customHeight="1">
      <c r="A290" s="11" t="s">
        <v>158</v>
      </c>
      <c r="B290" s="33" t="s">
        <v>22</v>
      </c>
      <c r="C290" s="33" t="s">
        <v>153</v>
      </c>
      <c r="D290" s="33" t="s">
        <v>159</v>
      </c>
    </row>
    <row r="291" ht="22.5" customHeight="1">
      <c r="A291" s="21" t="s">
        <v>158</v>
      </c>
      <c r="B291" s="23" t="s">
        <v>22</v>
      </c>
      <c r="C291" s="23" t="s">
        <v>153</v>
      </c>
      <c r="D291" s="23" t="s">
        <v>159</v>
      </c>
    </row>
    <row r="292" ht="22.5" customHeight="1">
      <c r="A292" s="11" t="s">
        <v>160</v>
      </c>
      <c r="B292" s="33" t="s">
        <v>22</v>
      </c>
      <c r="C292" s="33" t="s">
        <v>153</v>
      </c>
      <c r="D292" s="33" t="s">
        <v>161</v>
      </c>
    </row>
    <row r="293" ht="22.5" customHeight="1">
      <c r="A293" s="21" t="s">
        <v>160</v>
      </c>
      <c r="B293" s="23" t="s">
        <v>22</v>
      </c>
      <c r="C293" s="23" t="s">
        <v>153</v>
      </c>
      <c r="D293" s="23" t="s">
        <v>161</v>
      </c>
    </row>
    <row r="294" ht="22.5" customHeight="1">
      <c r="A294" s="11" t="s">
        <v>160</v>
      </c>
      <c r="B294" s="33" t="s">
        <v>22</v>
      </c>
      <c r="C294" s="33" t="s">
        <v>153</v>
      </c>
      <c r="D294" s="33" t="s">
        <v>161</v>
      </c>
    </row>
    <row r="295" ht="22.5" customHeight="1">
      <c r="A295" s="21" t="s">
        <v>160</v>
      </c>
      <c r="B295" s="23" t="s">
        <v>22</v>
      </c>
      <c r="C295" s="23" t="s">
        <v>153</v>
      </c>
      <c r="D295" s="23" t="s">
        <v>161</v>
      </c>
    </row>
    <row r="296" ht="22.5" customHeight="1">
      <c r="A296" s="11" t="s">
        <v>160</v>
      </c>
      <c r="B296" s="33" t="s">
        <v>22</v>
      </c>
      <c r="C296" s="33" t="s">
        <v>153</v>
      </c>
      <c r="D296" s="33" t="s">
        <v>161</v>
      </c>
    </row>
    <row r="297" ht="22.5" customHeight="1">
      <c r="A297" s="21" t="s">
        <v>163</v>
      </c>
      <c r="B297" s="23" t="s">
        <v>22</v>
      </c>
      <c r="C297" s="23" t="s">
        <v>164</v>
      </c>
      <c r="D297" s="25"/>
    </row>
    <row r="298" ht="22.5" customHeight="1">
      <c r="A298" s="11" t="s">
        <v>163</v>
      </c>
      <c r="B298" s="33" t="s">
        <v>22</v>
      </c>
      <c r="C298" s="33" t="s">
        <v>164</v>
      </c>
      <c r="D298" s="14"/>
    </row>
    <row r="299" ht="22.5" customHeight="1">
      <c r="A299" s="21" t="s">
        <v>163</v>
      </c>
      <c r="B299" s="23" t="s">
        <v>22</v>
      </c>
      <c r="C299" s="23" t="s">
        <v>164</v>
      </c>
      <c r="D299" s="25"/>
    </row>
    <row r="300" ht="22.5" customHeight="1">
      <c r="A300" s="11" t="s">
        <v>166</v>
      </c>
      <c r="B300" s="33" t="s">
        <v>22</v>
      </c>
      <c r="C300" s="33" t="s">
        <v>164</v>
      </c>
      <c r="D300" s="33" t="s">
        <v>167</v>
      </c>
    </row>
    <row r="301" ht="22.5" customHeight="1">
      <c r="A301" s="21" t="s">
        <v>166</v>
      </c>
      <c r="B301" s="23" t="s">
        <v>22</v>
      </c>
      <c r="C301" s="23" t="s">
        <v>164</v>
      </c>
      <c r="D301" s="23" t="s">
        <v>167</v>
      </c>
    </row>
    <row r="302" ht="22.5" customHeight="1">
      <c r="A302" s="11" t="s">
        <v>166</v>
      </c>
      <c r="B302" s="33" t="s">
        <v>22</v>
      </c>
      <c r="C302" s="33" t="s">
        <v>164</v>
      </c>
      <c r="D302" s="33" t="s">
        <v>167</v>
      </c>
    </row>
    <row r="303" ht="22.5" customHeight="1">
      <c r="A303" s="21" t="s">
        <v>166</v>
      </c>
      <c r="B303" s="23" t="s">
        <v>22</v>
      </c>
      <c r="C303" s="23" t="s">
        <v>164</v>
      </c>
      <c r="D303" s="23" t="s">
        <v>167</v>
      </c>
    </row>
    <row r="304" ht="22.5" customHeight="1">
      <c r="A304" s="11" t="s">
        <v>166</v>
      </c>
      <c r="B304" s="33" t="s">
        <v>22</v>
      </c>
      <c r="C304" s="33" t="s">
        <v>164</v>
      </c>
      <c r="D304" s="33" t="s">
        <v>167</v>
      </c>
    </row>
    <row r="305" ht="22.5" customHeight="1">
      <c r="A305" s="21" t="s">
        <v>166</v>
      </c>
      <c r="B305" s="23" t="s">
        <v>22</v>
      </c>
      <c r="C305" s="23" t="s">
        <v>164</v>
      </c>
      <c r="D305" s="23" t="s">
        <v>167</v>
      </c>
    </row>
    <row r="306" ht="22.5" customHeight="1">
      <c r="A306" s="11" t="s">
        <v>166</v>
      </c>
      <c r="B306" s="33" t="s">
        <v>22</v>
      </c>
      <c r="C306" s="33" t="s">
        <v>164</v>
      </c>
      <c r="D306" s="33" t="s">
        <v>167</v>
      </c>
    </row>
    <row r="307" ht="22.5" customHeight="1">
      <c r="A307" s="21" t="s">
        <v>169</v>
      </c>
      <c r="B307" s="23" t="s">
        <v>22</v>
      </c>
      <c r="C307" s="23" t="s">
        <v>164</v>
      </c>
      <c r="D307" s="23" t="s">
        <v>170</v>
      </c>
    </row>
    <row r="308" ht="22.5" customHeight="1">
      <c r="A308" s="11" t="s">
        <v>169</v>
      </c>
      <c r="B308" s="33" t="s">
        <v>22</v>
      </c>
      <c r="C308" s="33" t="s">
        <v>164</v>
      </c>
      <c r="D308" s="33" t="s">
        <v>170</v>
      </c>
    </row>
    <row r="309" ht="22.5" customHeight="1">
      <c r="A309" s="21" t="s">
        <v>172</v>
      </c>
      <c r="B309" s="23" t="s">
        <v>22</v>
      </c>
      <c r="C309" s="23" t="s">
        <v>164</v>
      </c>
      <c r="D309" s="23" t="s">
        <v>173</v>
      </c>
    </row>
    <row r="310" ht="22.5" customHeight="1">
      <c r="A310" s="11" t="s">
        <v>172</v>
      </c>
      <c r="B310" s="33" t="s">
        <v>22</v>
      </c>
      <c r="C310" s="33" t="s">
        <v>164</v>
      </c>
      <c r="D310" s="33" t="s">
        <v>173</v>
      </c>
    </row>
    <row r="311" ht="22.5" customHeight="1">
      <c r="A311" s="21" t="s">
        <v>172</v>
      </c>
      <c r="B311" s="23" t="s">
        <v>22</v>
      </c>
      <c r="C311" s="23" t="s">
        <v>164</v>
      </c>
      <c r="D311" s="23" t="s">
        <v>173</v>
      </c>
    </row>
    <row r="312" ht="22.5" customHeight="1">
      <c r="A312" s="11" t="s">
        <v>172</v>
      </c>
      <c r="B312" s="33" t="s">
        <v>22</v>
      </c>
      <c r="C312" s="33" t="s">
        <v>164</v>
      </c>
      <c r="D312" s="33" t="s">
        <v>173</v>
      </c>
    </row>
    <row r="313" ht="22.5" customHeight="1">
      <c r="A313" s="21" t="s">
        <v>172</v>
      </c>
      <c r="B313" s="23" t="s">
        <v>22</v>
      </c>
      <c r="C313" s="23" t="s">
        <v>164</v>
      </c>
      <c r="D313" s="23" t="s">
        <v>173</v>
      </c>
    </row>
    <row r="314" ht="22.5" customHeight="1">
      <c r="A314" s="11" t="s">
        <v>172</v>
      </c>
      <c r="B314" s="33" t="s">
        <v>22</v>
      </c>
      <c r="C314" s="33" t="s">
        <v>164</v>
      </c>
      <c r="D314" s="33" t="s">
        <v>173</v>
      </c>
    </row>
    <row r="315" ht="22.5" customHeight="1">
      <c r="A315" s="21" t="s">
        <v>172</v>
      </c>
      <c r="B315" s="23" t="s">
        <v>22</v>
      </c>
      <c r="C315" s="23" t="s">
        <v>164</v>
      </c>
      <c r="D315" s="23" t="s">
        <v>173</v>
      </c>
    </row>
    <row r="316" ht="22.5" customHeight="1">
      <c r="A316" s="11" t="s">
        <v>172</v>
      </c>
      <c r="B316" s="33" t="s">
        <v>22</v>
      </c>
      <c r="C316" s="33" t="s">
        <v>164</v>
      </c>
      <c r="D316" s="33" t="s">
        <v>173</v>
      </c>
    </row>
    <row r="317" ht="22.5" customHeight="1">
      <c r="A317" s="21" t="s">
        <v>172</v>
      </c>
      <c r="B317" s="23" t="s">
        <v>22</v>
      </c>
      <c r="C317" s="23" t="s">
        <v>164</v>
      </c>
      <c r="D317" s="23" t="s">
        <v>173</v>
      </c>
    </row>
    <row r="318" ht="22.5" customHeight="1">
      <c r="A318" s="11" t="s">
        <v>172</v>
      </c>
      <c r="B318" s="33" t="s">
        <v>22</v>
      </c>
      <c r="C318" s="33" t="s">
        <v>164</v>
      </c>
      <c r="D318" s="33" t="s">
        <v>173</v>
      </c>
    </row>
    <row r="319" ht="22.5" customHeight="1">
      <c r="A319" s="21" t="s">
        <v>172</v>
      </c>
      <c r="B319" s="23" t="s">
        <v>22</v>
      </c>
      <c r="C319" s="23" t="s">
        <v>164</v>
      </c>
      <c r="D319" s="23" t="s">
        <v>173</v>
      </c>
    </row>
    <row r="320" ht="22.5" customHeight="1">
      <c r="A320" s="11" t="s">
        <v>172</v>
      </c>
      <c r="B320" s="33" t="s">
        <v>22</v>
      </c>
      <c r="C320" s="33" t="s">
        <v>164</v>
      </c>
      <c r="D320" s="33" t="s">
        <v>173</v>
      </c>
    </row>
    <row r="321" ht="22.5" customHeight="1">
      <c r="A321" s="21" t="s">
        <v>175</v>
      </c>
      <c r="B321" s="23" t="s">
        <v>22</v>
      </c>
      <c r="C321" s="23" t="s">
        <v>164</v>
      </c>
      <c r="D321" s="23" t="s">
        <v>176</v>
      </c>
    </row>
    <row r="322" ht="22.5" customHeight="1">
      <c r="A322" s="11" t="s">
        <v>175</v>
      </c>
      <c r="B322" s="33" t="s">
        <v>22</v>
      </c>
      <c r="C322" s="33" t="s">
        <v>164</v>
      </c>
      <c r="D322" s="33" t="s">
        <v>176</v>
      </c>
    </row>
    <row r="323" ht="22.5" customHeight="1">
      <c r="A323" s="21" t="s">
        <v>175</v>
      </c>
      <c r="B323" s="23" t="s">
        <v>22</v>
      </c>
      <c r="C323" s="23" t="s">
        <v>164</v>
      </c>
      <c r="D323" s="23" t="s">
        <v>176</v>
      </c>
    </row>
    <row r="324" ht="22.5" customHeight="1">
      <c r="A324" s="11" t="s">
        <v>175</v>
      </c>
      <c r="B324" s="33" t="s">
        <v>22</v>
      </c>
      <c r="C324" s="33" t="s">
        <v>164</v>
      </c>
      <c r="D324" s="33" t="s">
        <v>176</v>
      </c>
    </row>
    <row r="325" ht="22.5" customHeight="1">
      <c r="A325" s="21" t="s">
        <v>175</v>
      </c>
      <c r="B325" s="23" t="s">
        <v>22</v>
      </c>
      <c r="C325" s="23" t="s">
        <v>164</v>
      </c>
      <c r="D325" s="23" t="s">
        <v>176</v>
      </c>
    </row>
    <row r="326" ht="22.5" customHeight="1">
      <c r="A326" s="11" t="s">
        <v>175</v>
      </c>
      <c r="B326" s="33" t="s">
        <v>22</v>
      </c>
      <c r="C326" s="33" t="s">
        <v>164</v>
      </c>
      <c r="D326" s="33" t="s">
        <v>176</v>
      </c>
    </row>
    <row r="327" ht="22.5" customHeight="1">
      <c r="A327" s="21" t="s">
        <v>175</v>
      </c>
      <c r="B327" s="23" t="s">
        <v>22</v>
      </c>
      <c r="C327" s="23" t="s">
        <v>164</v>
      </c>
      <c r="D327" s="23" t="s">
        <v>176</v>
      </c>
    </row>
    <row r="328" ht="22.5" customHeight="1">
      <c r="A328" s="11" t="s">
        <v>175</v>
      </c>
      <c r="B328" s="33" t="s">
        <v>22</v>
      </c>
      <c r="C328" s="33" t="s">
        <v>164</v>
      </c>
      <c r="D328" s="33" t="s">
        <v>176</v>
      </c>
    </row>
    <row r="329" ht="22.5" customHeight="1">
      <c r="A329" s="21" t="s">
        <v>175</v>
      </c>
      <c r="B329" s="23" t="s">
        <v>22</v>
      </c>
      <c r="C329" s="23" t="s">
        <v>164</v>
      </c>
      <c r="D329" s="23" t="s">
        <v>176</v>
      </c>
    </row>
    <row r="330" ht="22.5" customHeight="1">
      <c r="A330" s="11" t="s">
        <v>175</v>
      </c>
      <c r="B330" s="33" t="s">
        <v>22</v>
      </c>
      <c r="C330" s="33" t="s">
        <v>164</v>
      </c>
      <c r="D330" s="33" t="s">
        <v>176</v>
      </c>
    </row>
    <row r="331" ht="22.5" customHeight="1">
      <c r="A331" s="21" t="s">
        <v>175</v>
      </c>
      <c r="B331" s="23" t="s">
        <v>22</v>
      </c>
      <c r="C331" s="23" t="s">
        <v>164</v>
      </c>
      <c r="D331" s="23" t="s">
        <v>176</v>
      </c>
    </row>
    <row r="332" ht="22.5" customHeight="1">
      <c r="A332" s="11" t="s">
        <v>175</v>
      </c>
      <c r="B332" s="33" t="s">
        <v>22</v>
      </c>
      <c r="C332" s="33" t="s">
        <v>164</v>
      </c>
      <c r="D332" s="33" t="s">
        <v>176</v>
      </c>
    </row>
    <row r="333" ht="22.5" customHeight="1">
      <c r="A333" s="21" t="s">
        <v>175</v>
      </c>
      <c r="B333" s="23" t="s">
        <v>22</v>
      </c>
      <c r="C333" s="23" t="s">
        <v>164</v>
      </c>
      <c r="D333" s="23" t="s">
        <v>176</v>
      </c>
    </row>
    <row r="334" ht="22.5" customHeight="1">
      <c r="A334" s="11" t="s">
        <v>175</v>
      </c>
      <c r="B334" s="33" t="s">
        <v>22</v>
      </c>
      <c r="C334" s="33" t="s">
        <v>164</v>
      </c>
      <c r="D334" s="33" t="s">
        <v>176</v>
      </c>
    </row>
    <row r="335" ht="22.5" customHeight="1">
      <c r="A335" s="21" t="s">
        <v>177</v>
      </c>
      <c r="B335" s="23" t="s">
        <v>22</v>
      </c>
      <c r="C335" s="23" t="s">
        <v>178</v>
      </c>
      <c r="D335" s="25"/>
    </row>
    <row r="336" ht="22.5" customHeight="1">
      <c r="A336" s="11" t="s">
        <v>179</v>
      </c>
      <c r="B336" s="33" t="s">
        <v>22</v>
      </c>
      <c r="C336" s="33" t="s">
        <v>178</v>
      </c>
      <c r="D336" s="33" t="s">
        <v>180</v>
      </c>
    </row>
    <row r="337" ht="22.5" customHeight="1">
      <c r="A337" s="21" t="s">
        <v>179</v>
      </c>
      <c r="B337" s="23" t="s">
        <v>22</v>
      </c>
      <c r="C337" s="23" t="s">
        <v>178</v>
      </c>
      <c r="D337" s="23" t="s">
        <v>180</v>
      </c>
    </row>
    <row r="338" ht="22.5" customHeight="1">
      <c r="A338" s="11" t="s">
        <v>179</v>
      </c>
      <c r="B338" s="33" t="s">
        <v>22</v>
      </c>
      <c r="C338" s="33" t="s">
        <v>178</v>
      </c>
      <c r="D338" s="33" t="s">
        <v>180</v>
      </c>
    </row>
    <row r="339" ht="22.5" customHeight="1">
      <c r="A339" s="21" t="s">
        <v>179</v>
      </c>
      <c r="B339" s="23" t="s">
        <v>22</v>
      </c>
      <c r="C339" s="23" t="s">
        <v>178</v>
      </c>
      <c r="D339" s="23" t="s">
        <v>180</v>
      </c>
    </row>
    <row r="340" ht="22.5" customHeight="1">
      <c r="A340" s="11" t="s">
        <v>179</v>
      </c>
      <c r="B340" s="33" t="s">
        <v>22</v>
      </c>
      <c r="C340" s="33" t="s">
        <v>178</v>
      </c>
      <c r="D340" s="33" t="s">
        <v>180</v>
      </c>
    </row>
    <row r="341" ht="22.5" customHeight="1">
      <c r="A341" s="21" t="s">
        <v>179</v>
      </c>
      <c r="B341" s="23" t="s">
        <v>22</v>
      </c>
      <c r="C341" s="23" t="s">
        <v>178</v>
      </c>
      <c r="D341" s="23" t="s">
        <v>180</v>
      </c>
    </row>
    <row r="342" ht="22.5" customHeight="1">
      <c r="A342" s="11" t="s">
        <v>179</v>
      </c>
      <c r="B342" s="33" t="s">
        <v>22</v>
      </c>
      <c r="C342" s="33" t="s">
        <v>178</v>
      </c>
      <c r="D342" s="33" t="s">
        <v>180</v>
      </c>
    </row>
    <row r="343" ht="22.5" customHeight="1">
      <c r="A343" s="21" t="s">
        <v>179</v>
      </c>
      <c r="B343" s="23" t="s">
        <v>22</v>
      </c>
      <c r="C343" s="23" t="s">
        <v>178</v>
      </c>
      <c r="D343" s="23" t="s">
        <v>180</v>
      </c>
    </row>
    <row r="344" ht="22.5" customHeight="1">
      <c r="A344" s="11" t="s">
        <v>179</v>
      </c>
      <c r="B344" s="33" t="s">
        <v>22</v>
      </c>
      <c r="C344" s="33" t="s">
        <v>178</v>
      </c>
      <c r="D344" s="33" t="s">
        <v>180</v>
      </c>
    </row>
    <row r="345" ht="22.5" customHeight="1">
      <c r="A345" s="21" t="s">
        <v>179</v>
      </c>
      <c r="B345" s="23" t="s">
        <v>22</v>
      </c>
      <c r="C345" s="23" t="s">
        <v>178</v>
      </c>
      <c r="D345" s="23" t="s">
        <v>180</v>
      </c>
    </row>
    <row r="346" ht="22.5" customHeight="1">
      <c r="A346" s="11" t="s">
        <v>179</v>
      </c>
      <c r="B346" s="33" t="s">
        <v>22</v>
      </c>
      <c r="C346" s="33" t="s">
        <v>178</v>
      </c>
      <c r="D346" s="33" t="s">
        <v>180</v>
      </c>
    </row>
    <row r="347" ht="22.5" customHeight="1">
      <c r="A347" s="21" t="s">
        <v>181</v>
      </c>
      <c r="B347" s="23" t="s">
        <v>22</v>
      </c>
      <c r="C347" s="23" t="s">
        <v>178</v>
      </c>
      <c r="D347" s="23" t="s">
        <v>182</v>
      </c>
    </row>
    <row r="348" ht="22.5" customHeight="1">
      <c r="A348" s="11" t="s">
        <v>181</v>
      </c>
      <c r="B348" s="33" t="s">
        <v>22</v>
      </c>
      <c r="C348" s="33" t="s">
        <v>178</v>
      </c>
      <c r="D348" s="33" t="s">
        <v>182</v>
      </c>
    </row>
    <row r="349" ht="22.5" customHeight="1">
      <c r="A349" s="21" t="s">
        <v>181</v>
      </c>
      <c r="B349" s="23" t="s">
        <v>22</v>
      </c>
      <c r="C349" s="23" t="s">
        <v>178</v>
      </c>
      <c r="D349" s="23" t="s">
        <v>182</v>
      </c>
    </row>
    <row r="350" ht="22.5" customHeight="1">
      <c r="A350" s="11" t="s">
        <v>181</v>
      </c>
      <c r="B350" s="33" t="s">
        <v>22</v>
      </c>
      <c r="C350" s="33" t="s">
        <v>178</v>
      </c>
      <c r="D350" s="33" t="s">
        <v>182</v>
      </c>
    </row>
    <row r="351" ht="22.5" customHeight="1">
      <c r="A351" s="21" t="s">
        <v>181</v>
      </c>
      <c r="B351" s="23" t="s">
        <v>22</v>
      </c>
      <c r="C351" s="23" t="s">
        <v>178</v>
      </c>
      <c r="D351" s="23" t="s">
        <v>182</v>
      </c>
    </row>
    <row r="352" ht="22.5" customHeight="1">
      <c r="A352" s="11" t="s">
        <v>181</v>
      </c>
      <c r="B352" s="33" t="s">
        <v>22</v>
      </c>
      <c r="C352" s="33" t="s">
        <v>178</v>
      </c>
      <c r="D352" s="33" t="s">
        <v>182</v>
      </c>
    </row>
    <row r="353" ht="22.5" customHeight="1">
      <c r="A353" s="21" t="s">
        <v>181</v>
      </c>
      <c r="B353" s="23" t="s">
        <v>22</v>
      </c>
      <c r="C353" s="23" t="s">
        <v>178</v>
      </c>
      <c r="D353" s="23" t="s">
        <v>182</v>
      </c>
    </row>
    <row r="354" ht="22.5" customHeight="1">
      <c r="A354" s="11" t="s">
        <v>181</v>
      </c>
      <c r="B354" s="33" t="s">
        <v>22</v>
      </c>
      <c r="C354" s="33" t="s">
        <v>178</v>
      </c>
      <c r="D354" s="33" t="s">
        <v>182</v>
      </c>
    </row>
    <row r="355" ht="22.5" customHeight="1">
      <c r="A355" s="21" t="s">
        <v>181</v>
      </c>
      <c r="B355" s="23" t="s">
        <v>22</v>
      </c>
      <c r="C355" s="23" t="s">
        <v>178</v>
      </c>
      <c r="D355" s="23" t="s">
        <v>182</v>
      </c>
    </row>
    <row r="356" ht="22.5" customHeight="1">
      <c r="A356" s="11" t="s">
        <v>181</v>
      </c>
      <c r="B356" s="33" t="s">
        <v>22</v>
      </c>
      <c r="C356" s="33" t="s">
        <v>178</v>
      </c>
      <c r="D356" s="33" t="s">
        <v>182</v>
      </c>
    </row>
    <row r="357" ht="22.5" customHeight="1">
      <c r="A357" s="21" t="s">
        <v>181</v>
      </c>
      <c r="B357" s="23" t="s">
        <v>22</v>
      </c>
      <c r="C357" s="23" t="s">
        <v>178</v>
      </c>
      <c r="D357" s="23" t="s">
        <v>182</v>
      </c>
    </row>
    <row r="358" ht="22.5" customHeight="1">
      <c r="A358" s="11" t="s">
        <v>181</v>
      </c>
      <c r="B358" s="33" t="s">
        <v>22</v>
      </c>
      <c r="C358" s="33" t="s">
        <v>178</v>
      </c>
      <c r="D358" s="33" t="s">
        <v>182</v>
      </c>
    </row>
    <row r="359" ht="22.5" customHeight="1">
      <c r="A359" s="21" t="s">
        <v>181</v>
      </c>
      <c r="B359" s="23" t="s">
        <v>22</v>
      </c>
      <c r="C359" s="23" t="s">
        <v>178</v>
      </c>
      <c r="D359" s="23" t="s">
        <v>182</v>
      </c>
    </row>
    <row r="360" ht="22.5" customHeight="1">
      <c r="A360" s="11" t="s">
        <v>181</v>
      </c>
      <c r="B360" s="33" t="s">
        <v>22</v>
      </c>
      <c r="C360" s="33" t="s">
        <v>178</v>
      </c>
      <c r="D360" s="33" t="s">
        <v>182</v>
      </c>
    </row>
    <row r="361" ht="22.5" customHeight="1">
      <c r="A361" s="21" t="s">
        <v>183</v>
      </c>
      <c r="B361" s="23" t="s">
        <v>22</v>
      </c>
      <c r="C361" s="23" t="s">
        <v>184</v>
      </c>
      <c r="D361" s="25"/>
    </row>
    <row r="362" ht="22.5" customHeight="1">
      <c r="A362" s="11" t="s">
        <v>185</v>
      </c>
      <c r="B362" s="33" t="s">
        <v>22</v>
      </c>
      <c r="C362" s="33" t="s">
        <v>184</v>
      </c>
      <c r="D362" s="33" t="s">
        <v>186</v>
      </c>
    </row>
    <row r="363" ht="22.5" customHeight="1">
      <c r="A363" s="21" t="s">
        <v>185</v>
      </c>
      <c r="B363" s="23" t="s">
        <v>22</v>
      </c>
      <c r="C363" s="23" t="s">
        <v>184</v>
      </c>
      <c r="D363" s="23" t="s">
        <v>186</v>
      </c>
    </row>
    <row r="364" ht="22.5" customHeight="1">
      <c r="A364" s="11" t="s">
        <v>185</v>
      </c>
      <c r="B364" s="33" t="s">
        <v>22</v>
      </c>
      <c r="C364" s="33" t="s">
        <v>184</v>
      </c>
      <c r="D364" s="33" t="s">
        <v>186</v>
      </c>
    </row>
    <row r="365" ht="22.5" customHeight="1">
      <c r="A365" s="21" t="s">
        <v>185</v>
      </c>
      <c r="B365" s="23" t="s">
        <v>22</v>
      </c>
      <c r="C365" s="23" t="s">
        <v>184</v>
      </c>
      <c r="D365" s="23" t="s">
        <v>186</v>
      </c>
    </row>
    <row r="366" ht="22.5" customHeight="1">
      <c r="A366" s="11" t="s">
        <v>185</v>
      </c>
      <c r="B366" s="33" t="s">
        <v>22</v>
      </c>
      <c r="C366" s="33" t="s">
        <v>184</v>
      </c>
      <c r="D366" s="33" t="s">
        <v>186</v>
      </c>
    </row>
    <row r="367" ht="22.5" customHeight="1">
      <c r="A367" s="21" t="s">
        <v>185</v>
      </c>
      <c r="B367" s="23" t="s">
        <v>22</v>
      </c>
      <c r="C367" s="23" t="s">
        <v>184</v>
      </c>
      <c r="D367" s="23" t="s">
        <v>186</v>
      </c>
    </row>
    <row r="368" ht="22.5" customHeight="1">
      <c r="A368" s="11" t="s">
        <v>185</v>
      </c>
      <c r="B368" s="33" t="s">
        <v>22</v>
      </c>
      <c r="C368" s="33" t="s">
        <v>184</v>
      </c>
      <c r="D368" s="33" t="s">
        <v>186</v>
      </c>
    </row>
    <row r="369" ht="22.5" customHeight="1">
      <c r="A369" s="21" t="s">
        <v>185</v>
      </c>
      <c r="B369" s="23" t="s">
        <v>22</v>
      </c>
      <c r="C369" s="23" t="s">
        <v>184</v>
      </c>
      <c r="D369" s="23" t="s">
        <v>186</v>
      </c>
    </row>
    <row r="370" ht="22.5" customHeight="1">
      <c r="A370" s="11" t="s">
        <v>185</v>
      </c>
      <c r="B370" s="33" t="s">
        <v>22</v>
      </c>
      <c r="C370" s="33" t="s">
        <v>184</v>
      </c>
      <c r="D370" s="33" t="s">
        <v>186</v>
      </c>
    </row>
    <row r="371" ht="22.5" customHeight="1">
      <c r="A371" s="21" t="s">
        <v>185</v>
      </c>
      <c r="B371" s="23" t="s">
        <v>22</v>
      </c>
      <c r="C371" s="23" t="s">
        <v>184</v>
      </c>
      <c r="D371" s="23" t="s">
        <v>186</v>
      </c>
    </row>
    <row r="372" ht="22.5" customHeight="1">
      <c r="A372" s="11" t="s">
        <v>185</v>
      </c>
      <c r="B372" s="33" t="s">
        <v>22</v>
      </c>
      <c r="C372" s="33" t="s">
        <v>184</v>
      </c>
      <c r="D372" s="33" t="s">
        <v>186</v>
      </c>
    </row>
    <row r="373" ht="22.5" customHeight="1">
      <c r="A373" s="21" t="s">
        <v>185</v>
      </c>
      <c r="B373" s="23" t="s">
        <v>22</v>
      </c>
      <c r="C373" s="23" t="s">
        <v>184</v>
      </c>
      <c r="D373" s="23" t="s">
        <v>186</v>
      </c>
    </row>
    <row r="374" ht="22.5" customHeight="1">
      <c r="A374" s="11" t="s">
        <v>185</v>
      </c>
      <c r="B374" s="33" t="s">
        <v>22</v>
      </c>
      <c r="C374" s="33" t="s">
        <v>184</v>
      </c>
      <c r="D374" s="33" t="s">
        <v>186</v>
      </c>
    </row>
    <row r="375" ht="22.5" customHeight="1">
      <c r="A375" s="21" t="s">
        <v>185</v>
      </c>
      <c r="B375" s="23" t="s">
        <v>22</v>
      </c>
      <c r="C375" s="23" t="s">
        <v>184</v>
      </c>
      <c r="D375" s="23" t="s">
        <v>186</v>
      </c>
    </row>
    <row r="376" ht="22.5" customHeight="1">
      <c r="A376" s="11" t="s">
        <v>185</v>
      </c>
      <c r="B376" s="33" t="s">
        <v>22</v>
      </c>
      <c r="C376" s="33" t="s">
        <v>184</v>
      </c>
      <c r="D376" s="33" t="s">
        <v>186</v>
      </c>
    </row>
    <row r="377" ht="22.5" customHeight="1">
      <c r="A377" s="21" t="s">
        <v>185</v>
      </c>
      <c r="B377" s="23" t="s">
        <v>22</v>
      </c>
      <c r="C377" s="23" t="s">
        <v>184</v>
      </c>
      <c r="D377" s="23" t="s">
        <v>186</v>
      </c>
    </row>
    <row r="378" ht="22.5" customHeight="1">
      <c r="A378" s="11" t="s">
        <v>185</v>
      </c>
      <c r="B378" s="33" t="s">
        <v>22</v>
      </c>
      <c r="C378" s="33" t="s">
        <v>184</v>
      </c>
      <c r="D378" s="33" t="s">
        <v>186</v>
      </c>
    </row>
    <row r="379" ht="22.5" customHeight="1">
      <c r="A379" s="21" t="s">
        <v>185</v>
      </c>
      <c r="B379" s="23" t="s">
        <v>22</v>
      </c>
      <c r="C379" s="23" t="s">
        <v>184</v>
      </c>
      <c r="D379" s="23" t="s">
        <v>186</v>
      </c>
    </row>
    <row r="380" ht="22.5" customHeight="1">
      <c r="A380" s="11" t="s">
        <v>185</v>
      </c>
      <c r="B380" s="33" t="s">
        <v>22</v>
      </c>
      <c r="C380" s="33" t="s">
        <v>184</v>
      </c>
      <c r="D380" s="33" t="s">
        <v>186</v>
      </c>
    </row>
    <row r="381" ht="22.5" customHeight="1">
      <c r="A381" s="21" t="s">
        <v>185</v>
      </c>
      <c r="B381" s="23" t="s">
        <v>22</v>
      </c>
      <c r="C381" s="23" t="s">
        <v>184</v>
      </c>
      <c r="D381" s="23" t="s">
        <v>186</v>
      </c>
    </row>
    <row r="382" ht="22.5" customHeight="1">
      <c r="A382" s="11" t="s">
        <v>188</v>
      </c>
      <c r="B382" s="33" t="s">
        <v>22</v>
      </c>
      <c r="C382" s="33" t="s">
        <v>184</v>
      </c>
      <c r="D382" s="33" t="s">
        <v>189</v>
      </c>
    </row>
    <row r="383" ht="22.5" customHeight="1">
      <c r="A383" s="21" t="s">
        <v>188</v>
      </c>
      <c r="B383" s="23" t="s">
        <v>22</v>
      </c>
      <c r="C383" s="23" t="s">
        <v>184</v>
      </c>
      <c r="D383" s="23" t="s">
        <v>189</v>
      </c>
    </row>
    <row r="384" ht="22.5" customHeight="1">
      <c r="A384" s="11" t="s">
        <v>188</v>
      </c>
      <c r="B384" s="33" t="s">
        <v>22</v>
      </c>
      <c r="C384" s="33" t="s">
        <v>184</v>
      </c>
      <c r="D384" s="33" t="s">
        <v>189</v>
      </c>
    </row>
    <row r="385" ht="22.5" customHeight="1">
      <c r="A385" s="21" t="s">
        <v>188</v>
      </c>
      <c r="B385" s="23" t="s">
        <v>22</v>
      </c>
      <c r="C385" s="23" t="s">
        <v>184</v>
      </c>
      <c r="D385" s="23" t="s">
        <v>189</v>
      </c>
    </row>
    <row r="386" ht="22.5" customHeight="1">
      <c r="A386" s="11" t="s">
        <v>188</v>
      </c>
      <c r="B386" s="33" t="s">
        <v>22</v>
      </c>
      <c r="C386" s="33" t="s">
        <v>184</v>
      </c>
      <c r="D386" s="33" t="s">
        <v>189</v>
      </c>
    </row>
    <row r="387" ht="22.5" customHeight="1">
      <c r="A387" s="21" t="s">
        <v>188</v>
      </c>
      <c r="B387" s="23" t="s">
        <v>22</v>
      </c>
      <c r="C387" s="23" t="s">
        <v>184</v>
      </c>
      <c r="D387" s="23" t="s">
        <v>189</v>
      </c>
    </row>
    <row r="388" ht="22.5" customHeight="1">
      <c r="A388" s="11" t="s">
        <v>188</v>
      </c>
      <c r="B388" s="33" t="s">
        <v>22</v>
      </c>
      <c r="C388" s="33" t="s">
        <v>184</v>
      </c>
      <c r="D388" s="33" t="s">
        <v>189</v>
      </c>
    </row>
    <row r="389" ht="22.5" customHeight="1">
      <c r="A389" s="21" t="s">
        <v>188</v>
      </c>
      <c r="B389" s="23" t="s">
        <v>22</v>
      </c>
      <c r="C389" s="23" t="s">
        <v>184</v>
      </c>
      <c r="D389" s="23" t="s">
        <v>189</v>
      </c>
    </row>
    <row r="390" ht="22.5" customHeight="1">
      <c r="A390" s="11" t="s">
        <v>188</v>
      </c>
      <c r="B390" s="33" t="s">
        <v>22</v>
      </c>
      <c r="C390" s="33" t="s">
        <v>184</v>
      </c>
      <c r="D390" s="33" t="s">
        <v>189</v>
      </c>
    </row>
    <row r="391" ht="22.5" customHeight="1">
      <c r="A391" s="21" t="s">
        <v>188</v>
      </c>
      <c r="B391" s="23" t="s">
        <v>22</v>
      </c>
      <c r="C391" s="23" t="s">
        <v>184</v>
      </c>
      <c r="D391" s="23" t="s">
        <v>189</v>
      </c>
    </row>
    <row r="392" ht="22.5" customHeight="1">
      <c r="A392" s="11" t="s">
        <v>188</v>
      </c>
      <c r="B392" s="33" t="s">
        <v>22</v>
      </c>
      <c r="C392" s="33" t="s">
        <v>184</v>
      </c>
      <c r="D392" s="33" t="s">
        <v>189</v>
      </c>
    </row>
    <row r="393" ht="22.5" customHeight="1">
      <c r="A393" s="21" t="s">
        <v>188</v>
      </c>
      <c r="B393" s="23" t="s">
        <v>22</v>
      </c>
      <c r="C393" s="23" t="s">
        <v>184</v>
      </c>
      <c r="D393" s="23" t="s">
        <v>189</v>
      </c>
    </row>
    <row r="394" ht="22.5" customHeight="1">
      <c r="A394" s="11" t="s">
        <v>188</v>
      </c>
      <c r="B394" s="33" t="s">
        <v>22</v>
      </c>
      <c r="C394" s="33" t="s">
        <v>184</v>
      </c>
      <c r="D394" s="33" t="s">
        <v>189</v>
      </c>
    </row>
    <row r="395" ht="22.5" customHeight="1">
      <c r="A395" s="21" t="s">
        <v>188</v>
      </c>
      <c r="B395" s="23" t="s">
        <v>22</v>
      </c>
      <c r="C395" s="23" t="s">
        <v>184</v>
      </c>
      <c r="D395" s="23" t="s">
        <v>189</v>
      </c>
    </row>
    <row r="396" ht="22.5" customHeight="1">
      <c r="A396" s="11" t="s">
        <v>188</v>
      </c>
      <c r="B396" s="33" t="s">
        <v>22</v>
      </c>
      <c r="C396" s="33" t="s">
        <v>184</v>
      </c>
      <c r="D396" s="33" t="s">
        <v>189</v>
      </c>
    </row>
    <row r="397" ht="22.5" customHeight="1">
      <c r="A397" s="21" t="s">
        <v>188</v>
      </c>
      <c r="B397" s="23" t="s">
        <v>22</v>
      </c>
      <c r="C397" s="23" t="s">
        <v>184</v>
      </c>
      <c r="D397" s="23" t="s">
        <v>189</v>
      </c>
    </row>
    <row r="398" ht="22.5" customHeight="1">
      <c r="A398" s="11" t="s">
        <v>192</v>
      </c>
      <c r="B398" s="33" t="s">
        <v>22</v>
      </c>
      <c r="C398" s="33" t="s">
        <v>184</v>
      </c>
      <c r="D398" s="33" t="s">
        <v>193</v>
      </c>
    </row>
    <row r="399" ht="22.5" customHeight="1">
      <c r="A399" s="21" t="s">
        <v>192</v>
      </c>
      <c r="B399" s="23" t="s">
        <v>22</v>
      </c>
      <c r="C399" s="23" t="s">
        <v>184</v>
      </c>
      <c r="D399" s="23" t="s">
        <v>193</v>
      </c>
    </row>
    <row r="400" ht="22.5" customHeight="1">
      <c r="A400" s="11" t="s">
        <v>192</v>
      </c>
      <c r="B400" s="33" t="s">
        <v>22</v>
      </c>
      <c r="C400" s="33" t="s">
        <v>184</v>
      </c>
      <c r="D400" s="33" t="s">
        <v>193</v>
      </c>
    </row>
    <row r="401" ht="22.5" customHeight="1">
      <c r="A401" s="21" t="s">
        <v>192</v>
      </c>
      <c r="B401" s="23" t="s">
        <v>22</v>
      </c>
      <c r="C401" s="23" t="s">
        <v>184</v>
      </c>
      <c r="D401" s="23" t="s">
        <v>193</v>
      </c>
    </row>
    <row r="402" ht="22.5" customHeight="1">
      <c r="A402" s="11" t="s">
        <v>192</v>
      </c>
      <c r="B402" s="33" t="s">
        <v>22</v>
      </c>
      <c r="C402" s="33" t="s">
        <v>184</v>
      </c>
      <c r="D402" s="33" t="s">
        <v>193</v>
      </c>
    </row>
    <row r="403" ht="22.5" customHeight="1">
      <c r="A403" s="21" t="s">
        <v>192</v>
      </c>
      <c r="B403" s="23" t="s">
        <v>22</v>
      </c>
      <c r="C403" s="23" t="s">
        <v>184</v>
      </c>
      <c r="D403" s="23" t="s">
        <v>193</v>
      </c>
    </row>
    <row r="404" ht="22.5" customHeight="1">
      <c r="A404" s="11" t="s">
        <v>192</v>
      </c>
      <c r="B404" s="33" t="s">
        <v>22</v>
      </c>
      <c r="C404" s="33" t="s">
        <v>184</v>
      </c>
      <c r="D404" s="33" t="s">
        <v>193</v>
      </c>
    </row>
    <row r="405" ht="22.5" customHeight="1">
      <c r="A405" s="21" t="s">
        <v>192</v>
      </c>
      <c r="B405" s="23" t="s">
        <v>22</v>
      </c>
      <c r="C405" s="23" t="s">
        <v>184</v>
      </c>
      <c r="D405" s="23" t="s">
        <v>193</v>
      </c>
    </row>
    <row r="406" ht="22.5" customHeight="1">
      <c r="A406" s="11" t="s">
        <v>192</v>
      </c>
      <c r="B406" s="33" t="s">
        <v>22</v>
      </c>
      <c r="C406" s="33" t="s">
        <v>184</v>
      </c>
      <c r="D406" s="33" t="s">
        <v>193</v>
      </c>
    </row>
    <row r="407" ht="22.5" customHeight="1">
      <c r="A407" s="21" t="s">
        <v>192</v>
      </c>
      <c r="B407" s="23" t="s">
        <v>22</v>
      </c>
      <c r="C407" s="23" t="s">
        <v>184</v>
      </c>
      <c r="D407" s="23" t="s">
        <v>193</v>
      </c>
    </row>
    <row r="408" ht="22.5" customHeight="1">
      <c r="A408" s="11" t="s">
        <v>192</v>
      </c>
      <c r="B408" s="33" t="s">
        <v>22</v>
      </c>
      <c r="C408" s="33" t="s">
        <v>184</v>
      </c>
      <c r="D408" s="33" t="s">
        <v>193</v>
      </c>
    </row>
    <row r="409" ht="22.5" customHeight="1">
      <c r="A409" s="21" t="s">
        <v>195</v>
      </c>
      <c r="B409" s="23" t="s">
        <v>22</v>
      </c>
      <c r="C409" s="23" t="s">
        <v>184</v>
      </c>
      <c r="D409" s="23" t="s">
        <v>196</v>
      </c>
    </row>
    <row r="410" ht="22.5" customHeight="1">
      <c r="A410" s="11" t="s">
        <v>195</v>
      </c>
      <c r="B410" s="33" t="s">
        <v>22</v>
      </c>
      <c r="C410" s="33" t="s">
        <v>184</v>
      </c>
      <c r="D410" s="33" t="s">
        <v>196</v>
      </c>
    </row>
    <row r="411" ht="22.5" customHeight="1">
      <c r="A411" s="21" t="s">
        <v>195</v>
      </c>
      <c r="B411" s="23" t="s">
        <v>22</v>
      </c>
      <c r="C411" s="23" t="s">
        <v>184</v>
      </c>
      <c r="D411" s="23" t="s">
        <v>196</v>
      </c>
    </row>
    <row r="412" ht="22.5" customHeight="1">
      <c r="A412" s="11" t="s">
        <v>195</v>
      </c>
      <c r="B412" s="33" t="s">
        <v>22</v>
      </c>
      <c r="C412" s="33" t="s">
        <v>184</v>
      </c>
      <c r="D412" s="33" t="s">
        <v>196</v>
      </c>
    </row>
    <row r="413" ht="22.5" customHeight="1">
      <c r="A413" s="21" t="s">
        <v>195</v>
      </c>
      <c r="B413" s="23" t="s">
        <v>22</v>
      </c>
      <c r="C413" s="23" t="s">
        <v>184</v>
      </c>
      <c r="D413" s="23" t="s">
        <v>196</v>
      </c>
    </row>
    <row r="414" ht="22.5" customHeight="1">
      <c r="A414" s="11" t="s">
        <v>197</v>
      </c>
      <c r="B414" s="33" t="s">
        <v>22</v>
      </c>
      <c r="C414" s="33" t="s">
        <v>198</v>
      </c>
      <c r="D414" s="14"/>
    </row>
    <row r="415" ht="22.5" customHeight="1">
      <c r="A415" s="21" t="s">
        <v>199</v>
      </c>
      <c r="B415" s="23" t="s">
        <v>22</v>
      </c>
      <c r="C415" s="23" t="s">
        <v>198</v>
      </c>
      <c r="D415" s="23" t="s">
        <v>200</v>
      </c>
    </row>
    <row r="416" ht="22.5" customHeight="1">
      <c r="A416" s="11" t="s">
        <v>199</v>
      </c>
      <c r="B416" s="33" t="s">
        <v>22</v>
      </c>
      <c r="C416" s="33" t="s">
        <v>198</v>
      </c>
      <c r="D416" s="33" t="s">
        <v>200</v>
      </c>
    </row>
    <row r="417" ht="22.5" customHeight="1">
      <c r="A417" s="21" t="s">
        <v>199</v>
      </c>
      <c r="B417" s="23" t="s">
        <v>22</v>
      </c>
      <c r="C417" s="23" t="s">
        <v>198</v>
      </c>
      <c r="D417" s="23" t="s">
        <v>200</v>
      </c>
    </row>
    <row r="418" ht="22.5" customHeight="1">
      <c r="A418" s="11" t="s">
        <v>199</v>
      </c>
      <c r="B418" s="33" t="s">
        <v>22</v>
      </c>
      <c r="C418" s="33" t="s">
        <v>198</v>
      </c>
      <c r="D418" s="33" t="s">
        <v>200</v>
      </c>
    </row>
    <row r="419" ht="22.5" customHeight="1">
      <c r="A419" s="21" t="s">
        <v>199</v>
      </c>
      <c r="B419" s="23" t="s">
        <v>22</v>
      </c>
      <c r="C419" s="23" t="s">
        <v>198</v>
      </c>
      <c r="D419" s="23" t="s">
        <v>200</v>
      </c>
    </row>
    <row r="420" ht="22.5" customHeight="1">
      <c r="A420" s="11" t="s">
        <v>199</v>
      </c>
      <c r="B420" s="33" t="s">
        <v>22</v>
      </c>
      <c r="C420" s="33" t="s">
        <v>198</v>
      </c>
      <c r="D420" s="33" t="s">
        <v>200</v>
      </c>
    </row>
    <row r="421" ht="22.5" customHeight="1">
      <c r="A421" s="21" t="s">
        <v>199</v>
      </c>
      <c r="B421" s="23" t="s">
        <v>22</v>
      </c>
      <c r="C421" s="23" t="s">
        <v>198</v>
      </c>
      <c r="D421" s="23" t="s">
        <v>200</v>
      </c>
    </row>
    <row r="422" ht="22.5" customHeight="1">
      <c r="A422" s="11" t="s">
        <v>199</v>
      </c>
      <c r="B422" s="33" t="s">
        <v>22</v>
      </c>
      <c r="C422" s="33" t="s">
        <v>198</v>
      </c>
      <c r="D422" s="33" t="s">
        <v>200</v>
      </c>
    </row>
    <row r="423" ht="22.5" customHeight="1">
      <c r="A423" s="21" t="s">
        <v>201</v>
      </c>
      <c r="B423" s="23" t="s">
        <v>22</v>
      </c>
      <c r="C423" s="23" t="s">
        <v>198</v>
      </c>
      <c r="D423" s="23" t="s">
        <v>202</v>
      </c>
    </row>
    <row r="424" ht="22.5" customHeight="1">
      <c r="A424" s="11" t="s">
        <v>201</v>
      </c>
      <c r="B424" s="33" t="s">
        <v>22</v>
      </c>
      <c r="C424" s="33" t="s">
        <v>198</v>
      </c>
      <c r="D424" s="33" t="s">
        <v>202</v>
      </c>
    </row>
    <row r="425" ht="22.5" customHeight="1">
      <c r="A425" s="21" t="s">
        <v>201</v>
      </c>
      <c r="B425" s="23" t="s">
        <v>22</v>
      </c>
      <c r="C425" s="23" t="s">
        <v>198</v>
      </c>
      <c r="D425" s="23" t="s">
        <v>202</v>
      </c>
    </row>
    <row r="426" ht="22.5" customHeight="1">
      <c r="A426" s="11" t="s">
        <v>201</v>
      </c>
      <c r="B426" s="33" t="s">
        <v>22</v>
      </c>
      <c r="C426" s="33" t="s">
        <v>198</v>
      </c>
      <c r="D426" s="33" t="s">
        <v>202</v>
      </c>
    </row>
    <row r="427" ht="22.5" customHeight="1">
      <c r="A427" s="21" t="s">
        <v>201</v>
      </c>
      <c r="B427" s="23" t="s">
        <v>22</v>
      </c>
      <c r="C427" s="23" t="s">
        <v>198</v>
      </c>
      <c r="D427" s="23" t="s">
        <v>202</v>
      </c>
    </row>
    <row r="428" ht="22.5" customHeight="1">
      <c r="A428" s="11" t="s">
        <v>201</v>
      </c>
      <c r="B428" s="33" t="s">
        <v>22</v>
      </c>
      <c r="C428" s="33" t="s">
        <v>198</v>
      </c>
      <c r="D428" s="33" t="s">
        <v>202</v>
      </c>
    </row>
    <row r="429" ht="22.5" customHeight="1">
      <c r="A429" s="21" t="s">
        <v>201</v>
      </c>
      <c r="B429" s="23" t="s">
        <v>22</v>
      </c>
      <c r="C429" s="23" t="s">
        <v>198</v>
      </c>
      <c r="D429" s="23" t="s">
        <v>202</v>
      </c>
    </row>
    <row r="430" ht="22.5" customHeight="1">
      <c r="A430" s="11" t="s">
        <v>201</v>
      </c>
      <c r="B430" s="33" t="s">
        <v>22</v>
      </c>
      <c r="C430" s="33" t="s">
        <v>198</v>
      </c>
      <c r="D430" s="33" t="s">
        <v>202</v>
      </c>
    </row>
    <row r="431" ht="22.5" customHeight="1">
      <c r="A431" s="21" t="s">
        <v>201</v>
      </c>
      <c r="B431" s="23" t="s">
        <v>22</v>
      </c>
      <c r="C431" s="23" t="s">
        <v>198</v>
      </c>
      <c r="D431" s="23" t="s">
        <v>202</v>
      </c>
    </row>
    <row r="432" ht="22.5" customHeight="1">
      <c r="A432" s="11" t="s">
        <v>201</v>
      </c>
      <c r="B432" s="33" t="s">
        <v>22</v>
      </c>
      <c r="C432" s="33" t="s">
        <v>198</v>
      </c>
      <c r="D432" s="33" t="s">
        <v>202</v>
      </c>
    </row>
    <row r="433" ht="22.5" customHeight="1">
      <c r="A433" s="21" t="s">
        <v>203</v>
      </c>
      <c r="B433" s="23" t="s">
        <v>22</v>
      </c>
      <c r="C433" s="23" t="s">
        <v>198</v>
      </c>
      <c r="D433" s="23" t="s">
        <v>204</v>
      </c>
    </row>
    <row r="434" ht="22.5" customHeight="1">
      <c r="A434" s="11" t="s">
        <v>203</v>
      </c>
      <c r="B434" s="33" t="s">
        <v>22</v>
      </c>
      <c r="C434" s="33" t="s">
        <v>198</v>
      </c>
      <c r="D434" s="33" t="s">
        <v>204</v>
      </c>
    </row>
    <row r="435" ht="22.5" customHeight="1">
      <c r="A435" s="21" t="s">
        <v>203</v>
      </c>
      <c r="B435" s="23" t="s">
        <v>22</v>
      </c>
      <c r="C435" s="23" t="s">
        <v>198</v>
      </c>
      <c r="D435" s="23" t="s">
        <v>204</v>
      </c>
    </row>
    <row r="436" ht="22.5" customHeight="1">
      <c r="A436" s="11" t="s">
        <v>203</v>
      </c>
      <c r="B436" s="33" t="s">
        <v>22</v>
      </c>
      <c r="C436" s="33" t="s">
        <v>198</v>
      </c>
      <c r="D436" s="33" t="s">
        <v>204</v>
      </c>
    </row>
    <row r="437" ht="22.5" customHeight="1">
      <c r="A437" s="21" t="s">
        <v>203</v>
      </c>
      <c r="B437" s="23" t="s">
        <v>22</v>
      </c>
      <c r="C437" s="23" t="s">
        <v>198</v>
      </c>
      <c r="D437" s="23" t="s">
        <v>204</v>
      </c>
    </row>
    <row r="438" ht="22.5" customHeight="1">
      <c r="A438" s="11" t="s">
        <v>203</v>
      </c>
      <c r="B438" s="33" t="s">
        <v>22</v>
      </c>
      <c r="C438" s="33" t="s">
        <v>198</v>
      </c>
      <c r="D438" s="33" t="s">
        <v>204</v>
      </c>
    </row>
    <row r="439" ht="22.5" customHeight="1">
      <c r="A439" s="21" t="s">
        <v>203</v>
      </c>
      <c r="B439" s="23" t="s">
        <v>22</v>
      </c>
      <c r="C439" s="23" t="s">
        <v>198</v>
      </c>
      <c r="D439" s="23" t="s">
        <v>204</v>
      </c>
    </row>
    <row r="440" ht="22.5" customHeight="1">
      <c r="A440" s="11" t="s">
        <v>203</v>
      </c>
      <c r="B440" s="33" t="s">
        <v>22</v>
      </c>
      <c r="C440" s="33" t="s">
        <v>198</v>
      </c>
      <c r="D440" s="33" t="s">
        <v>204</v>
      </c>
    </row>
    <row r="441" ht="22.5" customHeight="1">
      <c r="A441" s="21" t="s">
        <v>203</v>
      </c>
      <c r="B441" s="23" t="s">
        <v>22</v>
      </c>
      <c r="C441" s="23" t="s">
        <v>198</v>
      </c>
      <c r="D441" s="23" t="s">
        <v>204</v>
      </c>
    </row>
    <row r="442" ht="22.5" customHeight="1">
      <c r="A442" s="11" t="s">
        <v>203</v>
      </c>
      <c r="B442" s="33" t="s">
        <v>22</v>
      </c>
      <c r="C442" s="33" t="s">
        <v>198</v>
      </c>
      <c r="D442" s="33" t="s">
        <v>204</v>
      </c>
    </row>
    <row r="443" ht="22.5" customHeight="1">
      <c r="A443" s="21" t="s">
        <v>203</v>
      </c>
      <c r="B443" s="23" t="s">
        <v>22</v>
      </c>
      <c r="C443" s="23" t="s">
        <v>198</v>
      </c>
      <c r="D443" s="23" t="s">
        <v>204</v>
      </c>
    </row>
    <row r="444" ht="22.5" customHeight="1">
      <c r="A444" s="11" t="s">
        <v>203</v>
      </c>
      <c r="B444" s="33" t="s">
        <v>22</v>
      </c>
      <c r="C444" s="33" t="s">
        <v>198</v>
      </c>
      <c r="D444" s="33" t="s">
        <v>204</v>
      </c>
    </row>
    <row r="445" ht="22.5" customHeight="1">
      <c r="A445" s="21" t="s">
        <v>203</v>
      </c>
      <c r="B445" s="23" t="s">
        <v>22</v>
      </c>
      <c r="C445" s="23" t="s">
        <v>198</v>
      </c>
      <c r="D445" s="23" t="s">
        <v>204</v>
      </c>
    </row>
    <row r="446" ht="22.5" customHeight="1">
      <c r="A446" s="11" t="s">
        <v>205</v>
      </c>
      <c r="B446" s="33" t="s">
        <v>22</v>
      </c>
      <c r="C446" s="33" t="s">
        <v>206</v>
      </c>
      <c r="D446" s="14"/>
    </row>
    <row r="447" ht="22.5" customHeight="1">
      <c r="A447" s="21" t="s">
        <v>207</v>
      </c>
      <c r="B447" s="23" t="s">
        <v>22</v>
      </c>
      <c r="C447" s="23" t="s">
        <v>206</v>
      </c>
      <c r="D447" s="23" t="s">
        <v>208</v>
      </c>
    </row>
    <row r="448" ht="22.5" customHeight="1">
      <c r="A448" s="11" t="s">
        <v>207</v>
      </c>
      <c r="B448" s="33" t="s">
        <v>22</v>
      </c>
      <c r="C448" s="33" t="s">
        <v>206</v>
      </c>
      <c r="D448" s="33" t="s">
        <v>208</v>
      </c>
    </row>
    <row r="449" ht="22.5" customHeight="1">
      <c r="A449" s="21" t="s">
        <v>207</v>
      </c>
      <c r="B449" s="23" t="s">
        <v>22</v>
      </c>
      <c r="C449" s="23" t="s">
        <v>206</v>
      </c>
      <c r="D449" s="23" t="s">
        <v>208</v>
      </c>
    </row>
    <row r="450" ht="22.5" customHeight="1">
      <c r="A450" s="11" t="s">
        <v>207</v>
      </c>
      <c r="B450" s="33" t="s">
        <v>22</v>
      </c>
      <c r="C450" s="33" t="s">
        <v>206</v>
      </c>
      <c r="D450" s="33" t="s">
        <v>208</v>
      </c>
    </row>
    <row r="451" ht="22.5" customHeight="1">
      <c r="A451" s="21" t="s">
        <v>207</v>
      </c>
      <c r="B451" s="23" t="s">
        <v>22</v>
      </c>
      <c r="C451" s="23" t="s">
        <v>206</v>
      </c>
      <c r="D451" s="23" t="s">
        <v>208</v>
      </c>
    </row>
    <row r="452" ht="22.5" customHeight="1">
      <c r="A452" s="11" t="s">
        <v>207</v>
      </c>
      <c r="B452" s="33" t="s">
        <v>22</v>
      </c>
      <c r="C452" s="33" t="s">
        <v>206</v>
      </c>
      <c r="D452" s="33" t="s">
        <v>208</v>
      </c>
    </row>
    <row r="453" ht="22.5" customHeight="1">
      <c r="A453" s="21" t="s">
        <v>207</v>
      </c>
      <c r="B453" s="23" t="s">
        <v>22</v>
      </c>
      <c r="C453" s="23" t="s">
        <v>206</v>
      </c>
      <c r="D453" s="23" t="s">
        <v>208</v>
      </c>
    </row>
    <row r="454" ht="22.5" customHeight="1">
      <c r="A454" s="11" t="s">
        <v>207</v>
      </c>
      <c r="B454" s="33" t="s">
        <v>22</v>
      </c>
      <c r="C454" s="33" t="s">
        <v>206</v>
      </c>
      <c r="D454" s="33" t="s">
        <v>208</v>
      </c>
    </row>
    <row r="455" ht="22.5" customHeight="1">
      <c r="A455" s="21" t="s">
        <v>207</v>
      </c>
      <c r="B455" s="23" t="s">
        <v>22</v>
      </c>
      <c r="C455" s="23" t="s">
        <v>206</v>
      </c>
      <c r="D455" s="23" t="s">
        <v>208</v>
      </c>
    </row>
    <row r="456" ht="22.5" customHeight="1">
      <c r="A456" s="11" t="s">
        <v>207</v>
      </c>
      <c r="B456" s="33" t="s">
        <v>22</v>
      </c>
      <c r="C456" s="33" t="s">
        <v>206</v>
      </c>
      <c r="D456" s="33" t="s">
        <v>208</v>
      </c>
    </row>
    <row r="457" ht="22.5" customHeight="1">
      <c r="A457" s="21" t="s">
        <v>207</v>
      </c>
      <c r="B457" s="23" t="s">
        <v>22</v>
      </c>
      <c r="C457" s="23" t="s">
        <v>206</v>
      </c>
      <c r="D457" s="23" t="s">
        <v>208</v>
      </c>
    </row>
    <row r="458" ht="22.5" customHeight="1">
      <c r="A458" s="11" t="s">
        <v>207</v>
      </c>
      <c r="B458" s="33" t="s">
        <v>22</v>
      </c>
      <c r="C458" s="33" t="s">
        <v>206</v>
      </c>
      <c r="D458" s="33" t="s">
        <v>208</v>
      </c>
    </row>
    <row r="459" ht="22.5" customHeight="1">
      <c r="A459" s="21" t="s">
        <v>207</v>
      </c>
      <c r="B459" s="23" t="s">
        <v>22</v>
      </c>
      <c r="C459" s="23" t="s">
        <v>206</v>
      </c>
      <c r="D459" s="23" t="s">
        <v>208</v>
      </c>
    </row>
    <row r="460" ht="22.5" customHeight="1">
      <c r="A460" s="11" t="s">
        <v>210</v>
      </c>
      <c r="B460" s="33" t="s">
        <v>22</v>
      </c>
      <c r="C460" s="33" t="s">
        <v>206</v>
      </c>
      <c r="D460" s="33" t="s">
        <v>211</v>
      </c>
    </row>
    <row r="461" ht="22.5" customHeight="1">
      <c r="A461" s="21" t="s">
        <v>210</v>
      </c>
      <c r="B461" s="23" t="s">
        <v>22</v>
      </c>
      <c r="C461" s="23" t="s">
        <v>206</v>
      </c>
      <c r="D461" s="23" t="s">
        <v>211</v>
      </c>
    </row>
    <row r="462" ht="22.5" customHeight="1">
      <c r="A462" s="11" t="s">
        <v>210</v>
      </c>
      <c r="B462" s="33" t="s">
        <v>22</v>
      </c>
      <c r="C462" s="33" t="s">
        <v>206</v>
      </c>
      <c r="D462" s="33" t="s">
        <v>211</v>
      </c>
    </row>
    <row r="463" ht="22.5" customHeight="1">
      <c r="A463" s="21" t="s">
        <v>210</v>
      </c>
      <c r="B463" s="23" t="s">
        <v>22</v>
      </c>
      <c r="C463" s="23" t="s">
        <v>206</v>
      </c>
      <c r="D463" s="23" t="s">
        <v>211</v>
      </c>
    </row>
    <row r="464" ht="22.5" customHeight="1">
      <c r="A464" s="11" t="s">
        <v>210</v>
      </c>
      <c r="B464" s="33" t="s">
        <v>22</v>
      </c>
      <c r="C464" s="33" t="s">
        <v>206</v>
      </c>
      <c r="D464" s="33" t="s">
        <v>211</v>
      </c>
    </row>
    <row r="465" ht="22.5" customHeight="1">
      <c r="A465" s="21" t="s">
        <v>210</v>
      </c>
      <c r="B465" s="23" t="s">
        <v>22</v>
      </c>
      <c r="C465" s="23" t="s">
        <v>206</v>
      </c>
      <c r="D465" s="23" t="s">
        <v>211</v>
      </c>
    </row>
    <row r="466" ht="22.5" customHeight="1">
      <c r="A466" s="11" t="s">
        <v>210</v>
      </c>
      <c r="B466" s="33" t="s">
        <v>22</v>
      </c>
      <c r="C466" s="33" t="s">
        <v>206</v>
      </c>
      <c r="D466" s="33" t="s">
        <v>211</v>
      </c>
    </row>
    <row r="467" ht="22.5" customHeight="1">
      <c r="A467" s="21" t="s">
        <v>210</v>
      </c>
      <c r="B467" s="23" t="s">
        <v>22</v>
      </c>
      <c r="C467" s="23" t="s">
        <v>206</v>
      </c>
      <c r="D467" s="23" t="s">
        <v>211</v>
      </c>
    </row>
    <row r="468" ht="22.5" customHeight="1">
      <c r="A468" s="11" t="s">
        <v>210</v>
      </c>
      <c r="B468" s="33" t="s">
        <v>22</v>
      </c>
      <c r="C468" s="33" t="s">
        <v>206</v>
      </c>
      <c r="D468" s="33" t="s">
        <v>211</v>
      </c>
    </row>
    <row r="469" ht="22.5" customHeight="1">
      <c r="A469" s="21" t="s">
        <v>210</v>
      </c>
      <c r="B469" s="23" t="s">
        <v>22</v>
      </c>
      <c r="C469" s="23" t="s">
        <v>206</v>
      </c>
      <c r="D469" s="23" t="s">
        <v>211</v>
      </c>
    </row>
    <row r="470" ht="22.5" customHeight="1">
      <c r="A470" s="11" t="s">
        <v>212</v>
      </c>
      <c r="B470" s="33" t="s">
        <v>22</v>
      </c>
      <c r="C470" s="33" t="s">
        <v>206</v>
      </c>
      <c r="D470" s="33" t="s">
        <v>213</v>
      </c>
    </row>
    <row r="471" ht="22.5" customHeight="1">
      <c r="A471" s="21" t="s">
        <v>212</v>
      </c>
      <c r="B471" s="23" t="s">
        <v>22</v>
      </c>
      <c r="C471" s="23" t="s">
        <v>206</v>
      </c>
      <c r="D471" s="23" t="s">
        <v>213</v>
      </c>
    </row>
    <row r="472" ht="22.5" customHeight="1">
      <c r="A472" s="11" t="s">
        <v>212</v>
      </c>
      <c r="B472" s="33" t="s">
        <v>22</v>
      </c>
      <c r="C472" s="33" t="s">
        <v>206</v>
      </c>
      <c r="D472" s="33" t="s">
        <v>213</v>
      </c>
    </row>
    <row r="473" ht="22.5" customHeight="1">
      <c r="A473" s="21" t="s">
        <v>212</v>
      </c>
      <c r="B473" s="23" t="s">
        <v>22</v>
      </c>
      <c r="C473" s="23" t="s">
        <v>206</v>
      </c>
      <c r="D473" s="23" t="s">
        <v>213</v>
      </c>
    </row>
    <row r="474" ht="22.5" customHeight="1">
      <c r="A474" s="11" t="s">
        <v>212</v>
      </c>
      <c r="B474" s="33" t="s">
        <v>22</v>
      </c>
      <c r="C474" s="33" t="s">
        <v>206</v>
      </c>
      <c r="D474" s="33" t="s">
        <v>213</v>
      </c>
    </row>
    <row r="475" ht="22.5" customHeight="1">
      <c r="A475" s="21" t="s">
        <v>212</v>
      </c>
      <c r="B475" s="23" t="s">
        <v>22</v>
      </c>
      <c r="C475" s="23" t="s">
        <v>206</v>
      </c>
      <c r="D475" s="23" t="s">
        <v>213</v>
      </c>
    </row>
    <row r="476" ht="22.5" customHeight="1">
      <c r="A476" s="11" t="s">
        <v>212</v>
      </c>
      <c r="B476" s="33" t="s">
        <v>22</v>
      </c>
      <c r="C476" s="33" t="s">
        <v>206</v>
      </c>
      <c r="D476" s="33" t="s">
        <v>213</v>
      </c>
    </row>
    <row r="477" ht="22.5" customHeight="1">
      <c r="A477" s="21" t="s">
        <v>212</v>
      </c>
      <c r="B477" s="23" t="s">
        <v>22</v>
      </c>
      <c r="C477" s="23" t="s">
        <v>206</v>
      </c>
      <c r="D477" s="23" t="s">
        <v>213</v>
      </c>
    </row>
    <row r="478" ht="22.5" customHeight="1">
      <c r="A478" s="11" t="s">
        <v>212</v>
      </c>
      <c r="B478" s="33" t="s">
        <v>22</v>
      </c>
      <c r="C478" s="33" t="s">
        <v>206</v>
      </c>
      <c r="D478" s="33" t="s">
        <v>213</v>
      </c>
    </row>
    <row r="479" ht="22.5" customHeight="1">
      <c r="A479" s="21" t="s">
        <v>212</v>
      </c>
      <c r="B479" s="23" t="s">
        <v>22</v>
      </c>
      <c r="C479" s="23" t="s">
        <v>206</v>
      </c>
      <c r="D479" s="23" t="s">
        <v>213</v>
      </c>
    </row>
    <row r="480" ht="22.5" customHeight="1">
      <c r="A480" s="11" t="s">
        <v>212</v>
      </c>
      <c r="B480" s="33" t="s">
        <v>22</v>
      </c>
      <c r="C480" s="33" t="s">
        <v>206</v>
      </c>
      <c r="D480" s="33" t="s">
        <v>213</v>
      </c>
    </row>
    <row r="481" ht="22.5" customHeight="1">
      <c r="A481" s="21" t="s">
        <v>212</v>
      </c>
      <c r="B481" s="23" t="s">
        <v>22</v>
      </c>
      <c r="C481" s="23" t="s">
        <v>206</v>
      </c>
      <c r="D481" s="23" t="s">
        <v>213</v>
      </c>
    </row>
    <row r="482" ht="22.5" customHeight="1">
      <c r="A482" s="11" t="s">
        <v>214</v>
      </c>
      <c r="B482" s="33" t="s">
        <v>22</v>
      </c>
      <c r="C482" s="33" t="s">
        <v>206</v>
      </c>
      <c r="D482" s="33" t="s">
        <v>215</v>
      </c>
    </row>
    <row r="483" ht="22.5" customHeight="1">
      <c r="A483" s="21" t="s">
        <v>214</v>
      </c>
      <c r="B483" s="23" t="s">
        <v>22</v>
      </c>
      <c r="C483" s="23" t="s">
        <v>206</v>
      </c>
      <c r="D483" s="23" t="s">
        <v>215</v>
      </c>
    </row>
    <row r="484" ht="22.5" customHeight="1">
      <c r="A484" s="11" t="s">
        <v>214</v>
      </c>
      <c r="B484" s="33" t="s">
        <v>22</v>
      </c>
      <c r="C484" s="33" t="s">
        <v>206</v>
      </c>
      <c r="D484" s="33" t="s">
        <v>215</v>
      </c>
    </row>
    <row r="485" ht="22.5" customHeight="1">
      <c r="A485" s="21" t="s">
        <v>214</v>
      </c>
      <c r="B485" s="23" t="s">
        <v>22</v>
      </c>
      <c r="C485" s="23" t="s">
        <v>206</v>
      </c>
      <c r="D485" s="23" t="s">
        <v>215</v>
      </c>
    </row>
    <row r="486" ht="22.5" customHeight="1">
      <c r="A486" s="11" t="s">
        <v>214</v>
      </c>
      <c r="B486" s="33" t="s">
        <v>22</v>
      </c>
      <c r="C486" s="33" t="s">
        <v>206</v>
      </c>
      <c r="D486" s="33" t="s">
        <v>215</v>
      </c>
    </row>
    <row r="487" ht="22.5" customHeight="1">
      <c r="A487" s="21" t="s">
        <v>214</v>
      </c>
      <c r="B487" s="23" t="s">
        <v>22</v>
      </c>
      <c r="C487" s="23" t="s">
        <v>206</v>
      </c>
      <c r="D487" s="23" t="s">
        <v>215</v>
      </c>
    </row>
    <row r="488" ht="22.5" customHeight="1">
      <c r="A488" s="11" t="s">
        <v>214</v>
      </c>
      <c r="B488" s="33" t="s">
        <v>22</v>
      </c>
      <c r="C488" s="33" t="s">
        <v>206</v>
      </c>
      <c r="D488" s="33" t="s">
        <v>215</v>
      </c>
    </row>
    <row r="489" ht="22.5" customHeight="1">
      <c r="A489" s="21" t="s">
        <v>214</v>
      </c>
      <c r="B489" s="23" t="s">
        <v>22</v>
      </c>
      <c r="C489" s="23" t="s">
        <v>206</v>
      </c>
      <c r="D489" s="23" t="s">
        <v>215</v>
      </c>
    </row>
    <row r="490" ht="22.5" customHeight="1">
      <c r="A490" s="11" t="s">
        <v>214</v>
      </c>
      <c r="B490" s="33" t="s">
        <v>22</v>
      </c>
      <c r="C490" s="33" t="s">
        <v>206</v>
      </c>
      <c r="D490" s="33" t="s">
        <v>215</v>
      </c>
    </row>
    <row r="491" ht="22.5" customHeight="1">
      <c r="A491" s="59" t="s">
        <v>214</v>
      </c>
      <c r="B491" s="60" t="s">
        <v>22</v>
      </c>
      <c r="C491" s="60" t="s">
        <v>206</v>
      </c>
      <c r="D491" s="60" t="s">
        <v>215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3" max="3" width="14.88"/>
  </cols>
  <sheetData>
    <row r="1" ht="22.5" customHeight="1">
      <c r="A1" s="1" t="s">
        <v>0</v>
      </c>
      <c r="B1" s="1" t="s">
        <v>4</v>
      </c>
      <c r="C1" s="4" t="s">
        <v>5</v>
      </c>
      <c r="D1" s="1" t="s">
        <v>8</v>
      </c>
      <c r="E1" s="1" t="s">
        <v>9</v>
      </c>
      <c r="F1" s="1" t="s">
        <v>11</v>
      </c>
      <c r="G1" s="9" t="s">
        <v>13</v>
      </c>
    </row>
    <row r="2" ht="22.5" customHeight="1">
      <c r="A2" s="15" t="str">
        <f t="shared" ref="A2:A11" si="1">B2&amp;"-"&amp;D2&amp;"-"&amp;C2</f>
        <v>Contact plate-A-Contact plate</v>
      </c>
      <c r="B2" s="15" t="s">
        <v>30</v>
      </c>
      <c r="C2" s="15" t="s">
        <v>30</v>
      </c>
      <c r="D2" s="15" t="s">
        <v>37</v>
      </c>
      <c r="E2" s="15">
        <v>0.0</v>
      </c>
      <c r="F2" s="15" t="s">
        <v>40</v>
      </c>
      <c r="G2" s="24">
        <v>1.0</v>
      </c>
    </row>
    <row r="3" ht="22.5" customHeight="1">
      <c r="A3" s="15" t="str">
        <f t="shared" si="1"/>
        <v>Contact plate-B-Contact plate</v>
      </c>
      <c r="B3" s="15" t="s">
        <v>30</v>
      </c>
      <c r="C3" s="15" t="s">
        <v>30</v>
      </c>
      <c r="D3" s="15" t="s">
        <v>41</v>
      </c>
      <c r="E3" s="15">
        <v>5.0</v>
      </c>
      <c r="F3" s="15" t="s">
        <v>40</v>
      </c>
      <c r="G3" s="24">
        <v>1.0</v>
      </c>
    </row>
    <row r="4" ht="22.5" customHeight="1">
      <c r="A4" s="15" t="str">
        <f t="shared" si="1"/>
        <v>Contact plate-C-Contact plate</v>
      </c>
      <c r="B4" s="15" t="s">
        <v>30</v>
      </c>
      <c r="C4" s="15" t="s">
        <v>30</v>
      </c>
      <c r="D4" s="15" t="s">
        <v>43</v>
      </c>
      <c r="E4" s="15">
        <v>25.0</v>
      </c>
      <c r="F4" s="15" t="s">
        <v>40</v>
      </c>
      <c r="G4" s="24">
        <v>1.0</v>
      </c>
    </row>
    <row r="5" ht="22.5" customHeight="1">
      <c r="A5" s="15" t="str">
        <f t="shared" si="1"/>
        <v>Contact plate-D-Contact plate</v>
      </c>
      <c r="B5" s="15" t="s">
        <v>30</v>
      </c>
      <c r="C5" s="15" t="s">
        <v>30</v>
      </c>
      <c r="D5" s="15" t="s">
        <v>28</v>
      </c>
      <c r="E5" s="15">
        <v>50.0</v>
      </c>
      <c r="F5" s="15" t="s">
        <v>40</v>
      </c>
      <c r="G5" s="24">
        <v>1.0</v>
      </c>
    </row>
    <row r="6" ht="22.5" customHeight="1">
      <c r="A6" s="15" t="str">
        <f t="shared" si="1"/>
        <v>Rinse-PW-D-Pour plate</v>
      </c>
      <c r="B6" s="15" t="s">
        <v>47</v>
      </c>
      <c r="C6" s="15" t="s">
        <v>48</v>
      </c>
      <c r="D6" s="15" t="s">
        <v>28</v>
      </c>
      <c r="E6" s="15">
        <v>100.0</v>
      </c>
      <c r="F6" s="15" t="s">
        <v>49</v>
      </c>
      <c r="G6" s="24">
        <v>1.0</v>
      </c>
    </row>
    <row r="7" ht="22.5" customHeight="1">
      <c r="A7" s="15" t="str">
        <f t="shared" si="1"/>
        <v>Rinse-PW-D-Memb. Filtration</v>
      </c>
      <c r="B7" s="15" t="s">
        <v>47</v>
      </c>
      <c r="C7" s="15" t="s">
        <v>50</v>
      </c>
      <c r="D7" s="15" t="s">
        <v>28</v>
      </c>
      <c r="E7" s="15">
        <v>100.0</v>
      </c>
      <c r="F7" s="15" t="s">
        <v>49</v>
      </c>
      <c r="G7" s="24">
        <v>0.01</v>
      </c>
    </row>
    <row r="8" ht="22.5" customHeight="1">
      <c r="A8" s="15" t="str">
        <f t="shared" si="1"/>
        <v>Rinse-WFI-A-Memb. Filtration</v>
      </c>
      <c r="B8" s="15" t="s">
        <v>52</v>
      </c>
      <c r="C8" s="15" t="s">
        <v>50</v>
      </c>
      <c r="D8" s="15" t="s">
        <v>37</v>
      </c>
      <c r="E8" s="15">
        <v>10.0</v>
      </c>
      <c r="F8" s="15" t="s">
        <v>54</v>
      </c>
      <c r="G8" s="24">
        <v>1.0</v>
      </c>
    </row>
    <row r="9" ht="22.5" customHeight="1">
      <c r="A9" s="15" t="str">
        <f t="shared" si="1"/>
        <v>Rinse-WFI-B-Memb. Filtration</v>
      </c>
      <c r="B9" s="15" t="s">
        <v>52</v>
      </c>
      <c r="C9" s="15" t="s">
        <v>50</v>
      </c>
      <c r="D9" s="15" t="s">
        <v>41</v>
      </c>
      <c r="E9" s="15">
        <v>10.0</v>
      </c>
      <c r="F9" s="15" t="s">
        <v>54</v>
      </c>
      <c r="G9" s="24">
        <v>1.0</v>
      </c>
    </row>
    <row r="10" ht="22.5" customHeight="1">
      <c r="A10" s="38" t="str">
        <f t="shared" si="1"/>
        <v>Rinse-WFI-C-Memb. Filtration</v>
      </c>
      <c r="B10" s="39" t="s">
        <v>52</v>
      </c>
      <c r="C10" s="39" t="s">
        <v>50</v>
      </c>
      <c r="D10" s="41" t="s">
        <v>43</v>
      </c>
      <c r="E10" s="43">
        <v>10.0</v>
      </c>
      <c r="F10" s="39" t="s">
        <v>54</v>
      </c>
      <c r="G10" s="45">
        <v>1.0</v>
      </c>
    </row>
    <row r="11" ht="22.5" customHeight="1">
      <c r="A11" s="38" t="str">
        <f t="shared" si="1"/>
        <v>Rinse-WFI-D-Memb. Filtration</v>
      </c>
      <c r="B11" s="39" t="s">
        <v>52</v>
      </c>
      <c r="C11" s="39" t="s">
        <v>50</v>
      </c>
      <c r="D11" s="41" t="s">
        <v>28</v>
      </c>
      <c r="E11" s="43">
        <v>10.0</v>
      </c>
      <c r="F11" s="39" t="s">
        <v>54</v>
      </c>
      <c r="G11" s="45">
        <v>1.0</v>
      </c>
    </row>
  </sheetData>
  <drawing r:id="rId1"/>
  <tableParts count="1">
    <tablePart r:id="rId3"/>
  </tableParts>
</worksheet>
</file>